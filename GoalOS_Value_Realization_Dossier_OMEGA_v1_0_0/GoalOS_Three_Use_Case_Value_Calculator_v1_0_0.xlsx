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ba66e9a83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0c0a06e1be42f6"/>
    <x:sheet xmlns:r="http://schemas.openxmlformats.org/officeDocument/2006/relationships" name="Assumptions" sheetId="2" r:id="R7ed67e3d5313464e"/>
    <x:sheet xmlns:r="http://schemas.openxmlformats.org/officeDocument/2006/relationships" name="Use Case 1" sheetId="3" r:id="Rf058ede5f70248f5"/>
    <x:sheet xmlns:r="http://schemas.openxmlformats.org/officeDocument/2006/relationships" name="Use Case 2" sheetId="4" r:id="Rd61e56d4e86d49a9"/>
    <x:sheet xmlns:r="http://schemas.openxmlformats.org/officeDocument/2006/relationships" name="Use Case 3" sheetId="5" r:id="R479f0e36b71847fd"/>
    <x:sheet xmlns:r="http://schemas.openxmlformats.org/officeDocument/2006/relationships" name="Sensitivity" sheetId="6" r:id="R4134d083ae274dbc"/>
    <x:sheet xmlns:r="http://schemas.openxmlformats.org/officeDocument/2006/relationships" name="Sources &amp; Notes" sheetId="7" r:id="R040129c5813e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"/>
    <x:numFmt numFmtId="201" formatCode="0.0%"/>
    <x:numFmt numFmtId="202" formatCode="$#,##0;[Red]($#,##0);-"/>
    <x:numFmt numFmtId="203" formatCode="0 &quot;business days&quot;"/>
    <x:numFmt numFmtId="204" formatCode="0.0%;[Red](0.0%);-"/>
    <x:numFmt numFmtId="205" formatCode="0.0x"/>
    <x:numFmt numFmtId="206" formatCode="0 &quot;calendar days&quot;"/>
    <x:numFmt numFmtId="207" formatCode="0 &quot;days&quot;"/>
  </x:numFmts>
  <x:fonts count="15">
    <x:font>
      <x:sz val="11"/>
      <x:name val="Carlito"/>
    </x:font>
    <x:font>
      <x:b/>
      <x:sz val="22"/>
      <x:color rgb="FF07182B"/>
      <x:name val="Carlito"/>
    </x:font>
    <x:font>
      <x:i/>
      <x:sz val="9"/>
      <x:color rgb="FF657186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2"/>
      <x:color rgb="FFFFFFFF"/>
      <x:name val="Carlito"/>
    </x:font>
    <x:font>
      <x:sz val="11"/>
      <x:color rgb="FF008000"/>
      <x:name val="Carlito"/>
    </x:font>
    <x:font>
      <x:b/>
      <x:sz val="11"/>
      <x:color rgb="FF07182B"/>
      <x:name val="Carlito"/>
    </x:font>
    <x:font>
      <x:b/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D7A748"/>
      <x:name val="Carlito"/>
    </x:font>
    <x:font>
      <x:b/>
      <x:sz val="11"/>
      <x:color rgb="FFFF0000"/>
      <x:name val="Carlito"/>
    </x:font>
    <x:font>
      <x:b/>
      <x:sz val="10"/>
      <x:color rgb="FFD7A748"/>
      <x:name val="Carlito"/>
    </x:font>
    <x:font>
      <x:b/>
      <x:sz val="18"/>
      <x:color rgb="FF07182B"/>
      <x:name val="Carlito"/>
    </x:font>
    <x:font>
      <x:sz val="11"/>
      <x:color rgb="FF07182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BF8F0"/>
      </x:patternFill>
    </x:fill>
    <x:fill>
      <x:patternFill patternType="solid">
        <x:fgColor rgb="FF07182B"/>
      </x:patternFill>
    </x:fill>
    <x:fill>
      <x:patternFill patternType="solid">
        <x:fgColor rgb="FFFFF4CF"/>
      </x:patternFill>
    </x:fill>
    <x:fill>
      <x:patternFill patternType="solid">
        <x:fgColor rgb="FF0C2742"/>
      </x:patternFill>
    </x:fill>
    <x:fill>
      <x:patternFill patternType="solid">
        <x:fgColor rgb="FFEEF5FB"/>
      </x:patternFill>
    </x:fill>
    <x:fill>
      <x:patternFill patternType="solid">
        <x:fgColor rgb="FFEAF7F0"/>
      </x:patternFill>
    </x:fill>
    <x:fill>
      <x:patternFill patternType="solid">
        <x:fgColor rgb="FFFBECE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4" fontId="0" fillId="4" borderId="0" xfId="0" applyNumberFormat="1" applyFont="1" applyFill="1" applyBorder="1"/>
    <x:xf numFmtId="204" fontId="0" fillId="4" borderId="1" xfId="0" applyNumberFormat="1" applyFont="1" applyFill="1" applyBorder="1"/>
    <x:xf numFmtId="205" fontId="0" fillId="4" borderId="0" xfId="0" applyNumberFormat="1" applyFont="1" applyFill="1" applyBorder="1"/>
    <x:xf numFmtId="205" fontId="0" fillId="4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center" wrapText="1"/>
    </x:xf>
    <x:xf numFmtId="202" fontId="9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4" fontId="0" fillId="4" borderId="0" xfId="0" applyNumberFormat="1" applyFont="1" applyFill="1" applyBorder="1" applyAlignment="1">
      <x:alignment wrapText="1"/>
    </x:xf>
    <x:xf numFmtId="205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10" fillId="5" borderId="1" xfId="0" applyNumberFormat="1" applyFont="1" applyFill="1" applyBorder="1" applyAlignment="1">
      <x:alignment horizontal="center" wrapText="1"/>
    </x:xf>
    <x:xf numFmtId="202" fontId="9" fillId="0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4" fontId="0" fillId="4" borderId="1" xfId="0" applyNumberFormat="1" applyFont="1" applyFill="1" applyBorder="1" applyAlignment="1">
      <x:alignment wrapText="1"/>
    </x:xf>
    <x:xf numFmtId="205" fontId="0" fillId="4" borderId="1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6" fontId="6" fillId="0" borderId="1" xfId="0" applyNumberFormat="1" applyFont="1" applyFill="1" applyBorder="1" applyAlignment="1">
      <x:alignment wrapText="1"/>
    </x:xf>
    <x:xf numFmtId="207" fontId="6" fillId="0" borderId="0" xfId="0" applyNumberFormat="1" applyFont="1" applyFill="1" applyBorder="1" applyAlignment="1">
      <x:alignment wrapText="1"/>
    </x:xf>
    <x:xf numFmtId="207" fontId="6" fillId="0" borderId="1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3" fillId="9" borderId="1" xfId="0" applyNumberFormat="1" applyFont="1" applyFill="1" applyBorder="1"/>
    <x:xf numFmtId="0" fontId="13" fillId="9" borderId="1" xfId="0" applyNumberFormat="1" applyFont="1" applyFill="1" applyBorder="1" applyAlignment="1">
      <x:alignment horizontal="center"/>
    </x:xf>
    <x:xf numFmtId="0" fontId="13" fillId="9" borderId="1" xfId="0" applyNumberFormat="1" applyFont="1" applyFill="1" applyBorder="1" applyAlignment="1">
      <x:alignment horizontal="center" vertical="center"/>
    </x:xf>
    <x:xf numFmtId="202" fontId="13" fillId="9" borderId="0" xfId="0" applyNumberFormat="1" applyFont="1" applyFill="1" applyBorder="1" applyAlignment="1">
      <x:alignment horizontal="center" vertical="center"/>
    </x:xf>
    <x:xf numFmtId="202" fontId="13" fillId="9" borderId="1" xfId="0" applyNumberFormat="1" applyFont="1" applyFill="1" applyBorder="1" applyAlignment="1">
      <x:alignment horizontal="center" vertical="center"/>
    </x:xf>
    <x:xf numFmtId="204" fontId="13" fillId="9" borderId="0" xfId="0" applyNumberFormat="1" applyFont="1" applyFill="1" applyBorder="1" applyAlignment="1">
      <x:alignment horizontal="center" vertical="center"/>
    </x:xf>
    <x:xf numFmtId="204" fontId="13" fillId="9" borderId="1" xfId="0" applyNumberFormat="1" applyFont="1" applyFill="1" applyBorder="1" applyAlignment="1">
      <x:alignment horizontal="center" vertical="center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center" wrapText="1"/>
    </x:xf>
    <x:xf numFmtId="0" fontId="14" fillId="7" borderId="1" xfId="0" applyNumberFormat="1" applyFont="1" applyFill="1" applyBorder="1"/>
    <x:xf numFmtId="0" fontId="14" fillId="7" borderId="1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2" fontId="6" fillId="0" borderId="1" xfId="0" applyNumberFormat="1" applyFont="1" applyFill="1" applyBorder="1"/>
    <x:xf numFmtId="204" fontId="6" fillId="0" borderId="1" xfId="0" applyNumberFormat="1" applyFont="1" applyFill="1" applyBorder="1"/>
    <x:xf numFmtId="205" fontId="6" fillId="0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008000"/>
      </x:font>
      <x:fill>
        <x:patternFill patternType="solid">
          <x:bgColor rgb="FFEAF7F0"/>
        </x:patternFill>
      </x:fill>
    </x:dxf>
    <x:dxf>
      <x:font>
        <x:b/>
        <x:color rgb="FFA66A12"/>
      </x:font>
      <x:fill>
        <x:patternFill patternType="solid">
          <x:bgColor rgb="FFFFF4CF"/>
        </x:patternFill>
      </x:fill>
    </x:dxf>
    <x:dxf>
      <x:font>
        <x:b/>
        <x:color rgb="FFFF0000"/>
      </x:font>
      <x:fill>
        <x:patternFill patternType="solid">
          <x:bgColor rgb="FFFBECEF"/>
        </x:patternFill>
      </x:fill>
    </x:dxf>
    <x:dxf>
      <x:font>
        <x:b/>
        <x:color rgb="FFFF0000"/>
      </x:font>
      <x:fill>
        <x:patternFill patternType="solid">
          <x:bgColor rgb="FFFBECEF"/>
        </x:patternFill>
      </x:fill>
    </x:dxf>
    <x:dxf>
      <x:font>
        <x:b/>
        <x:color rgb="FFA66A12"/>
      </x:font>
      <x:fill>
        <x:patternFill patternType="solid">
          <x:bgColor rgb="FFFFF4CF"/>
        </x:patternFill>
      </x:fill>
    </x:dxf>
    <x:dxf>
      <x:font>
        <x:b/>
        <x:color rgb="FF008000"/>
      </x:font>
      <x:fill>
        <x:patternFill patternType="solid">
          <x:bgColor rgb="FFEA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e35d07e364b7e" /><Relationship Type="http://schemas.openxmlformats.org/officeDocument/2006/relationships/theme" Target="/xl/theme/theme1.xml" Id="R30d3b1a9d0284637" /><Relationship Type="http://schemas.openxmlformats.org/officeDocument/2006/relationships/sharedStrings" Target="/xl/sharedStrings.xml" Id="R03aeb63a127f4793" /><Relationship Type="http://schemas.openxmlformats.org/officeDocument/2006/relationships/worksheet" Target="/xl/worksheets/sheet1.xml" Id="R5e0c0a06e1be42f6" /><Relationship Type="http://schemas.openxmlformats.org/officeDocument/2006/relationships/worksheet" Target="/xl/worksheets/sheet2.xml" Id="R7ed67e3d5313464e" /><Relationship Type="http://schemas.openxmlformats.org/officeDocument/2006/relationships/worksheet" Target="/xl/worksheets/sheet3.xml" Id="Rf058ede5f70248f5" /><Relationship Type="http://schemas.openxmlformats.org/officeDocument/2006/relationships/worksheet" Target="/xl/worksheets/sheet4.xml" Id="Rd61e56d4e86d49a9" /><Relationship Type="http://schemas.openxmlformats.org/officeDocument/2006/relationships/worksheet" Target="/xl/worksheets/sheet5.xml" Id="R479f0e36b71847fd" /><Relationship Type="http://schemas.openxmlformats.org/officeDocument/2006/relationships/worksheet" Target="/xl/worksheets/sheet6.xml" Id="R4134d083ae274dbc" /><Relationship Type="http://schemas.openxmlformats.org/officeDocument/2006/relationships/worksheet" Target="/xl/worksheets/sheet7.xml" Id="R040129c5813e44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21a02fc5ca41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Investment vs Modeled Value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investment</c:v>
          </c:tx>
          <c:cat>
            <c:strRef>
              <c:f>'Dashboard'!$A$31:$A$33</c:f>
              <c:strCache>
                <c:ptCount val="0"/>
              </c:strCache>
            </c:strRef>
          </c:cat>
          <c:val>
            <c:numRef>
              <c:f>'Dashboard'!$B$31:$B$33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Gross modeled value</c:v>
          </c:tx>
          <c:cat>
            <c:strRef>
              <c:f>'Dashboard'!$A$31:$A$33</c:f>
              <c:strCache>
                <c:ptCount val="0"/>
              </c:strCache>
            </c:strRef>
          </c:cat>
          <c:val>
            <c:numRef>
              <c:f>'Dashboard'!$C$31:$C$33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Net modeled value</c:v>
          </c:tx>
          <c:cat>
            <c:strRef>
              <c:f>'Dashboard'!$A$31:$A$33</c:f>
              <c:strCache>
                <c:ptCount val="0"/>
              </c:strCache>
            </c:strRef>
          </c:cat>
          <c:val>
            <c:numRef>
              <c:f>'Dashboard'!$D$31:$D$33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1a02fc5ca414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e9c89b43c3493b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5" t="str">
        <x:v>GoalOS Value Realization Dossier Ω - Executive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1" t="str">
        <x:v>Three consequential use cases modeled with explicit sponsors, budgets, deadlines, proof burdens and economic costs of error. Illustrative scenarios - replace with sponsor-approved data.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24" customHeight="1">
      <x:c r="A4" s="39" t="str">
        <x:v>Portfolio-Level Base Case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8" customHeight="1">
      <x:c r="A5" s="109" t="str">
        <x:v>Decisions at stake</x:v>
      </x:c>
      <x:c r="B5" s="109"/>
      <x:c r="C5" s="109" t="str">
        <x:v>External GoalOS fees</x:v>
      </x:c>
      <x:c r="D5" s="109"/>
      <x:c r="E5" s="109" t="str">
        <x:v>Total investment</x:v>
      </x:c>
      <x:c r="F5" s="109"/>
      <x:c r="G5" s="109" t="str">
        <x:v>Gross modeled value</x:v>
      </x:c>
      <x:c r="H5" s="109"/>
      <x:c r="I5" s="109" t="str">
        <x:v>Net modeled value</x:v>
      </x:c>
      <x:c r="J5" s="109"/>
      <x:c r="K5" s="109" t="str">
        <x:v>Portfolio ROI</x:v>
      </x:c>
      <x:c r="L5" s="109"/>
    </x:row>
    <x:row r="6" ht="32" customHeight="1">
      <x:c r="A6" s="122" t="n">
        <x:f>'Assumptions'!E5+'Assumptions'!E17+'Assumptions'!E30</x:f>
        <x:v>37050000</x:v>
      </x:c>
      <x:c r="B6" s="122"/>
      <x:c r="C6" s="122" t="n">
        <x:f>'Assumptions'!E6+'Assumptions'!E18+'Assumptions'!E31</x:f>
        <x:v>325000</x:v>
      </x:c>
      <x:c r="D6" s="122"/>
      <x:c r="E6" s="122" t="n">
        <x:f>('Assumptions'!E6+'Assumptions'!E7)+('Assumptions'!E18+'Assumptions'!E19)+('Assumptions'!E31+'Assumptions'!E32)</x:f>
        <x:v>425000</x:v>
      </x:c>
      <x:c r="F6" s="122"/>
      <x:c r="G6" s="122" t="n">
        <x:f>'Use Case 1'!C20+'Use Case 2'!C21+'Use Case 3'!C21</x:f>
        <x:v>2815318.118018967</x:v>
      </x:c>
      <x:c r="H6" s="122"/>
      <x:c r="I6" s="122" t="n">
        <x:f>'Use Case 1'!C22+'Use Case 2'!C23+'Use Case 3'!C23</x:f>
        <x:v>2390318.118018967</x:v>
      </x:c>
      <x:c r="J6" s="122"/>
      <x:c r="K6" s="124" t="n">
        <x:f>I6/E6</x:f>
        <x:v>5.624277924750511</x:v>
      </x:c>
      <x:c r="L6" s="124"/>
    </x:row>
    <x:row r="7" ht="32" customHeight="1">
      <x:c r="A7" s="122"/>
      <x:c r="B7" s="122"/>
      <x:c r="C7" s="122"/>
      <x:c r="D7" s="122"/>
      <x:c r="E7" s="122"/>
      <x:c r="F7" s="122"/>
      <x:c r="G7" s="122"/>
      <x:c r="H7" s="122"/>
      <x:c r="I7" s="122"/>
      <x:c r="J7" s="122"/>
      <x:c r="K7" s="124"/>
      <x:c r="L7" s="124"/>
    </x:row>
    <x:row r="9">
      <x:c r="A9" s="39" t="str">
        <x:v>Executive Interpretation</x:v>
      </x:c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</x:row>
    <x:row r="10">
      <x:c r="A10" s="128" t="str">
        <x:v>In the illustrated base case, GoalOS is applied only to decisions where the cost of a wrong move or delayed move materially exceeds the engagement cost. The portfolio protects or creates modeled value through four channels: expected-loss reduction, time-to-value acceleration, internal coordination savings, and Chronicle-gated reusable capability. The model does not assume a favorable decision; REPAIR, REJECT and STOP can create value by preventing further loss.</x:v>
      </x:c>
      <x:c r="B10" s="128"/>
      <x:c r="C10" s="128"/>
      <x:c r="D10" s="128"/>
      <x:c r="E10" s="128"/>
      <x:c r="F10" s="128"/>
      <x:c r="G10" s="128"/>
      <x:c r="H10" s="128"/>
      <x:c r="I10" s="128"/>
      <x:c r="J10" s="128"/>
      <x:c r="K10" s="128"/>
      <x:c r="L10" s="128"/>
    </x:row>
    <x:row r="11">
      <x:c r="A11" s="128"/>
      <x:c r="B11" s="128"/>
      <x:c r="C11" s="128"/>
      <x:c r="D11" s="128"/>
      <x:c r="E11" s="128"/>
      <x:c r="F11" s="128"/>
      <x:c r="G11" s="128"/>
      <x:c r="H11" s="128"/>
      <x:c r="I11" s="128"/>
      <x:c r="J11" s="128"/>
      <x:c r="K11" s="128"/>
      <x:c r="L11" s="128"/>
    </x:row>
    <x:row r="13">
      <x:c r="A13" s="39" t="str">
        <x:v>Use-Case Comparison - Base Case</x:v>
      </x:c>
      <x:c r="B13" s="39"/>
      <x:c r="C13" s="39"/>
      <x:c r="D13" s="39"/>
      <x:c r="E13" s="39"/>
      <x:c r="F13" s="39"/>
      <x:c r="G13" s="39"/>
      <x:c r="H13" s="39"/>
    </x:row>
    <x:row r="14" ht="34" customHeight="1">
      <x:c r="A14" s="18" t="str">
        <x:v>Use case</x:v>
      </x:c>
      <x:c r="B14" s="18" t="str">
        <x:v>Sponsor</x:v>
      </x:c>
      <x:c r="C14" s="18" t="str">
        <x:v>Deadline</x:v>
      </x:c>
      <x:c r="D14" s="18" t="str">
        <x:v>External fee</x:v>
      </x:c>
      <x:c r="E14" s="18" t="str">
        <x:v>Gross value</x:v>
      </x:c>
      <x:c r="F14" s="18" t="str">
        <x:v>Net value</x:v>
      </x:c>
      <x:c r="G14" s="18" t="str">
        <x:v>ROI</x:v>
      </x:c>
      <x:c r="H14" s="18" t="str">
        <x:v>Gross value / fee</x:v>
      </x:c>
    </x:row>
    <x:row r="15">
      <x:c r="A15" s="28" t="str">
        <x:v>1 - AI Deployment</x:v>
      </x:c>
      <x:c r="B15" s="28" t="str">
        <x:v>CIO / CISO / Business President</x:v>
      </x:c>
      <x:c r="C15" s="28" t="str">
        <x:v>15 business days</x:v>
      </x:c>
      <x:c r="D15" s="54" t="n">
        <x:f>'Assumptions'!E6</x:f>
        <x:v>75000</x:v>
      </x:c>
      <x:c r="E15" s="54" t="n">
        <x:f>'Use Case 1'!C20</x:f>
        <x:v>800723.076923077</x:v>
      </x:c>
      <x:c r="F15" s="54" t="n">
        <x:f>'Use Case 1'!C22</x:f>
        <x:v>700723.076923077</x:v>
      </x:c>
      <x:c r="G15" s="144" t="n">
        <x:f>'Use Case 1'!C23</x:f>
        <x:v>7.00723076923077</x:v>
      </x:c>
      <x:c r="H15" s="145" t="n">
        <x:f>'Use Case 1'!C24</x:f>
        <x:v>10.676307692307693</x:v>
      </x:c>
    </x:row>
    <x:row r="16">
      <x:c r="A16" s="28" t="str">
        <x:v>2 - Capital Allocation</x:v>
      </x:c>
      <x:c r="B16" s="28" t="str">
        <x:v>CEO / CFO / Board Sponsor</x:v>
      </x:c>
      <x:c r="C16" s="28" t="str">
        <x:v>21 calendar days</x:v>
      </x:c>
      <x:c r="D16" s="54" t="n">
        <x:f>'Assumptions'!E18</x:f>
        <x:v>150000</x:v>
      </x:c>
      <x:c r="E16" s="54" t="n">
        <x:f>'Use Case 2'!C21</x:f>
        <x:v>1553339.0410958903</x:v>
      </x:c>
      <x:c r="F16" s="54" t="n">
        <x:f>'Use Case 2'!C23</x:f>
        <x:v>1353339.0410958903</x:v>
      </x:c>
      <x:c r="G16" s="144" t="n">
        <x:f>'Use Case 2'!C24</x:f>
        <x:v>6.766695205479452</x:v>
      </x:c>
      <x:c r="H16" s="145" t="n">
        <x:f>'Use Case 2'!C25</x:f>
        <x:v>10.355593607305936</x:v>
      </x:c>
    </x:row>
    <x:row r="17">
      <x:c r="A17" s="28" t="str">
        <x:v>3 - Commercial Proof Run</x:v>
      </x:c>
      <x:c r="B17" s="28" t="str">
        <x:v>CEO / CRO / Venture Lead</x:v>
      </x:c>
      <x:c r="C17" s="28" t="str">
        <x:v>60 days</x:v>
      </x:c>
      <x:c r="D17" s="54" t="n">
        <x:f>'Assumptions'!E31</x:f>
        <x:v>100000</x:v>
      </x:c>
      <x:c r="E17" s="54" t="n">
        <x:f>'Use Case 3'!C21</x:f>
        <x:v>461255.99999999994</x:v>
      </x:c>
      <x:c r="F17" s="54" t="n">
        <x:f>'Use Case 3'!C23</x:f>
        <x:v>336255.99999999994</x:v>
      </x:c>
      <x:c r="G17" s="144" t="n">
        <x:f>'Use Case 3'!C24</x:f>
        <x:v>2.6900479999999996</x:v>
      </x:c>
      <x:c r="H17" s="145" t="n">
        <x:f>'Use Case 3'!C25</x:f>
        <x:v>4.612559999999999</x:v>
      </x:c>
    </x:row>
    <x:row r="20">
      <x:c r="A20" s="39" t="str">
        <x:v>Value Qualification Gate</x:v>
      </x:c>
      <x:c r="B20" s="39"/>
      <x:c r="C20" s="39"/>
      <x:c r="D20" s="39"/>
      <x:c r="E20" s="39"/>
      <x:c r="F20" s="39"/>
      <x:c r="H20" s="39" t="str">
        <x:v>Pricing-to-Value Discipline</x:v>
      </x:c>
      <x:c r="I20" s="39"/>
      <x:c r="J20" s="39"/>
      <x:c r="K20" s="39"/>
      <x:c r="L20" s="39"/>
    </x:row>
    <x:row r="21">
      <x:c r="A21" s="77" t="str">
        <x:v>1</x:v>
      </x:c>
      <x:c r="B21" s="48" t="str">
        <x:v>Named sponsor</x:v>
      </x:c>
      <x:c r="C21" s="28" t="str">
        <x:v>Can authorize action, evidence access and follow-through.</x:v>
      </x:c>
      <x:c r="D21" s="28" t="str">
        <x:v>Required</x:v>
      </x:c>
      <x:c r="E21" s="149" t="str"/>
      <x:c r="F21" s="149"/>
      <x:c r="H21" s="90" t="str">
        <x:v>Threshold</x:v>
      </x:c>
      <x:c r="I21" s="28" t="str">
        <x:v>Preferred rule</x:v>
      </x:c>
      <x:c r="J21" s="28" t="str"/>
      <x:c r="K21" s="28" t="str"/>
      <x:c r="L21" s="28" t="str"/>
    </x:row>
    <x:row r="22">
      <x:c r="A22" s="77" t="str">
        <x:v>2</x:v>
      </x:c>
      <x:c r="B22" s="48" t="str">
        <x:v>Approved budget</x:v>
      </x:c>
      <x:c r="C22" s="28" t="str">
        <x:v>Funding is proportional to conservative risk-adjusted value.</x:v>
      </x:c>
      <x:c r="D22" s="28" t="str">
        <x:v>Required</x:v>
      </x:c>
      <x:c r="E22" s="149" t="str"/>
      <x:c r="F22" s="149"/>
      <x:c r="H22" s="90" t="str">
        <x:v>Decision leverage</x:v>
      </x:c>
      <x:c r="I22" s="28" t="str">
        <x:v>Value at stake / fee ≥ 10x</x:v>
      </x:c>
      <x:c r="J22" s="28" t="str"/>
      <x:c r="K22" s="28" t="str"/>
      <x:c r="L22" s="28" t="str"/>
    </x:row>
    <x:row r="23">
      <x:c r="A23" s="77" t="str">
        <x:v>3</x:v>
      </x:c>
      <x:c r="B23" s="48" t="str">
        <x:v>Real deadline</x:v>
      </x:c>
      <x:c r="C23" s="28" t="str">
        <x:v>A decision or operating gate exists within 60 days.</x:v>
      </x:c>
      <x:c r="D23" s="28" t="str">
        <x:v>Required</x:v>
      </x:c>
      <x:c r="E23" s="149" t="str"/>
      <x:c r="F23" s="149"/>
      <x:c r="H23" s="90" t="str">
        <x:v>Conservative gross value</x:v>
      </x:c>
      <x:c r="I23" s="28" t="str">
        <x:v>≥ 3x total investment; 5x+ preferred</x:v>
      </x:c>
      <x:c r="J23" s="28" t="str"/>
      <x:c r="K23" s="28" t="str"/>
      <x:c r="L23" s="28" t="str"/>
    </x:row>
    <x:row r="24">
      <x:c r="A24" s="77" t="str">
        <x:v>4</x:v>
      </x:c>
      <x:c r="B24" s="48" t="str">
        <x:v>Frozen proof burden</x:v>
      </x:c>
      <x:c r="C24" s="28" t="str">
        <x:v>Material claims, tests, reviewers and acceptance criteria can be defined.</x:v>
      </x:c>
      <x:c r="D24" s="28" t="str">
        <x:v>Required</x:v>
      </x:c>
      <x:c r="E24" s="149" t="str"/>
      <x:c r="F24" s="149"/>
      <x:c r="H24" s="90" t="str">
        <x:v>Break-even test</x:v>
      </x:c>
      <x:c r="I24" s="28" t="str">
        <x:v>One explicit driver should independently cover the investment</x:v>
      </x:c>
      <x:c r="J24" s="28" t="str"/>
      <x:c r="K24" s="28" t="str"/>
      <x:c r="L24" s="28" t="str"/>
    </x:row>
    <x:row r="25">
      <x:c r="A25" s="77" t="str">
        <x:v>5</x:v>
      </x:c>
      <x:c r="B25" s="48" t="str">
        <x:v>Cost of error</x:v>
      </x:c>
      <x:c r="C25" s="28" t="str">
        <x:v>At least 5x the engagement fee; 10x+ preferred.</x:v>
      </x:c>
      <x:c r="D25" s="28" t="str">
        <x:v>Required</x:v>
      </x:c>
      <x:c r="E25" s="149" t="str"/>
      <x:c r="F25" s="149"/>
      <x:c r="H25" s="90" t="str">
        <x:v>No hidden value</x:v>
      </x:c>
      <x:c r="I25" s="28" t="str">
        <x:v>Cash, risk, time and reusable capability shown separately</x:v>
      </x:c>
      <x:c r="J25" s="28" t="str"/>
      <x:c r="K25" s="28" t="str"/>
      <x:c r="L25" s="28" t="str"/>
    </x:row>
    <x:row r="26">
      <x:c r="A26" s="77" t="str">
        <x:v>6</x:v>
      </x:c>
      <x:c r="B26" s="48" t="str">
        <x:v>No-go discipline</x:v>
      </x:c>
      <x:c r="C26" s="28" t="str">
        <x:v>GoalOS may return CONDITION, REPAIR, REJECT or STOP.</x:v>
      </x:c>
      <x:c r="D26" s="28" t="str">
        <x:v>Required</x:v>
      </x:c>
      <x:c r="E26" s="149" t="str"/>
      <x:c r="F26" s="149"/>
      <x:c r="H26" s="90" t="str">
        <x:v>Claim boundary</x:v>
      </x:c>
      <x:c r="I26" s="28" t="str">
        <x:v>Illustrative model - no guaranteed outcome or realized customer proof</x:v>
      </x:c>
      <x:c r="J26" s="28" t="str"/>
      <x:c r="K26" s="28" t="str"/>
      <x:c r="L26" s="28" t="str"/>
    </x:row>
    <x:row r="29">
      <x:c r="A29" s="39" t="str">
        <x:v>Portfolio Economics Visualization</x:v>
      </x:c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18" t="str">
        <x:v>Use case</x:v>
      </x:c>
      <x:c r="B30" s="18" t="str">
        <x:v>Total investment</x:v>
      </x:c>
      <x:c r="C30" s="18" t="str">
        <x:v>Gross modeled value</x:v>
      </x:c>
      <x:c r="D30" s="18" t="str">
        <x:v>Net modeled value</x:v>
      </x:c>
    </x:row>
    <x:row r="31">
      <x:c r="A31" t="str">
        <x:v>AI Deployment</x:v>
      </x:c>
      <x:c r="B31" s="152" t="n">
        <x:f>'Use Case 1'!C21</x:f>
        <x:v>100000</x:v>
      </x:c>
      <x:c r="C31" s="152" t="n">
        <x:f>'Use Case 1'!C20</x:f>
        <x:v>800723.076923077</x:v>
      </x:c>
      <x:c r="D31" s="152" t="n">
        <x:f>'Use Case 1'!C22</x:f>
        <x:v>700723.076923077</x:v>
      </x:c>
    </x:row>
    <x:row r="32">
      <x:c r="A32" t="str">
        <x:v>Capital Allocation</x:v>
      </x:c>
      <x:c r="B32" s="152" t="n">
        <x:f>'Use Case 2'!C22</x:f>
        <x:v>200000</x:v>
      </x:c>
      <x:c r="C32" s="152" t="n">
        <x:f>'Use Case 2'!C21</x:f>
        <x:v>1553339.0410958903</x:v>
      </x:c>
      <x:c r="D32" s="152" t="n">
        <x:f>'Use Case 2'!C23</x:f>
        <x:v>1353339.0410958903</x:v>
      </x:c>
    </x:row>
    <x:row r="33">
      <x:c r="A33" t="str">
        <x:v>Commercial Proof Run</x:v>
      </x:c>
      <x:c r="B33" s="152" t="n">
        <x:f>'Use Case 3'!C22</x:f>
        <x:v>125000</x:v>
      </x:c>
      <x:c r="C33" s="152" t="n">
        <x:f>'Use Case 3'!C21</x:f>
        <x:v>461255.99999999994</x:v>
      </x:c>
      <x:c r="D33" s="152" t="n">
        <x:f>'Use Case 3'!C23</x:f>
        <x:v>336255.99999999994</x:v>
      </x:c>
    </x:row>
  </x:sheetData>
  <x:mergeCells>
    <x:mergeCell ref="A1:L1"/>
    <x:mergeCell ref="A2:L2"/>
    <x:mergeCell ref="A4:L4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9:L9"/>
    <x:mergeCell ref="A10:L11"/>
    <x:mergeCell ref="A13:H13"/>
    <x:mergeCell ref="A20:F20"/>
    <x:mergeCell ref="C21:D21"/>
    <x:mergeCell ref="C22:D22"/>
    <x:mergeCell ref="C23:D23"/>
    <x:mergeCell ref="C24:D24"/>
    <x:mergeCell ref="C25:D25"/>
    <x:mergeCell ref="C26:D26"/>
    <x:mergeCell ref="H20:L20"/>
    <x:mergeCell ref="I21:L21"/>
    <x:mergeCell ref="I22:L22"/>
    <x:mergeCell ref="I23:L23"/>
    <x:mergeCell ref="I24:L24"/>
    <x:mergeCell ref="I25:L25"/>
    <x:mergeCell ref="I26:L26"/>
    <x:mergeCell ref="A29:L29"/>
  </x:mergeCells>
  <x:conditionalFormatting sqref="G15:G1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{E137D1DF-7F7B-F609-9222-8F7EF20B9C44}</x14:id>
        </x:ext>
      </x:extLst>
    </x:cfRule>
  </x:conditionalFormatting>
  <x:conditionalFormatting sqref="H15:H17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{A1CE44BD-C15C-B923-13F2-AAC4B7DE2F95}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0e9c89b43c3493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14:cfRule type="dataBar" priority="3" id="{E137D1DF-7F7B-F609-9222-8F7EF20B9C44}">
            <x14:dataBar gradient="1">
              <x14:cfvo type="min"/>
              <x14:cfvo type="max"/>
              <x14:fillColor rgb="FF156082"/>
            </x14:dataBar>
          </x14:cfRule>
          <xm:sqref>G15:G17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156082"/>
            </x14:dataBar>
          </x14:cfRule>
          <x14:cfRule type="dataBar" priority="4" id="{A1CE44BD-C15C-B923-13F2-AAC4B7DE2F95}">
            <x14:dataBar gradient="1">
              <x14:cfvo type="min"/>
              <x14:cfvo type="max"/>
              <x14:fillColor rgb="FF156082"/>
            </x14:dataBar>
          </x14:cfRule>
          <xm:sqref>H15:H17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4" customHeight="1">
      <x:c r="A1" s="5" t="str">
        <x:v>GoalOS Three-Use-Case Value Model - Assumptions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1" t="str">
        <x:v>Illustrative management assumptions. Replace with sponsor-approved data before using the model for a commercial decision.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18" t="str">
        <x:v>Use case</x:v>
      </x:c>
      <x:c r="B4" s="18" t="str">
        <x:v>Input</x:v>
      </x:c>
      <x:c r="C4" s="18" t="str">
        <x:v>Unit</x:v>
      </x:c>
      <x:c r="D4" s="18" t="str">
        <x:v>Downside</x:v>
      </x:c>
      <x:c r="E4" s="18" t="str">
        <x:v>Base</x:v>
      </x:c>
      <x:c r="F4" s="18" t="str">
        <x:v>Upside</x:v>
      </x:c>
      <x:c r="G4" s="18" t="str">
        <x:v>Input type</x:v>
      </x:c>
      <x:c r="H4" s="18" t="str">
        <x:v>Source / status</x:v>
      </x:c>
    </x:row>
    <x:row r="5">
      <x:c r="A5" s="28" t="str">
        <x:v>1 - AI Deployment</x:v>
      </x:c>
      <x:c r="B5" s="28" t="str">
        <x:v>Decision value at stake</x:v>
      </x:c>
      <x:c r="C5" s="28" t="str">
        <x:v>USD</x:v>
      </x:c>
      <x:c r="D5" s="34" t="n">
        <x:v>6000000</x:v>
      </x:c>
      <x:c r="E5" s="34" t="n">
        <x:v>6000000</x:v>
      </x:c>
      <x:c r="F5" s="34" t="n">
        <x:v>6000000</x:v>
      </x:c>
      <x:c r="G5" s="28" t="str">
        <x:v>Sponsor input</x:v>
      </x:c>
      <x:c r="H5" s="28" t="str">
        <x:v>Illustrative - replace with sponsor data</x:v>
      </x:c>
    </x:row>
    <x:row r="6">
      <x:c r="A6" s="28" t="str">
        <x:v>1 - AI Deployment</x:v>
      </x:c>
      <x:c r="B6" s="28" t="str">
        <x:v>GoalOS external fee</x:v>
      </x:c>
      <x:c r="C6" s="28" t="str">
        <x:v>USD</x:v>
      </x:c>
      <x:c r="D6" s="34" t="n">
        <x:v>75000</x:v>
      </x:c>
      <x:c r="E6" s="34" t="n">
        <x:v>75000</x:v>
      </x:c>
      <x:c r="F6" s="34" t="n">
        <x:v>75000</x:v>
      </x:c>
      <x:c r="G6" s="28" t="str">
        <x:v>Commercial input</x:v>
      </x:c>
      <x:c r="H6" s="28" t="str">
        <x:v>Illustrative - replace with sponsor data</x:v>
      </x:c>
    </x:row>
    <x:row r="7">
      <x:c r="A7" s="28" t="str">
        <x:v>1 - AI Deployment</x:v>
      </x:c>
      <x:c r="B7" s="28" t="str">
        <x:v>Internal participation cost</x:v>
      </x:c>
      <x:c r="C7" s="28" t="str">
        <x:v>USD</x:v>
      </x:c>
      <x:c r="D7" s="34" t="n">
        <x:v>25000</x:v>
      </x:c>
      <x:c r="E7" s="34" t="n">
        <x:v>25000</x:v>
      </x:c>
      <x:c r="F7" s="34" t="n">
        <x:v>25000</x:v>
      </x:c>
      <x:c r="G7" s="28" t="str">
        <x:v>Sponsor input</x:v>
      </x:c>
      <x:c r="H7" s="28" t="str">
        <x:v>Illustrative - replace with sponsor data</x:v>
      </x:c>
    </x:row>
    <x:row r="8">
      <x:c r="A8" s="28" t="str">
        <x:v>1 - AI Deployment</x:v>
      </x:c>
      <x:c r="B8" s="28" t="str">
        <x:v>Cost of material error</x:v>
      </x:c>
      <x:c r="C8" s="28" t="str">
        <x:v>USD</x:v>
      </x:c>
      <x:c r="D8" s="34" t="n">
        <x:v>3200000</x:v>
      </x:c>
      <x:c r="E8" s="34" t="n">
        <x:v>3200000</x:v>
      </x:c>
      <x:c r="F8" s="34" t="n">
        <x:v>3200000</x:v>
      </x:c>
      <x:c r="G8" s="28" t="str">
        <x:v>Sponsor input</x:v>
      </x:c>
      <x:c r="H8" s="28" t="str">
        <x:v>Illustrative - replace with sponsor data</x:v>
      </x:c>
    </x:row>
    <x:row r="9">
      <x:c r="A9" s="28" t="str">
        <x:v>1 - AI Deployment</x:v>
      </x:c>
      <x:c r="B9" s="28" t="str">
        <x:v>Baseline error probability</x:v>
      </x:c>
      <x:c r="C9" s="28" t="str">
        <x:v>%</x:v>
      </x:c>
      <x:c r="D9" s="32" t="n">
        <x:v>0.24</x:v>
      </x:c>
      <x:c r="E9" s="32" t="n">
        <x:v>0.24</x:v>
      </x:c>
      <x:c r="F9" s="32" t="n">
        <x:v>0.24</x:v>
      </x:c>
      <x:c r="G9" s="28" t="str">
        <x:v>Risk estimate</x:v>
      </x:c>
      <x:c r="H9" s="28" t="str">
        <x:v>Illustrative - replace with sponsor data</x:v>
      </x:c>
    </x:row>
    <x:row r="10">
      <x:c r="A10" s="28" t="str">
        <x:v>1 - AI Deployment</x:v>
      </x:c>
      <x:c r="B10" s="28" t="str">
        <x:v>Residual error probability</x:v>
      </x:c>
      <x:c r="C10" s="28" t="str">
        <x:v>%</x:v>
      </x:c>
      <x:c r="D10" s="32" t="n">
        <x:v>0.2</x:v>
      </x:c>
      <x:c r="E10" s="32" t="n">
        <x:v>0.12</x:v>
      </x:c>
      <x:c r="F10" s="32" t="n">
        <x:v>0.06</x:v>
      </x:c>
      <x:c r="G10" s="28" t="str">
        <x:v>Risk estimate</x:v>
      </x:c>
      <x:c r="H10" s="28" t="str">
        <x:v>Illustrative - replace with sponsor data</x:v>
      </x:c>
    </x:row>
    <x:row r="11">
      <x:c r="A11" s="28" t="str">
        <x:v>1 - AI Deployment</x:v>
      </x:c>
      <x:c r="B11" s="28" t="str">
        <x:v>Annual benefit if approved</x:v>
      </x:c>
      <x:c r="C11" s="28" t="str">
        <x:v>USD/year</x:v>
      </x:c>
      <x:c r="D11" s="34" t="n">
        <x:v>2400000</x:v>
      </x:c>
      <x:c r="E11" s="34" t="n">
        <x:v>2400000</x:v>
      </x:c>
      <x:c r="F11" s="34" t="n">
        <x:v>2400000</x:v>
      </x:c>
      <x:c r="G11" s="28" t="str">
        <x:v>Sponsor input</x:v>
      </x:c>
      <x:c r="H11" s="28" t="str">
        <x:v>Illustrative - replace with sponsor data</x:v>
      </x:c>
    </x:row>
    <x:row r="12">
      <x:c r="A12" s="28" t="str">
        <x:v>1 - AI Deployment</x:v>
      </x:c>
      <x:c r="B12" s="28" t="str">
        <x:v>Weeks accelerated</x:v>
      </x:c>
      <x:c r="C12" s="28" t="str">
        <x:v>weeks</x:v>
      </x:c>
      <x:c r="D12" s="30" t="n">
        <x:v>2</x:v>
      </x:c>
      <x:c r="E12" s="30" t="n">
        <x:v>6</x:v>
      </x:c>
      <x:c r="F12" s="30" t="n">
        <x:v>10</x:v>
      </x:c>
      <x:c r="G12" s="28" t="str">
        <x:v>Operating estimate</x:v>
      </x:c>
      <x:c r="H12" s="28" t="str">
        <x:v>Illustrative - replace with sponsor data</x:v>
      </x:c>
    </x:row>
    <x:row r="13">
      <x:c r="A13" s="28" t="str">
        <x:v>1 - AI Deployment</x:v>
      </x:c>
      <x:c r="B13" s="28" t="str">
        <x:v>Internal review hours saved</x:v>
      </x:c>
      <x:c r="C13" s="28" t="str">
        <x:v>hours</x:v>
      </x:c>
      <x:c r="D13" s="30" t="n">
        <x:v>200</x:v>
      </x:c>
      <x:c r="E13" s="30" t="n">
        <x:v>420</x:v>
      </x:c>
      <x:c r="F13" s="30" t="n">
        <x:v>600</x:v>
      </x:c>
      <x:c r="G13" s="28" t="str">
        <x:v>Operating estimate</x:v>
      </x:c>
      <x:c r="H13" s="28" t="str">
        <x:v>Illustrative - replace with sponsor data</x:v>
      </x:c>
    </x:row>
    <x:row r="14">
      <x:c r="A14" s="28" t="str">
        <x:v>1 - AI Deployment</x:v>
      </x:c>
      <x:c r="B14" s="28" t="str">
        <x:v>Blended hourly cost</x:v>
      </x:c>
      <x:c r="C14" s="28" t="str">
        <x:v>USD/hour</x:v>
      </x:c>
      <x:c r="D14" s="34" t="n">
        <x:v>190</x:v>
      </x:c>
      <x:c r="E14" s="34" t="n">
        <x:v>190</x:v>
      </x:c>
      <x:c r="F14" s="34" t="n">
        <x:v>190</x:v>
      </x:c>
      <x:c r="G14" s="28" t="str">
        <x:v>Sponsor input</x:v>
      </x:c>
      <x:c r="H14" s="28" t="str">
        <x:v>Illustrative - replace with sponsor data</x:v>
      </x:c>
    </x:row>
    <x:row r="15">
      <x:c r="A15" s="28" t="str">
        <x:v>1 - AI Deployment</x:v>
      </x:c>
      <x:c r="B15" s="28" t="str">
        <x:v>Reusable diligence capability value</x:v>
      </x:c>
      <x:c r="C15" s="28" t="str">
        <x:v>USD</x:v>
      </x:c>
      <x:c r="D15" s="30" t="n">
        <x:v>0</x:v>
      </x:c>
      <x:c r="E15" s="30" t="n">
        <x:v>60000</x:v>
      </x:c>
      <x:c r="F15" s="30" t="n">
        <x:v>120000</x:v>
      </x:c>
      <x:c r="G15" s="28" t="str">
        <x:v>Management estimate</x:v>
      </x:c>
      <x:c r="H15" s="28" t="str">
        <x:v>Illustrative - replace with sponsor data</x:v>
      </x:c>
    </x:row>
    <x:row r="16">
      <x:c r="A16" s="28" t="str">
        <x:v>1 - AI Deployment</x:v>
      </x:c>
      <x:c r="B16" s="28" t="str">
        <x:v>Decision deadline</x:v>
      </x:c>
      <x:c r="C16" s="28" t="str">
        <x:v>business days</x:v>
      </x:c>
      <x:c r="D16" s="34" t="n">
        <x:v>15</x:v>
      </x:c>
      <x:c r="E16" s="34" t="n">
        <x:v>15</x:v>
      </x:c>
      <x:c r="F16" s="34" t="n">
        <x:v>15</x:v>
      </x:c>
      <x:c r="G16" s="28" t="str">
        <x:v>Sponsor input</x:v>
      </x:c>
      <x:c r="H16" s="28" t="str">
        <x:v>Illustrative - replace with sponsor data</x:v>
      </x:c>
    </x:row>
    <x:row r="17">
      <x:c r="A17" s="28" t="str">
        <x:v>2 - Capital Allocation</x:v>
      </x:c>
      <x:c r="B17" s="28" t="str">
        <x:v>Decision value at stake</x:v>
      </x:c>
      <x:c r="C17" s="28" t="str">
        <x:v>USD</x:v>
      </x:c>
      <x:c r="D17" s="34" t="n">
        <x:v>30000000</x:v>
      </x:c>
      <x:c r="E17" s="34" t="n">
        <x:v>30000000</x:v>
      </x:c>
      <x:c r="F17" s="34" t="n">
        <x:v>30000000</x:v>
      </x:c>
      <x:c r="G17" s="28" t="str">
        <x:v>Sponsor input</x:v>
      </x:c>
      <x:c r="H17" s="28" t="str">
        <x:v>Illustrative - replace with sponsor data</x:v>
      </x:c>
    </x:row>
    <x:row r="18">
      <x:c r="A18" s="28" t="str">
        <x:v>2 - Capital Allocation</x:v>
      </x:c>
      <x:c r="B18" s="28" t="str">
        <x:v>GoalOS external fee</x:v>
      </x:c>
      <x:c r="C18" s="28" t="str">
        <x:v>USD</x:v>
      </x:c>
      <x:c r="D18" s="34" t="n">
        <x:v>150000</x:v>
      </x:c>
      <x:c r="E18" s="34" t="n">
        <x:v>150000</x:v>
      </x:c>
      <x:c r="F18" s="34" t="n">
        <x:v>150000</x:v>
      </x:c>
      <x:c r="G18" s="28" t="str">
        <x:v>Commercial input</x:v>
      </x:c>
      <x:c r="H18" s="28" t="str">
        <x:v>Illustrative - replace with sponsor data</x:v>
      </x:c>
    </x:row>
    <x:row r="19">
      <x:c r="A19" s="28" t="str">
        <x:v>2 - Capital Allocation</x:v>
      </x:c>
      <x:c r="B19" s="28" t="str">
        <x:v>Internal participation cost</x:v>
      </x:c>
      <x:c r="C19" s="28" t="str">
        <x:v>USD</x:v>
      </x:c>
      <x:c r="D19" s="34" t="n">
        <x:v>50000</x:v>
      </x:c>
      <x:c r="E19" s="34" t="n">
        <x:v>50000</x:v>
      </x:c>
      <x:c r="F19" s="34" t="n">
        <x:v>50000</x:v>
      </x:c>
      <x:c r="G19" s="28" t="str">
        <x:v>Sponsor input</x:v>
      </x:c>
      <x:c r="H19" s="28" t="str">
        <x:v>Illustrative - replace with sponsor data</x:v>
      </x:c>
    </x:row>
    <x:row r="20">
      <x:c r="A20" s="28" t="str">
        <x:v>2 - Capital Allocation</x:v>
      </x:c>
      <x:c r="B20" s="28" t="str">
        <x:v>Cost of value impairment</x:v>
      </x:c>
      <x:c r="C20" s="28" t="str">
        <x:v>USD</x:v>
      </x:c>
      <x:c r="D20" s="30" t="n">
        <x:v>8000000</x:v>
      </x:c>
      <x:c r="E20" s="30" t="n">
        <x:v>8000000</x:v>
      </x:c>
      <x:c r="F20" s="30" t="n">
        <x:v>8000000</x:v>
      </x:c>
      <x:c r="G20" s="28" t="str">
        <x:v>Sponsor input</x:v>
      </x:c>
      <x:c r="H20" s="28" t="str">
        <x:v>Illustrative - replace with sponsor data</x:v>
      </x:c>
    </x:row>
    <x:row r="21">
      <x:c r="A21" s="28" t="str">
        <x:v>2 - Capital Allocation</x:v>
      </x:c>
      <x:c r="B21" s="28" t="str">
        <x:v>Baseline impairment probability</x:v>
      </x:c>
      <x:c r="C21" s="28" t="str">
        <x:v>%</x:v>
      </x:c>
      <x:c r="D21" s="32" t="n">
        <x:v>0.2</x:v>
      </x:c>
      <x:c r="E21" s="32" t="n">
        <x:v>0.2</x:v>
      </x:c>
      <x:c r="F21" s="32" t="n">
        <x:v>0.2</x:v>
      </x:c>
      <x:c r="G21" s="28" t="str">
        <x:v>Risk estimate</x:v>
      </x:c>
      <x:c r="H21" s="28" t="str">
        <x:v>Illustrative - replace with sponsor data</x:v>
      </x:c>
    </x:row>
    <x:row r="22">
      <x:c r="A22" s="28" t="str">
        <x:v>2 - Capital Allocation</x:v>
      </x:c>
      <x:c r="B22" s="28" t="str">
        <x:v>Residual impairment probability</x:v>
      </x:c>
      <x:c r="C22" s="28" t="str">
        <x:v>%</x:v>
      </x:c>
      <x:c r="D22" s="32" t="n">
        <x:v>0.17</x:v>
      </x:c>
      <x:c r="E22" s="32" t="n">
        <x:v>0.12</x:v>
      </x:c>
      <x:c r="F22" s="32" t="n">
        <x:v>0.08</x:v>
      </x:c>
      <x:c r="G22" s="28" t="str">
        <x:v>Risk estimate</x:v>
      </x:c>
      <x:c r="H22" s="28" t="str">
        <x:v>Illustrative - replace with sponsor data</x:v>
      </x:c>
    </x:row>
    <x:row r="23">
      <x:c r="A23" s="28" t="str">
        <x:v>2 - Capital Allocation</x:v>
      </x:c>
      <x:c r="B23" s="28" t="str">
        <x:v>Expected negotiation / terms improvement</x:v>
      </x:c>
      <x:c r="C23" s="28" t="str">
        <x:v>USD</x:v>
      </x:c>
      <x:c r="D23" s="34" t="n">
        <x:v>150000</x:v>
      </x:c>
      <x:c r="E23" s="34" t="n">
        <x:v>525000</x:v>
      </x:c>
      <x:c r="F23" s="34" t="n">
        <x:v>1000000</x:v>
      </x:c>
      <x:c r="G23" s="28" t="str">
        <x:v>Management estimate</x:v>
      </x:c>
      <x:c r="H23" s="28" t="str">
        <x:v>Illustrative - replace with sponsor data</x:v>
      </x:c>
    </x:row>
    <x:row r="24">
      <x:c r="A24" s="28" t="str">
        <x:v>2 - Capital Allocation</x:v>
      </x:c>
      <x:c r="B24" s="28" t="str">
        <x:v>Annual synergy / option value</x:v>
      </x:c>
      <x:c r="C24" s="28" t="str">
        <x:v>USD/year</x:v>
      </x:c>
      <x:c r="D24" s="34" t="n">
        <x:v>4000000</x:v>
      </x:c>
      <x:c r="E24" s="34" t="n">
        <x:v>4000000</x:v>
      </x:c>
      <x:c r="F24" s="34" t="n">
        <x:v>4000000</x:v>
      </x:c>
      <x:c r="G24" s="28" t="str">
        <x:v>Sponsor input</x:v>
      </x:c>
      <x:c r="H24" s="28" t="str">
        <x:v>Illustrative - replace with sponsor data</x:v>
      </x:c>
    </x:row>
    <x:row r="25">
      <x:c r="A25" s="28" t="str">
        <x:v>2 - Capital Allocation</x:v>
      </x:c>
      <x:c r="B25" s="28" t="str">
        <x:v>Days accelerated</x:v>
      </x:c>
      <x:c r="C25" s="28" t="str">
        <x:v>days</x:v>
      </x:c>
      <x:c r="D25" s="30" t="n">
        <x:v>3</x:v>
      </x:c>
      <x:c r="E25" s="30" t="n">
        <x:v>10</x:v>
      </x:c>
      <x:c r="F25" s="30" t="n">
        <x:v>20</x:v>
      </x:c>
      <x:c r="G25" s="28" t="str">
        <x:v>Operating estimate</x:v>
      </x:c>
      <x:c r="H25" s="28" t="str">
        <x:v>Illustrative - replace with sponsor data</x:v>
      </x:c>
    </x:row>
    <x:row r="26">
      <x:c r="A26" s="28" t="str">
        <x:v>2 - Capital Allocation</x:v>
      </x:c>
      <x:c r="B26" s="28" t="str">
        <x:v>Executive and adviser hours saved</x:v>
      </x:c>
      <x:c r="C26" s="28" t="str">
        <x:v>hours</x:v>
      </x:c>
      <x:c r="D26" s="30" t="n">
        <x:v>250</x:v>
      </x:c>
      <x:c r="E26" s="30" t="n">
        <x:v>650</x:v>
      </x:c>
      <x:c r="F26" s="30" t="n">
        <x:v>900</x:v>
      </x:c>
      <x:c r="G26" s="28" t="str">
        <x:v>Operating estimate</x:v>
      </x:c>
      <x:c r="H26" s="28" t="str">
        <x:v>Illustrative - replace with sponsor data</x:v>
      </x:c>
    </x:row>
    <x:row r="27">
      <x:c r="A27" s="28" t="str">
        <x:v>2 - Capital Allocation</x:v>
      </x:c>
      <x:c r="B27" s="28" t="str">
        <x:v>Blended hourly cost</x:v>
      </x:c>
      <x:c r="C27" s="28" t="str">
        <x:v>USD/hour</x:v>
      </x:c>
      <x:c r="D27" s="34" t="n">
        <x:v>275</x:v>
      </x:c>
      <x:c r="E27" s="34" t="n">
        <x:v>275</x:v>
      </x:c>
      <x:c r="F27" s="34" t="n">
        <x:v>275</x:v>
      </x:c>
      <x:c r="G27" s="28" t="str">
        <x:v>Sponsor input</x:v>
      </x:c>
      <x:c r="H27" s="28" t="str">
        <x:v>Illustrative - replace with sponsor data</x:v>
      </x:c>
    </x:row>
    <x:row r="28">
      <x:c r="A28" s="28" t="str">
        <x:v>2 - Capital Allocation</x:v>
      </x:c>
      <x:c r="B28" s="28" t="str">
        <x:v>Reusable diligence capability value</x:v>
      </x:c>
      <x:c r="C28" s="28" t="str">
        <x:v>USD</x:v>
      </x:c>
      <x:c r="D28" s="30" t="n">
        <x:v>0</x:v>
      </x:c>
      <x:c r="E28" s="30" t="n">
        <x:v>100000</x:v>
      </x:c>
      <x:c r="F28" s="30" t="n">
        <x:v>250000</x:v>
      </x:c>
      <x:c r="G28" s="28" t="str">
        <x:v>Management estimate</x:v>
      </x:c>
      <x:c r="H28" s="28" t="str">
        <x:v>Illustrative - replace with sponsor data</x:v>
      </x:c>
    </x:row>
    <x:row r="29">
      <x:c r="A29" s="28" t="str">
        <x:v>2 - Capital Allocation</x:v>
      </x:c>
      <x:c r="B29" s="28" t="str">
        <x:v>Decision deadline</x:v>
      </x:c>
      <x:c r="C29" s="28" t="str">
        <x:v>calendar days</x:v>
      </x:c>
      <x:c r="D29" s="30" t="n">
        <x:v>21</x:v>
      </x:c>
      <x:c r="E29" s="30" t="n">
        <x:v>21</x:v>
      </x:c>
      <x:c r="F29" s="30" t="n">
        <x:v>21</x:v>
      </x:c>
      <x:c r="G29" s="28" t="str">
        <x:v>Sponsor input</x:v>
      </x:c>
      <x:c r="H29" s="28" t="str">
        <x:v>Illustrative - replace with sponsor data</x:v>
      </x:c>
    </x:row>
    <x:row r="30">
      <x:c r="A30" s="28" t="str">
        <x:v>3 - Commercial Proof Run</x:v>
      </x:c>
      <x:c r="B30" s="28" t="str">
        <x:v>Economic cost of wrong GTM thesis</x:v>
      </x:c>
      <x:c r="C30" s="28" t="str">
        <x:v>USD</x:v>
      </x:c>
      <x:c r="D30" s="34" t="n">
        <x:v>1050000</x:v>
      </x:c>
      <x:c r="E30" s="34" t="n">
        <x:v>1050000</x:v>
      </x:c>
      <x:c r="F30" s="34" t="n">
        <x:v>1050000</x:v>
      </x:c>
      <x:c r="G30" s="28" t="str">
        <x:v>Sponsor input</x:v>
      </x:c>
      <x:c r="H30" s="28" t="str">
        <x:v>Illustrative - replace with sponsor data</x:v>
      </x:c>
    </x:row>
    <x:row r="31">
      <x:c r="A31" s="28" t="str">
        <x:v>3 - Commercial Proof Run</x:v>
      </x:c>
      <x:c r="B31" s="28" t="str">
        <x:v>GoalOS external fee</x:v>
      </x:c>
      <x:c r="C31" s="28" t="str">
        <x:v>USD</x:v>
      </x:c>
      <x:c r="D31" s="34" t="n">
        <x:v>100000</x:v>
      </x:c>
      <x:c r="E31" s="34" t="n">
        <x:v>100000</x:v>
      </x:c>
      <x:c r="F31" s="34" t="n">
        <x:v>100000</x:v>
      </x:c>
      <x:c r="G31" s="28" t="str">
        <x:v>Commercial input</x:v>
      </x:c>
      <x:c r="H31" s="28" t="str">
        <x:v>Illustrative - replace with sponsor data</x:v>
      </x:c>
    </x:row>
    <x:row r="32">
      <x:c r="A32" s="28" t="str">
        <x:v>3 - Commercial Proof Run</x:v>
      </x:c>
      <x:c r="B32" s="28" t="str">
        <x:v>Internal participation cost</x:v>
      </x:c>
      <x:c r="C32" s="28" t="str">
        <x:v>USD</x:v>
      </x:c>
      <x:c r="D32" s="34" t="n">
        <x:v>25000</x:v>
      </x:c>
      <x:c r="E32" s="34" t="n">
        <x:v>25000</x:v>
      </x:c>
      <x:c r="F32" s="34" t="n">
        <x:v>25000</x:v>
      </x:c>
      <x:c r="G32" s="28" t="str">
        <x:v>Sponsor input</x:v>
      </x:c>
      <x:c r="H32" s="28" t="str">
        <x:v>Illustrative - replace with sponsor data</x:v>
      </x:c>
    </x:row>
    <x:row r="33">
      <x:c r="A33" s="28" t="str">
        <x:v>3 - Commercial Proof Run</x:v>
      </x:c>
      <x:c r="B33" s="28" t="str">
        <x:v>Probability proof run passes</x:v>
      </x:c>
      <x:c r="C33" s="28" t="str">
        <x:v>%</x:v>
      </x:c>
      <x:c r="D33" s="30" t="n">
        <x:v>0.35</x:v>
      </x:c>
      <x:c r="E33" s="30" t="n">
        <x:v>0.55</x:v>
      </x:c>
      <x:c r="F33" s="30" t="n">
        <x:v>0.7</x:v>
      </x:c>
      <x:c r="G33" s="28" t="str">
        <x:v>Management estimate</x:v>
      </x:c>
      <x:c r="H33" s="28" t="str">
        <x:v>Illustrative - replace with sponsor data</x:v>
      </x:c>
    </x:row>
    <x:row r="34">
      <x:c r="A34" s="28" t="str">
        <x:v>3 - Commercial Proof Run</x:v>
      </x:c>
      <x:c r="B34" s="28" t="str">
        <x:v>Flagship mission price</x:v>
      </x:c>
      <x:c r="C34" s="28" t="str">
        <x:v>USD</x:v>
      </x:c>
      <x:c r="D34" s="32" t="n">
        <x:v>60000</x:v>
      </x:c>
      <x:c r="E34" s="32" t="n">
        <x:v>60000</x:v>
      </x:c>
      <x:c r="F34" s="32" t="n">
        <x:v>60000</x:v>
      </x:c>
      <x:c r="G34" s="28" t="str">
        <x:v>Commercial input</x:v>
      </x:c>
      <x:c r="H34" s="28" t="str">
        <x:v>Illustrative - replace with sponsor data</x:v>
      </x:c>
    </x:row>
    <x:row r="35">
      <x:c r="A35" s="28" t="str">
        <x:v>3 - Commercial Proof Run</x:v>
      </x:c>
      <x:c r="B35" s="28" t="str">
        <x:v>Gross margin on mission</x:v>
      </x:c>
      <x:c r="C35" s="28" t="str">
        <x:v>%</x:v>
      </x:c>
      <x:c r="D35" s="34" t="n">
        <x:v>0.6</x:v>
      </x:c>
      <x:c r="E35" s="34" t="n">
        <x:v>0.68</x:v>
      </x:c>
      <x:c r="F35" s="34" t="n">
        <x:v>0.75</x:v>
      </x:c>
      <x:c r="G35" s="28" t="str">
        <x:v>Operating estimate</x:v>
      </x:c>
      <x:c r="H35" s="28" t="str">
        <x:v>Illustrative - replace with sponsor data</x:v>
      </x:c>
    </x:row>
    <x:row r="36">
      <x:c r="A36" s="28" t="str">
        <x:v>3 - Commercial Proof Run</x:v>
      </x:c>
      <x:c r="B36" s="28" t="str">
        <x:v>Initial customers</x:v>
      </x:c>
      <x:c r="C36" s="28" t="str">
        <x:v>count</x:v>
      </x:c>
      <x:c r="D36" s="32" t="n">
        <x:v>3</x:v>
      </x:c>
      <x:c r="E36" s="32" t="n">
        <x:v>3</x:v>
      </x:c>
      <x:c r="F36" s="32" t="n">
        <x:v>3</x:v>
      </x:c>
      <x:c r="G36" s="28" t="str">
        <x:v>Operating target</x:v>
      </x:c>
      <x:c r="H36" s="28" t="str">
        <x:v>Illustrative - replace with sponsor data</x:v>
      </x:c>
    </x:row>
    <x:row r="37">
      <x:c r="A37" s="28" t="str">
        <x:v>3 - Commercial Proof Run</x:v>
      </x:c>
      <x:c r="B37" s="28" t="str">
        <x:v>Repeat purchases</x:v>
      </x:c>
      <x:c r="C37" s="28" t="str">
        <x:v>count</x:v>
      </x:c>
      <x:c r="D37" s="30" t="n">
        <x:v>0</x:v>
      </x:c>
      <x:c r="E37" s="30" t="n">
        <x:v>1</x:v>
      </x:c>
      <x:c r="F37" s="30" t="n">
        <x:v>2</x:v>
      </x:c>
      <x:c r="G37" s="28" t="str">
        <x:v>Operating target</x:v>
      </x:c>
      <x:c r="H37" s="28" t="str">
        <x:v>Illustrative - replace with sponsor data</x:v>
      </x:c>
    </x:row>
    <x:row r="38">
      <x:c r="A38" s="28" t="str">
        <x:v>3 - Commercial Proof Run</x:v>
      </x:c>
      <x:c r="B38" s="28" t="str">
        <x:v>Recurring customers</x:v>
      </x:c>
      <x:c r="C38" s="28" t="str">
        <x:v>count</x:v>
      </x:c>
      <x:c r="D38" s="34" t="n">
        <x:v>1</x:v>
      </x:c>
      <x:c r="E38" s="34" t="n">
        <x:v>2</x:v>
      </x:c>
      <x:c r="F38" s="34" t="n">
        <x:v>3</x:v>
      </x:c>
      <x:c r="G38" s="28" t="str">
        <x:v>Operating target</x:v>
      </x:c>
      <x:c r="H38" s="28" t="str">
        <x:v>Illustrative - replace with sponsor data</x:v>
      </x:c>
    </x:row>
    <x:row r="39">
      <x:c r="A39" s="28" t="str">
        <x:v>3 - Commercial Proof Run</x:v>
      </x:c>
      <x:c r="B39" s="28" t="str">
        <x:v>Recurring monthly fee</x:v>
      </x:c>
      <x:c r="C39" s="28" t="str">
        <x:v>USD/month</x:v>
      </x:c>
      <x:c r="D39" s="30" t="n">
        <x:v>8000</x:v>
      </x:c>
      <x:c r="E39" s="30" t="n">
        <x:v>8000</x:v>
      </x:c>
      <x:c r="F39" s="30" t="n">
        <x:v>8000</x:v>
      </x:c>
      <x:c r="G39" s="28" t="str">
        <x:v>Commercial input</x:v>
      </x:c>
      <x:c r="H39" s="28" t="str">
        <x:v>Illustrative - replace with sponsor data</x:v>
      </x:c>
    </x:row>
    <x:row r="40">
      <x:c r="A40" s="28" t="str">
        <x:v>3 - Commercial Proof Run</x:v>
      </x:c>
      <x:c r="B40" s="28" t="str">
        <x:v>Recurring months modeled</x:v>
      </x:c>
      <x:c r="C40" s="28" t="str">
        <x:v>months</x:v>
      </x:c>
      <x:c r="D40" s="34" t="n">
        <x:v>6</x:v>
      </x:c>
      <x:c r="E40" s="34" t="n">
        <x:v>6</x:v>
      </x:c>
      <x:c r="F40" s="34" t="n">
        <x:v>6</x:v>
      </x:c>
      <x:c r="G40" s="28" t="str">
        <x:v>Model input</x:v>
      </x:c>
      <x:c r="H40" s="28" t="str">
        <x:v>Illustrative - replace with sponsor data</x:v>
      </x:c>
    </x:row>
    <x:row r="41">
      <x:c r="A41" s="28" t="str">
        <x:v>3 - Commercial Proof Run</x:v>
      </x:c>
      <x:c r="B41" s="28" t="str">
        <x:v>Recurring gross margin</x:v>
      </x:c>
      <x:c r="C41" s="28" t="str">
        <x:v>%</x:v>
      </x:c>
      <x:c r="D41" s="30" t="n">
        <x:v>0.7</x:v>
      </x:c>
      <x:c r="E41" s="30" t="n">
        <x:v>0.75</x:v>
      </x:c>
      <x:c r="F41" s="30" t="n">
        <x:v>0.8</x:v>
      </x:c>
      <x:c r="G41" s="28" t="str">
        <x:v>Operating estimate</x:v>
      </x:c>
      <x:c r="H41" s="28" t="str">
        <x:v>Illustrative - replace with sponsor data</x:v>
      </x:c>
    </x:row>
    <x:row r="42">
      <x:c r="A42" s="28" t="str">
        <x:v>3 - Commercial Proof Run</x:v>
      </x:c>
      <x:c r="B42" s="28" t="str">
        <x:v>Future missions benefiting from capability</x:v>
      </x:c>
      <x:c r="C42" s="28" t="str">
        <x:v>count</x:v>
      </x:c>
      <x:c r="D42" s="32" t="n">
        <x:v>6</x:v>
      </x:c>
      <x:c r="E42" s="32" t="n">
        <x:v>8</x:v>
      </x:c>
      <x:c r="F42" s="32" t="n">
        <x:v>12</x:v>
      </x:c>
      <x:c r="G42" s="28" t="str">
        <x:v>Management estimate</x:v>
      </x:c>
      <x:c r="H42" s="28" t="str">
        <x:v>Illustrative - replace with sponsor data</x:v>
      </x:c>
    </x:row>
    <x:row r="43">
      <x:c r="A43" s="28" t="str">
        <x:v>3 - Commercial Proof Run</x:v>
      </x:c>
      <x:c r="B43" s="28" t="str">
        <x:v>Delivery cost reduction</x:v>
      </x:c>
      <x:c r="C43" s="28" t="str">
        <x:v>%</x:v>
      </x:c>
      <x:c r="D43" s="30" t="n">
        <x:v>0.1</x:v>
      </x:c>
      <x:c r="E43" s="30" t="n">
        <x:v>0.2</x:v>
      </x:c>
      <x:c r="F43" s="30" t="n">
        <x:v>0.3</x:v>
      </x:c>
      <x:c r="G43" s="28" t="str">
        <x:v>Management estimate</x:v>
      </x:c>
      <x:c r="H43" s="28" t="str">
        <x:v>Illustrative - replace with sponsor data</x:v>
      </x:c>
    </x:row>
    <x:row r="44">
      <x:c r="A44" s="28" t="str">
        <x:v>3 - Commercial Proof Run</x:v>
      </x:c>
      <x:c r="B44" s="28" t="str">
        <x:v>Monthly GTM burn</x:v>
      </x:c>
      <x:c r="C44" s="28" t="str">
        <x:v>USD/month</x:v>
      </x:c>
      <x:c r="D44" s="30" t="n">
        <x:v>175000</x:v>
      </x:c>
      <x:c r="E44" s="30" t="n">
        <x:v>175000</x:v>
      </x:c>
      <x:c r="F44" s="30" t="n">
        <x:v>175000</x:v>
      </x:c>
      <x:c r="G44" s="28" t="str">
        <x:v>Sponsor input</x:v>
      </x:c>
      <x:c r="H44" s="28" t="str">
        <x:v>Illustrative - replace with sponsor data</x:v>
      </x:c>
    </x:row>
    <x:row r="45">
      <x:c r="A45" s="28" t="str">
        <x:v>3 - Commercial Proof Run</x:v>
      </x:c>
      <x:c r="B45" s="28" t="str">
        <x:v>Avoided months if thesis fails</x:v>
      </x:c>
      <x:c r="C45" s="28" t="str">
        <x:v>months</x:v>
      </x:c>
      <x:c r="D45" s="32" t="n">
        <x:v>2</x:v>
      </x:c>
      <x:c r="E45" s="32" t="n">
        <x:v>4</x:v>
      </x:c>
      <x:c r="F45" s="32" t="n">
        <x:v>5</x:v>
      </x:c>
      <x:c r="G45" s="28" t="str">
        <x:v>Management estimate</x:v>
      </x:c>
      <x:c r="H45" s="28" t="str">
        <x:v>Illustrative - replace with sponsor data</x:v>
      </x:c>
    </x:row>
    <x:row r="46">
      <x:c r="A46" s="28" t="str">
        <x:v>3 - Commercial Proof Run</x:v>
      </x:c>
      <x:c r="B46" s="28" t="str">
        <x:v>Decision deadline</x:v>
      </x:c>
      <x:c r="C46" s="28" t="str">
        <x:v>days</x:v>
      </x:c>
      <x:c r="D46" s="34" t="n">
        <x:v>60</x:v>
      </x:c>
      <x:c r="E46" s="34" t="n">
        <x:v>60</x:v>
      </x:c>
      <x:c r="F46" s="34" t="n">
        <x:v>60</x:v>
      </x:c>
      <x:c r="G46" s="28" t="str">
        <x:v>Sponsor input</x:v>
      </x:c>
      <x:c r="H46" s="28" t="str">
        <x:v>Illustrative - replace with sponsor data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86" t="str">
        <x:v>Use Case 1 - Enterprise AI Deployment Decision Assurance</x:v>
      </x:c>
      <x:c r="B1" s="86"/>
      <x:c r="C1" s="86"/>
      <x:c r="D1" s="86"/>
      <x:c r="E1" s="86"/>
      <x:c r="F1" s="86"/>
      <x:c r="G1" s="86"/>
      <x:c r="H1" s="86"/>
    </x:row>
    <x:row r="2" ht="28" customHeight="1">
      <x:c r="A2" s="11" t="str">
        <x:v>Illustrative base case: a 15-business-day proof mission supporting a $6.0M enterprise AI deployment decision.</x:v>
      </x:c>
      <x:c r="B2" s="11"/>
      <x:c r="C2" s="11"/>
      <x:c r="D2" s="11"/>
      <x:c r="E2" s="11"/>
      <x:c r="F2" s="11"/>
      <x:c r="G2" s="11"/>
      <x:c r="H2" s="11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6" customHeight="1">
      <x:c r="A4" s="87" t="str">
        <x:v>Mission Profile</x:v>
      </x:c>
      <x:c r="B4" s="87"/>
      <x:c r="C4" s="87"/>
      <x:c r="D4" s="87"/>
      <x:c r="E4" s="87" t="str">
        <x:v>Proof-Governed Delivery</x:v>
      </x:c>
      <x:c r="F4" s="87"/>
      <x:c r="G4" s="87"/>
      <x:c r="H4" s="87"/>
    </x:row>
    <x:row r="5">
      <x:c r="A5" s="48" t="str">
        <x:v>Sponsor</x:v>
      </x:c>
      <x:c r="B5" s="28" t="str">
        <x:v>CIO / CISO / Business President</x:v>
      </x:c>
      <x:c r="C5" s="28"/>
      <x:c r="D5" s="28"/>
      <x:c r="E5" s="60" t="str">
        <x:v>Mission Contract</x:v>
      </x:c>
      <x:c r="F5" s="28" t="str">
        <x:v>Scope, risk class, authority boundary, required evidence, decision owner and done condition.</x:v>
      </x:c>
      <x:c r="G5" s="28" t="str"/>
      <x:c r="H5" s="28" t="str"/>
    </x:row>
    <x:row r="6">
      <x:c r="A6" s="48" t="str">
        <x:v>Objective</x:v>
      </x:c>
      <x:c r="B6" s="28" t="str">
        <x:v>Approve, condition, pilot, repair, reject or stop a 3-year enterprise AI rollout.</x:v>
      </x:c>
      <x:c r="C6" s="28"/>
      <x:c r="D6" s="28"/>
      <x:c r="E6" s="60" t="str">
        <x:v>Proof Debt Register</x:v>
      </x:c>
      <x:c r="F6" s="28" t="str">
        <x:v>Unsupported or contradictory claims become explicit work - not hidden assumptions.</x:v>
      </x:c>
      <x:c r="G6" s="28" t="str"/>
      <x:c r="H6" s="28" t="str"/>
    </x:row>
    <x:row r="7">
      <x:c r="A7" s="48" t="str">
        <x:v>External GoalOS fee</x:v>
      </x:c>
      <x:c r="B7" s="54" t="n">
        <x:f>'Assumptions'!E6</x:f>
        <x:v>75000</x:v>
      </x:c>
      <x:c r="C7" s="28"/>
      <x:c r="D7" s="28"/>
      <x:c r="E7" s="60" t="str">
        <x:v>Custom AGI Jobs</x:v>
      </x:c>
      <x:c r="F7" s="28" t="str">
        <x:v>Security, finance, architecture, legal/privacy, benchmark and implementation workstreams.</x:v>
      </x:c>
      <x:c r="G7" s="28" t="str"/>
      <x:c r="H7" s="28" t="str"/>
    </x:row>
    <x:row r="8">
      <x:c r="A8" s="48" t="str">
        <x:v>Internal participation cost</x:v>
      </x:c>
      <x:c r="B8" s="54" t="n">
        <x:f>'Assumptions'!E7</x:f>
        <x:v>25000</x:v>
      </x:c>
      <x:c r="C8" s="28"/>
      <x:c r="D8" s="28"/>
      <x:c r="E8" s="60" t="str">
        <x:v>Independent Validation</x:v>
      </x:c>
      <x:c r="F8" s="28" t="str">
        <x:v>Worker and reviewer roles are separated; material claims require acceptance evidence.</x:v>
      </x:c>
      <x:c r="G8" s="28" t="str"/>
      <x:c r="H8" s="28" t="str"/>
    </x:row>
    <x:row r="9">
      <x:c r="A9" s="48" t="str">
        <x:v>Deadline</x:v>
      </x:c>
      <x:c r="B9" s="56" t="n">
        <x:f>'Assumptions'!E16</x:f>
        <x:v>15</x:v>
      </x:c>
      <x:c r="C9" s="28"/>
      <x:c r="D9" s="28"/>
      <x:c r="E9" s="60" t="str">
        <x:v>Evidence Docket</x:v>
      </x:c>
      <x:c r="F9" s="28" t="str">
        <x:v>Sources, artifacts, tests, contradictions, uncertainty, reviewer findings and replay path.</x:v>
      </x:c>
      <x:c r="G9" s="28" t="str"/>
      <x:c r="H9" s="28" t="str"/>
    </x:row>
    <x:row r="10">
      <x:c r="A10" s="48" t="str">
        <x:v>Decision value at stake</x:v>
      </x:c>
      <x:c r="B10" s="54" t="n">
        <x:f>'Assumptions'!E5</x:f>
        <x:v>6000000</x:v>
      </x:c>
      <x:c r="C10" s="28"/>
      <x:c r="D10" s="28"/>
      <x:c r="E10" s="60" t="str">
        <x:v>Governed Decision</x:v>
      </x:c>
      <x:c r="F10" s="28" t="str">
        <x:v>PROCEED / CONDITIONAL PROCEED / PILOT ONLY / REPAIR / REJECT / STOP.</x:v>
      </x:c>
      <x:c r="G10" s="28" t="str"/>
      <x:c r="H10" s="28" t="str"/>
    </x:row>
    <x:row r="11">
      <x:c r="A11" s="48" t="str">
        <x:v>Cost of material error</x:v>
      </x:c>
      <x:c r="B11" s="54" t="n">
        <x:f>'Assumptions'!E8</x:f>
        <x:v>3200000</x:v>
      </x:c>
      <x:c r="C11" s="28"/>
      <x:c r="D11" s="28"/>
      <x:c r="E11" s="60" t="str">
        <x:v>Action Graph</x:v>
      </x:c>
      <x:c r="F11" s="28" t="str">
        <x:v>Owners, sequence, controls, monitoring, pause and rollback triggers.</x:v>
      </x:c>
      <x:c r="G11" s="28" t="str"/>
      <x:c r="H11" s="28" t="str"/>
    </x:row>
    <x:row r="12">
      <x:c r="A12" s="48" t="str">
        <x:v>Proof burden</x:v>
      </x:c>
      <x:c r="B12" s="28" t="str">
        <x:v>Vendor claims, architecture, data flows, security, privacy, total cost, acceptance tests, rollout and rollback conditions.</x:v>
      </x:c>
      <x:c r="C12" s="28"/>
      <x:c r="D12" s="28"/>
      <x:c r="E12" s="60" t="str">
        <x:v>Chronicle Candidate</x:v>
      </x:c>
      <x:c r="F12" s="28" t="str">
        <x:v>Only scoped, validated diligence capability may be reused on a later decision.</x:v>
      </x:c>
      <x:c r="G12" s="28" t="str"/>
      <x:c r="H12" s="28" t="str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 ht="28" customHeight="1">
      <x:c r="A14" s="87" t="str">
        <x:v>Modeled Value Bridge - Base Case</x:v>
      </x:c>
      <x:c r="B14" s="87"/>
      <x:c r="C14" s="87"/>
      <x:c r="D14" s="87"/>
      <x:c r="E14" s="87" t="str">
        <x:v>Sponsor Decision Package</x:v>
      </x:c>
      <x:c r="F14" s="87"/>
      <x:c r="G14" s="87"/>
      <x:c r="H14" s="87"/>
    </x:row>
    <x:row r="15" ht="28" customHeight="1">
      <x:c r="A15" s="18" t="str">
        <x:v>Value component</x:v>
      </x:c>
      <x:c r="B15" s="18" t="str">
        <x:v>Formula / driver</x:v>
      </x:c>
      <x:c r="C15" s="18" t="str">
        <x:v>Base value</x:v>
      </x:c>
      <x:c r="D15" s="18" t="str">
        <x:v>Economic meaning</x:v>
      </x:c>
      <x:c r="E15" s="88" t="str">
        <x:v>1</x:v>
      </x:c>
      <x:c r="F15" s="48" t="str">
        <x:v>Executive decision</x:v>
      </x:c>
      <x:c r="G15" s="28" t="str">
        <x:v>A clear decision state with conditions, uncertainty and dissent visible.</x:v>
      </x:c>
      <x:c r="H15" s="28" t="str"/>
    </x:row>
    <x:row r="16">
      <x:c r="A16" s="28" t="str">
        <x:v>Expected loss avoided</x:v>
      </x:c>
      <x:c r="B16" s="28" t="str">
        <x:v>Cost of error × probability reduction</x:v>
      </x:c>
      <x:c r="C16" s="89" t="n">
        <x:f>'Assumptions'!E8*('Assumptions'!E9-'Assumptions'!E10)</x:f>
        <x:v>384000</x:v>
      </x:c>
      <x:c r="D16" s="28" t="str">
        <x:v>Risk-adjusted value of a better deployment decision.</x:v>
      </x:c>
      <x:c r="E16" s="88" t="str">
        <x:v>2</x:v>
      </x:c>
      <x:c r="F16" s="48" t="str">
        <x:v>Claim matrix</x:v>
      </x:c>
      <x:c r="G16" s="28" t="str">
        <x:v>SUPPORTED / PARTIAL / CONTRADICTED / STALE / UNTESTED.</x:v>
      </x:c>
      <x:c r="H16" s="28" t="str"/>
    </x:row>
    <x:row r="17">
      <x:c r="A17" s="28" t="str">
        <x:v>Time-to-value acceleration</x:v>
      </x:c>
      <x:c r="B17" s="28" t="str">
        <x:v>Annual benefit ÷ 52 × weeks accelerated</x:v>
      </x:c>
      <x:c r="C17" s="89" t="n">
        <x:f>'Assumptions'!E11/52*'Assumptions'!E12</x:f>
        <x:v>276923.07692307694</x:v>
      </x:c>
      <x:c r="D17" s="28" t="str">
        <x:v>Benefit captured earlier if the mission clears a safe path.</x:v>
      </x:c>
      <x:c r="E17" s="88" t="str">
        <x:v>3</x:v>
      </x:c>
      <x:c r="F17" s="48" t="str">
        <x:v>Production acceptance tests</x:v>
      </x:c>
      <x:c r="G17" s="28" t="str">
        <x:v>The exact tests required before broader authority.</x:v>
      </x:c>
      <x:c r="H17" s="28" t="str"/>
    </x:row>
    <x:row r="18">
      <x:c r="A18" s="28" t="str">
        <x:v>Internal review savings</x:v>
      </x:c>
      <x:c r="B18" s="28" t="str">
        <x:v>Hours saved × blended hourly cost</x:v>
      </x:c>
      <x:c r="C18" s="89" t="n">
        <x:f>'Assumptions'!E13*'Assumptions'!E14</x:f>
        <x:v>79800</x:v>
      </x:c>
      <x:c r="D18" s="28" t="str">
        <x:v>Reduced coordination and duplicate analysis.</x:v>
      </x:c>
      <x:c r="E18" s="88" t="str">
        <x:v>4</x:v>
      </x:c>
      <x:c r="F18" s="48" t="str">
        <x:v>Financial decision model</x:v>
      </x:c>
      <x:c r="G18" s="28" t="str">
        <x:v>Full cost, review burden, downside cases and break-even assumptions.</x:v>
      </x:c>
      <x:c r="H18" s="28" t="str"/>
    </x:row>
    <x:row r="19">
      <x:c r="A19" s="28" t="str">
        <x:v>Reusable diligence capability</x:v>
      </x:c>
      <x:c r="B19" s="28" t="str">
        <x:v>Scoped future-use value</x:v>
      </x:c>
      <x:c r="C19" s="89" t="n">
        <x:f>'Assumptions'!E15</x:f>
        <x:v>60000</x:v>
      </x:c>
      <x:c r="D19" s="28" t="str">
        <x:v>Reusable tests, evidence structures and decision patterns.</x:v>
      </x:c>
      <x:c r="E19" s="88" t="str">
        <x:v>5</x:v>
      </x:c>
      <x:c r="F19" s="48" t="str">
        <x:v>Risk and control plan</x:v>
      </x:c>
      <x:c r="G19" s="28" t="str">
        <x:v>Privacy, security, permissions, monitoring and incident response.</x:v>
      </x:c>
      <x:c r="H19" s="28" t="str"/>
    </x:row>
    <x:row r="20">
      <x:c r="A20" s="90" t="str">
        <x:v>Gross modeled value</x:v>
      </x:c>
      <x:c r="B20" s="90"/>
      <x:c r="C20" s="91" t="n">
        <x:f>SUM(C16:C19)</x:f>
        <x:v>800723.076923077</x:v>
      </x:c>
      <x:c r="D20" s="28"/>
      <x:c r="E20" s="88" t="str">
        <x:v>6</x:v>
      </x:c>
      <x:c r="F20" s="48" t="str">
        <x:v>Conditional rollout</x:v>
      </x:c>
      <x:c r="G20" s="28" t="str">
        <x:v>30/60/90-day deployment boundary and accountable owners.</x:v>
      </x:c>
      <x:c r="H20" s="28" t="str"/>
    </x:row>
    <x:row r="21">
      <x:c r="A21" s="90" t="str">
        <x:v>Total investment</x:v>
      </x:c>
      <x:c r="B21" s="90"/>
      <x:c r="C21" s="91" t="n">
        <x:f>'Assumptions'!E6+'Assumptions'!E7</x:f>
        <x:v>100000</x:v>
      </x:c>
      <x:c r="D21" s="28"/>
      <x:c r="E21" s="88" t="str">
        <x:v>7</x:v>
      </x:c>
      <x:c r="F21" s="48" t="str">
        <x:v>Rollback plan</x:v>
      </x:c>
      <x:c r="G21" s="28" t="str">
        <x:v>Pause triggers, recovery steps and responsible decision-maker.</x:v>
      </x:c>
      <x:c r="H21" s="28" t="str"/>
    </x:row>
    <x:row r="22">
      <x:c r="A22" s="90" t="str">
        <x:v>Net modeled value</x:v>
      </x:c>
      <x:c r="B22" s="90"/>
      <x:c r="C22" s="91" t="n">
        <x:f>C20-C21</x:f>
        <x:v>700723.076923077</x:v>
      </x:c>
      <x:c r="D22" s="28"/>
      <x:c r="E22" s="88" t="str">
        <x:v>8</x:v>
      </x:c>
      <x:c r="F22" s="48" t="str">
        <x:v>Chronicle disposition</x:v>
      </x:c>
      <x:c r="G22" s="28" t="str">
        <x:v>What may be reused, under what scope, version and expiry.</x:v>
      </x:c>
      <x:c r="H22" s="28" t="str"/>
    </x:row>
    <x:row r="23">
      <x:c r="A23" s="90" t="str">
        <x:v>ROI on total investment</x:v>
      </x:c>
      <x:c r="B23" s="90"/>
      <x:c r="C23" s="92" t="n">
        <x:f>C22/C21</x:f>
        <x:v>7.00723076923077</x:v>
      </x:c>
      <x:c r="D23" s="28"/>
      <x:c r="E23" s="28"/>
      <x:c r="F23" s="28"/>
      <x:c r="G23" s="28"/>
      <x:c r="H23" s="28"/>
    </x:row>
    <x:row r="24">
      <x:c r="A24" s="90" t="str">
        <x:v>Gross value / external fee</x:v>
      </x:c>
      <x:c r="B24" s="90"/>
      <x:c r="C24" s="93" t="n">
        <x:f>C20/'Assumptions'!E6</x:f>
        <x:v>10.676307692307693</x:v>
      </x:c>
      <x:c r="D24" s="28"/>
      <x:c r="E24" s="87" t="str">
        <x:v>Value Protection Rules</x:v>
      </x:c>
      <x:c r="F24" s="87"/>
      <x:c r="G24" s="87"/>
      <x:c r="H24" s="87"/>
    </x:row>
    <x:row r="25">
      <x:c r="A25" s="90" t="str">
        <x:v>Decision leverage</x:v>
      </x:c>
      <x:c r="B25" s="90"/>
      <x:c r="C25" s="93" t="n">
        <x:f>'Assumptions'!E5/'Assumptions'!E6</x:f>
        <x:v>80</x:v>
      </x:c>
      <x:c r="D25" s="28"/>
      <x:c r="E25" s="82" t="str">
        <x:v>Proceed only if</x:v>
      </x:c>
      <x:c r="F25" s="28" t="str">
        <x:v>Named sponsor, evidence access, decision date and acceptance authority are confirmed.</x:v>
      </x:c>
      <x:c r="G25" s="28" t="str"/>
      <x:c r="H25" s="28" t="str"/>
    </x:row>
    <x:row r="26">
      <x:c r="A26" s="90" t="str">
        <x:v>Break-even probability reduction</x:v>
      </x:c>
      <x:c r="B26" s="90"/>
      <x:c r="C26" s="92" t="n">
        <x:f>C21/'Assumptions'!E8</x:f>
        <x:v>0.03125</x:v>
      </x:c>
      <x:c r="D26" s="28"/>
      <x:c r="E26" s="82" t="str">
        <x:v>Stop if</x:v>
      </x:c>
      <x:c r="F26" s="28" t="str">
        <x:v>Material evidence is unavailable, reviewers are conflicted, or no accountable owner will act.</x:v>
      </x:c>
      <x:c r="G26" s="28" t="str"/>
      <x:c r="H26" s="28" t="str"/>
    </x:row>
    <x:row r="27">
      <x:c r="A27" s="28"/>
      <x:c r="B27" s="28"/>
      <x:c r="C27" s="28"/>
      <x:c r="D27" s="28"/>
      <x:c r="E27" s="82" t="str">
        <x:v>Price discipline</x:v>
      </x:c>
      <x:c r="F27" s="28" t="str">
        <x:v>Conservative modeled value should normally exceed total investment by at least 3x; 5x+ preferred.</x:v>
      </x:c>
      <x:c r="G27" s="28" t="str"/>
      <x:c r="H27" s="28" t="str"/>
    </x:row>
    <x:row r="28">
      <x:c r="A28" s="28"/>
      <x:c r="B28" s="28"/>
      <x:c r="C28" s="28"/>
      <x:c r="D28" s="28"/>
      <x:c r="E28" s="82" t="str">
        <x:v>Claim boundary</x:v>
      </x:c>
      <x:c r="F28" s="28" t="str">
        <x:v>Illustrative economics - not a guarantee, forecast commitment or evidence of a realized customer result.</x:v>
      </x:c>
      <x:c r="G28" s="28" t="str"/>
      <x:c r="H28" s="28" t="str"/>
    </x:row>
  </x:sheetData>
  <x:mergeCells>
    <x:mergeCell ref="A1:H1"/>
    <x:mergeCell ref="A2:H2"/>
    <x:mergeCell ref="A4:D4"/>
    <x:mergeCell ref="E4:H4"/>
    <x:mergeCell ref="F5:H5"/>
    <x:mergeCell ref="F6:H6"/>
    <x:mergeCell ref="F7:H7"/>
    <x:mergeCell ref="F8:H8"/>
    <x:mergeCell ref="F9:H9"/>
    <x:mergeCell ref="F10:H10"/>
    <x:mergeCell ref="F11:H11"/>
    <x:mergeCell ref="F12:H12"/>
    <x:mergeCell ref="A14:D14"/>
    <x:mergeCell ref="A20:B20"/>
    <x:mergeCell ref="A21:B21"/>
    <x:mergeCell ref="A22:B22"/>
    <x:mergeCell ref="A23:B23"/>
    <x:mergeCell ref="A24:B24"/>
    <x:mergeCell ref="A25:B25"/>
    <x:mergeCell ref="A26:B26"/>
    <x:mergeCell ref="E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E24:H24"/>
    <x:mergeCell ref="F25:H25"/>
    <x:mergeCell ref="F26:H26"/>
    <x:mergeCell ref="F27:H27"/>
    <x:mergeCell ref="F28:H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86" t="str">
        <x:v>Use Case 2 - Board-Level Capital Allocation and Acquisition Diligence</x:v>
      </x:c>
      <x:c r="B1" s="86"/>
      <x:c r="C1" s="86"/>
      <x:c r="D1" s="86"/>
      <x:c r="E1" s="86"/>
      <x:c r="F1" s="86"/>
      <x:c r="G1" s="86"/>
      <x:c r="H1" s="86"/>
    </x:row>
    <x:row r="2" ht="28" customHeight="1">
      <x:c r="A2" s="11" t="str">
        <x:v>Illustrative base case: a 21-day proof mission supporting a $30.0M acquisition and integration commitment.</x:v>
      </x:c>
      <x:c r="B2" s="11"/>
      <x:c r="C2" s="11"/>
      <x:c r="D2" s="11"/>
      <x:c r="E2" s="11"/>
      <x:c r="F2" s="11"/>
      <x:c r="G2" s="11"/>
      <x:c r="H2" s="11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6" customHeight="1">
      <x:c r="A4" s="87" t="str">
        <x:v>Mission Profile</x:v>
      </x:c>
      <x:c r="B4" s="87"/>
      <x:c r="C4" s="87"/>
      <x:c r="D4" s="87"/>
      <x:c r="E4" s="87" t="str">
        <x:v>Proof-Governed Delivery</x:v>
      </x:c>
      <x:c r="F4" s="87"/>
      <x:c r="G4" s="87"/>
      <x:c r="H4" s="87"/>
    </x:row>
    <x:row r="5">
      <x:c r="A5" s="48" t="str">
        <x:v>Sponsor</x:v>
      </x:c>
      <x:c r="B5" s="28" t="str">
        <x:v>CEO / CFO / Board Sponsor</x:v>
      </x:c>
      <x:c r="C5" s="28"/>
      <x:c r="D5" s="28"/>
      <x:c r="E5" s="60" t="str">
        <x:v>Mission Contract</x:v>
      </x:c>
      <x:c r="F5" s="28" t="str">
        <x:v>Decision thesis, valuation envelope, risk class, information rights, deadline and board authority.</x:v>
      </x:c>
      <x:c r="G5" s="28" t="str"/>
      <x:c r="H5" s="28" t="str"/>
    </x:row>
    <x:row r="6">
      <x:c r="A6" s="48" t="str">
        <x:v>Objective</x:v>
      </x:c>
      <x:c r="B6" s="28" t="str">
        <x:v>Approve, reprice, condition, stage, renegotiate or stop a major acquisition or capital allocation.</x:v>
      </x:c>
      <x:c r="C6" s="28"/>
      <x:c r="D6" s="28"/>
      <x:c r="E6" s="60" t="str">
        <x:v>Proof Debt Register</x:v>
      </x:c>
      <x:c r="F6" s="28" t="str">
        <x:v>Unproven revenue, retention, product, technical, security, legal, synergy and integration claims.</x:v>
      </x:c>
      <x:c r="G6" s="28" t="str"/>
      <x:c r="H6" s="28" t="str"/>
    </x:row>
    <x:row r="7">
      <x:c r="A7" s="48" t="str">
        <x:v>External GoalOS fee</x:v>
      </x:c>
      <x:c r="B7" s="54" t="n">
        <x:f>'Assumptions'!E18</x:f>
        <x:v>150000</x:v>
      </x:c>
      <x:c r="C7" s="28"/>
      <x:c r="D7" s="28"/>
      <x:c r="E7" s="60" t="str">
        <x:v>Custom AGI Jobs</x:v>
      </x:c>
      <x:c r="F7" s="28" t="str">
        <x:v>Market, finance, customer, product, technical, security, legal and operating workstreams.</x:v>
      </x:c>
      <x:c r="G7" s="28" t="str"/>
      <x:c r="H7" s="28" t="str"/>
    </x:row>
    <x:row r="8">
      <x:c r="A8" s="48" t="str">
        <x:v>Internal participation cost</x:v>
      </x:c>
      <x:c r="B8" s="54" t="n">
        <x:f>'Assumptions'!E19</x:f>
        <x:v>50000</x:v>
      </x:c>
      <x:c r="C8" s="28"/>
      <x:c r="D8" s="28"/>
      <x:c r="E8" s="60" t="str">
        <x:v>Independent Validation</x:v>
      </x:c>
      <x:c r="F8" s="28" t="str">
        <x:v>Separate domain reviewers challenge seller, sponsor and model assumptions.</x:v>
      </x:c>
      <x:c r="G8" s="28" t="str"/>
      <x:c r="H8" s="28" t="str"/>
    </x:row>
    <x:row r="9">
      <x:c r="A9" s="48" t="str">
        <x:v>Deadline</x:v>
      </x:c>
      <x:c r="B9" s="102" t="n">
        <x:f>'Assumptions'!E29</x:f>
        <x:v>21</x:v>
      </x:c>
      <x:c r="C9" s="28"/>
      <x:c r="D9" s="28"/>
      <x:c r="E9" s="60" t="str">
        <x:v>Evidence Docket</x:v>
      </x:c>
      <x:c r="F9" s="28" t="str">
        <x:v>Primary evidence, data-room artifacts, contradictions, sensitivity and confidence state.</x:v>
      </x:c>
      <x:c r="G9" s="28" t="str"/>
      <x:c r="H9" s="28" t="str"/>
    </x:row>
    <x:row r="10">
      <x:c r="A10" s="48" t="str">
        <x:v>Decision value at stake</x:v>
      </x:c>
      <x:c r="B10" s="54" t="n">
        <x:f>'Assumptions'!E17</x:f>
        <x:v>30000000</x:v>
      </x:c>
      <x:c r="C10" s="28"/>
      <x:c r="D10" s="28"/>
      <x:c r="E10" s="60" t="str">
        <x:v>Governed Decision</x:v>
      </x:c>
      <x:c r="F10" s="28" t="str">
        <x:v>APPROVE / REPRICE / CONDITION / STAGE / RENEGOTIATE / DECLINE.</x:v>
      </x:c>
      <x:c r="G10" s="28" t="str"/>
      <x:c r="H10" s="28" t="str"/>
    </x:row>
    <x:row r="11">
      <x:c r="A11" s="48" t="str">
        <x:v>Cost of value impairment</x:v>
      </x:c>
      <x:c r="B11" s="54" t="n">
        <x:f>'Assumptions'!E20</x:f>
        <x:v>8000000</x:v>
      </x:c>
      <x:c r="C11" s="28"/>
      <x:c r="D11" s="28"/>
      <x:c r="E11" s="60" t="str">
        <x:v>Action Graph</x:v>
      </x:c>
      <x:c r="F11" s="28" t="str">
        <x:v>Terms, protections, integration gates, owners, milestones and walk-away triggers.</x:v>
      </x:c>
      <x:c r="G11" s="28" t="str"/>
      <x:c r="H11" s="28" t="str"/>
    </x:row>
    <x:row r="12">
      <x:c r="A12" s="48" t="str">
        <x:v>Proof burden</x:v>
      </x:c>
      <x:c r="B12" s="28" t="str">
        <x:v>Commercial, technical, financial, customer, legal, security, integration, synergy and downside evidence.</x:v>
      </x:c>
      <x:c r="C12" s="28"/>
      <x:c r="D12" s="28"/>
      <x:c r="E12" s="60" t="str">
        <x:v>Chronicle Candidate</x:v>
      </x:c>
      <x:c r="F12" s="28" t="str">
        <x:v>Reusable diligence modules admitted only if validated and appropriately scoped.</x:v>
      </x:c>
      <x:c r="G12" s="28" t="str"/>
      <x:c r="H12" s="28" t="str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 ht="28" customHeight="1">
      <x:c r="A14" s="87" t="str">
        <x:v>Modeled Value Bridge - Base Case</x:v>
      </x:c>
      <x:c r="B14" s="87"/>
      <x:c r="C14" s="87"/>
      <x:c r="D14" s="87"/>
      <x:c r="E14" s="87" t="str">
        <x:v>Board Decision Package</x:v>
      </x:c>
      <x:c r="F14" s="87"/>
      <x:c r="G14" s="87"/>
      <x:c r="H14" s="87"/>
    </x:row>
    <x:row r="15" ht="28" customHeight="1">
      <x:c r="A15" s="18" t="str">
        <x:v>Value component</x:v>
      </x:c>
      <x:c r="B15" s="18" t="str">
        <x:v>Formula / driver</x:v>
      </x:c>
      <x:c r="C15" s="18" t="str">
        <x:v>Base value</x:v>
      </x:c>
      <x:c r="D15" s="18" t="str">
        <x:v>Economic meaning</x:v>
      </x:c>
      <x:c r="E15" s="88" t="str">
        <x:v>1</x:v>
      </x:c>
      <x:c r="F15" s="48" t="str">
        <x:v>Board decision memo</x:v>
      </x:c>
      <x:c r="G15" s="28" t="str">
        <x:v>Decision state, value range, major dissent, conditions and walk-away points.</x:v>
      </x:c>
      <x:c r="H15" s="28" t="str"/>
    </x:row>
    <x:row r="16">
      <x:c r="A16" s="28" t="str">
        <x:v>Expected impairment avoided</x:v>
      </x:c>
      <x:c r="B16" s="28" t="str">
        <x:v>Cost of impairment × probability reduction</x:v>
      </x:c>
      <x:c r="C16" s="89" t="n">
        <x:f>'Assumptions'!E20*('Assumptions'!E21-'Assumptions'!E22)</x:f>
        <x:v>640000.0000000001</x:v>
      </x:c>
      <x:c r="D16" s="28" t="str">
        <x:v>Risk-adjusted value of a better capital decision.</x:v>
      </x:c>
      <x:c r="E16" s="88" t="str">
        <x:v>2</x:v>
      </x:c>
      <x:c r="F16" s="48" t="str">
        <x:v>Claim matrix</x:v>
      </x:c>
      <x:c r="G16" s="28" t="str">
        <x:v>Every material claim mapped to evidence strength and remaining Proof Debt.</x:v>
      </x:c>
      <x:c r="H16" s="28" t="str"/>
    </x:row>
    <x:row r="17">
      <x:c r="A17" s="28" t="str">
        <x:v>Negotiation / terms improvement</x:v>
      </x:c>
      <x:c r="B17" s="28" t="str">
        <x:v>Probability-weighted price or protection improvement</x:v>
      </x:c>
      <x:c r="C17" s="89" t="n">
        <x:f>'Assumptions'!E23</x:f>
        <x:v>525000</x:v>
      </x:c>
      <x:c r="D17" s="28" t="str">
        <x:v>Expected value from repricing, holdbacks or contractual protection.</x:v>
      </x:c>
      <x:c r="E17" s="88" t="str">
        <x:v>3</x:v>
      </x:c>
      <x:c r="F17" s="48" t="str">
        <x:v>Valuation sensitivity</x:v>
      </x:c>
      <x:c r="G17" s="28" t="str">
        <x:v>Base, downside and upside cases with explicit drivers and breakpoints.</x:v>
      </x:c>
      <x:c r="H17" s="28" t="str"/>
    </x:row>
    <x:row r="18">
      <x:c r="A18" s="28" t="str">
        <x:v>Executive and adviser efficiency</x:v>
      </x:c>
      <x:c r="B18" s="28" t="str">
        <x:v>Hours saved × blended hourly cost</x:v>
      </x:c>
      <x:c r="C18" s="89" t="n">
        <x:f>'Assumptions'!E26*'Assumptions'!E27</x:f>
        <x:v>178750</x:v>
      </x:c>
      <x:c r="D18" s="28" t="str">
        <x:v>Reduced duplication, coordination and inconclusive analysis.</x:v>
      </x:c>
      <x:c r="E18" s="88" t="str">
        <x:v>4</x:v>
      </x:c>
      <x:c r="F18" s="48" t="str">
        <x:v>Terms and protection map</x:v>
      </x:c>
      <x:c r="G18" s="28" t="str">
        <x:v>Price, escrow, earn-out, holdback, warranty and condition options.</x:v>
      </x:c>
      <x:c r="H18" s="28" t="str"/>
    </x:row>
    <x:row r="19">
      <x:c r="A19" s="28" t="str">
        <x:v>Synergy / option acceleration</x:v>
      </x:c>
      <x:c r="B19" s="28" t="str">
        <x:v>Annual value ÷ 365 × days accelerated</x:v>
      </x:c>
      <x:c r="C19" s="89" t="n">
        <x:f>'Assumptions'!E24/365*'Assumptions'!E25</x:f>
        <x:v>109589.04109589041</x:v>
      </x:c>
      <x:c r="D19" s="28" t="str">
        <x:v>Value captured earlier from a faster justified decision.</x:v>
      </x:c>
      <x:c r="E19" s="88" t="str">
        <x:v>5</x:v>
      </x:c>
      <x:c r="F19" s="48" t="str">
        <x:v>Integration gate plan</x:v>
      </x:c>
      <x:c r="G19" s="28" t="str">
        <x:v>100-day milestones, owners, evidence gates and stop conditions.</x:v>
      </x:c>
      <x:c r="H19" s="28" t="str"/>
    </x:row>
    <x:row r="20">
      <x:c r="A20" s="28" t="str">
        <x:v>Reusable diligence capability</x:v>
      </x:c>
      <x:c r="B20" s="28" t="str">
        <x:v>Scoped future-use value</x:v>
      </x:c>
      <x:c r="C20" s="89" t="n">
        <x:f>'Assumptions'!E28</x:f>
        <x:v>100000</x:v>
      </x:c>
      <x:c r="D20" s="28" t="str">
        <x:v>Reusable evidence tests, diligence modules and decision patterns.</x:v>
      </x:c>
      <x:c r="E20" s="88" t="str">
        <x:v>6</x:v>
      </x:c>
      <x:c r="F20" s="48" t="str">
        <x:v>Risk register</x:v>
      </x:c>
      <x:c r="G20" s="28" t="str">
        <x:v>Commercial, technical, legal, security, customer and operating risks.</x:v>
      </x:c>
      <x:c r="H20" s="28" t="str"/>
    </x:row>
    <x:row r="21">
      <x:c r="A21" s="90" t="str">
        <x:v>Gross modeled value</x:v>
      </x:c>
      <x:c r="B21" s="90"/>
      <x:c r="C21" s="91" t="n">
        <x:f>SUM(C16:C20)</x:f>
        <x:v>1553339.0410958903</x:v>
      </x:c>
      <x:c r="D21" s="28"/>
      <x:c r="E21" s="88" t="str">
        <x:v>7</x:v>
      </x:c>
      <x:c r="F21" s="48" t="str">
        <x:v>Evidence Docket</x:v>
      </x:c>
      <x:c r="G21" s="28" t="str">
        <x:v>Primary materials, tests, interviews, contradictions and reviewer findings.</x:v>
      </x:c>
      <x:c r="H21" s="28" t="str"/>
    </x:row>
    <x:row r="22">
      <x:c r="A22" s="90" t="str">
        <x:v>Total investment</x:v>
      </x:c>
      <x:c r="B22" s="90"/>
      <x:c r="C22" s="91" t="n">
        <x:f>'Assumptions'!E18+'Assumptions'!E19</x:f>
        <x:v>200000</x:v>
      </x:c>
      <x:c r="D22" s="28"/>
      <x:c r="E22" s="88" t="str">
        <x:v>8</x:v>
      </x:c>
      <x:c r="F22" s="48" t="str">
        <x:v>Chronicle disposition</x:v>
      </x:c>
      <x:c r="G22" s="28" t="str">
        <x:v>Reusable diligence capability with scope, version, exclusions and expiry.</x:v>
      </x:c>
      <x:c r="H22" s="28" t="str"/>
    </x:row>
    <x:row r="23">
      <x:c r="A23" s="90" t="str">
        <x:v>Net modeled value</x:v>
      </x:c>
      <x:c r="B23" s="90"/>
      <x:c r="C23" s="91" t="n">
        <x:f>C21-C22</x:f>
        <x:v>1353339.0410958903</x:v>
      </x:c>
      <x:c r="D23" s="28"/>
      <x:c r="E23" s="28"/>
      <x:c r="F23" s="28"/>
      <x:c r="G23" s="28"/>
      <x:c r="H23" s="28"/>
    </x:row>
    <x:row r="24">
      <x:c r="A24" s="90" t="str">
        <x:v>ROI on total investment</x:v>
      </x:c>
      <x:c r="B24" s="90"/>
      <x:c r="C24" s="92" t="n">
        <x:f>C23/C22</x:f>
        <x:v>6.766695205479452</x:v>
      </x:c>
      <x:c r="D24" s="28"/>
      <x:c r="E24" s="87" t="str">
        <x:v>Value Protection Rules</x:v>
      </x:c>
      <x:c r="F24" s="87"/>
      <x:c r="G24" s="87"/>
      <x:c r="H24" s="87"/>
    </x:row>
    <x:row r="25">
      <x:c r="A25" s="90" t="str">
        <x:v>Gross value / external fee</x:v>
      </x:c>
      <x:c r="B25" s="90"/>
      <x:c r="C25" s="93" t="n">
        <x:f>C21/'Assumptions'!E18</x:f>
        <x:v>10.355593607305936</x:v>
      </x:c>
      <x:c r="D25" s="28"/>
      <x:c r="E25" s="82" t="str">
        <x:v>Proceed only if</x:v>
      </x:c>
      <x:c r="F25" s="28" t="str">
        <x:v>The sponsor owns the decision, data-room access is sufficient and the board accepts explicit uncertainty.</x:v>
      </x:c>
      <x:c r="G25" s="28" t="str"/>
      <x:c r="H25" s="28" t="str"/>
    </x:row>
    <x:row r="26">
      <x:c r="A26" s="90" t="str">
        <x:v>Decision leverage</x:v>
      </x:c>
      <x:c r="B26" s="90"/>
      <x:c r="C26" s="93" t="n">
        <x:f>'Assumptions'!E17/'Assumptions'!E18</x:f>
        <x:v>200</x:v>
      </x:c>
      <x:c r="D26" s="28"/>
      <x:c r="E26" s="82" t="str">
        <x:v>Stop if</x:v>
      </x:c>
      <x:c r="F26" s="28" t="str">
        <x:v>The seller or sponsor withholds material evidence, reviewers cannot be independent, or walk-away criteria are undefined.</x:v>
      </x:c>
      <x:c r="G26" s="28" t="str"/>
      <x:c r="H26" s="28" t="str"/>
    </x:row>
    <x:row r="27">
      <x:c r="A27" s="90" t="str">
        <x:v>Break-even probability reduction</x:v>
      </x:c>
      <x:c r="B27" s="90"/>
      <x:c r="C27" s="92" t="n">
        <x:f>C22/'Assumptions'!E20</x:f>
        <x:v>0.025</x:v>
      </x:c>
      <x:c r="D27" s="28"/>
      <x:c r="E27" s="82" t="str">
        <x:v>Price discipline</x:v>
      </x:c>
      <x:c r="F27" s="28" t="str">
        <x:v>The engagement should protect or create materially more value than it costs; 5x conservative gross value / fee is the preferred threshold.</x:v>
      </x:c>
      <x:c r="G27" s="28" t="str"/>
      <x:c r="H27" s="28" t="str"/>
    </x:row>
    <x:row r="28">
      <x:c r="A28" s="28"/>
      <x:c r="B28" s="28"/>
      <x:c r="C28" s="28"/>
      <x:c r="D28" s="28"/>
      <x:c r="E28" s="82" t="str">
        <x:v>Claim boundary</x:v>
      </x:c>
      <x:c r="F28" s="28" t="str">
        <x:v>Illustrative economics - not a transaction opinion, valuation opinion, legal advice or realized customer result.</x:v>
      </x:c>
      <x:c r="G28" s="28" t="str"/>
      <x:c r="H28" s="28" t="str"/>
    </x:row>
  </x:sheetData>
  <x:mergeCells>
    <x:mergeCell ref="A1:H1"/>
    <x:mergeCell ref="A2:H2"/>
    <x:mergeCell ref="A4:D4"/>
    <x:mergeCell ref="E4:H4"/>
    <x:mergeCell ref="F5:H5"/>
    <x:mergeCell ref="F6:H6"/>
    <x:mergeCell ref="F7:H7"/>
    <x:mergeCell ref="F8:H8"/>
    <x:mergeCell ref="F9:H9"/>
    <x:mergeCell ref="F10:H10"/>
    <x:mergeCell ref="F11:H11"/>
    <x:mergeCell ref="F12:H12"/>
    <x:mergeCell ref="A14:D14"/>
    <x:mergeCell ref="A21:B21"/>
    <x:mergeCell ref="A22:B22"/>
    <x:mergeCell ref="A23:B23"/>
    <x:mergeCell ref="A24:B24"/>
    <x:mergeCell ref="A25:B25"/>
    <x:mergeCell ref="A26:B26"/>
    <x:mergeCell ref="A27:B27"/>
    <x:mergeCell ref="E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E24:H24"/>
    <x:mergeCell ref="F25:H25"/>
    <x:mergeCell ref="F26:H26"/>
    <x:mergeCell ref="F27:H27"/>
    <x:mergeCell ref="F28:H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86" t="str">
        <x:v>Use Case 3 - Three-Customer Commercial Proof Run</x:v>
      </x:c>
      <x:c r="B1" s="86"/>
      <x:c r="C1" s="86"/>
      <x:c r="D1" s="86"/>
      <x:c r="E1" s="86"/>
      <x:c r="F1" s="86"/>
      <x:c r="G1" s="86"/>
      <x:c r="H1" s="86"/>
    </x:row>
    <x:row r="2" ht="28" customHeight="1">
      <x:c r="A2" s="11" t="str">
        <x:v>Illustrative base case: a 60-day experiment proving or falsifying one $60K enterprise offer before six months of GTM burn.</x:v>
      </x:c>
      <x:c r="B2" s="11"/>
      <x:c r="C2" s="11"/>
      <x:c r="D2" s="11"/>
      <x:c r="E2" s="11"/>
      <x:c r="F2" s="11"/>
      <x:c r="G2" s="11"/>
      <x:c r="H2" s="11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6" customHeight="1">
      <x:c r="A4" s="87" t="str">
        <x:v>Mission Profile</x:v>
      </x:c>
      <x:c r="B4" s="87"/>
      <x:c r="C4" s="87"/>
      <x:c r="D4" s="87"/>
      <x:c r="E4" s="87" t="str">
        <x:v>Proof-Governed Delivery</x:v>
      </x:c>
      <x:c r="F4" s="87"/>
      <x:c r="G4" s="87"/>
      <x:c r="H4" s="87"/>
    </x:row>
    <x:row r="5">
      <x:c r="A5" s="48" t="str">
        <x:v>Sponsor</x:v>
      </x:c>
      <x:c r="B5" s="28" t="str">
        <x:v>CEO / CRO / Venture Lead</x:v>
      </x:c>
      <x:c r="C5" s="28"/>
      <x:c r="D5" s="28"/>
      <x:c r="E5" s="60" t="str">
        <x:v>Frozen Offer</x:v>
      </x:c>
      <x:c r="F5" s="28" t="str">
        <x:v>One buyer, one outcome class, one price logic, one evidence standard and one delivery process.</x:v>
      </x:c>
      <x:c r="G5" s="28" t="str"/>
      <x:c r="H5" s="28" t="str"/>
    </x:row>
    <x:row r="6">
      <x:c r="A6" s="48" t="str">
        <x:v>Objective</x:v>
      </x:c>
      <x:c r="B6" s="28" t="str">
        <x:v>Get three real customers to pay for the same bounded mission and determine whether one asks GoalOS to do it again.</x:v>
      </x:c>
      <x:c r="C6" s="28"/>
      <x:c r="D6" s="28"/>
      <x:c r="E6" s="60" t="str">
        <x:v>Qualified Market</x:v>
      </x:c>
      <x:c r="F6" s="28" t="str">
        <x:v>Named accounts with purchase trigger, sponsor, urgency, authority and reason for contact.</x:v>
      </x:c>
      <x:c r="G6" s="28" t="str"/>
      <x:c r="H6" s="28" t="str"/>
    </x:row>
    <x:row r="7">
      <x:c r="A7" s="48" t="str">
        <x:v>External GoalOS fee</x:v>
      </x:c>
      <x:c r="B7" s="54" t="n">
        <x:f>'Assumptions'!E31</x:f>
        <x:v>100000</x:v>
      </x:c>
      <x:c r="C7" s="28"/>
      <x:c r="D7" s="28"/>
      <x:c r="E7" s="60" t="str">
        <x:v>Proof Run Contract</x:v>
      </x:c>
      <x:c r="F7" s="28" t="str">
        <x:v>Three-customer target, acceptance criteria, contribution economics and repeat-purchase test.</x:v>
      </x:c>
      <x:c r="G7" s="28" t="str"/>
      <x:c r="H7" s="28" t="str"/>
    </x:row>
    <x:row r="8">
      <x:c r="A8" s="48" t="str">
        <x:v>Internal participation cost</x:v>
      </x:c>
      <x:c r="B8" s="54" t="n">
        <x:f>'Assumptions'!E32</x:f>
        <x:v>25000</x:v>
      </x:c>
      <x:c r="C8" s="28"/>
      <x:c r="D8" s="28"/>
      <x:c r="E8" s="60" t="str">
        <x:v>Proof-Producing Delivery</x:v>
      </x:c>
      <x:c r="F8" s="28" t="str">
        <x:v>Mission Contract, Proof Debt, AGI Jobs, Evidence Docket and customer outcome.</x:v>
      </x:c>
      <x:c r="G8" s="28" t="str"/>
      <x:c r="H8" s="28" t="str"/>
    </x:row>
    <x:row r="9">
      <x:c r="A9" s="48" t="str">
        <x:v>Deadline</x:v>
      </x:c>
      <x:c r="B9" s="104" t="n">
        <x:f>'Assumptions'!E46</x:f>
        <x:v>60</x:v>
      </x:c>
      <x:c r="C9" s="28"/>
      <x:c r="D9" s="28"/>
      <x:c r="E9" s="60" t="str">
        <x:v>Failure Publication</x:v>
      </x:c>
      <x:c r="F9" s="28" t="str">
        <x:v>What failed, why it failed, what changed and what remains unproven.</x:v>
      </x:c>
      <x:c r="G9" s="28" t="str"/>
      <x:c r="H9" s="28" t="str"/>
    </x:row>
    <x:row r="10">
      <x:c r="A10" s="48" t="str">
        <x:v>Economic cost of wrong thesis</x:v>
      </x:c>
      <x:c r="B10" s="54" t="n">
        <x:f>'Assumptions'!E30</x:f>
        <x:v>1050000</x:v>
      </x:c>
      <x:c r="C10" s="28"/>
      <x:c r="D10" s="28"/>
      <x:c r="E10" s="60" t="str">
        <x:v>Chronicle Gate</x:v>
      </x:c>
      <x:c r="F10" s="28" t="str">
        <x:v>Only validated, scoped delivery capability may improve later missions.</x:v>
      </x:c>
      <x:c r="G10" s="28" t="str"/>
      <x:c r="H10" s="28" t="str"/>
    </x:row>
    <x:row r="11">
      <x:c r="A11" s="48" t="str">
        <x:v>Flagship mission price</x:v>
      </x:c>
      <x:c r="B11" s="54" t="n">
        <x:f>'Assumptions'!E34</x:f>
        <x:v>60000</x:v>
      </x:c>
      <x:c r="C11" s="28"/>
      <x:c r="D11" s="28"/>
      <x:c r="E11" s="60" t="str">
        <x:v>Repeat Purchase Test</x:v>
      </x:c>
      <x:c r="F11" s="28" t="str">
        <x:v>A second mission, renewal or expansion must be attributable to demonstrated value.</x:v>
      </x:c>
      <x:c r="G11" s="28" t="str"/>
      <x:c r="H11" s="28" t="str"/>
    </x:row>
    <x:row r="12">
      <x:c r="A12" s="48" t="str">
        <x:v>Proof burden</x:v>
      </x:c>
      <x:c r="B12" s="28" t="str">
        <x:v>Same offer, same acceptance logic, real payment, delivered customer outcomes, contribution margin and repeat purchase evidence.</x:v>
      </x:c>
      <x:c r="C12" s="28"/>
      <x:c r="D12" s="28"/>
      <x:c r="E12" s="60" t="str">
        <x:v>Decision State</x:v>
      </x:c>
      <x:c r="F12" s="28" t="str">
        <x:v>SCALE / NARROW / REPAIR / PIVOT / STOP.</x:v>
      </x:c>
      <x:c r="G12" s="28" t="str"/>
      <x:c r="H12" s="28" t="str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 ht="28" customHeight="1">
      <x:c r="A14" s="87" t="str">
        <x:v>Modeled Value Bridge - Probability-Weighted Base Case</x:v>
      </x:c>
      <x:c r="B14" s="87"/>
      <x:c r="C14" s="87"/>
      <x:c r="D14" s="87"/>
      <x:c r="E14" s="87" t="str">
        <x:v>Commercial Proof Package</x:v>
      </x:c>
      <x:c r="F14" s="87"/>
      <x:c r="G14" s="87"/>
      <x:c r="H14" s="87"/>
    </x:row>
    <x:row r="15" ht="28" customHeight="1">
      <x:c r="A15" s="18" t="str">
        <x:v>Value component</x:v>
      </x:c>
      <x:c r="B15" s="18" t="str">
        <x:v>Formula / driver</x:v>
      </x:c>
      <x:c r="C15" s="18" t="str">
        <x:v>Base value</x:v>
      </x:c>
      <x:c r="D15" s="18" t="str">
        <x:v>Economic meaning</x:v>
      </x:c>
      <x:c r="E15" s="88" t="str">
        <x:v>1</x:v>
      </x:c>
      <x:c r="F15" s="48" t="str">
        <x:v>Frozen offer card</x:v>
      </x:c>
      <x:c r="G15" s="28" t="str">
        <x:v>Buyer, outcome, scope, price, evidence standard and exclusions.</x:v>
      </x:c>
      <x:c r="H15" s="28" t="str"/>
    </x:row>
    <x:row r="16">
      <x:c r="A16" s="28" t="str">
        <x:v>Initial + repeat mission contribution</x:v>
      </x:c>
      <x:c r="B16" s="28" t="str">
        <x:v>(Initial customers + repeat purchases) × price × gross margin</x:v>
      </x:c>
      <x:c r="C16" s="89" t="n">
        <x:f>('Assumptions'!E36+'Assumptions'!E37)*'Assumptions'!E34*'Assumptions'!E35</x:f>
        <x:v>163200</x:v>
      </x:c>
      <x:c r="D16" s="28" t="str">
        <x:v>Contribution from the proof threshold itself.</x:v>
      </x:c>
      <x:c r="E16" s="88" t="str">
        <x:v>2</x:v>
      </x:c>
      <x:c r="F16" s="48" t="str">
        <x:v>Account qualification ledger</x:v>
      </x:c>
      <x:c r="G16" s="28" t="str">
        <x:v>Fit, urgency, decision authority, trigger, proof need and contact rationale.</x:v>
      </x:c>
      <x:c r="H16" s="28" t="str"/>
    </x:row>
    <x:row r="17">
      <x:c r="A17" s="28" t="str">
        <x:v>Recurring margin</x:v>
      </x:c>
      <x:c r="B17" s="28" t="str">
        <x:v>Recurring customers × monthly fee × months × recurring margin</x:v>
      </x:c>
      <x:c r="C17" s="89" t="n">
        <x:f>'Assumptions'!E38*'Assumptions'!E39*'Assumptions'!E40*'Assumptions'!E41</x:f>
        <x:v>72000</x:v>
      </x:c>
      <x:c r="D17" s="28" t="str">
        <x:v>Contribution from proof-backed recurring adoption.</x:v>
      </x:c>
      <x:c r="E17" s="88" t="str">
        <x:v>3</x:v>
      </x:c>
      <x:c r="F17" s="48" t="str">
        <x:v>Three-customer run charter</x:v>
      </x:c>
      <x:c r="G17" s="28" t="str">
        <x:v>Same bounded mission, same core process, same success and stop rules.</x:v>
      </x:c>
      <x:c r="H17" s="28" t="str"/>
    </x:row>
    <x:row r="18">
      <x:c r="A18" s="28" t="str">
        <x:v>Reusable capability savings</x:v>
      </x:c>
      <x:c r="B18" s="28" t="str">
        <x:v>Future missions × delivery cost × reduction</x:v>
      </x:c>
      <x:c r="C18" s="89" t="n">
        <x:f>'Assumptions'!E42*('Assumptions'!E34*(1-'Assumptions'!E35))*'Assumptions'!E43</x:f>
        <x:v>30719.999999999996</x:v>
      </x:c>
      <x:c r="D18" s="28" t="str">
        <x:v>Lower cost from a validated, scoped delivery method.</x:v>
      </x:c>
      <x:c r="E18" s="88" t="str">
        <x:v>4</x:v>
      </x:c>
      <x:c r="F18" s="48" t="str">
        <x:v>Customer Evidence Dockets</x:v>
      </x:c>
      <x:c r="G18" s="28" t="str">
        <x:v>What passed, failed, remains uncertain and what action is justified.</x:v>
      </x:c>
      <x:c r="H18" s="28" t="str"/>
    </x:row>
    <x:row r="19">
      <x:c r="A19" s="28" t="str">
        <x:v>Pass-path value</x:v>
      </x:c>
      <x:c r="B19" s="28" t="str">
        <x:v>Contribution + recurring margin + capability savings</x:v>
      </x:c>
      <x:c r="C19" s="89" t="n">
        <x:f>SUM(C16:C18)</x:f>
        <x:v>265920</x:v>
      </x:c>
      <x:c r="D19" s="28" t="str">
        <x:v>Economic value if the offer earns commercial proof.</x:v>
      </x:c>
      <x:c r="E19" s="88" t="str">
        <x:v>5</x:v>
      </x:c>
      <x:c r="F19" s="48" t="str">
        <x:v>Contribution model</x:v>
      </x:c>
      <x:c r="G19" s="28" t="str">
        <x:v>Price, delivery cost, reviewer cost, gross margin and cash timing.</x:v>
      </x:c>
      <x:c r="H19" s="28" t="str"/>
    </x:row>
    <x:row r="20">
      <x:c r="A20" s="28" t="str">
        <x:v>Fail-fast avoided burn</x:v>
      </x:c>
      <x:c r="B20" s="28" t="str">
        <x:v>Monthly GTM burn × avoided months</x:v>
      </x:c>
      <x:c r="C20" s="89" t="n">
        <x:f>'Assumptions'!E44*'Assumptions'!E45</x:f>
        <x:v>700000</x:v>
      </x:c>
      <x:c r="D20" s="28" t="str">
        <x:v>Capital preserved if the thesis is falsified early.</x:v>
      </x:c>
      <x:c r="E20" s="88" t="str">
        <x:v>6</x:v>
      </x:c>
      <x:c r="F20" s="48" t="str">
        <x:v>Repeat-purchase evidence</x:v>
      </x:c>
      <x:c r="G20" s="28" t="str">
        <x:v>Second mission, renewal or expansion tied to demonstrated value.</x:v>
      </x:c>
      <x:c r="H20" s="28" t="str"/>
    </x:row>
    <x:row r="21">
      <x:c r="A21" s="28" t="str">
        <x:v>Probability-weighted gross value</x:v>
      </x:c>
      <x:c r="B21" s="28" t="str">
        <x:v>Pass probability × pass value + fail probability × fail-fast value</x:v>
      </x:c>
      <x:c r="C21" s="89" t="n">
        <x:f>'Assumptions'!E33*C19+(1-'Assumptions'!E33)*C20</x:f>
        <x:v>461255.99999999994</x:v>
      </x:c>
      <x:c r="D21" s="28" t="str">
        <x:v>Base expected value of learning correctly in either direction.</x:v>
      </x:c>
      <x:c r="E21" s="88" t="str">
        <x:v>7</x:v>
      </x:c>
      <x:c r="F21" s="48" t="str">
        <x:v>Failure report</x:v>
      </x:c>
      <x:c r="G21" s="28" t="str">
        <x:v>A public-safe account of what failed and why, with no fabricated traction.</x:v>
      </x:c>
      <x:c r="H21" s="28" t="str"/>
    </x:row>
    <x:row r="22">
      <x:c r="A22" s="90" t="str">
        <x:v>Total investment</x:v>
      </x:c>
      <x:c r="B22" s="90"/>
      <x:c r="C22" s="91" t="n">
        <x:f>'Assumptions'!E31+'Assumptions'!E32</x:f>
        <x:v>125000</x:v>
      </x:c>
      <x:c r="D22" s="28"/>
      <x:c r="E22" s="88" t="str">
        <x:v>8</x:v>
      </x:c>
      <x:c r="F22" s="48" t="str">
        <x:v>Chronicle disposition</x:v>
      </x:c>
      <x:c r="G22" s="28" t="str">
        <x:v>Validated delivery capability, scope, version, exclusions and future test.</x:v>
      </x:c>
      <x:c r="H22" s="28" t="str"/>
    </x:row>
    <x:row r="23">
      <x:c r="A23" s="90" t="str">
        <x:v>Net probability-weighted value</x:v>
      </x:c>
      <x:c r="B23" s="90"/>
      <x:c r="C23" s="91" t="n">
        <x:f>C21-C22</x:f>
        <x:v>336255.99999999994</x:v>
      </x:c>
      <x:c r="D23" s="28"/>
      <x:c r="E23" s="28"/>
      <x:c r="F23" s="28"/>
      <x:c r="G23" s="28"/>
      <x:c r="H23" s="28"/>
    </x:row>
    <x:row r="24">
      <x:c r="A24" s="90" t="str">
        <x:v>ROI on total investment</x:v>
      </x:c>
      <x:c r="B24" s="90"/>
      <x:c r="C24" s="92" t="n">
        <x:f>C23/C22</x:f>
        <x:v>2.6900479999999996</x:v>
      </x:c>
      <x:c r="D24" s="28"/>
      <x:c r="E24" s="87" t="str">
        <x:v>Value Protection Rules</x:v>
      </x:c>
      <x:c r="F24" s="87"/>
      <x:c r="G24" s="87"/>
      <x:c r="H24" s="87"/>
    </x:row>
    <x:row r="25">
      <x:c r="A25" s="90" t="str">
        <x:v>Gross value / external fee</x:v>
      </x:c>
      <x:c r="B25" s="90"/>
      <x:c r="C25" s="93" t="n">
        <x:f>C21/'Assumptions'!E31</x:f>
        <x:v>4.612559999999999</x:v>
      </x:c>
      <x:c r="D25" s="28"/>
      <x:c r="E25" s="82" t="str">
        <x:v>Proceed only if</x:v>
      </x:c>
      <x:c r="F25" s="28" t="str">
        <x:v>The sponsor can sell, deliver and measure one offer without reinventing it for each buyer.</x:v>
      </x:c>
      <x:c r="G25" s="28" t="str"/>
      <x:c r="H25" s="28" t="str"/>
    </x:row>
    <x:row r="26">
      <x:c r="A26" s="90" t="str">
        <x:v>Mission-equivalent break-even</x:v>
      </x:c>
      <x:c r="B26" s="90"/>
      <x:c r="C26" s="93" t="n">
        <x:f>C22/('Assumptions'!E34*'Assumptions'!E35)</x:f>
        <x:v>3.0637254901960786</x:v>
      </x:c>
      <x:c r="D26" s="28"/>
      <x:c r="E26" s="82" t="str">
        <x:v>Stop if</x:v>
      </x:c>
      <x:c r="F26" s="28" t="str">
        <x:v>The market will not pay, delivery economics are negative, proof cannot be produced, or no one requests the work again.</x:v>
      </x:c>
      <x:c r="G26" s="28" t="str"/>
      <x:c r="H26" s="28" t="str"/>
    </x:row>
    <x:row r="27">
      <x:c r="A27" s="90" t="str">
        <x:v>Fail-fast break-even months</x:v>
      </x:c>
      <x:c r="B27" s="90"/>
      <x:c r="C27" s="93" t="n">
        <x:f>C22/'Assumptions'!E44</x:f>
        <x:v>0.7142857142857143</x:v>
      </x:c>
      <x:c r="D27" s="28"/>
      <x:c r="E27" s="82" t="str">
        <x:v>Price discipline</x:v>
      </x:c>
      <x:c r="F27" s="28" t="str">
        <x:v>The run must be cheaper than continuing an unproven GTM thesis; a single avoided month of burn should materially offset the fee.</x:v>
      </x:c>
      <x:c r="G27" s="28" t="str"/>
      <x:c r="H27" s="28" t="str"/>
    </x:row>
    <x:row r="28">
      <x:c r="A28" s="28"/>
      <x:c r="B28" s="28"/>
      <x:c r="C28" s="28"/>
      <x:c r="D28" s="28"/>
      <x:c r="E28" s="82" t="str">
        <x:v>Claim boundary</x:v>
      </x:c>
      <x:c r="F28" s="28" t="str">
        <x:v>Modeled outcomes are conditional scenarios - not a promise of customers, revenue, profit or repeat purchase.</x:v>
      </x:c>
      <x:c r="G28" s="28" t="str"/>
      <x:c r="H28" s="28" t="str"/>
    </x:row>
  </x:sheetData>
  <x:mergeCells>
    <x:mergeCell ref="A1:H1"/>
    <x:mergeCell ref="A2:H2"/>
    <x:mergeCell ref="A4:D4"/>
    <x:mergeCell ref="E4:H4"/>
    <x:mergeCell ref="F5:H5"/>
    <x:mergeCell ref="F6:H6"/>
    <x:mergeCell ref="F7:H7"/>
    <x:mergeCell ref="F8:H8"/>
    <x:mergeCell ref="F9:H9"/>
    <x:mergeCell ref="F10:H10"/>
    <x:mergeCell ref="F11:H11"/>
    <x:mergeCell ref="F12:H12"/>
    <x:mergeCell ref="A14:D14"/>
    <x:mergeCell ref="A22:B22"/>
    <x:mergeCell ref="A23:B23"/>
    <x:mergeCell ref="A24:B24"/>
    <x:mergeCell ref="A25:B25"/>
    <x:mergeCell ref="A26:B26"/>
    <x:mergeCell ref="A27:B27"/>
    <x:mergeCell ref="E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E24:H24"/>
    <x:mergeCell ref="F25:H25"/>
    <x:mergeCell ref="F26:H26"/>
    <x:mergeCell ref="F27:H27"/>
    <x:mergeCell ref="F28:H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15" hidden="0" customWidth="1"/>
    <x:col min="8" max="8" width="14" hidden="0" customWidth="1"/>
    <x:col min="9" max="9" width="16" hidden="0" customWidth="1"/>
    <x:col min="10" max="10" width="12" hidden="0" customWidth="1"/>
    <x:col min="11" max="11" width="27" hidden="0" customWidth="1"/>
    <x:col min="12" max="12" width="35" hidden="0" customWidth="1"/>
  </x:cols>
  <x:sheetData>
    <x:row r="1" ht="34" customHeight="1">
      <x:c r="A1" s="5" t="str">
        <x:v>GoalOS Value Sensitivity - Downside / Base / Upside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1" t="str">
        <x:v>The downside cases are deliberately conservative. The upside cases are not promises; they show how value changes when risk reduction, timing, commercial proof and reusable capability improve.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4" customHeight="1">
      <x:c r="A4" s="18" t="str">
        <x:v>Use case</x:v>
      </x:c>
      <x:c r="B4" s="18" t="str">
        <x:v>Scenario</x:v>
      </x:c>
      <x:c r="C4" s="18" t="str">
        <x:v>Gross value</x:v>
      </x:c>
      <x:c r="D4" s="18" t="str">
        <x:v>Total investment</x:v>
      </x:c>
      <x:c r="E4" s="18" t="str">
        <x:v>Net value</x:v>
      </x:c>
      <x:c r="F4" s="18" t="str">
        <x:v>ROI</x:v>
      </x:c>
      <x:c r="G4" s="18" t="str">
        <x:v>Gross value / fee</x:v>
      </x:c>
      <x:c r="H4" s="18" t="str">
        <x:v>Decision leverage</x:v>
      </x:c>
      <x:c r="I4" s="18" t="str">
        <x:v>Break-even metric</x:v>
      </x:c>
      <x:c r="J4" s="18" t="str">
        <x:v>Status</x:v>
      </x:c>
      <x:c r="K4" s="18" t="str">
        <x:v>Key driver</x:v>
      </x:c>
      <x:c r="L4" s="18" t="str">
        <x:v>Model note</x:v>
      </x:c>
    </x:row>
    <x:row r="5">
      <x:c r="A5" s="28" t="str">
        <x:v>AI Deployment Decision Assurance</x:v>
      </x:c>
      <x:c r="B5" s="28" t="str">
        <x:v>Downside</x:v>
      </x:c>
      <x:c r="C5" s="54" t="n">
        <x:f>'Assumptions'!D8*('Assumptions'!D9-'Assumptions'!D10)+'Assumptions'!D11/52*'Assumptions'!D12+'Assumptions'!D13*'Assumptions'!D14+'Assumptions'!D15</x:f>
        <x:v>258307.69230769225</x:v>
      </x:c>
      <x:c r="D5" s="54" t="n">
        <x:f>'Assumptions'!D6+'Assumptions'!D7</x:f>
        <x:v>100000</x:v>
      </x:c>
      <x:c r="E5" s="54" t="n">
        <x:f>C5-D5</x:f>
        <x:v>158307.69230769225</x:v>
      </x:c>
      <x:c r="F5" s="144" t="n">
        <x:f>E5/D5</x:f>
        <x:v>1.5830769230769226</x:v>
      </x:c>
      <x:c r="G5" s="145" t="n">
        <x:f>C5/'Assumptions'!D6</x:f>
        <x:v>3.4441025641025633</x:v>
      </x:c>
      <x:c r="H5" s="145" t="n">
        <x:f>'Assumptions'!D5/'Assumptions'!D6</x:f>
        <x:v>80</x:v>
      </x:c>
      <x:c r="I5" s="144" t="n">
        <x:f>D5/'Assumptions'!D8</x:f>
        <x:v>0.03125</x:v>
      </x:c>
      <x:c r="J5" s="52" t="str">
        <x:f>IF(G5&gt;=5,"Preferred",IF(G5&gt;=3,"Acceptable","Review"))</x:f>
        <x:v>Acceptable</x:v>
      </x:c>
      <x:c r="K5" s="28" t="str">
        <x:v>Probability reduction + faster benefit capture</x:v>
      </x:c>
      <x:c r="L5" s="28" t="str">
        <x:v>Break-even metric = total investment ÷ cost of error</x:v>
      </x:c>
    </x:row>
    <x:row r="6">
      <x:c r="A6" s="28" t="str">
        <x:v>AI Deployment Decision Assurance</x:v>
      </x:c>
      <x:c r="B6" s="28" t="str">
        <x:v>Base</x:v>
      </x:c>
      <x:c r="C6" s="54" t="n">
        <x:f>'Assumptions'!E8*('Assumptions'!E9-'Assumptions'!E10)+'Assumptions'!E11/52*'Assumptions'!E12+'Assumptions'!E13*'Assumptions'!E14+'Assumptions'!E15</x:f>
        <x:v>800723.076923077</x:v>
      </x:c>
      <x:c r="D6" s="54" t="n">
        <x:f>'Assumptions'!E6+'Assumptions'!E7</x:f>
        <x:v>100000</x:v>
      </x:c>
      <x:c r="E6" s="54" t="n">
        <x:f>C6-D6</x:f>
        <x:v>700723.076923077</x:v>
      </x:c>
      <x:c r="F6" s="144" t="n">
        <x:f>E6/D6</x:f>
        <x:v>7.00723076923077</x:v>
      </x:c>
      <x:c r="G6" s="145" t="n">
        <x:f>C6/'Assumptions'!E6</x:f>
        <x:v>10.676307692307693</x:v>
      </x:c>
      <x:c r="H6" s="145" t="n">
        <x:f>'Assumptions'!E5/'Assumptions'!E6</x:f>
        <x:v>80</x:v>
      </x:c>
      <x:c r="I6" s="144" t="n">
        <x:f>D6/'Assumptions'!E8</x:f>
        <x:v>0.03125</x:v>
      </x:c>
      <x:c r="J6" s="52" t="str">
        <x:f>IF(G6&gt;=5,"Preferred",IF(G6&gt;=3,"Acceptable","Review"))</x:f>
        <x:v>Preferred</x:v>
      </x:c>
      <x:c r="K6" s="28" t="str">
        <x:v>Probability reduction + faster benefit capture</x:v>
      </x:c>
      <x:c r="L6" s="28" t="str">
        <x:v>Break-even metric = total investment ÷ cost of error</x:v>
      </x:c>
    </x:row>
    <x:row r="7">
      <x:c r="A7" s="28" t="str">
        <x:v>AI Deployment Decision Assurance</x:v>
      </x:c>
      <x:c r="B7" s="28" t="str">
        <x:v>Upside</x:v>
      </x:c>
      <x:c r="C7" s="54" t="n">
        <x:f>'Assumptions'!F8*('Assumptions'!F9-'Assumptions'!F10)+'Assumptions'!F11/52*'Assumptions'!F12+'Assumptions'!F13*'Assumptions'!F14+'Assumptions'!F15</x:f>
        <x:v>1271538.4615384615</x:v>
      </x:c>
      <x:c r="D7" s="54" t="n">
        <x:f>'Assumptions'!F6+'Assumptions'!F7</x:f>
        <x:v>100000</x:v>
      </x:c>
      <x:c r="E7" s="54" t="n">
        <x:f>C7-D7</x:f>
        <x:v>1171538.4615384615</x:v>
      </x:c>
      <x:c r="F7" s="144" t="n">
        <x:f>E7/D7</x:f>
        <x:v>11.715384615384615</x:v>
      </x:c>
      <x:c r="G7" s="145" t="n">
        <x:f>C7/'Assumptions'!F6</x:f>
        <x:v>16.953846153846154</x:v>
      </x:c>
      <x:c r="H7" s="145" t="n">
        <x:f>'Assumptions'!F5/'Assumptions'!F6</x:f>
        <x:v>80</x:v>
      </x:c>
      <x:c r="I7" s="144" t="n">
        <x:f>D7/'Assumptions'!F8</x:f>
        <x:v>0.03125</x:v>
      </x:c>
      <x:c r="J7" s="52" t="str">
        <x:f>IF(G7&gt;=5,"Preferred",IF(G7&gt;=3,"Acceptable","Review"))</x:f>
        <x:v>Preferred</x:v>
      </x:c>
      <x:c r="K7" s="28" t="str">
        <x:v>Probability reduction + faster benefit capture</x:v>
      </x:c>
      <x:c r="L7" s="28" t="str">
        <x:v>Break-even metric = total investment ÷ cost of error</x:v>
      </x:c>
    </x:row>
    <x:row r="8">
      <x:c r="A8" s="28" t="str">
        <x:v>Capital Allocation &amp; Acquisition</x:v>
      </x:c>
      <x:c r="B8" s="28" t="str">
        <x:v>Downside</x:v>
      </x:c>
      <x:c r="C8" s="54" t="n">
        <x:f>'Assumptions'!D20*('Assumptions'!D21-'Assumptions'!D22)+'Assumptions'!D23+'Assumptions'!D26*'Assumptions'!D27+'Assumptions'!D24/365*'Assumptions'!D25+'Assumptions'!D28</x:f>
        <x:v>491626.7123287671</x:v>
      </x:c>
      <x:c r="D8" s="54" t="n">
        <x:f>'Assumptions'!D18+'Assumptions'!D19</x:f>
        <x:v>200000</x:v>
      </x:c>
      <x:c r="E8" s="54" t="n">
        <x:f>C8-D8</x:f>
        <x:v>291626.7123287671</x:v>
      </x:c>
      <x:c r="F8" s="144" t="n">
        <x:f>E8/D8</x:f>
        <x:v>1.4581335616438356</x:v>
      </x:c>
      <x:c r="G8" s="145" t="n">
        <x:f>C8/'Assumptions'!D18</x:f>
        <x:v>3.277511415525114</x:v>
      </x:c>
      <x:c r="H8" s="145" t="n">
        <x:f>'Assumptions'!D17/'Assumptions'!D18</x:f>
        <x:v>200</x:v>
      </x:c>
      <x:c r="I8" s="144" t="n">
        <x:f>D8/'Assumptions'!D20</x:f>
        <x:v>0.025</x:v>
      </x:c>
      <x:c r="J8" s="52" t="str">
        <x:f>IF(G8&gt;=5,"Preferred",IF(G8&gt;=3,"Acceptable","Review"))</x:f>
        <x:v>Acceptable</x:v>
      </x:c>
      <x:c r="K8" s="28" t="str">
        <x:v>Risk reduction + transaction terms + timing</x:v>
      </x:c>
      <x:c r="L8" s="28" t="str">
        <x:v>Break-even metric = total investment ÷ cost of impairment</x:v>
      </x:c>
    </x:row>
    <x:row r="9">
      <x:c r="A9" s="28" t="str">
        <x:v>Capital Allocation &amp; Acquisition</x:v>
      </x:c>
      <x:c r="B9" s="28" t="str">
        <x:v>Base</x:v>
      </x:c>
      <x:c r="C9" s="54" t="n">
        <x:f>'Assumptions'!E20*('Assumptions'!E21-'Assumptions'!E22)+'Assumptions'!E23+'Assumptions'!E26*'Assumptions'!E27+'Assumptions'!E24/365*'Assumptions'!E25+'Assumptions'!E28</x:f>
        <x:v>1553339.0410958903</x:v>
      </x:c>
      <x:c r="D9" s="54" t="n">
        <x:f>'Assumptions'!E18+'Assumptions'!E19</x:f>
        <x:v>200000</x:v>
      </x:c>
      <x:c r="E9" s="54" t="n">
        <x:f>C9-D9</x:f>
        <x:v>1353339.0410958903</x:v>
      </x:c>
      <x:c r="F9" s="144" t="n">
        <x:f>E9/D9</x:f>
        <x:v>6.766695205479452</x:v>
      </x:c>
      <x:c r="G9" s="145" t="n">
        <x:f>C9/'Assumptions'!E18</x:f>
        <x:v>10.355593607305936</x:v>
      </x:c>
      <x:c r="H9" s="145" t="n">
        <x:f>'Assumptions'!E17/'Assumptions'!E18</x:f>
        <x:v>200</x:v>
      </x:c>
      <x:c r="I9" s="144" t="n">
        <x:f>D9/'Assumptions'!E20</x:f>
        <x:v>0.025</x:v>
      </x:c>
      <x:c r="J9" s="52" t="str">
        <x:f>IF(G9&gt;=5,"Preferred",IF(G9&gt;=3,"Acceptable","Review"))</x:f>
        <x:v>Preferred</x:v>
      </x:c>
      <x:c r="K9" s="28" t="str">
        <x:v>Risk reduction + transaction terms + timing</x:v>
      </x:c>
      <x:c r="L9" s="28" t="str">
        <x:v>Break-even metric = total investment ÷ cost of impairment</x:v>
      </x:c>
    </x:row>
    <x:row r="10">
      <x:c r="A10" s="28" t="str">
        <x:v>Capital Allocation &amp; Acquisition</x:v>
      </x:c>
      <x:c r="B10" s="28" t="str">
        <x:v>Upside</x:v>
      </x:c>
      <x:c r="C10" s="54" t="n">
        <x:f>'Assumptions'!F20*('Assumptions'!F21-'Assumptions'!F22)+'Assumptions'!F23+'Assumptions'!F26*'Assumptions'!F27+'Assumptions'!F24/365*'Assumptions'!F25+'Assumptions'!F28</x:f>
        <x:v>2676678.0821917807</x:v>
      </x:c>
      <x:c r="D10" s="54" t="n">
        <x:f>'Assumptions'!F18+'Assumptions'!F19</x:f>
        <x:v>200000</x:v>
      </x:c>
      <x:c r="E10" s="54" t="n">
        <x:f>C10-D10</x:f>
        <x:v>2476678.0821917807</x:v>
      </x:c>
      <x:c r="F10" s="144" t="n">
        <x:f>E10/D10</x:f>
        <x:v>12.383390410958903</x:v>
      </x:c>
      <x:c r="G10" s="145" t="n">
        <x:f>C10/'Assumptions'!F18</x:f>
        <x:v>17.844520547945205</x:v>
      </x:c>
      <x:c r="H10" s="145" t="n">
        <x:f>'Assumptions'!F17/'Assumptions'!F18</x:f>
        <x:v>200</x:v>
      </x:c>
      <x:c r="I10" s="144" t="n">
        <x:f>D10/'Assumptions'!F20</x:f>
        <x:v>0.025</x:v>
      </x:c>
      <x:c r="J10" s="52" t="str">
        <x:f>IF(G10&gt;=5,"Preferred",IF(G10&gt;=3,"Acceptable","Review"))</x:f>
        <x:v>Preferred</x:v>
      </x:c>
      <x:c r="K10" s="28" t="str">
        <x:v>Risk reduction + transaction terms + timing</x:v>
      </x:c>
      <x:c r="L10" s="28" t="str">
        <x:v>Break-even metric = total investment ÷ cost of impairment</x:v>
      </x:c>
    </x:row>
    <x:row r="11">
      <x:c r="A11" s="28" t="str">
        <x:v>Three-Customer Commercial Proof Run</x:v>
      </x:c>
      <x:c r="B11" s="28" t="str">
        <x:v>Downside</x:v>
      </x:c>
      <x:c r="C11" s="54" t="n">
        <x:f>'Assumptions'!D33*(('Assumptions'!D36+'Assumptions'!D37)*'Assumptions'!D34*'Assumptions'!D35+'Assumptions'!D38*'Assumptions'!D39*'Assumptions'!D40*'Assumptions'!D41+'Assumptions'!D42*('Assumptions'!D34*(1-'Assumptions'!D35))*'Assumptions'!D43)+(1-'Assumptions'!D33)*('Assumptions'!D44*'Assumptions'!D45)</x:f>
        <x:v>282100</x:v>
      </x:c>
      <x:c r="D11" s="54" t="n">
        <x:f>'Assumptions'!D31+'Assumptions'!D32</x:f>
        <x:v>125000</x:v>
      </x:c>
      <x:c r="E11" s="54" t="n">
        <x:f>C11-D11</x:f>
        <x:v>157100</x:v>
      </x:c>
      <x:c r="F11" s="144" t="n">
        <x:f>E11/D11</x:f>
        <x:v>1.2568</x:v>
      </x:c>
      <x:c r="G11" s="145" t="n">
        <x:f>C11/'Assumptions'!D31</x:f>
        <x:v>2.821</x:v>
      </x:c>
      <x:c r="H11" s="145" t="n">
        <x:f>'Assumptions'!D30/'Assumptions'!D31</x:f>
        <x:v>10.5</x:v>
      </x:c>
      <x:c r="I11" s="145" t="n">
        <x:f>D11/'Assumptions'!D44</x:f>
        <x:v>0.7142857142857143</x:v>
      </x:c>
      <x:c r="J11" s="52" t="str">
        <x:f>IF(G11&gt;=5,"Preferred",IF(G11&gt;=3,"Acceptable","Review"))</x:f>
        <x:v>Review</x:v>
      </x:c>
      <x:c r="K11" s="28" t="str">
        <x:v>Paid proof threshold or avoided GTM burn</x:v>
      </x:c>
      <x:c r="L11" s="28" t="str">
        <x:v>Break-even metric = total investment ÷ monthly GTM burn</x:v>
      </x:c>
    </x:row>
    <x:row r="12">
      <x:c r="A12" s="28" t="str">
        <x:v>Three-Customer Commercial Proof Run</x:v>
      </x:c>
      <x:c r="B12" s="28" t="str">
        <x:v>Base</x:v>
      </x:c>
      <x:c r="C12" s="54" t="n">
        <x:f>'Assumptions'!E33*(('Assumptions'!E36+'Assumptions'!E37)*'Assumptions'!E34*'Assumptions'!E35+'Assumptions'!E38*'Assumptions'!E39*'Assumptions'!E40*'Assumptions'!E41+'Assumptions'!E42*('Assumptions'!E34*(1-'Assumptions'!E35))*'Assumptions'!E43)+(1-'Assumptions'!E33)*('Assumptions'!E44*'Assumptions'!E45)</x:f>
        <x:v>461255.99999999994</x:v>
      </x:c>
      <x:c r="D12" s="54" t="n">
        <x:f>'Assumptions'!E31+'Assumptions'!E32</x:f>
        <x:v>125000</x:v>
      </x:c>
      <x:c r="E12" s="54" t="n">
        <x:f>C12-D12</x:f>
        <x:v>336255.99999999994</x:v>
      </x:c>
      <x:c r="F12" s="144" t="n">
        <x:f>E12/D12</x:f>
        <x:v>2.6900479999999996</x:v>
      </x:c>
      <x:c r="G12" s="145" t="n">
        <x:f>C12/'Assumptions'!E31</x:f>
        <x:v>4.612559999999999</x:v>
      </x:c>
      <x:c r="H12" s="145" t="n">
        <x:f>'Assumptions'!E30/'Assumptions'!E31</x:f>
        <x:v>10.5</x:v>
      </x:c>
      <x:c r="I12" s="145" t="n">
        <x:f>D12/'Assumptions'!E44</x:f>
        <x:v>0.7142857142857143</x:v>
      </x:c>
      <x:c r="J12" s="52" t="str">
        <x:f>IF(G12&gt;=5,"Preferred",IF(G12&gt;=3,"Acceptable","Review"))</x:f>
        <x:v>Acceptable</x:v>
      </x:c>
      <x:c r="K12" s="28" t="str">
        <x:v>Paid proof threshold or avoided GTM burn</x:v>
      </x:c>
      <x:c r="L12" s="28" t="str">
        <x:v>Break-even metric = total investment ÷ monthly GTM burn</x:v>
      </x:c>
    </x:row>
    <x:row r="13">
      <x:c r="A13" s="28" t="str">
        <x:v>Three-Customer Commercial Proof Run</x:v>
      </x:c>
      <x:c r="B13" s="28" t="str">
        <x:v>Upside</x:v>
      </x:c>
      <x:c r="C13" s="54" t="n">
        <x:f>'Assumptions'!F33*(('Assumptions'!F36+'Assumptions'!F37)*'Assumptions'!F34*'Assumptions'!F35+'Assumptions'!F38*'Assumptions'!F39*'Assumptions'!F40*'Assumptions'!F41+'Assumptions'!F42*('Assumptions'!F34*(1-'Assumptions'!F35))*'Assumptions'!F43)+(1-'Assumptions'!F33)*('Assumptions'!F44*'Assumptions'!F45)</x:f>
        <x:v>538440</x:v>
      </x:c>
      <x:c r="D13" s="54" t="n">
        <x:f>'Assumptions'!F31+'Assumptions'!F32</x:f>
        <x:v>125000</x:v>
      </x:c>
      <x:c r="E13" s="54" t="n">
        <x:f>C13-D13</x:f>
        <x:v>413440</x:v>
      </x:c>
      <x:c r="F13" s="144" t="n">
        <x:f>E13/D13</x:f>
        <x:v>3.30752</x:v>
      </x:c>
      <x:c r="G13" s="145" t="n">
        <x:f>C13/'Assumptions'!F31</x:f>
        <x:v>5.3844</x:v>
      </x:c>
      <x:c r="H13" s="145" t="n">
        <x:f>'Assumptions'!F30/'Assumptions'!F31</x:f>
        <x:v>10.5</x:v>
      </x:c>
      <x:c r="I13" s="145" t="n">
        <x:f>D13/'Assumptions'!F44</x:f>
        <x:v>0.7142857142857143</x:v>
      </x:c>
      <x:c r="J13" s="52" t="str">
        <x:f>IF(G13&gt;=5,"Preferred",IF(G13&gt;=3,"Acceptable","Review"))</x:f>
        <x:v>Preferred</x:v>
      </x:c>
      <x:c r="K13" s="28" t="str">
        <x:v>Paid proof threshold or avoided GTM burn</x:v>
      </x:c>
      <x:c r="L13" s="28" t="str">
        <x:v>Break-even metric = total investment ÷ monthly GTM burn</x:v>
      </x:c>
    </x:row>
  </x:sheetData>
  <x:mergeCells>
    <x:mergeCell ref="A1:L1"/>
    <x:mergeCell ref="A2:L2"/>
  </x:mergeCells>
  <x:conditionalFormatting sqref="J5:J13">
    <x:cfRule type="expression" dxfId="0" priority="1">
      <x:formula>J5="Preferred"</x:formula>
    </x:cfRule>
    <x:cfRule type="expression" dxfId="1" priority="2">
      <x:formula>J5="Acceptable"</x:formula>
    </x:cfRule>
    <x:cfRule type="expression" dxfId="2" priority="3">
      <x:formula>J5="Review"</x:formula>
    </x:cfRule>
  </x:conditionalFormatting>
  <x:conditionalFormatting sqref="F5:F13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{A9A0F72C-DC17-9704-C509-2051A11C5CE8}</x14:id>
        </x:ext>
      </x:extLst>
    </x:cfRule>
    <x:cfRule type="dataBar" priority="6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{BADE0FB7-1149-66AB-2A17-8CD372D42A9F}</x14:id>
        </x:ext>
      </x:extLst>
    </x:cfRule>
  </x:conditionalFormatting>
  <x:conditionalFormatting sqref="G5:G13">
    <x:cfRule type="dataBar" priority="5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{BDC3E9F6-32B3-2ACC-3CC4-C5D4D9B24DDA}</x14:id>
        </x:ext>
      </x:extLst>
    </x:cfRule>
    <x:cfRule type="dataBar" priority="7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{39E83D08-844D-953D-A914-3ADEDC94154B}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9A0F72C-DC17-9704-C509-2051A11C5CE8}">
            <x14:dataBar gradient="1">
              <x14:cfvo type="min"/>
              <x14:cfvo type="max"/>
              <x14:fillColor rgb="FF156082"/>
            </x14:dataBar>
          </x14:cfRule>
          <x14:cfRule type="dataBar" priority="6" id="{BADE0FB7-1149-66AB-2A17-8CD372D42A9F}">
            <x14:dataBar gradient="1">
              <x14:cfvo type="min"/>
              <x14:cfvo type="max"/>
              <x14:fillColor rgb="FF156082"/>
            </x14:dataBar>
          </x14:cfRule>
          <xm:sqref>F5:F13</xm:sqref>
        </x14:conditionalFormatting>
        <x14:conditionalFormatting>
          <x14:cfRule type="dataBar" priority="5" id="{BDC3E9F6-32B3-2ACC-3CC4-C5D4D9B24DDA}">
            <x14:dataBar gradient="1">
              <x14:cfvo type="min"/>
              <x14:cfvo type="max"/>
              <x14:fillColor rgb="FF156082"/>
            </x14:dataBar>
          </x14:cfRule>
          <x14:cfRule type="dataBar" priority="7" id="{39E83D08-844D-953D-A914-3ADEDC94154B}">
            <x14:dataBar gradient="1">
              <x14:cfvo type="min"/>
              <x14:cfvo type="max"/>
              <x14:fillColor rgb="FF156082"/>
            </x14:dataBar>
          </x14:cfRule>
          <xm:sqref>G5:G13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23" hidden="0" customWidth="1"/>
    <x:col min="4" max="4" width="34" hidden="0" customWidth="1"/>
    <x:col min="5" max="5" width="20" hidden="0" customWidth="1"/>
    <x:col min="6" max="6" width="14" hidden="0" customWidth="1"/>
    <x:col min="7" max="7" width="11" hidden="0" customWidth="1"/>
    <x:col min="8" max="8" width="38" hidden="0" customWidth="1"/>
  </x:cols>
  <x:sheetData>
    <x:row r="1" ht="34" customHeight="1">
      <x:c r="A1" s="5" t="str">
        <x:v>Sources, Definitions and Claim Boundary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1" t="str">
        <x:v>This workbook is a decision-support model. It is not an audit, valuation opinion, legal opinion, fairness opinion, investment advice or evidence of realized customer outcomes.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18" t="str">
        <x:v>Topic</x:v>
      </x:c>
      <x:c r="B4" s="18" t="str">
        <x:v>Definition / source foundation</x:v>
      </x:c>
      <x:c r="C4" s="18" t="str">
        <x:v>Use in model</x:v>
      </x:c>
      <x:c r="D4" s="18" t="str">
        <x:v>Required before commercial use</x:v>
      </x:c>
      <x:c r="E4" s="18" t="str">
        <x:v>Owner</x:v>
      </x:c>
      <x:c r="F4" s="18" t="str">
        <x:v>Status</x:v>
      </x:c>
      <x:c r="G4" s="18" t="str">
        <x:v>Version</x:v>
      </x:c>
      <x:c r="H4" s="18" t="str">
        <x:v>Notes</x:v>
      </x:c>
    </x:row>
    <x:row r="5">
      <x:c r="A5" s="28" t="str">
        <x:v>GoalOS economic law</x:v>
      </x:c>
      <x:c r="B5" s="28" t="str">
        <x:v>Customers fund important objectives; proof unlocks value; Chronicle preserves only validated capability; reinvestment supports harder missions.</x:v>
      </x:c>
      <x:c r="C5" s="28" t="str">
        <x:v>Operating logic</x:v>
      </x:c>
      <x:c r="D5" s="28" t="str">
        <x:v>Confirm current GoalOS release and claim boundary</x:v>
      </x:c>
      <x:c r="E5" s="28" t="str">
        <x:v>MONTREAL.AI</x:v>
      </x:c>
      <x:c r="F5" s="28" t="str">
        <x:v>Reference</x:v>
      </x:c>
      <x:c r="G5" s="28" t="str">
        <x:v>v9.1.0</x:v>
      </x:c>
      <x:c r="H5" s="28" t="str">
        <x:v>Derived from GoalOS Autonomous Money Machine Ω documentation.</x:v>
      </x:c>
    </x:row>
    <x:row r="6">
      <x:c r="A6" s="28" t="str">
        <x:v>Mission Contract</x:v>
      </x:c>
      <x:c r="B6" s="28" t="str">
        <x:v>Frozen objective, sponsor, budget, deadline, scope, proof level, authority boundary and done condition.</x:v>
      </x:c>
      <x:c r="C6" s="28" t="str">
        <x:v>All use cases</x:v>
      </x:c>
      <x:c r="D6" s="28" t="str">
        <x:v>Signed sponsor confirmation</x:v>
      </x:c>
      <x:c r="E6" s="28" t="str">
        <x:v>Mission sponsor</x:v>
      </x:c>
      <x:c r="F6" s="28" t="str">
        <x:v>Required</x:v>
      </x:c>
      <x:c r="G6" s="28" t="str">
        <x:v>1.0</x:v>
      </x:c>
      <x:c r="H6" s="28" t="str">
        <x:v>No mission should begin without it.</x:v>
      </x:c>
    </x:row>
    <x:row r="7">
      <x:c r="A7" s="28" t="str">
        <x:v>Proof Debt</x:v>
      </x:c>
      <x:c r="B7" s="28" t="str">
        <x:v>Material claims that remain unsupported, contradictory, stale or untested.</x:v>
      </x:c>
      <x:c r="C7" s="28" t="str">
        <x:v>All use cases</x:v>
      </x:c>
      <x:c r="D7" s="28" t="str">
        <x:v>Claim register and evidence owners</x:v>
      </x:c>
      <x:c r="E7" s="28" t="str">
        <x:v>Mission lead</x:v>
      </x:c>
      <x:c r="F7" s="28" t="str">
        <x:v>Required</x:v>
      </x:c>
      <x:c r="G7" s="28" t="str">
        <x:v>1.0</x:v>
      </x:c>
      <x:c r="H7" s="28" t="str">
        <x:v>Proof Debt becomes explicit work.</x:v>
      </x:c>
    </x:row>
    <x:row r="8">
      <x:c r="A8" s="28" t="str">
        <x:v>Evidence Docket</x:v>
      </x:c>
      <x:c r="B8" s="28" t="str">
        <x:v>Inspectable package of sources, artifacts, tests, contradictions, uncertainty, validator findings and replay material.</x:v>
      </x:c>
      <x:c r="C8" s="28" t="str">
        <x:v>All use cases</x:v>
      </x:c>
      <x:c r="D8" s="28" t="str">
        <x:v>Evidence-access plan and retention policy</x:v>
      </x:c>
      <x:c r="E8" s="28" t="str">
        <x:v>Evidence lead</x:v>
      </x:c>
      <x:c r="F8" s="28" t="str">
        <x:v>Required</x:v>
      </x:c>
      <x:c r="G8" s="28" t="str">
        <x:v>1.0</x:v>
      </x:c>
      <x:c r="H8" s="28" t="str">
        <x:v>Confidential evidence must remain in approved systems.</x:v>
      </x:c>
    </x:row>
    <x:row r="9">
      <x:c r="A9" s="28" t="str">
        <x:v>Economic cost of error</x:v>
      </x:c>
      <x:c r="B9" s="28" t="str">
        <x:v>Reasonable estimate of avoidable loss, delayed value, wasted spend or foregone option value if the decision is wrong or late.</x:v>
      </x:c>
      <x:c r="C9" s="28" t="str">
        <x:v>Value model</x:v>
      </x:c>
      <x:c r="D9" s="28" t="str">
        <x:v>Sponsor-approved calculation</x:v>
      </x:c>
      <x:c r="E9" s="28" t="str">
        <x:v>CFO / sponsor</x:v>
      </x:c>
      <x:c r="F9" s="28" t="str">
        <x:v>Required</x:v>
      </x:c>
      <x:c r="G9" s="28" t="str">
        <x:v>1.0</x:v>
      </x:c>
      <x:c r="H9" s="28" t="str">
        <x:v>Do not hide noncash or speculative components.</x:v>
      </x:c>
    </x:row>
    <x:row r="10">
      <x:c r="A10" s="28" t="str">
        <x:v>Probability estimates</x:v>
      </x:c>
      <x:c r="B10" s="28" t="str">
        <x:v>Management estimates used to risk-adjust avoided loss and pass/fail outcomes.</x:v>
      </x:c>
      <x:c r="C10" s="28" t="str">
        <x:v>Sensitivity model</x:v>
      </x:c>
      <x:c r="D10" s="28" t="str">
        <x:v>Document basis, range and reviewer challenge</x:v>
      </x:c>
      <x:c r="E10" s="28" t="str">
        <x:v>Risk owner</x:v>
      </x:c>
      <x:c r="F10" s="28" t="str">
        <x:v>Illustrative</x:v>
      </x:c>
      <x:c r="G10" s="28" t="str">
        <x:v>1.0</x:v>
      </x:c>
      <x:c r="H10" s="28" t="str">
        <x:v>Replace with empirical or expert-calibrated estimates where possible.</x:v>
      </x:c>
    </x:row>
    <x:row r="11">
      <x:c r="A11" s="28" t="str">
        <x:v>Reusable capability value</x:v>
      </x:c>
      <x:c r="B11" s="28" t="str">
        <x:v>Scoped future value of validated tests, workflows, evidence structures and delivery methods.</x:v>
      </x:c>
      <x:c r="C11" s="28" t="str">
        <x:v>Value bridge</x:v>
      </x:c>
      <x:c r="D11" s="28" t="str">
        <x:v>Chronicle admission, version, exclusions and freshness date</x:v>
      </x:c>
      <x:c r="E11" s="28" t="str">
        <x:v>Capability owner</x:v>
      </x:c>
      <x:c r="F11" s="28" t="str">
        <x:v>Illustrative</x:v>
      </x:c>
      <x:c r="G11" s="28" t="str">
        <x:v>1.0</x:v>
      </x:c>
      <x:c r="H11" s="28" t="str">
        <x:v>Never count unvalidated work as an asset.</x:v>
      </x:c>
    </x:row>
    <x:row r="12">
      <x:c r="A12" s="28" t="str">
        <x:v>GoalOS fees</x:v>
      </x:c>
      <x:c r="B12" s="28" t="str">
        <x:v>Illustrative commercial assumptions for the modeled engagements.</x:v>
      </x:c>
      <x:c r="C12" s="28" t="str">
        <x:v>Investment model</x:v>
      </x:c>
      <x:c r="D12" s="28" t="str">
        <x:v>Final statement of work and approved pricing</x:v>
      </x:c>
      <x:c r="E12" s="28" t="str">
        <x:v>Commercial owner</x:v>
      </x:c>
      <x:c r="F12" s="28" t="str">
        <x:v>Illustrative</x:v>
      </x:c>
      <x:c r="G12" s="28" t="str">
        <x:v>1.0</x:v>
      </x:c>
      <x:c r="H12" s="28" t="str">
        <x:v>Fees are not market guarantees.</x:v>
      </x:c>
    </x:row>
    <x:row r="13">
      <x:c r="A13" s="28" t="str">
        <x:v>Customer outcomes</x:v>
      </x:c>
      <x:c r="B13" s="28" t="str">
        <x:v>Actual decision, deployment, negotiation, revenue, margin, savings or avoided-loss results.</x:v>
      </x:c>
      <x:c r="C13" s="28" t="str">
        <x:v>Post-mission proof</x:v>
      </x:c>
      <x:c r="D13" s="28" t="str">
        <x:v>Independent validation where appropriate</x:v>
      </x:c>
      <x:c r="E13" s="28" t="str">
        <x:v>Outcome owner</x:v>
      </x:c>
      <x:c r="F13" s="28" t="str">
        <x:v>Not included</x:v>
      </x:c>
      <x:c r="G13" s="28" t="str">
        <x:v>1.0</x:v>
      </x:c>
      <x:c r="H13" s="28" t="str">
        <x:v>Model values are not customer evidence.</x:v>
      </x:c>
    </x:row>
    <x:row r="14">
      <x:c r="A14" s="28" t="str">
        <x:v>Legal and professional boundary</x:v>
      </x:c>
      <x:c r="B14" s="28" t="str">
        <x:v>GoalOS outputs are decision support and do not replace legal, financial, tax, regulatory, cybersecurity or other professional advice.</x:v>
      </x:c>
      <x:c r="C14" s="28" t="str">
        <x:v>All outputs</x:v>
      </x:c>
      <x:c r="D14" s="28" t="str">
        <x:v>Counsel and professional review for actual engagement</x:v>
      </x:c>
      <x:c r="E14" s="28" t="str">
        <x:v>Operator</x:v>
      </x:c>
      <x:c r="F14" s="28" t="str">
        <x:v>Required</x:v>
      </x:c>
      <x:c r="G14" s="28" t="str">
        <x:v>1.0</x:v>
      </x:c>
      <x:c r="H14" s="28" t="str">
        <x:v>Use qualified advisers for regulated or fiduciary decisions.</x:v>
      </x:c>
    </x:row>
  </x:sheetData>
  <x:mergeCells>
    <x:mergeCell ref="A1:H1"/>
    <x:mergeCell ref="A2:H2"/>
  </x:mergeCells>
  <x:conditionalFormatting sqref="F5:F14">
    <x:cfRule type="expression" dxfId="3" priority="1">
      <x:formula>F5="Required"</x:formula>
    </x:cfRule>
    <x:cfRule type="expression" dxfId="4" priority="2">
      <x:formula>F5="Illustrative"</x:formula>
    </x:cfRule>
    <x:cfRule type="expression" dxfId="5" priority="3">
      <x:formula>F5="Reference"</x:formula>
    </x:cfRule>
  </x:conditionalFormatting>
  <x:pageMargins left="0.7" right="0.7" top="0.75" bottom="0.75" header="0.3" footer="0.3"/>
</x:worksheet>
</file>