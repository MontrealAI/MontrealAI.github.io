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1.xml" ContentType="application/vnd.openxmlformats-officedocument.spreadsheetml.table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82eaa119254c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Dashboard" sheetId="1" r:id="R9552cda7c4fe4626"/>
    <x:sheet xmlns:r="http://schemas.openxmlformats.org/officeDocument/2006/relationships" name="Assumptions" sheetId="2" r:id="R1d5a468a7bc34480"/>
    <x:sheet xmlns:r="http://schemas.openxmlformats.org/officeDocument/2006/relationships" name="36-Month Model" sheetId="3" r:id="Rbf51d13ac69b4de5"/>
    <x:sheet xmlns:r="http://schemas.openxmlformats.org/officeDocument/2006/relationships" name="Unit Economics" sheetId="4" r:id="Rc5dda3948ad740c4"/>
    <x:sheet xmlns:r="http://schemas.openxmlformats.org/officeDocument/2006/relationships" name="Commercial Proof 001" sheetId="5" r:id="Rbd22cc095dd84c7b"/>
    <x:sheet xmlns:r="http://schemas.openxmlformats.org/officeDocument/2006/relationships" name="Capital Plan" sheetId="6" r:id="Ra0749d6f46814107"/>
    <x:sheet xmlns:r="http://schemas.openxmlformats.org/officeDocument/2006/relationships" name="Scale Readiness" sheetId="7" r:id="R8e012e65fc714b38"/>
    <x:sheet xmlns:r="http://schemas.openxmlformats.org/officeDocument/2006/relationships" name="Hiring Plan" sheetId="8" r:id="R0288f3d7441a4ff8"/>
    <x:sheet xmlns:r="http://schemas.openxmlformats.org/officeDocument/2006/relationships" name="Sources &amp; Notes" sheetId="9" r:id="Rf3c2b1c615364808"/>
    <x:sheet xmlns:r="http://schemas.openxmlformats.org/officeDocument/2006/relationships" name="Lists" sheetId="10" r:id="R575e64c5c51742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%"/>
    <x:numFmt numFmtId="201" formatCode="$#,##0"/>
    <x:numFmt numFmtId="202" formatCode="0.00"/>
    <x:numFmt numFmtId="203" formatCode="0.0"/>
    <x:numFmt numFmtId="204" formatCode="0.0x"/>
  </x:numFmts>
  <x:fonts count="13">
    <x:font>
      <x:sz val="11"/>
      <x:name val="Carlito"/>
    </x:font>
    <x:font>
      <x:b/>
      <x:sz val="11"/>
      <x:color rgb="FFFFFFFF"/>
      <x:name val="Carlito"/>
    </x:font>
    <x:font>
      <x:b/>
      <x:sz val="20"/>
      <x:color rgb="FFFFFFFF"/>
      <x:name val="Carlito"/>
    </x:font>
    <x:font>
      <x:sz val="11"/>
      <x:color rgb="FF2E6B9A"/>
      <x:name val="Carlito"/>
    </x:font>
    <x:font>
      <x:b/>
      <x:sz val="11"/>
      <x:color rgb="FF0B213B"/>
      <x:name val="Carlito"/>
    </x:font>
    <x:font>
      <x:b/>
      <x:sz val="21"/>
      <x:color rgb="FFFFFFFF"/>
      <x:name val="Carlito"/>
    </x:font>
    <x:font>
      <x:b/>
      <x:sz val="11"/>
      <x:color rgb="FF14253A"/>
      <x:name val="Carlito"/>
    </x:font>
    <x:font>
      <x:b/>
      <x:sz val="11"/>
      <x:color rgb="FFE7CC8D"/>
      <x:name val="Carlito"/>
    </x:font>
    <x:font>
      <x:b/>
      <x:sz val="12"/>
      <x:color rgb="FF0B213B"/>
      <x:name val="Carlito"/>
    </x:font>
    <x:font>
      <x:b/>
      <x:sz val="9"/>
      <x:color rgb="FF14253A"/>
      <x:name val="Aptos"/>
    </x:font>
    <x:font>
      <x:sz val="9"/>
      <x:color rgb="FF14253A"/>
      <x:name val="Aptos"/>
    </x:font>
    <x:font>
      <x:b/>
      <x:sz val="21"/>
      <x:color rgb="FFFFFFFF"/>
      <x:name val="Georgia"/>
    </x:font>
    <x:font>
      <x:b/>
      <x:sz val="20"/>
      <x:color rgb="FFFFFFFF"/>
      <x:name val="Georgia"/>
    </x:font>
  </x:fonts>
  <x:fills count="9">
    <x:fill>
      <x:patternFill patternType="none"/>
    </x:fill>
    <x:fill>
      <x:patternFill patternType="gray125"/>
    </x:fill>
    <x:fill>
      <x:patternFill patternType="solid">
        <x:fgColor rgb="FF0B213B"/>
      </x:patternFill>
    </x:fill>
    <x:fill>
      <x:patternFill patternType="solid">
        <x:fgColor rgb="FFEEF4FA"/>
      </x:patternFill>
    </x:fill>
    <x:fill>
      <x:patternFill patternType="solid">
        <x:fgColor rgb="FFFCF8EF"/>
      </x:patternFill>
    </x:fill>
    <x:fill>
      <x:patternFill patternType="solid">
        <x:fgColor rgb="FFB8872E"/>
      </x:patternFill>
    </x:fill>
    <x:fill>
      <x:patternFill patternType="solid">
        <x:fgColor rgb="FFF4EBDD"/>
      </x:patternFill>
    </x:fill>
    <x:fill>
      <x:patternFill patternType="solid">
        <x:fgColor rgb="FFFFFFFF"/>
      </x:patternFill>
    </x:fill>
    <x:fill>
      <x:patternFill patternType="solid">
        <x:fgColor rgb="FFEEF5FA"/>
      </x:patternFill>
    </x:fill>
  </x:fills>
  <x:borders count="46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right/>
      <x:top/>
    </x:border>
    <x:border>
      <x:left/>
      <x:right/>
    </x:border>
    <x:border>
      <x:left/>
      <x:right/>
      <x:bottom/>
    </x:border>
    <x:border>
      <x:left/>
      <x:right/>
      <x:top/>
    </x:border>
    <x:border>
      <x:left/>
      <x:right/>
    </x:border>
    <x:border>
      <x:left/>
      <x:right/>
      <x:bottom/>
    </x:border>
    <x:border>
      <x:left/>
      <x:right/>
      <x:top/>
    </x:border>
    <x:border>
      <x:left/>
      <x:right/>
    </x:border>
    <x:border>
      <x:left/>
      <x:right/>
      <x:bottom/>
    </x:border>
    <x:border>
      <x:left/>
      <x:right/>
      <x:top/>
    </x:border>
    <x:border>
      <x:left/>
      <x:right/>
    </x:border>
    <x:border>
      <x:left/>
      <x:right/>
      <x:bottom/>
    </x:border>
    <x:border>
      <x:top/>
    </x:border>
    <x:border>
      <x:bottom/>
    </x:border>
    <x:border>
      <x:top/>
    </x:border>
    <x:border>
      <x:bottom/>
    </x:border>
  </x:borders>
  <x:cellStyleXfs count="1">
    <x:xf numFmtId="0" fontId="0" fillId="0" borderId="0"/>
  </x:cellStyleXfs>
  <x:cellXfs count="59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6" xfId="0" applyNumberFormat="1" applyFont="1" applyFill="1" applyBorder="1"/>
    <x:xf numFmtId="0" fontId="3" fillId="3" borderId="7" xfId="0" applyNumberFormat="1" applyFont="1" applyFill="1" applyBorder="1"/>
    <x:xf numFmtId="0" fontId="3" fillId="3" borderId="8" xfId="0" applyNumberFormat="1" applyFont="1" applyFill="1" applyBorder="1"/>
    <x:xf numFmtId="0" fontId="3" fillId="3" borderId="9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3" fillId="3" borderId="14" xfId="0" applyNumberFormat="1" applyFont="1" applyFill="1" applyBorder="1"/>
    <x:xf numFmtId="0" fontId="3" fillId="3" borderId="15" xfId="0" applyNumberFormat="1" applyFont="1" applyFill="1" applyBorder="1"/>
    <x:xf numFmtId="0" fontId="3" fillId="3" borderId="16" xfId="0" applyNumberFormat="1" applyFont="1" applyFill="1" applyBorder="1"/>
    <x:xf numFmtId="0" fontId="3" fillId="3" borderId="17" xfId="0" applyNumberFormat="1" applyFont="1" applyFill="1" applyBorder="1"/>
    <x:xf numFmtId="200" fontId="3" fillId="3" borderId="5" xfId="0" applyNumberFormat="1" applyFont="1" applyFill="1" applyBorder="1"/>
    <x:xf numFmtId="200" fontId="3" fillId="3" borderId="0" xfId="0" applyNumberFormat="1" applyFont="1" applyFill="1" applyBorder="1"/>
    <x:xf numFmtId="200" fontId="3" fillId="3" borderId="6" xfId="0" applyNumberFormat="1" applyFont="1" applyFill="1" applyBorder="1"/>
    <x:xf numFmtId="200" fontId="3" fillId="3" borderId="13" xfId="0" applyNumberFormat="1" applyFont="1" applyFill="1" applyBorder="1"/>
    <x:xf numFmtId="200" fontId="3" fillId="3" borderId="1" xfId="0" applyNumberFormat="1" applyFont="1" applyFill="1" applyBorder="1"/>
    <x:xf numFmtId="200" fontId="3" fillId="3" borderId="14" xfId="0" applyNumberFormat="1" applyFont="1" applyFill="1" applyBorder="1"/>
    <x:xf numFmtId="200" fontId="3" fillId="3" borderId="7" xfId="0" applyNumberFormat="1" applyFont="1" applyFill="1" applyBorder="1"/>
    <x:xf numFmtId="200" fontId="3" fillId="3" borderId="8" xfId="0" applyNumberFormat="1" applyFont="1" applyFill="1" applyBorder="1"/>
    <x:xf numFmtId="200" fontId="3" fillId="3" borderId="9" xfId="0" applyNumberFormat="1" applyFont="1" applyFill="1" applyBorder="1"/>
    <x:xf numFmtId="200" fontId="3" fillId="3" borderId="15" xfId="0" applyNumberFormat="1" applyFont="1" applyFill="1" applyBorder="1"/>
    <x:xf numFmtId="200" fontId="3" fillId="3" borderId="16" xfId="0" applyNumberFormat="1" applyFont="1" applyFill="1" applyBorder="1"/>
    <x:xf numFmtId="200" fontId="3" fillId="3" borderId="17" xfId="0" applyNumberFormat="1" applyFont="1" applyFill="1" applyBorder="1"/>
    <x:xf numFmtId="201" fontId="3" fillId="3" borderId="5" xfId="0" applyNumberFormat="1" applyFont="1" applyFill="1" applyBorder="1"/>
    <x:xf numFmtId="201" fontId="3" fillId="3" borderId="0" xfId="0" applyNumberFormat="1" applyFont="1" applyFill="1" applyBorder="1"/>
    <x:xf numFmtId="201" fontId="3" fillId="3" borderId="6" xfId="0" applyNumberFormat="1" applyFont="1" applyFill="1" applyBorder="1"/>
    <x:xf numFmtId="201" fontId="3" fillId="3" borderId="13" xfId="0" applyNumberFormat="1" applyFont="1" applyFill="1" applyBorder="1"/>
    <x:xf numFmtId="201" fontId="3" fillId="3" borderId="1" xfId="0" applyNumberFormat="1" applyFont="1" applyFill="1" applyBorder="1"/>
    <x:xf numFmtId="201" fontId="3" fillId="3" borderId="14" xfId="0" applyNumberFormat="1" applyFont="1" applyFill="1" applyBorder="1"/>
    <x:xf numFmtId="0" fontId="0" fillId="4" borderId="0" xfId="0" applyNumberFormat="1" applyFont="1" applyFill="1" applyBorder="1"/>
    <x:xf numFmtId="0" fontId="0" fillId="4" borderId="18" xfId="0" applyNumberFormat="1" applyFont="1" applyFill="1" applyBorder="1"/>
    <x:xf numFmtId="0" fontId="0" fillId="4" borderId="19" xfId="0" applyNumberFormat="1" applyFont="1" applyFill="1" applyBorder="1"/>
    <x:xf numFmtId="0" fontId="0" fillId="4" borderId="20" xfId="0" applyNumberFormat="1" applyFont="1" applyFill="1" applyBorder="1"/>
    <x:xf numFmtId="0" fontId="0" fillId="4" borderId="21" xfId="0" applyNumberFormat="1" applyFont="1" applyFill="1" applyBorder="1"/>
    <x:xf numFmtId="0" fontId="0" fillId="4" borderId="22" xfId="0" applyNumberFormat="1" applyFont="1" applyFill="1" applyBorder="1"/>
    <x:xf numFmtId="0" fontId="0" fillId="4" borderId="23" xfId="0" applyNumberFormat="1" applyFont="1" applyFill="1" applyBorder="1"/>
    <x:xf numFmtId="0" fontId="0" fillId="4" borderId="1" xfId="0" applyNumberFormat="1" applyFont="1" applyFill="1" applyBorder="1"/>
    <x:xf numFmtId="0" fontId="0" fillId="4" borderId="24" xfId="0" applyNumberFormat="1" applyFont="1" applyFill="1" applyBorder="1"/>
    <x:xf numFmtId="0" fontId="0" fillId="4" borderId="25" xfId="0" applyNumberFormat="1" applyFont="1" applyFill="1" applyBorder="1"/>
    <x:xf numFmtId="0" fontId="0" fillId="4" borderId="26" xfId="0" applyNumberFormat="1" applyFont="1" applyFill="1" applyBorder="1"/>
    <x:xf numFmtId="0" fontId="0" fillId="4" borderId="27" xfId="0" applyNumberFormat="1" applyFont="1" applyFill="1" applyBorder="1"/>
    <x:xf numFmtId="0" fontId="0" fillId="4" borderId="28" xfId="0" applyNumberFormat="1" applyFont="1" applyFill="1" applyBorder="1"/>
    <x:xf numFmtId="0" fontId="0" fillId="4" borderId="29" xfId="0" applyNumberFormat="1" applyFont="1" applyFill="1" applyBorder="1"/>
    <x:xf numFmtId="202" fontId="0" fillId="4" borderId="19" xfId="0" applyNumberFormat="1" applyFont="1" applyFill="1" applyBorder="1"/>
    <x:xf numFmtId="202" fontId="0" fillId="4" borderId="21" xfId="0" applyNumberFormat="1" applyFont="1" applyFill="1" applyBorder="1"/>
    <x:xf numFmtId="202" fontId="0" fillId="4" borderId="23" xfId="0" applyNumberFormat="1" applyFont="1" applyFill="1" applyBorder="1"/>
    <x:xf numFmtId="202" fontId="0" fillId="4" borderId="25" xfId="0" applyNumberFormat="1" applyFont="1" applyFill="1" applyBorder="1"/>
    <x:xf numFmtId="202" fontId="0" fillId="4" borderId="27" xfId="0" applyNumberFormat="1" applyFont="1" applyFill="1" applyBorder="1"/>
    <x:xf numFmtId="202" fontId="0" fillId="4" borderId="29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1" fontId="0" fillId="3" borderId="0" xfId="0" applyNumberFormat="1" applyFont="1" applyFill="1" applyBorder="1"/>
    <x:xf numFmtId="200" fontId="0" fillId="3" borderId="0" xfId="0" applyNumberFormat="1" applyFont="1" applyFill="1" applyBorder="1"/>
    <x:xf numFmtId="204" fontId="0" fillId="3" borderId="0" xfId="0" applyNumberFormat="1" applyFont="1" applyFill="1" applyBorder="1"/>
    <x:xf numFmtId="204" fontId="3" fillId="3" borderId="0" xfId="0" applyNumberFormat="1" applyFont="1" applyFill="1" applyBorder="1"/>
    <x:xf numFmtId="201" fontId="3" fillId="3" borderId="2" xfId="0" applyNumberFormat="1" applyFont="1" applyFill="1" applyBorder="1"/>
    <x:xf numFmtId="200" fontId="3" fillId="3" borderId="3" xfId="0" applyNumberFormat="1" applyFont="1" applyFill="1" applyBorder="1"/>
    <x:xf numFmtId="201" fontId="3" fillId="3" borderId="3" xfId="0" applyNumberFormat="1" applyFont="1" applyFill="1" applyBorder="1"/>
    <x:xf numFmtId="204" fontId="3" fillId="3" borderId="4" xfId="0" applyNumberFormat="1" applyFont="1" applyFill="1" applyBorder="1"/>
    <x:xf numFmtId="204" fontId="3" fillId="3" borderId="6" xfId="0" applyNumberFormat="1" applyFont="1" applyFill="1" applyBorder="1"/>
    <x:xf numFmtId="201" fontId="3" fillId="3" borderId="7" xfId="0" applyNumberFormat="1" applyFont="1" applyFill="1" applyBorder="1"/>
    <x:xf numFmtId="201" fontId="3" fillId="3" borderId="8" xfId="0" applyNumberFormat="1" applyFont="1" applyFill="1" applyBorder="1"/>
    <x:xf numFmtId="204" fontId="3" fillId="3" borderId="9" xfId="0" applyNumberFormat="1" applyFont="1" applyFill="1" applyBorder="1"/>
    <x:xf numFmtId="201" fontId="0" fillId="3" borderId="1" xfId="0" applyNumberFormat="1" applyFont="1" applyFill="1" applyBorder="1"/>
    <x:xf numFmtId="200" fontId="0" fillId="3" borderId="1" xfId="0" applyNumberFormat="1" applyFont="1" applyFill="1" applyBorder="1"/>
    <x:xf numFmtId="204" fontId="0" fillId="3" borderId="1" xfId="0" applyNumberFormat="1" applyFont="1" applyFill="1" applyBorder="1"/>
    <x:xf numFmtId="204" fontId="3" fillId="3" borderId="1" xfId="0" applyNumberFormat="1" applyFont="1" applyFill="1" applyBorder="1"/>
    <x:xf numFmtId="201" fontId="3" fillId="3" borderId="10" xfId="0" applyNumberFormat="1" applyFont="1" applyFill="1" applyBorder="1"/>
    <x:xf numFmtId="200" fontId="3" fillId="3" borderId="11" xfId="0" applyNumberFormat="1" applyFont="1" applyFill="1" applyBorder="1"/>
    <x:xf numFmtId="201" fontId="3" fillId="3" borderId="11" xfId="0" applyNumberFormat="1" applyFont="1" applyFill="1" applyBorder="1"/>
    <x:xf numFmtId="204" fontId="3" fillId="3" borderId="12" xfId="0" applyNumberFormat="1" applyFont="1" applyFill="1" applyBorder="1"/>
    <x:xf numFmtId="204" fontId="3" fillId="3" borderId="14" xfId="0" applyNumberFormat="1" applyFont="1" applyFill="1" applyBorder="1"/>
    <x:xf numFmtId="201" fontId="3" fillId="3" borderId="15" xfId="0" applyNumberFormat="1" applyFont="1" applyFill="1" applyBorder="1"/>
    <x:xf numFmtId="201" fontId="3" fillId="3" borderId="16" xfId="0" applyNumberFormat="1" applyFont="1" applyFill="1" applyBorder="1"/>
    <x:xf numFmtId="204" fontId="3" fillId="3" borderId="17" xfId="0" applyNumberFormat="1" applyFont="1" applyFill="1" applyBorder="1"/>
    <x:xf numFmtId="0" fontId="3" fillId="3" borderId="30" xfId="0" applyNumberFormat="1" applyFont="1" applyFill="1" applyBorder="1"/>
    <x:xf numFmtId="0" fontId="3" fillId="3" borderId="31" xfId="0" applyNumberFormat="1" applyFont="1" applyFill="1" applyBorder="1"/>
    <x:xf numFmtId="0" fontId="3" fillId="3" borderId="32" xfId="0" applyNumberFormat="1" applyFont="1" applyFill="1" applyBorder="1"/>
    <x:xf numFmtId="0" fontId="3" fillId="3" borderId="33" xfId="0" applyNumberFormat="1" applyFont="1" applyFill="1" applyBorder="1"/>
    <x:xf numFmtId="0" fontId="3" fillId="3" borderId="34" xfId="0" applyNumberFormat="1" applyFont="1" applyFill="1" applyBorder="1"/>
    <x:xf numFmtId="0" fontId="3" fillId="3" borderId="35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36" xfId="0" applyNumberFormat="1" applyFont="1" applyFill="1" applyBorder="1"/>
    <x:xf numFmtId="0" fontId="6" fillId="6" borderId="37" xfId="0" applyNumberFormat="1" applyFont="1" applyFill="1" applyBorder="1"/>
    <x:xf numFmtId="0" fontId="6" fillId="6" borderId="38" xfId="0" applyNumberFormat="1" applyFont="1" applyFill="1" applyBorder="1"/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39" xfId="0" applyNumberFormat="1" applyFont="1" applyFill="1" applyBorder="1"/>
    <x:xf numFmtId="0" fontId="6" fillId="6" borderId="40" xfId="0" applyNumberFormat="1" applyFont="1" applyFill="1" applyBorder="1"/>
    <x:xf numFmtId="0" fontId="6" fillId="6" borderId="41" xfId="0" applyNumberFormat="1" applyFont="1" applyFill="1" applyBorder="1"/>
    <x:xf numFmtId="0" fontId="0" fillId="7" borderId="0" xfId="0" applyNumberFormat="1" applyFont="1" applyFill="1" applyBorder="1"/>
    <x:xf numFmtId="0" fontId="0" fillId="7" borderId="18" xfId="0" applyNumberFormat="1" applyFont="1" applyFill="1" applyBorder="1"/>
    <x:xf numFmtId="0" fontId="0" fillId="7" borderId="19" xfId="0" applyNumberFormat="1" applyFont="1" applyFill="1" applyBorder="1"/>
    <x:xf numFmtId="0" fontId="0" fillId="7" borderId="20" xfId="0" applyNumberFormat="1" applyFont="1" applyFill="1" applyBorder="1"/>
    <x:xf numFmtId="0" fontId="0" fillId="7" borderId="21" xfId="0" applyNumberFormat="1" applyFont="1" applyFill="1" applyBorder="1"/>
    <x:xf numFmtId="0" fontId="0" fillId="7" borderId="22" xfId="0" applyNumberFormat="1" applyFont="1" applyFill="1" applyBorder="1"/>
    <x:xf numFmtId="0" fontId="0" fillId="7" borderId="23" xfId="0" applyNumberFormat="1" applyFont="1" applyFill="1" applyBorder="1"/>
    <x:xf numFmtId="0" fontId="0" fillId="7" borderId="18" xfId="0" applyNumberFormat="1" applyFont="1" applyFill="1" applyBorder="1" applyAlignment="1">
      <x:alignment horizontal="center"/>
    </x:xf>
    <x:xf numFmtId="0" fontId="0" fillId="7" borderId="19" xfId="0" applyNumberFormat="1" applyFont="1" applyFill="1" applyBorder="1" applyAlignment="1">
      <x:alignment horizontal="center"/>
    </x:xf>
    <x:xf numFmtId="0" fontId="0" fillId="7" borderId="20" xfId="0" applyNumberFormat="1" applyFont="1" applyFill="1" applyBorder="1" applyAlignment="1">
      <x:alignment horizontal="center"/>
    </x:xf>
    <x:xf numFmtId="0" fontId="0" fillId="7" borderId="21" xfId="0" applyNumberFormat="1" applyFont="1" applyFill="1" applyBorder="1" applyAlignment="1">
      <x:alignment horizontal="center"/>
    </x:xf>
    <x:xf numFmtId="0" fontId="0" fillId="7" borderId="22" xfId="0" applyNumberFormat="1" applyFont="1" applyFill="1" applyBorder="1" applyAlignment="1">
      <x:alignment horizontal="center"/>
    </x:xf>
    <x:xf numFmtId="0" fontId="0" fillId="7" borderId="23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0" fillId="7" borderId="24" xfId="0" applyNumberFormat="1" applyFont="1" applyFill="1" applyBorder="1"/>
    <x:xf numFmtId="0" fontId="0" fillId="7" borderId="25" xfId="0" applyNumberFormat="1" applyFont="1" applyFill="1" applyBorder="1"/>
    <x:xf numFmtId="0" fontId="0" fillId="7" borderId="26" xfId="0" applyNumberFormat="1" applyFont="1" applyFill="1" applyBorder="1"/>
    <x:xf numFmtId="0" fontId="0" fillId="7" borderId="27" xfId="0" applyNumberFormat="1" applyFont="1" applyFill="1" applyBorder="1"/>
    <x:xf numFmtId="0" fontId="0" fillId="7" borderId="28" xfId="0" applyNumberFormat="1" applyFont="1" applyFill="1" applyBorder="1"/>
    <x:xf numFmtId="0" fontId="0" fillId="7" borderId="29" xfId="0" applyNumberFormat="1" applyFont="1" applyFill="1" applyBorder="1"/>
    <x:xf numFmtId="0" fontId="0" fillId="7" borderId="24" xfId="0" applyNumberFormat="1" applyFont="1" applyFill="1" applyBorder="1" applyAlignment="1">
      <x:alignment horizontal="center"/>
    </x:xf>
    <x:xf numFmtId="0" fontId="0" fillId="7" borderId="25" xfId="0" applyNumberFormat="1" applyFont="1" applyFill="1" applyBorder="1" applyAlignment="1">
      <x:alignment horizontal="center"/>
    </x:xf>
    <x:xf numFmtId="0" fontId="0" fillId="7" borderId="26" xfId="0" applyNumberFormat="1" applyFont="1" applyFill="1" applyBorder="1" applyAlignment="1">
      <x:alignment horizontal="center"/>
    </x:xf>
    <x:xf numFmtId="0" fontId="0" fillId="7" borderId="27" xfId="0" applyNumberFormat="1" applyFont="1" applyFill="1" applyBorder="1" applyAlignment="1">
      <x:alignment horizontal="center"/>
    </x:xf>
    <x:xf numFmtId="0" fontId="0" fillId="7" borderId="28" xfId="0" applyNumberFormat="1" applyFont="1" applyFill="1" applyBorder="1" applyAlignment="1">
      <x:alignment horizontal="center"/>
    </x:xf>
    <x:xf numFmtId="0" fontId="0" fillId="7" borderId="29" xfId="0" applyNumberFormat="1" applyFont="1" applyFill="1" applyBorder="1" applyAlignment="1">
      <x:alignment horizontal="center"/>
    </x:xf>
    <x:xf numFmtId="201" fontId="0" fillId="7" borderId="20" xfId="0" applyNumberFormat="1" applyFont="1" applyFill="1" applyBorder="1"/>
    <x:xf numFmtId="201" fontId="0" fillId="7" borderId="26" xfId="0" applyNumberFormat="1" applyFont="1" applyFill="1" applyBorder="1"/>
    <x:xf numFmtId="0" fontId="7" fillId="2" borderId="0" xfId="0" applyNumberFormat="1" applyFont="1" applyFill="1" applyBorder="1"/>
    <x:xf numFmtId="0" fontId="7" fillId="2" borderId="36" xfId="0" applyNumberFormat="1" applyFont="1" applyFill="1" applyBorder="1"/>
    <x:xf numFmtId="0" fontId="7" fillId="2" borderId="37" xfId="0" applyNumberFormat="1" applyFont="1" applyFill="1" applyBorder="1"/>
    <x:xf numFmtId="0" fontId="7" fillId="2" borderId="38" xfId="0" applyNumberFormat="1" applyFont="1" applyFill="1" applyBorder="1"/>
    <x:xf numFmtId="0" fontId="7" fillId="2" borderId="36" xfId="0" applyNumberFormat="1" applyFont="1" applyFill="1" applyBorder="1" applyAlignment="1">
      <x:alignment horizontal="center"/>
    </x:xf>
    <x:xf numFmtId="0" fontId="7" fillId="2" borderId="37" xfId="0" applyNumberFormat="1" applyFont="1" applyFill="1" applyBorder="1" applyAlignment="1">
      <x:alignment horizontal="center"/>
    </x:xf>
    <x:xf numFmtId="0" fontId="7" fillId="2" borderId="38" xfId="0" applyNumberFormat="1" applyFont="1" applyFill="1" applyBorder="1" applyAlignment="1">
      <x:alignment horizontal="center"/>
    </x:xf>
    <x:xf numFmtId="0" fontId="7" fillId="2" borderId="1" xfId="0" applyNumberFormat="1" applyFont="1" applyFill="1" applyBorder="1"/>
    <x:xf numFmtId="0" fontId="7" fillId="2" borderId="39" xfId="0" applyNumberFormat="1" applyFont="1" applyFill="1" applyBorder="1"/>
    <x:xf numFmtId="0" fontId="7" fillId="2" borderId="40" xfId="0" applyNumberFormat="1" applyFont="1" applyFill="1" applyBorder="1"/>
    <x:xf numFmtId="0" fontId="7" fillId="2" borderId="41" xfId="0" applyNumberFormat="1" applyFont="1" applyFill="1" applyBorder="1"/>
    <x:xf numFmtId="0" fontId="7" fillId="2" borderId="39" xfId="0" applyNumberFormat="1" applyFont="1" applyFill="1" applyBorder="1" applyAlignment="1">
      <x:alignment horizontal="center"/>
    </x:xf>
    <x:xf numFmtId="0" fontId="7" fillId="2" borderId="40" xfId="0" applyNumberFormat="1" applyFont="1" applyFill="1" applyBorder="1" applyAlignment="1">
      <x:alignment horizontal="center"/>
    </x:xf>
    <x:xf numFmtId="0" fontId="7" fillId="2" borderId="41" xfId="0" applyNumberFormat="1" applyFont="1" applyFill="1" applyBorder="1" applyAlignment="1">
      <x:alignment horizontal="center"/>
    </x:xf>
    <x:xf numFmtId="0" fontId="0" fillId="4" borderId="42" xfId="0" applyNumberFormat="1" applyFont="1" applyFill="1" applyBorder="1"/>
    <x:xf numFmtId="0" fontId="0" fillId="4" borderId="43" xfId="0" applyNumberFormat="1" applyFont="1" applyFill="1" applyBorder="1"/>
    <x:xf numFmtId="0" fontId="0" fillId="4" borderId="44" xfId="0" applyNumberFormat="1" applyFont="1" applyFill="1" applyBorder="1"/>
    <x:xf numFmtId="0" fontId="0" fillId="4" borderId="45" xfId="0" applyNumberFormat="1" applyFont="1" applyFill="1" applyBorder="1"/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horizontal="center" wrapText="1"/>
    </x:xf>
    <x:xf numFmtId="0" fontId="8" fillId="5" borderId="0" xfId="0" applyNumberFormat="1" applyFont="1" applyFill="1" applyBorder="1" applyAlignment="1">
      <x:alignment horizontal="center" vertical="center" wrapText="1"/>
    </x:xf>
    <x:xf numFmtId="0" fontId="8" fillId="5" borderId="1" xfId="0" applyNumberFormat="1" applyFont="1" applyFill="1" applyBorder="1"/>
    <x:xf numFmtId="0" fontId="8" fillId="5" borderId="1" xfId="0" applyNumberFormat="1" applyFont="1" applyFill="1" applyBorder="1" applyAlignment="1">
      <x:alignment wrapText="1"/>
    </x:xf>
    <x:xf numFmtId="0" fontId="8" fillId="5" borderId="1" xfId="0" applyNumberFormat="1" applyFont="1" applyFill="1" applyBorder="1" applyAlignment="1">
      <x:alignment horizontal="center" wrapText="1"/>
    </x:xf>
    <x:xf numFmtId="0" fontId="8" fillId="5" borderId="1" xfId="0" applyNumberFormat="1" applyFont="1" applyFill="1" applyBorder="1" applyAlignment="1">
      <x:alignment horizontal="center" vertical="center" wrapText="1"/>
    </x:xf>
    <x:xf numFmtId="0" fontId="6" fillId="4" borderId="0" xfId="0" applyNumberFormat="1" applyFont="1" applyFill="1" applyBorder="1"/>
    <x:xf numFmtId="0" fontId="6" fillId="4" borderId="18" xfId="0" applyNumberFormat="1" applyFont="1" applyFill="1" applyBorder="1"/>
    <x:xf numFmtId="0" fontId="6" fillId="4" borderId="42" xfId="0" applyNumberFormat="1" applyFont="1" applyFill="1" applyBorder="1"/>
    <x:xf numFmtId="0" fontId="6" fillId="4" borderId="19" xfId="0" applyNumberFormat="1" applyFont="1" applyFill="1" applyBorder="1"/>
    <x:xf numFmtId="0" fontId="6" fillId="4" borderId="20" xfId="0" applyNumberFormat="1" applyFont="1" applyFill="1" applyBorder="1"/>
    <x:xf numFmtId="0" fontId="6" fillId="4" borderId="21" xfId="0" applyNumberFormat="1" applyFont="1" applyFill="1" applyBorder="1"/>
    <x:xf numFmtId="0" fontId="6" fillId="4" borderId="22" xfId="0" applyNumberFormat="1" applyFont="1" applyFill="1" applyBorder="1"/>
    <x:xf numFmtId="0" fontId="6" fillId="4" borderId="43" xfId="0" applyNumberFormat="1" applyFont="1" applyFill="1" applyBorder="1"/>
    <x:xf numFmtId="0" fontId="6" fillId="4" borderId="23" xfId="0" applyNumberFormat="1" applyFont="1" applyFill="1" applyBorder="1"/>
    <x:xf numFmtId="0" fontId="6" fillId="4" borderId="18" xfId="0" applyNumberFormat="1" applyFont="1" applyFill="1" applyBorder="1" applyAlignment="1">
      <x:alignment wrapText="1"/>
    </x:xf>
    <x:xf numFmtId="0" fontId="6" fillId="4" borderId="42" xfId="0" applyNumberFormat="1" applyFont="1" applyFill="1" applyBorder="1" applyAlignment="1">
      <x:alignment wrapText="1"/>
    </x:xf>
    <x:xf numFmtId="0" fontId="6" fillId="4" borderId="19" xfId="0" applyNumberFormat="1" applyFont="1" applyFill="1" applyBorder="1" applyAlignment="1">
      <x:alignment wrapText="1"/>
    </x:xf>
    <x:xf numFmtId="0" fontId="6" fillId="4" borderId="2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wrapText="1"/>
    </x:xf>
    <x:xf numFmtId="0" fontId="6" fillId="4" borderId="21" xfId="0" applyNumberFormat="1" applyFont="1" applyFill="1" applyBorder="1" applyAlignment="1">
      <x:alignment wrapText="1"/>
    </x:xf>
    <x:xf numFmtId="0" fontId="6" fillId="4" borderId="22" xfId="0" applyNumberFormat="1" applyFont="1" applyFill="1" applyBorder="1" applyAlignment="1">
      <x:alignment wrapText="1"/>
    </x:xf>
    <x:xf numFmtId="0" fontId="6" fillId="4" borderId="43" xfId="0" applyNumberFormat="1" applyFont="1" applyFill="1" applyBorder="1" applyAlignment="1">
      <x:alignment wrapText="1"/>
    </x:xf>
    <x:xf numFmtId="0" fontId="6" fillId="4" borderId="23" xfId="0" applyNumberFormat="1" applyFont="1" applyFill="1" applyBorder="1" applyAlignment="1">
      <x:alignment wrapText="1"/>
    </x:xf>
    <x:xf numFmtId="0" fontId="6" fillId="4" borderId="18" xfId="0" applyNumberFormat="1" applyFont="1" applyFill="1" applyBorder="1" applyAlignment="1">
      <x:alignment vertical="center" wrapText="1"/>
    </x:xf>
    <x:xf numFmtId="0" fontId="6" fillId="4" borderId="42" xfId="0" applyNumberFormat="1" applyFont="1" applyFill="1" applyBorder="1" applyAlignment="1">
      <x:alignment vertical="center" wrapText="1"/>
    </x:xf>
    <x:xf numFmtId="0" fontId="6" fillId="4" borderId="19" xfId="0" applyNumberFormat="1" applyFont="1" applyFill="1" applyBorder="1" applyAlignment="1">
      <x:alignment vertical="center" wrapText="1"/>
    </x:xf>
    <x:xf numFmtId="0" fontId="6" fillId="4" borderId="2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vertical="center" wrapText="1"/>
    </x:xf>
    <x:xf numFmtId="0" fontId="6" fillId="4" borderId="21" xfId="0" applyNumberFormat="1" applyFont="1" applyFill="1" applyBorder="1" applyAlignment="1">
      <x:alignment vertical="center" wrapText="1"/>
    </x:xf>
    <x:xf numFmtId="0" fontId="6" fillId="4" borderId="22" xfId="0" applyNumberFormat="1" applyFont="1" applyFill="1" applyBorder="1" applyAlignment="1">
      <x:alignment vertical="center" wrapText="1"/>
    </x:xf>
    <x:xf numFmtId="0" fontId="6" fillId="4" borderId="43" xfId="0" applyNumberFormat="1" applyFont="1" applyFill="1" applyBorder="1" applyAlignment="1">
      <x:alignment vertical="center" wrapText="1"/>
    </x:xf>
    <x:xf numFmtId="0" fontId="6" fillId="4" borderId="23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/>
    <x:xf numFmtId="0" fontId="6" fillId="4" borderId="24" xfId="0" applyNumberFormat="1" applyFont="1" applyFill="1" applyBorder="1"/>
    <x:xf numFmtId="0" fontId="6" fillId="4" borderId="44" xfId="0" applyNumberFormat="1" applyFont="1" applyFill="1" applyBorder="1"/>
    <x:xf numFmtId="0" fontId="6" fillId="4" borderId="25" xfId="0" applyNumberFormat="1" applyFont="1" applyFill="1" applyBorder="1"/>
    <x:xf numFmtId="0" fontId="6" fillId="4" borderId="26" xfId="0" applyNumberFormat="1" applyFont="1" applyFill="1" applyBorder="1"/>
    <x:xf numFmtId="0" fontId="6" fillId="4" borderId="27" xfId="0" applyNumberFormat="1" applyFont="1" applyFill="1" applyBorder="1"/>
    <x:xf numFmtId="0" fontId="6" fillId="4" borderId="28" xfId="0" applyNumberFormat="1" applyFont="1" applyFill="1" applyBorder="1"/>
    <x:xf numFmtId="0" fontId="6" fillId="4" borderId="45" xfId="0" applyNumberFormat="1" applyFont="1" applyFill="1" applyBorder="1"/>
    <x:xf numFmtId="0" fontId="6" fillId="4" borderId="29" xfId="0" applyNumberFormat="1" applyFont="1" applyFill="1" applyBorder="1"/>
    <x:xf numFmtId="0" fontId="6" fillId="4" borderId="24" xfId="0" applyNumberFormat="1" applyFont="1" applyFill="1" applyBorder="1" applyAlignment="1">
      <x:alignment wrapText="1"/>
    </x:xf>
    <x:xf numFmtId="0" fontId="6" fillId="4" borderId="44" xfId="0" applyNumberFormat="1" applyFont="1" applyFill="1" applyBorder="1" applyAlignment="1">
      <x:alignment wrapText="1"/>
    </x:xf>
    <x:xf numFmtId="0" fontId="6" fillId="4" borderId="25" xfId="0" applyNumberFormat="1" applyFont="1" applyFill="1" applyBorder="1" applyAlignment="1">
      <x:alignment wrapText="1"/>
    </x:xf>
    <x:xf numFmtId="0" fontId="6" fillId="4" borderId="26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wrapText="1"/>
    </x:xf>
    <x:xf numFmtId="0" fontId="6" fillId="4" borderId="27" xfId="0" applyNumberFormat="1" applyFont="1" applyFill="1" applyBorder="1" applyAlignment="1">
      <x:alignment wrapText="1"/>
    </x:xf>
    <x:xf numFmtId="0" fontId="6" fillId="4" borderId="28" xfId="0" applyNumberFormat="1" applyFont="1" applyFill="1" applyBorder="1" applyAlignment="1">
      <x:alignment wrapText="1"/>
    </x:xf>
    <x:xf numFmtId="0" fontId="6" fillId="4" borderId="45" xfId="0" applyNumberFormat="1" applyFont="1" applyFill="1" applyBorder="1" applyAlignment="1">
      <x:alignment wrapText="1"/>
    </x:xf>
    <x:xf numFmtId="0" fontId="6" fillId="4" borderId="29" xfId="0" applyNumberFormat="1" applyFont="1" applyFill="1" applyBorder="1" applyAlignment="1">
      <x:alignment wrapText="1"/>
    </x:xf>
    <x:xf numFmtId="0" fontId="6" fillId="4" borderId="24" xfId="0" applyNumberFormat="1" applyFont="1" applyFill="1" applyBorder="1" applyAlignment="1">
      <x:alignment vertical="center" wrapText="1"/>
    </x:xf>
    <x:xf numFmtId="0" fontId="6" fillId="4" borderId="44" xfId="0" applyNumberFormat="1" applyFont="1" applyFill="1" applyBorder="1" applyAlignment="1">
      <x:alignment vertical="center" wrapText="1"/>
    </x:xf>
    <x:xf numFmtId="0" fontId="6" fillId="4" borderId="25" xfId="0" applyNumberFormat="1" applyFont="1" applyFill="1" applyBorder="1" applyAlignment="1">
      <x:alignment vertical="center" wrapText="1"/>
    </x:xf>
    <x:xf numFmtId="0" fontId="6" fillId="4" borderId="26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 applyAlignment="1">
      <x:alignment vertical="center" wrapText="1"/>
    </x:xf>
    <x:xf numFmtId="0" fontId="6" fillId="4" borderId="27" xfId="0" applyNumberFormat="1" applyFont="1" applyFill="1" applyBorder="1" applyAlignment="1">
      <x:alignment vertical="center" wrapText="1"/>
    </x:xf>
    <x:xf numFmtId="0" fontId="6" fillId="4" borderId="28" xfId="0" applyNumberFormat="1" applyFont="1" applyFill="1" applyBorder="1" applyAlignment="1">
      <x:alignment vertical="center" wrapText="1"/>
    </x:xf>
    <x:xf numFmtId="0" fontId="6" fillId="4" borderId="45" xfId="0" applyNumberFormat="1" applyFont="1" applyFill="1" applyBorder="1" applyAlignment="1">
      <x:alignment vertical="center" wrapText="1"/>
    </x:xf>
    <x:xf numFmtId="0" fontId="6" fillId="4" borderId="29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18" xfId="0" applyNumberFormat="1" applyFont="1" applyFill="1" applyBorder="1"/>
    <x:xf numFmtId="0" fontId="4" fillId="8" borderId="42" xfId="0" applyNumberFormat="1" applyFont="1" applyFill="1" applyBorder="1"/>
    <x:xf numFmtId="0" fontId="4" fillId="8" borderId="19" xfId="0" applyNumberFormat="1" applyFont="1" applyFill="1" applyBorder="1"/>
    <x:xf numFmtId="0" fontId="4" fillId="8" borderId="20" xfId="0" applyNumberFormat="1" applyFont="1" applyFill="1" applyBorder="1"/>
    <x:xf numFmtId="0" fontId="4" fillId="8" borderId="21" xfId="0" applyNumberFormat="1" applyFont="1" applyFill="1" applyBorder="1"/>
    <x:xf numFmtId="0" fontId="4" fillId="8" borderId="22" xfId="0" applyNumberFormat="1" applyFont="1" applyFill="1" applyBorder="1"/>
    <x:xf numFmtId="0" fontId="4" fillId="8" borderId="43" xfId="0" applyNumberFormat="1" applyFont="1" applyFill="1" applyBorder="1"/>
    <x:xf numFmtId="0" fontId="4" fillId="8" borderId="23" xfId="0" applyNumberFormat="1" applyFont="1" applyFill="1" applyBorder="1"/>
    <x:xf numFmtId="0" fontId="4" fillId="8" borderId="18" xfId="0" applyNumberFormat="1" applyFont="1" applyFill="1" applyBorder="1" applyAlignment="1">
      <x:alignment wrapText="1"/>
    </x:xf>
    <x:xf numFmtId="0" fontId="4" fillId="8" borderId="42" xfId="0" applyNumberFormat="1" applyFont="1" applyFill="1" applyBorder="1" applyAlignment="1">
      <x:alignment wrapText="1"/>
    </x:xf>
    <x:xf numFmtId="0" fontId="4" fillId="8" borderId="19" xfId="0" applyNumberFormat="1" applyFont="1" applyFill="1" applyBorder="1" applyAlignment="1">
      <x:alignment wrapText="1"/>
    </x:xf>
    <x:xf numFmtId="0" fontId="4" fillId="8" borderId="20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wrapText="1"/>
    </x:xf>
    <x:xf numFmtId="0" fontId="4" fillId="8" borderId="21" xfId="0" applyNumberFormat="1" applyFont="1" applyFill="1" applyBorder="1" applyAlignment="1">
      <x:alignment wrapText="1"/>
    </x:xf>
    <x:xf numFmtId="0" fontId="4" fillId="8" borderId="22" xfId="0" applyNumberFormat="1" applyFont="1" applyFill="1" applyBorder="1" applyAlignment="1">
      <x:alignment wrapText="1"/>
    </x:xf>
    <x:xf numFmtId="0" fontId="4" fillId="8" borderId="43" xfId="0" applyNumberFormat="1" applyFont="1" applyFill="1" applyBorder="1" applyAlignment="1">
      <x:alignment wrapText="1"/>
    </x:xf>
    <x:xf numFmtId="0" fontId="4" fillId="8" borderId="23" xfId="0" applyNumberFormat="1" applyFont="1" applyFill="1" applyBorder="1" applyAlignment="1">
      <x:alignment wrapText="1"/>
    </x:xf>
    <x:xf numFmtId="0" fontId="4" fillId="8" borderId="18" xfId="0" applyNumberFormat="1" applyFont="1" applyFill="1" applyBorder="1" applyAlignment="1">
      <x:alignment vertical="center" wrapText="1"/>
    </x:xf>
    <x:xf numFmtId="0" fontId="4" fillId="8" borderId="42" xfId="0" applyNumberFormat="1" applyFont="1" applyFill="1" applyBorder="1" applyAlignment="1">
      <x:alignment vertical="center" wrapText="1"/>
    </x:xf>
    <x:xf numFmtId="0" fontId="4" fillId="8" borderId="19" xfId="0" applyNumberFormat="1" applyFont="1" applyFill="1" applyBorder="1" applyAlignment="1">
      <x:alignment vertical="center" wrapText="1"/>
    </x:xf>
    <x:xf numFmtId="0" fontId="4" fillId="8" borderId="20" xfId="0" applyNumberFormat="1" applyFont="1" applyFill="1" applyBorder="1" applyAlignment="1">
      <x:alignment vertical="center" wrapText="1"/>
    </x:xf>
    <x:xf numFmtId="0" fontId="4" fillId="8" borderId="0" xfId="0" applyNumberFormat="1" applyFont="1" applyFill="1" applyBorder="1" applyAlignment="1">
      <x:alignment vertical="center" wrapText="1"/>
    </x:xf>
    <x:xf numFmtId="0" fontId="4" fillId="8" borderId="21" xfId="0" applyNumberFormat="1" applyFont="1" applyFill="1" applyBorder="1" applyAlignment="1">
      <x:alignment vertical="center" wrapText="1"/>
    </x:xf>
    <x:xf numFmtId="0" fontId="4" fillId="8" borderId="22" xfId="0" applyNumberFormat="1" applyFont="1" applyFill="1" applyBorder="1" applyAlignment="1">
      <x:alignment vertical="center" wrapText="1"/>
    </x:xf>
    <x:xf numFmtId="0" fontId="4" fillId="8" borderId="43" xfId="0" applyNumberFormat="1" applyFont="1" applyFill="1" applyBorder="1" applyAlignment="1">
      <x:alignment vertical="center" wrapText="1"/>
    </x:xf>
    <x:xf numFmtId="0" fontId="4" fillId="8" borderId="23" xfId="0" applyNumberFormat="1" applyFont="1" applyFill="1" applyBorder="1" applyAlignment="1">
      <x:alignment vertical="center" wrapText="1"/>
    </x:xf>
    <x:xf numFmtId="0" fontId="0" fillId="8" borderId="1" xfId="0" applyNumberFormat="1" applyFont="1" applyFill="1" applyBorder="1"/>
    <x:xf numFmtId="0" fontId="4" fillId="8" borderId="1" xfId="0" applyNumberFormat="1" applyFont="1" applyFill="1" applyBorder="1"/>
    <x:xf numFmtId="0" fontId="4" fillId="8" borderId="24" xfId="0" applyNumberFormat="1" applyFont="1" applyFill="1" applyBorder="1"/>
    <x:xf numFmtId="0" fontId="4" fillId="8" borderId="44" xfId="0" applyNumberFormat="1" applyFont="1" applyFill="1" applyBorder="1"/>
    <x:xf numFmtId="0" fontId="4" fillId="8" borderId="25" xfId="0" applyNumberFormat="1" applyFont="1" applyFill="1" applyBorder="1"/>
    <x:xf numFmtId="0" fontId="4" fillId="8" borderId="26" xfId="0" applyNumberFormat="1" applyFont="1" applyFill="1" applyBorder="1"/>
    <x:xf numFmtId="0" fontId="4" fillId="8" borderId="27" xfId="0" applyNumberFormat="1" applyFont="1" applyFill="1" applyBorder="1"/>
    <x:xf numFmtId="0" fontId="4" fillId="8" borderId="28" xfId="0" applyNumberFormat="1" applyFont="1" applyFill="1" applyBorder="1"/>
    <x:xf numFmtId="0" fontId="4" fillId="8" borderId="45" xfId="0" applyNumberFormat="1" applyFont="1" applyFill="1" applyBorder="1"/>
    <x:xf numFmtId="0" fontId="4" fillId="8" borderId="29" xfId="0" applyNumberFormat="1" applyFont="1" applyFill="1" applyBorder="1"/>
    <x:xf numFmtId="0" fontId="4" fillId="8" borderId="24" xfId="0" applyNumberFormat="1" applyFont="1" applyFill="1" applyBorder="1" applyAlignment="1">
      <x:alignment wrapText="1"/>
    </x:xf>
    <x:xf numFmtId="0" fontId="4" fillId="8" borderId="44" xfId="0" applyNumberFormat="1" applyFont="1" applyFill="1" applyBorder="1" applyAlignment="1">
      <x:alignment wrapText="1"/>
    </x:xf>
    <x:xf numFmtId="0" fontId="4" fillId="8" borderId="25" xfId="0" applyNumberFormat="1" applyFont="1" applyFill="1" applyBorder="1" applyAlignment="1">
      <x:alignment wrapText="1"/>
    </x:xf>
    <x:xf numFmtId="0" fontId="4" fillId="8" borderId="26" xfId="0" applyNumberFormat="1" applyFont="1" applyFill="1" applyBorder="1" applyAlignment="1">
      <x:alignment wrapText="1"/>
    </x:xf>
    <x:xf numFmtId="0" fontId="4" fillId="8" borderId="1" xfId="0" applyNumberFormat="1" applyFont="1" applyFill="1" applyBorder="1" applyAlignment="1">
      <x:alignment wrapText="1"/>
    </x:xf>
    <x:xf numFmtId="0" fontId="4" fillId="8" borderId="27" xfId="0" applyNumberFormat="1" applyFont="1" applyFill="1" applyBorder="1" applyAlignment="1">
      <x:alignment wrapText="1"/>
    </x:xf>
    <x:xf numFmtId="0" fontId="4" fillId="8" borderId="28" xfId="0" applyNumberFormat="1" applyFont="1" applyFill="1" applyBorder="1" applyAlignment="1">
      <x:alignment wrapText="1"/>
    </x:xf>
    <x:xf numFmtId="0" fontId="4" fillId="8" borderId="45" xfId="0" applyNumberFormat="1" applyFont="1" applyFill="1" applyBorder="1" applyAlignment="1">
      <x:alignment wrapText="1"/>
    </x:xf>
    <x:xf numFmtId="0" fontId="4" fillId="8" borderId="29" xfId="0" applyNumberFormat="1" applyFont="1" applyFill="1" applyBorder="1" applyAlignment="1">
      <x:alignment wrapText="1"/>
    </x:xf>
    <x:xf numFmtId="0" fontId="4" fillId="8" borderId="24" xfId="0" applyNumberFormat="1" applyFont="1" applyFill="1" applyBorder="1" applyAlignment="1">
      <x:alignment vertical="center" wrapText="1"/>
    </x:xf>
    <x:xf numFmtId="0" fontId="4" fillId="8" borderId="44" xfId="0" applyNumberFormat="1" applyFont="1" applyFill="1" applyBorder="1" applyAlignment="1">
      <x:alignment vertical="center" wrapText="1"/>
    </x:xf>
    <x:xf numFmtId="0" fontId="4" fillId="8" borderId="25" xfId="0" applyNumberFormat="1" applyFont="1" applyFill="1" applyBorder="1" applyAlignment="1">
      <x:alignment vertical="center" wrapText="1"/>
    </x:xf>
    <x:xf numFmtId="0" fontId="4" fillId="8" borderId="26" xfId="0" applyNumberFormat="1" applyFont="1" applyFill="1" applyBorder="1" applyAlignment="1">
      <x:alignment vertical="center" wrapText="1"/>
    </x:xf>
    <x:xf numFmtId="0" fontId="4" fillId="8" borderId="1" xfId="0" applyNumberFormat="1" applyFont="1" applyFill="1" applyBorder="1" applyAlignment="1">
      <x:alignment vertical="center" wrapText="1"/>
    </x:xf>
    <x:xf numFmtId="0" fontId="4" fillId="8" borderId="27" xfId="0" applyNumberFormat="1" applyFont="1" applyFill="1" applyBorder="1" applyAlignment="1">
      <x:alignment vertical="center" wrapText="1"/>
    </x:xf>
    <x:xf numFmtId="0" fontId="4" fillId="8" borderId="28" xfId="0" applyNumberFormat="1" applyFont="1" applyFill="1" applyBorder="1" applyAlignment="1">
      <x:alignment vertical="center" wrapText="1"/>
    </x:xf>
    <x:xf numFmtId="0" fontId="4" fillId="8" borderId="45" xfId="0" applyNumberFormat="1" applyFont="1" applyFill="1" applyBorder="1" applyAlignment="1">
      <x:alignment vertical="center" wrapText="1"/>
    </x:xf>
    <x:xf numFmtId="0" fontId="4" fillId="8" borderId="29" xfId="0" applyNumberFormat="1" applyFont="1" applyFill="1" applyBorder="1" applyAlignment="1">
      <x:alignment vertical="center" wrapText="1"/>
    </x:xf>
    <x:xf numFmtId="0" fontId="9" fillId="2" borderId="0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/>
    <x:xf numFmtId="0" fontId="9" fillId="5" borderId="0" xfId="0" applyNumberFormat="1" applyFont="1" applyFill="1" applyBorder="1" applyAlignment="1">
      <x:alignment horizontal="center" vertical="center"/>
    </x:xf>
    <x:xf numFmtId="0" fontId="9" fillId="2" borderId="0" xfId="0" applyNumberFormat="1" applyFont="1" applyFill="1" applyBorder="1" applyAlignment="1">
      <x:alignment horizontal="center" vertical="center" wrapText="1"/>
    </x:xf>
    <x:xf numFmtId="0" fontId="9" fillId="6" borderId="36" xfId="0" applyNumberFormat="1" applyFont="1" applyFill="1" applyBorder="1"/>
    <x:xf numFmtId="0" fontId="10" fillId="7" borderId="18" xfId="0" applyNumberFormat="1" applyFont="1" applyFill="1" applyBorder="1" applyAlignment="1">
      <x:alignment horizontal="center"/>
    </x:xf>
    <x:xf numFmtId="0" fontId="10" fillId="7" borderId="19" xfId="0" applyNumberFormat="1" applyFont="1" applyFill="1" applyBorder="1" applyAlignment="1">
      <x:alignment horizontal="center"/>
    </x:xf>
    <x:xf numFmtId="0" fontId="10" fillId="7" borderId="18" xfId="0" applyNumberFormat="1" applyFont="1" applyFill="1" applyBorder="1"/>
    <x:xf numFmtId="0" fontId="10" fillId="7" borderId="19" xfId="0" applyNumberFormat="1" applyFont="1" applyFill="1" applyBorder="1"/>
    <x:xf numFmtId="0" fontId="9" fillId="2" borderId="36" xfId="0" applyNumberFormat="1" applyFont="1" applyFill="1" applyBorder="1" applyAlignment="1">
      <x:alignment horizontal="center"/>
    </x:xf>
    <x:xf numFmtId="0" fontId="10" fillId="4" borderId="18" xfId="0" applyNumberFormat="1" applyFont="1" applyFill="1" applyBorder="1"/>
    <x:xf numFmtId="0" fontId="10" fillId="4" borderId="42" xfId="0" applyNumberFormat="1" applyFont="1" applyFill="1" applyBorder="1"/>
    <x:xf numFmtId="0" fontId="10" fillId="4" borderId="19" xfId="0" applyNumberFormat="1" applyFont="1" applyFill="1" applyBorder="1"/>
    <x:xf numFmtId="0" fontId="9" fillId="6" borderId="37" xfId="0" applyNumberFormat="1" applyFont="1" applyFill="1" applyBorder="1"/>
    <x:xf numFmtId="0" fontId="10" fillId="7" borderId="20" xfId="0" applyNumberFormat="1" applyFont="1" applyFill="1" applyBorder="1" applyAlignment="1">
      <x:alignment horizontal="center"/>
    </x:xf>
    <x:xf numFmtId="0" fontId="10" fillId="7" borderId="21" xfId="0" applyNumberFormat="1" applyFont="1" applyFill="1" applyBorder="1" applyAlignment="1">
      <x:alignment horizontal="center"/>
    </x:xf>
    <x:xf numFmtId="201" fontId="10" fillId="7" borderId="20" xfId="0" applyNumberFormat="1" applyFont="1" applyFill="1" applyBorder="1"/>
    <x:xf numFmtId="0" fontId="10" fillId="7" borderId="21" xfId="0" applyNumberFormat="1" applyFont="1" applyFill="1" applyBorder="1"/>
    <x:xf numFmtId="0" fontId="9" fillId="2" borderId="37" xfId="0" applyNumberFormat="1" applyFont="1" applyFill="1" applyBorder="1" applyAlignment="1">
      <x:alignment horizontal="center"/>
    </x:xf>
    <x:xf numFmtId="0" fontId="10" fillId="4" borderId="20" xfId="0" applyNumberFormat="1" applyFont="1" applyFill="1" applyBorder="1"/>
    <x:xf numFmtId="0" fontId="10" fillId="4" borderId="0" xfId="0" applyNumberFormat="1" applyFont="1" applyFill="1" applyBorder="1"/>
    <x:xf numFmtId="0" fontId="10" fillId="4" borderId="21" xfId="0" applyNumberFormat="1" applyFont="1" applyFill="1" applyBorder="1"/>
    <x:xf numFmtId="0" fontId="9" fillId="6" borderId="38" xfId="0" applyNumberFormat="1" applyFont="1" applyFill="1" applyBorder="1"/>
    <x:xf numFmtId="0" fontId="10" fillId="7" borderId="22" xfId="0" applyNumberFormat="1" applyFont="1" applyFill="1" applyBorder="1" applyAlignment="1">
      <x:alignment horizontal="center"/>
    </x:xf>
    <x:xf numFmtId="0" fontId="10" fillId="7" borderId="23" xfId="0" applyNumberFormat="1" applyFont="1" applyFill="1" applyBorder="1" applyAlignment="1">
      <x:alignment horizontal="center"/>
    </x:xf>
    <x:xf numFmtId="0" fontId="10" fillId="7" borderId="22" xfId="0" applyNumberFormat="1" applyFont="1" applyFill="1" applyBorder="1"/>
    <x:xf numFmtId="0" fontId="10" fillId="7" borderId="23" xfId="0" applyNumberFormat="1" applyFont="1" applyFill="1" applyBorder="1"/>
    <x:xf numFmtId="0" fontId="9" fillId="2" borderId="38" xfId="0" applyNumberFormat="1" applyFont="1" applyFill="1" applyBorder="1" applyAlignment="1">
      <x:alignment horizontal="center"/>
    </x:xf>
    <x:xf numFmtId="0" fontId="10" fillId="4" borderId="22" xfId="0" applyNumberFormat="1" applyFont="1" applyFill="1" applyBorder="1"/>
    <x:xf numFmtId="0" fontId="10" fillId="4" borderId="43" xfId="0" applyNumberFormat="1" applyFont="1" applyFill="1" applyBorder="1"/>
    <x:xf numFmtId="0" fontId="10" fillId="4" borderId="23" xfId="0" applyNumberFormat="1" applyFont="1" applyFill="1" applyBorder="1"/>
    <x:xf numFmtId="0" fontId="9" fillId="5" borderId="0" xfId="0" applyNumberFormat="1" applyFont="1" applyFill="1" applyBorder="1" applyAlignment="1">
      <x:alignment horizontal="center" vertical="center" wrapText="1"/>
    </x:xf>
    <x:xf numFmtId="0" fontId="9" fillId="4" borderId="18" xfId="0" applyNumberFormat="1" applyFont="1" applyFill="1" applyBorder="1" applyAlignment="1">
      <x:alignment vertical="center" wrapText="1"/>
    </x:xf>
    <x:xf numFmtId="0" fontId="9" fillId="4" borderId="42" xfId="0" applyNumberFormat="1" applyFont="1" applyFill="1" applyBorder="1" applyAlignment="1">
      <x:alignment vertical="center" wrapText="1"/>
    </x:xf>
    <x:xf numFmtId="0" fontId="9" fillId="4" borderId="19" xfId="0" applyNumberFormat="1" applyFont="1" applyFill="1" applyBorder="1" applyAlignment="1">
      <x:alignment vertical="center" wrapText="1"/>
    </x:xf>
    <x:xf numFmtId="0" fontId="9" fillId="8" borderId="18" xfId="0" applyNumberFormat="1" applyFont="1" applyFill="1" applyBorder="1" applyAlignment="1">
      <x:alignment vertical="center" wrapText="1"/>
    </x:xf>
    <x:xf numFmtId="0" fontId="9" fillId="8" borderId="42" xfId="0" applyNumberFormat="1" applyFont="1" applyFill="1" applyBorder="1" applyAlignment="1">
      <x:alignment vertical="center" wrapText="1"/>
    </x:xf>
    <x:xf numFmtId="0" fontId="9" fillId="8" borderId="19" xfId="0" applyNumberFormat="1" applyFont="1" applyFill="1" applyBorder="1" applyAlignment="1">
      <x:alignment vertical="center" wrapText="1"/>
    </x:xf>
    <x:xf numFmtId="0" fontId="9" fillId="4" borderId="20" xfId="0" applyNumberFormat="1" applyFont="1" applyFill="1" applyBorder="1" applyAlignment="1">
      <x:alignment vertical="center" wrapText="1"/>
    </x:xf>
    <x:xf numFmtId="0" fontId="9" fillId="4" borderId="0" xfId="0" applyNumberFormat="1" applyFont="1" applyFill="1" applyBorder="1" applyAlignment="1">
      <x:alignment vertical="center" wrapText="1"/>
    </x:xf>
    <x:xf numFmtId="0" fontId="9" fillId="4" borderId="21" xfId="0" applyNumberFormat="1" applyFont="1" applyFill="1" applyBorder="1" applyAlignment="1">
      <x:alignment vertical="center" wrapText="1"/>
    </x:xf>
    <x:xf numFmtId="0" fontId="9" fillId="8" borderId="20" xfId="0" applyNumberFormat="1" applyFont="1" applyFill="1" applyBorder="1" applyAlignment="1">
      <x:alignment vertical="center" wrapText="1"/>
    </x:xf>
    <x:xf numFmtId="0" fontId="9" fillId="8" borderId="0" xfId="0" applyNumberFormat="1" applyFont="1" applyFill="1" applyBorder="1" applyAlignment="1">
      <x:alignment vertical="center" wrapText="1"/>
    </x:xf>
    <x:xf numFmtId="0" fontId="9" fillId="8" borderId="21" xfId="0" applyNumberFormat="1" applyFont="1" applyFill="1" applyBorder="1" applyAlignment="1">
      <x:alignment vertical="center" wrapText="1"/>
    </x:xf>
    <x:xf numFmtId="0" fontId="9" fillId="4" borderId="22" xfId="0" applyNumberFormat="1" applyFont="1" applyFill="1" applyBorder="1" applyAlignment="1">
      <x:alignment vertical="center" wrapText="1"/>
    </x:xf>
    <x:xf numFmtId="0" fontId="9" fillId="4" borderId="43" xfId="0" applyNumberFormat="1" applyFont="1" applyFill="1" applyBorder="1" applyAlignment="1">
      <x:alignment vertical="center" wrapText="1"/>
    </x:xf>
    <x:xf numFmtId="0" fontId="9" fillId="4" borderId="23" xfId="0" applyNumberFormat="1" applyFont="1" applyFill="1" applyBorder="1" applyAlignment="1">
      <x:alignment vertical="center" wrapText="1"/>
    </x:xf>
    <x:xf numFmtId="0" fontId="9" fillId="8" borderId="22" xfId="0" applyNumberFormat="1" applyFont="1" applyFill="1" applyBorder="1" applyAlignment="1">
      <x:alignment vertical="center" wrapText="1"/>
    </x:xf>
    <x:xf numFmtId="0" fontId="9" fillId="8" borderId="43" xfId="0" applyNumberFormat="1" applyFont="1" applyFill="1" applyBorder="1" applyAlignment="1">
      <x:alignment vertical="center" wrapText="1"/>
    </x:xf>
    <x:xf numFmtId="0" fontId="9" fillId="8" borderId="23" xfId="0" applyNumberFormat="1" applyFont="1" applyFill="1" applyBorder="1" applyAlignment="1">
      <x:alignment vertical="center" wrapText="1"/>
    </x:xf>
    <x:xf numFmtId="0" fontId="9" fillId="2" borderId="1" xfId="0" applyNumberFormat="1" applyFont="1" applyFill="1" applyBorder="1" applyAlignment="1">
      <x:alignment horizontal="center" vertical="center"/>
    </x:xf>
    <x:xf numFmtId="0" fontId="10" fillId="0" borderId="1" xfId="0" applyNumberFormat="1" applyFont="1" applyFill="1" applyBorder="1"/>
    <x:xf numFmtId="0" fontId="9" fillId="5" borderId="1" xfId="0" applyNumberFormat="1" applyFont="1" applyFill="1" applyBorder="1" applyAlignment="1">
      <x:alignment horizontal="center" vertical="center"/>
    </x:xf>
    <x:xf numFmtId="0" fontId="9" fillId="2" borderId="1" xfId="0" applyNumberFormat="1" applyFont="1" applyFill="1" applyBorder="1" applyAlignment="1">
      <x:alignment horizontal="center" vertical="center" wrapText="1"/>
    </x:xf>
    <x:xf numFmtId="0" fontId="9" fillId="6" borderId="39" xfId="0" applyNumberFormat="1" applyFont="1" applyFill="1" applyBorder="1"/>
    <x:xf numFmtId="0" fontId="10" fillId="7" borderId="24" xfId="0" applyNumberFormat="1" applyFont="1" applyFill="1" applyBorder="1" applyAlignment="1">
      <x:alignment horizontal="center"/>
    </x:xf>
    <x:xf numFmtId="0" fontId="10" fillId="7" borderId="25" xfId="0" applyNumberFormat="1" applyFont="1" applyFill="1" applyBorder="1" applyAlignment="1">
      <x:alignment horizontal="center"/>
    </x:xf>
    <x:xf numFmtId="0" fontId="10" fillId="7" borderId="24" xfId="0" applyNumberFormat="1" applyFont="1" applyFill="1" applyBorder="1"/>
    <x:xf numFmtId="0" fontId="10" fillId="7" borderId="25" xfId="0" applyNumberFormat="1" applyFont="1" applyFill="1" applyBorder="1"/>
    <x:xf numFmtId="0" fontId="9" fillId="2" borderId="39" xfId="0" applyNumberFormat="1" applyFont="1" applyFill="1" applyBorder="1" applyAlignment="1">
      <x:alignment horizontal="center"/>
    </x:xf>
    <x:xf numFmtId="0" fontId="10" fillId="4" borderId="24" xfId="0" applyNumberFormat="1" applyFont="1" applyFill="1" applyBorder="1"/>
    <x:xf numFmtId="0" fontId="10" fillId="4" borderId="44" xfId="0" applyNumberFormat="1" applyFont="1" applyFill="1" applyBorder="1"/>
    <x:xf numFmtId="0" fontId="10" fillId="4" borderId="25" xfId="0" applyNumberFormat="1" applyFont="1" applyFill="1" applyBorder="1"/>
    <x:xf numFmtId="0" fontId="9" fillId="6" borderId="40" xfId="0" applyNumberFormat="1" applyFont="1" applyFill="1" applyBorder="1"/>
    <x:xf numFmtId="0" fontId="10" fillId="7" borderId="26" xfId="0" applyNumberFormat="1" applyFont="1" applyFill="1" applyBorder="1" applyAlignment="1">
      <x:alignment horizontal="center"/>
    </x:xf>
    <x:xf numFmtId="0" fontId="10" fillId="7" borderId="27" xfId="0" applyNumberFormat="1" applyFont="1" applyFill="1" applyBorder="1" applyAlignment="1">
      <x:alignment horizontal="center"/>
    </x:xf>
    <x:xf numFmtId="201" fontId="10" fillId="7" borderId="26" xfId="0" applyNumberFormat="1" applyFont="1" applyFill="1" applyBorder="1"/>
    <x:xf numFmtId="0" fontId="10" fillId="7" borderId="27" xfId="0" applyNumberFormat="1" applyFont="1" applyFill="1" applyBorder="1"/>
    <x:xf numFmtId="0" fontId="9" fillId="2" borderId="40" xfId="0" applyNumberFormat="1" applyFont="1" applyFill="1" applyBorder="1" applyAlignment="1">
      <x:alignment horizontal="center"/>
    </x:xf>
    <x:xf numFmtId="0" fontId="10" fillId="4" borderId="26" xfId="0" applyNumberFormat="1" applyFont="1" applyFill="1" applyBorder="1"/>
    <x:xf numFmtId="0" fontId="10" fillId="4" borderId="1" xfId="0" applyNumberFormat="1" applyFont="1" applyFill="1" applyBorder="1"/>
    <x:xf numFmtId="0" fontId="10" fillId="4" borderId="27" xfId="0" applyNumberFormat="1" applyFont="1" applyFill="1" applyBorder="1"/>
    <x:xf numFmtId="0" fontId="9" fillId="6" borderId="41" xfId="0" applyNumberFormat="1" applyFont="1" applyFill="1" applyBorder="1"/>
    <x:xf numFmtId="0" fontId="10" fillId="7" borderId="28" xfId="0" applyNumberFormat="1" applyFont="1" applyFill="1" applyBorder="1" applyAlignment="1">
      <x:alignment horizontal="center"/>
    </x:xf>
    <x:xf numFmtId="0" fontId="10" fillId="7" borderId="29" xfId="0" applyNumberFormat="1" applyFont="1" applyFill="1" applyBorder="1" applyAlignment="1">
      <x:alignment horizontal="center"/>
    </x:xf>
    <x:xf numFmtId="0" fontId="10" fillId="7" borderId="28" xfId="0" applyNumberFormat="1" applyFont="1" applyFill="1" applyBorder="1"/>
    <x:xf numFmtId="0" fontId="10" fillId="7" borderId="29" xfId="0" applyNumberFormat="1" applyFont="1" applyFill="1" applyBorder="1"/>
    <x:xf numFmtId="0" fontId="9" fillId="2" borderId="41" xfId="0" applyNumberFormat="1" applyFont="1" applyFill="1" applyBorder="1" applyAlignment="1">
      <x:alignment horizontal="center"/>
    </x:xf>
    <x:xf numFmtId="0" fontId="10" fillId="4" borderId="28" xfId="0" applyNumberFormat="1" applyFont="1" applyFill="1" applyBorder="1"/>
    <x:xf numFmtId="0" fontId="10" fillId="4" borderId="45" xfId="0" applyNumberFormat="1" applyFont="1" applyFill="1" applyBorder="1"/>
    <x:xf numFmtId="0" fontId="10" fillId="4" borderId="29" xfId="0" applyNumberFormat="1" applyFont="1" applyFill="1" applyBorder="1"/>
    <x:xf numFmtId="0" fontId="9" fillId="5" borderId="1" xfId="0" applyNumberFormat="1" applyFont="1" applyFill="1" applyBorder="1" applyAlignment="1">
      <x:alignment horizontal="center" vertical="center" wrapText="1"/>
    </x:xf>
    <x:xf numFmtId="0" fontId="9" fillId="4" borderId="24" xfId="0" applyNumberFormat="1" applyFont="1" applyFill="1" applyBorder="1" applyAlignment="1">
      <x:alignment vertical="center" wrapText="1"/>
    </x:xf>
    <x:xf numFmtId="0" fontId="9" fillId="4" borderId="44" xfId="0" applyNumberFormat="1" applyFont="1" applyFill="1" applyBorder="1" applyAlignment="1">
      <x:alignment vertical="center" wrapText="1"/>
    </x:xf>
    <x:xf numFmtId="0" fontId="9" fillId="4" borderId="25" xfId="0" applyNumberFormat="1" applyFont="1" applyFill="1" applyBorder="1" applyAlignment="1">
      <x:alignment vertical="center" wrapText="1"/>
    </x:xf>
    <x:xf numFmtId="0" fontId="9" fillId="8" borderId="24" xfId="0" applyNumberFormat="1" applyFont="1" applyFill="1" applyBorder="1" applyAlignment="1">
      <x:alignment vertical="center" wrapText="1"/>
    </x:xf>
    <x:xf numFmtId="0" fontId="9" fillId="8" borderId="44" xfId="0" applyNumberFormat="1" applyFont="1" applyFill="1" applyBorder="1" applyAlignment="1">
      <x:alignment vertical="center" wrapText="1"/>
    </x:xf>
    <x:xf numFmtId="0" fontId="9" fillId="8" borderId="25" xfId="0" applyNumberFormat="1" applyFont="1" applyFill="1" applyBorder="1" applyAlignment="1">
      <x:alignment vertical="center" wrapText="1"/>
    </x:xf>
    <x:xf numFmtId="0" fontId="9" fillId="4" borderId="26" xfId="0" applyNumberFormat="1" applyFont="1" applyFill="1" applyBorder="1" applyAlignment="1">
      <x:alignment vertical="center" wrapText="1"/>
    </x:xf>
    <x:xf numFmtId="0" fontId="9" fillId="4" borderId="1" xfId="0" applyNumberFormat="1" applyFont="1" applyFill="1" applyBorder="1" applyAlignment="1">
      <x:alignment vertical="center" wrapText="1"/>
    </x:xf>
    <x:xf numFmtId="0" fontId="9" fillId="4" borderId="27" xfId="0" applyNumberFormat="1" applyFont="1" applyFill="1" applyBorder="1" applyAlignment="1">
      <x:alignment vertical="center" wrapText="1"/>
    </x:xf>
    <x:xf numFmtId="0" fontId="9" fillId="8" borderId="26" xfId="0" applyNumberFormat="1" applyFont="1" applyFill="1" applyBorder="1" applyAlignment="1">
      <x:alignment vertical="center" wrapText="1"/>
    </x:xf>
    <x:xf numFmtId="0" fontId="9" fillId="8" borderId="1" xfId="0" applyNumberFormat="1" applyFont="1" applyFill="1" applyBorder="1" applyAlignment="1">
      <x:alignment vertical="center" wrapText="1"/>
    </x:xf>
    <x:xf numFmtId="0" fontId="9" fillId="8" borderId="27" xfId="0" applyNumberFormat="1" applyFont="1" applyFill="1" applyBorder="1" applyAlignment="1">
      <x:alignment vertical="center" wrapText="1"/>
    </x:xf>
    <x:xf numFmtId="0" fontId="9" fillId="4" borderId="28" xfId="0" applyNumberFormat="1" applyFont="1" applyFill="1" applyBorder="1" applyAlignment="1">
      <x:alignment vertical="center" wrapText="1"/>
    </x:xf>
    <x:xf numFmtId="0" fontId="9" fillId="4" borderId="45" xfId="0" applyNumberFormat="1" applyFont="1" applyFill="1" applyBorder="1" applyAlignment="1">
      <x:alignment vertical="center" wrapText="1"/>
    </x:xf>
    <x:xf numFmtId="0" fontId="9" fillId="4" borderId="29" xfId="0" applyNumberFormat="1" applyFont="1" applyFill="1" applyBorder="1" applyAlignment="1">
      <x:alignment vertical="center" wrapText="1"/>
    </x:xf>
    <x:xf numFmtId="0" fontId="9" fillId="8" borderId="28" xfId="0" applyNumberFormat="1" applyFont="1" applyFill="1" applyBorder="1" applyAlignment="1">
      <x:alignment vertical="center" wrapText="1"/>
    </x:xf>
    <x:xf numFmtId="0" fontId="9" fillId="8" borderId="45" xfId="0" applyNumberFormat="1" applyFont="1" applyFill="1" applyBorder="1" applyAlignment="1">
      <x:alignment vertical="center" wrapText="1"/>
    </x:xf>
    <x:xf numFmtId="0" fontId="9" fillId="8" borderId="29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 applyAlignment="1">
      <x:alignment wrapText="1"/>
    </x:xf>
    <x:xf numFmtId="0" fontId="9" fillId="6" borderId="36" xfId="0" applyNumberFormat="1" applyFont="1" applyFill="1" applyBorder="1" applyAlignment="1">
      <x:alignment wrapText="1"/>
    </x:xf>
    <x:xf numFmtId="0" fontId="10" fillId="7" borderId="18" xfId="0" applyNumberFormat="1" applyFont="1" applyFill="1" applyBorder="1" applyAlignment="1">
      <x:alignment horizontal="center" wrapText="1"/>
    </x:xf>
    <x:xf numFmtId="0" fontId="10" fillId="7" borderId="19" xfId="0" applyNumberFormat="1" applyFont="1" applyFill="1" applyBorder="1" applyAlignment="1">
      <x:alignment horizontal="center" wrapText="1"/>
    </x:xf>
    <x:xf numFmtId="0" fontId="10" fillId="7" borderId="18" xfId="0" applyNumberFormat="1" applyFont="1" applyFill="1" applyBorder="1" applyAlignment="1">
      <x:alignment wrapText="1"/>
    </x:xf>
    <x:xf numFmtId="0" fontId="10" fillId="7" borderId="19" xfId="0" applyNumberFormat="1" applyFont="1" applyFill="1" applyBorder="1" applyAlignment="1">
      <x:alignment wrapText="1"/>
    </x:xf>
    <x:xf numFmtId="0" fontId="9" fillId="2" borderId="36" xfId="0" applyNumberFormat="1" applyFont="1" applyFill="1" applyBorder="1" applyAlignment="1">
      <x:alignment horizontal="center" wrapText="1"/>
    </x:xf>
    <x:xf numFmtId="0" fontId="10" fillId="4" borderId="18" xfId="0" applyNumberFormat="1" applyFont="1" applyFill="1" applyBorder="1" applyAlignment="1">
      <x:alignment wrapText="1"/>
    </x:xf>
    <x:xf numFmtId="0" fontId="10" fillId="4" borderId="42" xfId="0" applyNumberFormat="1" applyFont="1" applyFill="1" applyBorder="1" applyAlignment="1">
      <x:alignment wrapText="1"/>
    </x:xf>
    <x:xf numFmtId="0" fontId="10" fillId="4" borderId="19" xfId="0" applyNumberFormat="1" applyFont="1" applyFill="1" applyBorder="1" applyAlignment="1">
      <x:alignment wrapText="1"/>
    </x:xf>
    <x:xf numFmtId="0" fontId="9" fillId="6" borderId="37" xfId="0" applyNumberFormat="1" applyFont="1" applyFill="1" applyBorder="1" applyAlignment="1">
      <x:alignment wrapText="1"/>
    </x:xf>
    <x:xf numFmtId="0" fontId="10" fillId="7" borderId="20" xfId="0" applyNumberFormat="1" applyFont="1" applyFill="1" applyBorder="1" applyAlignment="1">
      <x:alignment horizontal="center" wrapText="1"/>
    </x:xf>
    <x:xf numFmtId="0" fontId="10" fillId="7" borderId="21" xfId="0" applyNumberFormat="1" applyFont="1" applyFill="1" applyBorder="1" applyAlignment="1">
      <x:alignment horizontal="center" wrapText="1"/>
    </x:xf>
    <x:xf numFmtId="201" fontId="10" fillId="7" borderId="20" xfId="0" applyNumberFormat="1" applyFont="1" applyFill="1" applyBorder="1" applyAlignment="1">
      <x:alignment wrapText="1"/>
    </x:xf>
    <x:xf numFmtId="0" fontId="10" fillId="7" borderId="21" xfId="0" applyNumberFormat="1" applyFont="1" applyFill="1" applyBorder="1" applyAlignment="1">
      <x:alignment wrapText="1"/>
    </x:xf>
    <x:xf numFmtId="0" fontId="9" fillId="2" borderId="37" xfId="0" applyNumberFormat="1" applyFont="1" applyFill="1" applyBorder="1" applyAlignment="1">
      <x:alignment horizontal="center" wrapText="1"/>
    </x:xf>
    <x:xf numFmtId="0" fontId="10" fillId="4" borderId="20" xfId="0" applyNumberFormat="1" applyFont="1" applyFill="1" applyBorder="1" applyAlignment="1">
      <x:alignment wrapText="1"/>
    </x:xf>
    <x:xf numFmtId="0" fontId="10" fillId="4" borderId="0" xfId="0" applyNumberFormat="1" applyFont="1" applyFill="1" applyBorder="1" applyAlignment="1">
      <x:alignment wrapText="1"/>
    </x:xf>
    <x:xf numFmtId="0" fontId="10" fillId="4" borderId="21" xfId="0" applyNumberFormat="1" applyFont="1" applyFill="1" applyBorder="1" applyAlignment="1">
      <x:alignment wrapText="1"/>
    </x:xf>
    <x:xf numFmtId="0" fontId="9" fillId="6" borderId="38" xfId="0" applyNumberFormat="1" applyFont="1" applyFill="1" applyBorder="1" applyAlignment="1">
      <x:alignment wrapText="1"/>
    </x:xf>
    <x:xf numFmtId="0" fontId="10" fillId="7" borderId="22" xfId="0" applyNumberFormat="1" applyFont="1" applyFill="1" applyBorder="1" applyAlignment="1">
      <x:alignment horizontal="center" wrapText="1"/>
    </x:xf>
    <x:xf numFmtId="0" fontId="10" fillId="7" borderId="23" xfId="0" applyNumberFormat="1" applyFont="1" applyFill="1" applyBorder="1" applyAlignment="1">
      <x:alignment horizontal="center" wrapText="1"/>
    </x:xf>
    <x:xf numFmtId="0" fontId="10" fillId="7" borderId="22" xfId="0" applyNumberFormat="1" applyFont="1" applyFill="1" applyBorder="1" applyAlignment="1">
      <x:alignment wrapText="1"/>
    </x:xf>
    <x:xf numFmtId="0" fontId="10" fillId="7" borderId="23" xfId="0" applyNumberFormat="1" applyFont="1" applyFill="1" applyBorder="1" applyAlignment="1">
      <x:alignment wrapText="1"/>
    </x:xf>
    <x:xf numFmtId="0" fontId="9" fillId="2" borderId="38" xfId="0" applyNumberFormat="1" applyFont="1" applyFill="1" applyBorder="1" applyAlignment="1">
      <x:alignment horizontal="center" wrapText="1"/>
    </x:xf>
    <x:xf numFmtId="0" fontId="10" fillId="4" borderId="22" xfId="0" applyNumberFormat="1" applyFont="1" applyFill="1" applyBorder="1" applyAlignment="1">
      <x:alignment wrapText="1"/>
    </x:xf>
    <x:xf numFmtId="0" fontId="10" fillId="4" borderId="43" xfId="0" applyNumberFormat="1" applyFont="1" applyFill="1" applyBorder="1" applyAlignment="1">
      <x:alignment wrapText="1"/>
    </x:xf>
    <x:xf numFmtId="0" fontId="10" fillId="4" borderId="23" xfId="0" applyNumberFormat="1" applyFont="1" applyFill="1" applyBorder="1" applyAlignment="1">
      <x:alignment wrapText="1"/>
    </x:xf>
    <x:xf numFmtId="0" fontId="10" fillId="0" borderId="1" xfId="0" applyNumberFormat="1" applyFont="1" applyFill="1" applyBorder="1" applyAlignment="1">
      <x:alignment wrapText="1"/>
    </x:xf>
    <x:xf numFmtId="0" fontId="9" fillId="6" borderId="39" xfId="0" applyNumberFormat="1" applyFont="1" applyFill="1" applyBorder="1" applyAlignment="1">
      <x:alignment wrapText="1"/>
    </x:xf>
    <x:xf numFmtId="0" fontId="10" fillId="7" borderId="24" xfId="0" applyNumberFormat="1" applyFont="1" applyFill="1" applyBorder="1" applyAlignment="1">
      <x:alignment horizontal="center" wrapText="1"/>
    </x:xf>
    <x:xf numFmtId="0" fontId="10" fillId="7" borderId="25" xfId="0" applyNumberFormat="1" applyFont="1" applyFill="1" applyBorder="1" applyAlignment="1">
      <x:alignment horizontal="center" wrapText="1"/>
    </x:xf>
    <x:xf numFmtId="0" fontId="10" fillId="7" borderId="24" xfId="0" applyNumberFormat="1" applyFont="1" applyFill="1" applyBorder="1" applyAlignment="1">
      <x:alignment wrapText="1"/>
    </x:xf>
    <x:xf numFmtId="0" fontId="10" fillId="7" borderId="25" xfId="0" applyNumberFormat="1" applyFont="1" applyFill="1" applyBorder="1" applyAlignment="1">
      <x:alignment wrapText="1"/>
    </x:xf>
    <x:xf numFmtId="0" fontId="9" fillId="2" borderId="39" xfId="0" applyNumberFormat="1" applyFont="1" applyFill="1" applyBorder="1" applyAlignment="1">
      <x:alignment horizontal="center" wrapText="1"/>
    </x:xf>
    <x:xf numFmtId="0" fontId="10" fillId="4" borderId="24" xfId="0" applyNumberFormat="1" applyFont="1" applyFill="1" applyBorder="1" applyAlignment="1">
      <x:alignment wrapText="1"/>
    </x:xf>
    <x:xf numFmtId="0" fontId="10" fillId="4" borderId="44" xfId="0" applyNumberFormat="1" applyFont="1" applyFill="1" applyBorder="1" applyAlignment="1">
      <x:alignment wrapText="1"/>
    </x:xf>
    <x:xf numFmtId="0" fontId="10" fillId="4" borderId="25" xfId="0" applyNumberFormat="1" applyFont="1" applyFill="1" applyBorder="1" applyAlignment="1">
      <x:alignment wrapText="1"/>
    </x:xf>
    <x:xf numFmtId="0" fontId="9" fillId="6" borderId="40" xfId="0" applyNumberFormat="1" applyFont="1" applyFill="1" applyBorder="1" applyAlignment="1">
      <x:alignment wrapText="1"/>
    </x:xf>
    <x:xf numFmtId="0" fontId="10" fillId="7" borderId="26" xfId="0" applyNumberFormat="1" applyFont="1" applyFill="1" applyBorder="1" applyAlignment="1">
      <x:alignment horizontal="center" wrapText="1"/>
    </x:xf>
    <x:xf numFmtId="0" fontId="10" fillId="7" borderId="27" xfId="0" applyNumberFormat="1" applyFont="1" applyFill="1" applyBorder="1" applyAlignment="1">
      <x:alignment horizontal="center" wrapText="1"/>
    </x:xf>
    <x:xf numFmtId="201" fontId="10" fillId="7" borderId="26" xfId="0" applyNumberFormat="1" applyFont="1" applyFill="1" applyBorder="1" applyAlignment="1">
      <x:alignment wrapText="1"/>
    </x:xf>
    <x:xf numFmtId="0" fontId="10" fillId="7" borderId="27" xfId="0" applyNumberFormat="1" applyFont="1" applyFill="1" applyBorder="1" applyAlignment="1">
      <x:alignment wrapText="1"/>
    </x:xf>
    <x:xf numFmtId="0" fontId="9" fillId="2" borderId="40" xfId="0" applyNumberFormat="1" applyFont="1" applyFill="1" applyBorder="1" applyAlignment="1">
      <x:alignment horizontal="center" wrapText="1"/>
    </x:xf>
    <x:xf numFmtId="0" fontId="10" fillId="4" borderId="26" xfId="0" applyNumberFormat="1" applyFont="1" applyFill="1" applyBorder="1" applyAlignment="1">
      <x:alignment wrapText="1"/>
    </x:xf>
    <x:xf numFmtId="0" fontId="10" fillId="4" borderId="1" xfId="0" applyNumberFormat="1" applyFont="1" applyFill="1" applyBorder="1" applyAlignment="1">
      <x:alignment wrapText="1"/>
    </x:xf>
    <x:xf numFmtId="0" fontId="10" fillId="4" borderId="27" xfId="0" applyNumberFormat="1" applyFont="1" applyFill="1" applyBorder="1" applyAlignment="1">
      <x:alignment wrapText="1"/>
    </x:xf>
    <x:xf numFmtId="0" fontId="9" fillId="6" borderId="41" xfId="0" applyNumberFormat="1" applyFont="1" applyFill="1" applyBorder="1" applyAlignment="1">
      <x:alignment wrapText="1"/>
    </x:xf>
    <x:xf numFmtId="0" fontId="10" fillId="7" borderId="28" xfId="0" applyNumberFormat="1" applyFont="1" applyFill="1" applyBorder="1" applyAlignment="1">
      <x:alignment horizontal="center" wrapText="1"/>
    </x:xf>
    <x:xf numFmtId="0" fontId="10" fillId="7" borderId="29" xfId="0" applyNumberFormat="1" applyFont="1" applyFill="1" applyBorder="1" applyAlignment="1">
      <x:alignment horizontal="center" wrapText="1"/>
    </x:xf>
    <x:xf numFmtId="0" fontId="10" fillId="7" borderId="28" xfId="0" applyNumberFormat="1" applyFont="1" applyFill="1" applyBorder="1" applyAlignment="1">
      <x:alignment wrapText="1"/>
    </x:xf>
    <x:xf numFmtId="0" fontId="10" fillId="7" borderId="29" xfId="0" applyNumberFormat="1" applyFont="1" applyFill="1" applyBorder="1" applyAlignment="1">
      <x:alignment wrapText="1"/>
    </x:xf>
    <x:xf numFmtId="0" fontId="9" fillId="2" borderId="41" xfId="0" applyNumberFormat="1" applyFont="1" applyFill="1" applyBorder="1" applyAlignment="1">
      <x:alignment horizontal="center" wrapText="1"/>
    </x:xf>
    <x:xf numFmtId="0" fontId="10" fillId="4" borderId="28" xfId="0" applyNumberFormat="1" applyFont="1" applyFill="1" applyBorder="1" applyAlignment="1">
      <x:alignment wrapText="1"/>
    </x:xf>
    <x:xf numFmtId="0" fontId="10" fillId="4" borderId="45" xfId="0" applyNumberFormat="1" applyFont="1" applyFill="1" applyBorder="1" applyAlignment="1">
      <x:alignment wrapText="1"/>
    </x:xf>
    <x:xf numFmtId="0" fontId="10" fillId="4" borderId="29" xfId="0" applyNumberFormat="1" applyFont="1" applyFill="1" applyBorder="1" applyAlignment="1">
      <x:alignment wrapText="1"/>
    </x:xf>
    <x:xf numFmtId="0" fontId="10" fillId="3" borderId="2" xfId="0" applyNumberFormat="1" applyFont="1" applyFill="1" applyBorder="1"/>
    <x:xf numFmtId="0" fontId="10" fillId="3" borderId="3" xfId="0" applyNumberFormat="1" applyFont="1" applyFill="1" applyBorder="1"/>
    <x:xf numFmtId="0" fontId="10" fillId="3" borderId="4" xfId="0" applyNumberFormat="1" applyFont="1" applyFill="1" applyBorder="1"/>
    <x:xf numFmtId="202" fontId="10" fillId="4" borderId="19" xfId="0" applyNumberFormat="1" applyFont="1" applyFill="1" applyBorder="1"/>
    <x:xf numFmtId="0" fontId="10" fillId="3" borderId="5" xfId="0" applyNumberFormat="1" applyFont="1" applyFill="1" applyBorder="1"/>
    <x:xf numFmtId="0" fontId="10" fillId="3" borderId="0" xfId="0" applyNumberFormat="1" applyFont="1" applyFill="1" applyBorder="1"/>
    <x:xf numFmtId="0" fontId="10" fillId="3" borderId="6" xfId="0" applyNumberFormat="1" applyFont="1" applyFill="1" applyBorder="1"/>
    <x:xf numFmtId="202" fontId="10" fillId="4" borderId="21" xfId="0" applyNumberFormat="1" applyFont="1" applyFill="1" applyBorder="1"/>
    <x:xf numFmtId="200" fontId="10" fillId="3" borderId="5" xfId="0" applyNumberFormat="1" applyFont="1" applyFill="1" applyBorder="1"/>
    <x:xf numFmtId="200" fontId="10" fillId="3" borderId="0" xfId="0" applyNumberFormat="1" applyFont="1" applyFill="1" applyBorder="1"/>
    <x:xf numFmtId="200" fontId="10" fillId="3" borderId="6" xfId="0" applyNumberFormat="1" applyFont="1" applyFill="1" applyBorder="1"/>
    <x:xf numFmtId="201" fontId="10" fillId="3" borderId="5" xfId="0" applyNumberFormat="1" applyFont="1" applyFill="1" applyBorder="1"/>
    <x:xf numFmtId="201" fontId="10" fillId="3" borderId="0" xfId="0" applyNumberFormat="1" applyFont="1" applyFill="1" applyBorder="1"/>
    <x:xf numFmtId="201" fontId="10" fillId="3" borderId="6" xfId="0" applyNumberFormat="1" applyFont="1" applyFill="1" applyBorder="1"/>
    <x:xf numFmtId="202" fontId="10" fillId="4" borderId="23" xfId="0" applyNumberFormat="1" applyFont="1" applyFill="1" applyBorder="1"/>
    <x:xf numFmtId="200" fontId="10" fillId="3" borderId="7" xfId="0" applyNumberFormat="1" applyFont="1" applyFill="1" applyBorder="1"/>
    <x:xf numFmtId="200" fontId="10" fillId="3" borderId="8" xfId="0" applyNumberFormat="1" applyFont="1" applyFill="1" applyBorder="1"/>
    <x:xf numFmtId="200" fontId="10" fillId="3" borderId="9" xfId="0" applyNumberFormat="1" applyFont="1" applyFill="1" applyBorder="1"/>
    <x:xf numFmtId="0" fontId="10" fillId="3" borderId="10" xfId="0" applyNumberFormat="1" applyFont="1" applyFill="1" applyBorder="1"/>
    <x:xf numFmtId="0" fontId="10" fillId="3" borderId="11" xfId="0" applyNumberFormat="1" applyFont="1" applyFill="1" applyBorder="1"/>
    <x:xf numFmtId="0" fontId="10" fillId="3" borderId="12" xfId="0" applyNumberFormat="1" applyFont="1" applyFill="1" applyBorder="1"/>
    <x:xf numFmtId="202" fontId="10" fillId="4" borderId="25" xfId="0" applyNumberFormat="1" applyFont="1" applyFill="1" applyBorder="1"/>
    <x:xf numFmtId="0" fontId="10" fillId="3" borderId="13" xfId="0" applyNumberFormat="1" applyFont="1" applyFill="1" applyBorder="1"/>
    <x:xf numFmtId="0" fontId="10" fillId="3" borderId="1" xfId="0" applyNumberFormat="1" applyFont="1" applyFill="1" applyBorder="1"/>
    <x:xf numFmtId="0" fontId="10" fillId="3" borderId="14" xfId="0" applyNumberFormat="1" applyFont="1" applyFill="1" applyBorder="1"/>
    <x:xf numFmtId="202" fontId="10" fillId="4" borderId="27" xfId="0" applyNumberFormat="1" applyFont="1" applyFill="1" applyBorder="1"/>
    <x:xf numFmtId="200" fontId="10" fillId="3" borderId="13" xfId="0" applyNumberFormat="1" applyFont="1" applyFill="1" applyBorder="1"/>
    <x:xf numFmtId="200" fontId="10" fillId="3" borderId="1" xfId="0" applyNumberFormat="1" applyFont="1" applyFill="1" applyBorder="1"/>
    <x:xf numFmtId="200" fontId="10" fillId="3" borderId="14" xfId="0" applyNumberFormat="1" applyFont="1" applyFill="1" applyBorder="1"/>
    <x:xf numFmtId="201" fontId="10" fillId="3" borderId="13" xfId="0" applyNumberFormat="1" applyFont="1" applyFill="1" applyBorder="1"/>
    <x:xf numFmtId="201" fontId="10" fillId="3" borderId="1" xfId="0" applyNumberFormat="1" applyFont="1" applyFill="1" applyBorder="1"/>
    <x:xf numFmtId="201" fontId="10" fillId="3" borderId="14" xfId="0" applyNumberFormat="1" applyFont="1" applyFill="1" applyBorder="1"/>
    <x:xf numFmtId="202" fontId="10" fillId="4" borderId="29" xfId="0" applyNumberFormat="1" applyFont="1" applyFill="1" applyBorder="1"/>
    <x:xf numFmtId="200" fontId="10" fillId="3" borderId="15" xfId="0" applyNumberFormat="1" applyFont="1" applyFill="1" applyBorder="1"/>
    <x:xf numFmtId="200" fontId="10" fillId="3" borderId="16" xfId="0" applyNumberFormat="1" applyFont="1" applyFill="1" applyBorder="1"/>
    <x:xf numFmtId="200" fontId="10" fillId="3" borderId="17" xfId="0" applyNumberFormat="1" applyFont="1" applyFill="1" applyBorder="1"/>
    <x:xf numFmtId="0" fontId="10" fillId="3" borderId="2" xfId="0" applyNumberFormat="1" applyFont="1" applyFill="1" applyBorder="1" applyAlignment="1">
      <x:alignment wrapText="1"/>
    </x:xf>
    <x:xf numFmtId="0" fontId="10" fillId="3" borderId="3" xfId="0" applyNumberFormat="1" applyFont="1" applyFill="1" applyBorder="1" applyAlignment="1">
      <x:alignment wrapText="1"/>
    </x:xf>
    <x:xf numFmtId="0" fontId="10" fillId="3" borderId="4" xfId="0" applyNumberFormat="1" applyFont="1" applyFill="1" applyBorder="1" applyAlignment="1">
      <x:alignment wrapText="1"/>
    </x:xf>
    <x:xf numFmtId="202" fontId="10" fillId="4" borderId="19" xfId="0" applyNumberFormat="1" applyFont="1" applyFill="1" applyBorder="1" applyAlignment="1">
      <x:alignment wrapText="1"/>
    </x:xf>
    <x:xf numFmtId="0" fontId="10" fillId="3" borderId="5" xfId="0" applyNumberFormat="1" applyFont="1" applyFill="1" applyBorder="1" applyAlignment="1">
      <x:alignment wrapText="1"/>
    </x:xf>
    <x:xf numFmtId="0" fontId="10" fillId="3" borderId="0" xfId="0" applyNumberFormat="1" applyFont="1" applyFill="1" applyBorder="1" applyAlignment="1">
      <x:alignment wrapText="1"/>
    </x:xf>
    <x:xf numFmtId="0" fontId="10" fillId="3" borderId="6" xfId="0" applyNumberFormat="1" applyFont="1" applyFill="1" applyBorder="1" applyAlignment="1">
      <x:alignment wrapText="1"/>
    </x:xf>
    <x:xf numFmtId="202" fontId="10" fillId="4" borderId="21" xfId="0" applyNumberFormat="1" applyFont="1" applyFill="1" applyBorder="1" applyAlignment="1">
      <x:alignment wrapText="1"/>
    </x:xf>
    <x:xf numFmtId="200" fontId="10" fillId="3" borderId="5" xfId="0" applyNumberFormat="1" applyFont="1" applyFill="1" applyBorder="1" applyAlignment="1">
      <x:alignment wrapText="1"/>
    </x:xf>
    <x:xf numFmtId="200" fontId="10" fillId="3" borderId="0" xfId="0" applyNumberFormat="1" applyFont="1" applyFill="1" applyBorder="1" applyAlignment="1">
      <x:alignment wrapText="1"/>
    </x:xf>
    <x:xf numFmtId="200" fontId="10" fillId="3" borderId="6" xfId="0" applyNumberFormat="1" applyFont="1" applyFill="1" applyBorder="1" applyAlignment="1">
      <x:alignment wrapText="1"/>
    </x:xf>
    <x:xf numFmtId="201" fontId="10" fillId="3" borderId="5" xfId="0" applyNumberFormat="1" applyFont="1" applyFill="1" applyBorder="1" applyAlignment="1">
      <x:alignment wrapText="1"/>
    </x:xf>
    <x:xf numFmtId="201" fontId="10" fillId="3" borderId="0" xfId="0" applyNumberFormat="1" applyFont="1" applyFill="1" applyBorder="1" applyAlignment="1">
      <x:alignment wrapText="1"/>
    </x:xf>
    <x:xf numFmtId="201" fontId="10" fillId="3" borderId="6" xfId="0" applyNumberFormat="1" applyFont="1" applyFill="1" applyBorder="1" applyAlignment="1">
      <x:alignment wrapText="1"/>
    </x:xf>
    <x:xf numFmtId="202" fontId="10" fillId="4" borderId="23" xfId="0" applyNumberFormat="1" applyFont="1" applyFill="1" applyBorder="1" applyAlignment="1">
      <x:alignment wrapText="1"/>
    </x:xf>
    <x:xf numFmtId="200" fontId="10" fillId="3" borderId="7" xfId="0" applyNumberFormat="1" applyFont="1" applyFill="1" applyBorder="1" applyAlignment="1">
      <x:alignment wrapText="1"/>
    </x:xf>
    <x:xf numFmtId="200" fontId="10" fillId="3" borderId="8" xfId="0" applyNumberFormat="1" applyFont="1" applyFill="1" applyBorder="1" applyAlignment="1">
      <x:alignment wrapText="1"/>
    </x:xf>
    <x:xf numFmtId="200" fontId="10" fillId="3" borderId="9" xfId="0" applyNumberFormat="1" applyFont="1" applyFill="1" applyBorder="1" applyAlignment="1">
      <x:alignment wrapText="1"/>
    </x:xf>
    <x:xf numFmtId="0" fontId="10" fillId="3" borderId="10" xfId="0" applyNumberFormat="1" applyFont="1" applyFill="1" applyBorder="1" applyAlignment="1">
      <x:alignment wrapText="1"/>
    </x:xf>
    <x:xf numFmtId="0" fontId="10" fillId="3" borderId="11" xfId="0" applyNumberFormat="1" applyFont="1" applyFill="1" applyBorder="1" applyAlignment="1">
      <x:alignment wrapText="1"/>
    </x:xf>
    <x:xf numFmtId="0" fontId="10" fillId="3" borderId="12" xfId="0" applyNumberFormat="1" applyFont="1" applyFill="1" applyBorder="1" applyAlignment="1">
      <x:alignment wrapText="1"/>
    </x:xf>
    <x:xf numFmtId="202" fontId="10" fillId="4" borderId="25" xfId="0" applyNumberFormat="1" applyFont="1" applyFill="1" applyBorder="1" applyAlignment="1">
      <x:alignment wrapText="1"/>
    </x:xf>
    <x:xf numFmtId="0" fontId="10" fillId="3" borderId="13" xfId="0" applyNumberFormat="1" applyFont="1" applyFill="1" applyBorder="1" applyAlignment="1">
      <x:alignment wrapText="1"/>
    </x:xf>
    <x:xf numFmtId="0" fontId="10" fillId="3" borderId="1" xfId="0" applyNumberFormat="1" applyFont="1" applyFill="1" applyBorder="1" applyAlignment="1">
      <x:alignment wrapText="1"/>
    </x:xf>
    <x:xf numFmtId="0" fontId="10" fillId="3" borderId="14" xfId="0" applyNumberFormat="1" applyFont="1" applyFill="1" applyBorder="1" applyAlignment="1">
      <x:alignment wrapText="1"/>
    </x:xf>
    <x:xf numFmtId="202" fontId="10" fillId="4" borderId="27" xfId="0" applyNumberFormat="1" applyFont="1" applyFill="1" applyBorder="1" applyAlignment="1">
      <x:alignment wrapText="1"/>
    </x:xf>
    <x:xf numFmtId="200" fontId="10" fillId="3" borderId="13" xfId="0" applyNumberFormat="1" applyFont="1" applyFill="1" applyBorder="1" applyAlignment="1">
      <x:alignment wrapText="1"/>
    </x:xf>
    <x:xf numFmtId="200" fontId="10" fillId="3" borderId="1" xfId="0" applyNumberFormat="1" applyFont="1" applyFill="1" applyBorder="1" applyAlignment="1">
      <x:alignment wrapText="1"/>
    </x:xf>
    <x:xf numFmtId="200" fontId="10" fillId="3" borderId="14" xfId="0" applyNumberFormat="1" applyFont="1" applyFill="1" applyBorder="1" applyAlignment="1">
      <x:alignment wrapText="1"/>
    </x:xf>
    <x:xf numFmtId="201" fontId="10" fillId="3" borderId="13" xfId="0" applyNumberFormat="1" applyFont="1" applyFill="1" applyBorder="1" applyAlignment="1">
      <x:alignment wrapText="1"/>
    </x:xf>
    <x:xf numFmtId="201" fontId="10" fillId="3" borderId="1" xfId="0" applyNumberFormat="1" applyFont="1" applyFill="1" applyBorder="1" applyAlignment="1">
      <x:alignment wrapText="1"/>
    </x:xf>
    <x:xf numFmtId="201" fontId="10" fillId="3" borderId="14" xfId="0" applyNumberFormat="1" applyFont="1" applyFill="1" applyBorder="1" applyAlignment="1">
      <x:alignment wrapText="1"/>
    </x:xf>
    <x:xf numFmtId="202" fontId="10" fillId="4" borderId="29" xfId="0" applyNumberFormat="1" applyFont="1" applyFill="1" applyBorder="1" applyAlignment="1">
      <x:alignment wrapText="1"/>
    </x:xf>
    <x:xf numFmtId="200" fontId="10" fillId="3" borderId="15" xfId="0" applyNumberFormat="1" applyFont="1" applyFill="1" applyBorder="1" applyAlignment="1">
      <x:alignment wrapText="1"/>
    </x:xf>
    <x:xf numFmtId="200" fontId="10" fillId="3" borderId="16" xfId="0" applyNumberFormat="1" applyFont="1" applyFill="1" applyBorder="1" applyAlignment="1">
      <x:alignment wrapText="1"/>
    </x:xf>
    <x:xf numFmtId="200" fontId="10" fillId="3" borderId="17" xfId="0" applyNumberFormat="1" applyFont="1" applyFill="1" applyBorder="1" applyAlignment="1">
      <x:alignment wrapText="1"/>
    </x:xf>
    <x:xf numFmtId="203" fontId="10" fillId="0" borderId="0" xfId="0" applyNumberFormat="1" applyFont="1" applyFill="1" applyBorder="1"/>
    <x:xf numFmtId="201" fontId="10" fillId="0" borderId="0" xfId="0" applyNumberFormat="1" applyFont="1" applyFill="1" applyBorder="1"/>
    <x:xf numFmtId="203" fontId="10" fillId="0" borderId="1" xfId="0" applyNumberFormat="1" applyFont="1" applyFill="1" applyBorder="1"/>
    <x:xf numFmtId="201" fontId="10" fillId="0" borderId="1" xfId="0" applyNumberFormat="1" applyFont="1" applyFill="1" applyBorder="1"/>
    <x:xf numFmtId="203" fontId="10" fillId="0" borderId="0" xfId="0" applyNumberFormat="1" applyFont="1" applyFill="1" applyBorder="1" applyAlignment="1">
      <x:alignment wrapText="1"/>
    </x:xf>
    <x:xf numFmtId="201" fontId="10" fillId="0" borderId="0" xfId="0" applyNumberFormat="1" applyFont="1" applyFill="1" applyBorder="1" applyAlignment="1">
      <x:alignment wrapText="1"/>
    </x:xf>
    <x:xf numFmtId="203" fontId="10" fillId="0" borderId="1" xfId="0" applyNumberFormat="1" applyFont="1" applyFill="1" applyBorder="1" applyAlignment="1">
      <x:alignment wrapText="1"/>
    </x:xf>
    <x:xf numFmtId="201" fontId="10" fillId="0" borderId="1" xfId="0" applyNumberFormat="1" applyFont="1" applyFill="1" applyBorder="1" applyAlignment="1">
      <x:alignment wrapText="1"/>
    </x:xf>
    <x:xf numFmtId="201" fontId="10" fillId="3" borderId="2" xfId="0" applyNumberFormat="1" applyFont="1" applyFill="1" applyBorder="1"/>
    <x:xf numFmtId="200" fontId="10" fillId="3" borderId="3" xfId="0" applyNumberFormat="1" applyFont="1" applyFill="1" applyBorder="1"/>
    <x:xf numFmtId="201" fontId="10" fillId="3" borderId="3" xfId="0" applyNumberFormat="1" applyFont="1" applyFill="1" applyBorder="1"/>
    <x:xf numFmtId="204" fontId="10" fillId="3" borderId="4" xfId="0" applyNumberFormat="1" applyFont="1" applyFill="1" applyBorder="1"/>
    <x:xf numFmtId="204" fontId="10" fillId="3" borderId="6" xfId="0" applyNumberFormat="1" applyFont="1" applyFill="1" applyBorder="1"/>
    <x:xf numFmtId="201" fontId="10" fillId="3" borderId="7" xfId="0" applyNumberFormat="1" applyFont="1" applyFill="1" applyBorder="1"/>
    <x:xf numFmtId="201" fontId="10" fillId="3" borderId="8" xfId="0" applyNumberFormat="1" applyFont="1" applyFill="1" applyBorder="1"/>
    <x:xf numFmtId="0" fontId="10" fillId="3" borderId="8" xfId="0" applyNumberFormat="1" applyFont="1" applyFill="1" applyBorder="1"/>
    <x:xf numFmtId="204" fontId="10" fillId="3" borderId="9" xfId="0" applyNumberFormat="1" applyFont="1" applyFill="1" applyBorder="1"/>
    <x:xf numFmtId="201" fontId="10" fillId="3" borderId="10" xfId="0" applyNumberFormat="1" applyFont="1" applyFill="1" applyBorder="1"/>
    <x:xf numFmtId="200" fontId="10" fillId="3" borderId="11" xfId="0" applyNumberFormat="1" applyFont="1" applyFill="1" applyBorder="1"/>
    <x:xf numFmtId="201" fontId="10" fillId="3" borderId="11" xfId="0" applyNumberFormat="1" applyFont="1" applyFill="1" applyBorder="1"/>
    <x:xf numFmtId="204" fontId="10" fillId="3" borderId="12" xfId="0" applyNumberFormat="1" applyFont="1" applyFill="1" applyBorder="1"/>
    <x:xf numFmtId="204" fontId="10" fillId="3" borderId="14" xfId="0" applyNumberFormat="1" applyFont="1" applyFill="1" applyBorder="1"/>
    <x:xf numFmtId="201" fontId="10" fillId="3" borderId="15" xfId="0" applyNumberFormat="1" applyFont="1" applyFill="1" applyBorder="1"/>
    <x:xf numFmtId="201" fontId="10" fillId="3" borderId="16" xfId="0" applyNumberFormat="1" applyFont="1" applyFill="1" applyBorder="1"/>
    <x:xf numFmtId="0" fontId="10" fillId="3" borderId="16" xfId="0" applyNumberFormat="1" applyFont="1" applyFill="1" applyBorder="1"/>
    <x:xf numFmtId="204" fontId="10" fillId="3" borderId="17" xfId="0" applyNumberFormat="1" applyFont="1" applyFill="1" applyBorder="1"/>
    <x:xf numFmtId="201" fontId="10" fillId="3" borderId="2" xfId="0" applyNumberFormat="1" applyFont="1" applyFill="1" applyBorder="1" applyAlignment="1">
      <x:alignment wrapText="1"/>
    </x:xf>
    <x:xf numFmtId="200" fontId="10" fillId="3" borderId="3" xfId="0" applyNumberFormat="1" applyFont="1" applyFill="1" applyBorder="1" applyAlignment="1">
      <x:alignment wrapText="1"/>
    </x:xf>
    <x:xf numFmtId="201" fontId="10" fillId="3" borderId="3" xfId="0" applyNumberFormat="1" applyFont="1" applyFill="1" applyBorder="1" applyAlignment="1">
      <x:alignment wrapText="1"/>
    </x:xf>
    <x:xf numFmtId="204" fontId="10" fillId="3" borderId="4" xfId="0" applyNumberFormat="1" applyFont="1" applyFill="1" applyBorder="1" applyAlignment="1">
      <x:alignment wrapText="1"/>
    </x:xf>
    <x:xf numFmtId="204" fontId="10" fillId="3" borderId="6" xfId="0" applyNumberFormat="1" applyFont="1" applyFill="1" applyBorder="1" applyAlignment="1">
      <x:alignment wrapText="1"/>
    </x:xf>
    <x:xf numFmtId="201" fontId="10" fillId="3" borderId="7" xfId="0" applyNumberFormat="1" applyFont="1" applyFill="1" applyBorder="1" applyAlignment="1">
      <x:alignment wrapText="1"/>
    </x:xf>
    <x:xf numFmtId="201" fontId="10" fillId="3" borderId="8" xfId="0" applyNumberFormat="1" applyFont="1" applyFill="1" applyBorder="1" applyAlignment="1">
      <x:alignment wrapText="1"/>
    </x:xf>
    <x:xf numFmtId="0" fontId="10" fillId="3" borderId="8" xfId="0" applyNumberFormat="1" applyFont="1" applyFill="1" applyBorder="1" applyAlignment="1">
      <x:alignment wrapText="1"/>
    </x:xf>
    <x:xf numFmtId="204" fontId="10" fillId="3" borderId="9" xfId="0" applyNumberFormat="1" applyFont="1" applyFill="1" applyBorder="1" applyAlignment="1">
      <x:alignment wrapText="1"/>
    </x:xf>
    <x:xf numFmtId="201" fontId="10" fillId="3" borderId="10" xfId="0" applyNumberFormat="1" applyFont="1" applyFill="1" applyBorder="1" applyAlignment="1">
      <x:alignment wrapText="1"/>
    </x:xf>
    <x:xf numFmtId="200" fontId="10" fillId="3" borderId="11" xfId="0" applyNumberFormat="1" applyFont="1" applyFill="1" applyBorder="1" applyAlignment="1">
      <x:alignment wrapText="1"/>
    </x:xf>
    <x:xf numFmtId="201" fontId="10" fillId="3" borderId="11" xfId="0" applyNumberFormat="1" applyFont="1" applyFill="1" applyBorder="1" applyAlignment="1">
      <x:alignment wrapText="1"/>
    </x:xf>
    <x:xf numFmtId="204" fontId="10" fillId="3" borderId="12" xfId="0" applyNumberFormat="1" applyFont="1" applyFill="1" applyBorder="1" applyAlignment="1">
      <x:alignment wrapText="1"/>
    </x:xf>
    <x:xf numFmtId="204" fontId="10" fillId="3" borderId="14" xfId="0" applyNumberFormat="1" applyFont="1" applyFill="1" applyBorder="1" applyAlignment="1">
      <x:alignment wrapText="1"/>
    </x:xf>
    <x:xf numFmtId="201" fontId="10" fillId="3" borderId="15" xfId="0" applyNumberFormat="1" applyFont="1" applyFill="1" applyBorder="1" applyAlignment="1">
      <x:alignment wrapText="1"/>
    </x:xf>
    <x:xf numFmtId="201" fontId="10" fillId="3" borderId="16" xfId="0" applyNumberFormat="1" applyFont="1" applyFill="1" applyBorder="1" applyAlignment="1">
      <x:alignment wrapText="1"/>
    </x:xf>
    <x:xf numFmtId="0" fontId="10" fillId="3" borderId="16" xfId="0" applyNumberFormat="1" applyFont="1" applyFill="1" applyBorder="1" applyAlignment="1">
      <x:alignment wrapText="1"/>
    </x:xf>
    <x:xf numFmtId="204" fontId="10" fillId="3" borderId="17" xfId="0" applyNumberFormat="1" applyFont="1" applyFill="1" applyBorder="1" applyAlignment="1">
      <x:alignment wrapText="1"/>
    </x:xf>
    <x:xf numFmtId="0" fontId="10" fillId="3" borderId="30" xfId="0" applyNumberFormat="1" applyFont="1" applyFill="1" applyBorder="1"/>
    <x:xf numFmtId="0" fontId="10" fillId="3" borderId="31" xfId="0" applyNumberFormat="1" applyFont="1" applyFill="1" applyBorder="1"/>
    <x:xf numFmtId="0" fontId="10" fillId="3" borderId="32" xfId="0" applyNumberFormat="1" applyFont="1" applyFill="1" applyBorder="1"/>
    <x:xf numFmtId="0" fontId="10" fillId="3" borderId="33" xfId="0" applyNumberFormat="1" applyFont="1" applyFill="1" applyBorder="1"/>
    <x:xf numFmtId="0" fontId="10" fillId="3" borderId="34" xfId="0" applyNumberFormat="1" applyFont="1" applyFill="1" applyBorder="1"/>
    <x:xf numFmtId="0" fontId="10" fillId="3" borderId="35" xfId="0" applyNumberFormat="1" applyFont="1" applyFill="1" applyBorder="1"/>
    <x:xf numFmtId="0" fontId="10" fillId="3" borderId="30" xfId="0" applyNumberFormat="1" applyFont="1" applyFill="1" applyBorder="1" applyAlignment="1">
      <x:alignment wrapText="1"/>
    </x:xf>
    <x:xf numFmtId="0" fontId="10" fillId="3" borderId="31" xfId="0" applyNumberFormat="1" applyFont="1" applyFill="1" applyBorder="1" applyAlignment="1">
      <x:alignment wrapText="1"/>
    </x:xf>
    <x:xf numFmtId="0" fontId="10" fillId="3" borderId="32" xfId="0" applyNumberFormat="1" applyFont="1" applyFill="1" applyBorder="1" applyAlignment="1">
      <x:alignment wrapText="1"/>
    </x:xf>
    <x:xf numFmtId="0" fontId="10" fillId="3" borderId="33" xfId="0" applyNumberFormat="1" applyFont="1" applyFill="1" applyBorder="1" applyAlignment="1">
      <x:alignment wrapText="1"/>
    </x:xf>
    <x:xf numFmtId="0" fontId="10" fillId="3" borderId="34" xfId="0" applyNumberFormat="1" applyFont="1" applyFill="1" applyBorder="1" applyAlignment="1">
      <x:alignment wrapText="1"/>
    </x:xf>
    <x:xf numFmtId="0" fontId="10" fillId="3" borderId="35" xfId="0" applyNumberFormat="1" applyFont="1" applyFill="1" applyBorder="1" applyAlignment="1">
      <x:alignment wrapText="1"/>
    </x:xf>
    <x:xf numFmtId="0" fontId="10" fillId="3" borderId="9" xfId="0" applyNumberFormat="1" applyFont="1" applyFill="1" applyBorder="1"/>
    <x:xf numFmtId="0" fontId="10" fillId="3" borderId="17" xfId="0" applyNumberFormat="1" applyFont="1" applyFill="1" applyBorder="1"/>
    <x:xf numFmtId="0" fontId="10" fillId="3" borderId="9" xfId="0" applyNumberFormat="1" applyFont="1" applyFill="1" applyBorder="1" applyAlignment="1">
      <x:alignment wrapText="1"/>
    </x:xf>
    <x:xf numFmtId="0" fontId="10" fillId="3" borderId="17" xfId="0" applyNumberFormat="1" applyFont="1" applyFill="1" applyBorder="1" applyAlignment="1">
      <x:alignment wrapText="1"/>
    </x:xf>
    <x:xf numFmtId="0" fontId="10" fillId="3" borderId="7" xfId="0" applyNumberFormat="1" applyFont="1" applyFill="1" applyBorder="1"/>
    <x:xf numFmtId="0" fontId="10" fillId="3" borderId="15" xfId="0" applyNumberFormat="1" applyFont="1" applyFill="1" applyBorder="1"/>
    <x:xf numFmtId="0" fontId="10" fillId="3" borderId="7" xfId="0" applyNumberFormat="1" applyFont="1" applyFill="1" applyBorder="1" applyAlignment="1">
      <x:alignment wrapText="1"/>
    </x:xf>
    <x:xf numFmtId="0" fontId="10" fillId="3" borderId="15" xfId="0" applyNumberFormat="1" applyFont="1" applyFill="1" applyBorder="1" applyAlignment="1">
      <x:alignment wrapText="1"/>
    </x:xf>
    <x:xf numFmtId="0" fontId="11" fillId="2" borderId="0" xfId="0" applyNumberFormat="1" applyFont="1" applyFill="1" applyBorder="1" applyAlignment="1">
      <x:alignment horizontal="center" vertical="center" wrapText="1"/>
    </x:xf>
    <x:xf numFmtId="0" fontId="11" fillId="2" borderId="1" xfId="0" applyNumberFormat="1" applyFont="1" applyFill="1" applyBorder="1" applyAlignment="1">
      <x:alignment horizontal="center" vertical="center" wrapText="1"/>
    </x:xf>
    <x:xf numFmtId="0" fontId="12" fillId="2" borderId="0" xfId="0" applyNumberFormat="1" applyFont="1" applyFill="1" applyBorder="1" applyAlignment="1">
      <x:alignment horizontal="center" vertical="center" wrapText="1"/>
    </x:xf>
    <x:xf numFmtId="0" fontId="12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6">
    <x:dxf>
      <x:font>
        <x:b/>
        <x:color rgb="FF1D7A5A"/>
      </x:font>
      <x:fill>
        <x:patternFill patternType="solid">
          <x:bgColor rgb="FFE6F5EF"/>
        </x:patternFill>
      </x:fill>
    </x:dxf>
    <x:dxf>
      <x:font>
        <x:b/>
        <x:color rgb="FFB57716"/>
      </x:font>
      <x:fill>
        <x:patternFill patternType="solid">
          <x:bgColor rgb="FFFFF3DE"/>
        </x:patternFill>
      </x:fill>
    </x:dxf>
    <x:dxf>
      <x:font>
        <x:b/>
        <x:color rgb="FF1D7A5A"/>
      </x:font>
      <x:fill>
        <x:patternFill patternType="solid">
          <x:bgColor rgb="FFE6F5EF"/>
        </x:patternFill>
      </x:fill>
    </x:dxf>
    <x:dxf>
      <x:font>
        <x:b/>
        <x:color rgb="FFB57716"/>
      </x:font>
      <x:fill>
        <x:patternFill patternType="solid">
          <x:bgColor rgb="FFFFF3DE"/>
        </x:patternFill>
      </x:fill>
    </x:dxf>
    <x:dxf>
      <x:font>
        <x:b/>
        <x:color rgb="FF1D7A5A"/>
      </x:font>
      <x:fill>
        <x:patternFill patternType="solid">
          <x:bgColor rgb="FFE6F5EF"/>
        </x:patternFill>
      </x:fill>
    </x:dxf>
    <x:dxf>
      <x:font>
        <x:b/>
        <x:color rgb="FFB57716"/>
      </x:font>
      <x:fill>
        <x:patternFill patternType="solid">
          <x:bgColor rgb="FFFFF3D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d596c33d1f4de6" /><Relationship Type="http://schemas.openxmlformats.org/officeDocument/2006/relationships/theme" Target="/xl/theme/theme1.xml" Id="Recbdfcc3fb104159" /><Relationship Type="http://schemas.openxmlformats.org/officeDocument/2006/relationships/sharedStrings" Target="/xl/sharedStrings.xml" Id="R16423b81784b4de2" /><Relationship Type="http://schemas.openxmlformats.org/officeDocument/2006/relationships/worksheet" Target="/xl/worksheets/sheet1.xml" Id="R9552cda7c4fe4626" /><Relationship Type="http://schemas.openxmlformats.org/officeDocument/2006/relationships/worksheet" Target="/xl/worksheets/sheet2.xml" Id="R1d5a468a7bc34480" /><Relationship Type="http://schemas.openxmlformats.org/officeDocument/2006/relationships/worksheet" Target="/xl/worksheets/sheet3.xml" Id="Rbf51d13ac69b4de5" /><Relationship Type="http://schemas.openxmlformats.org/officeDocument/2006/relationships/worksheet" Target="/xl/worksheets/sheet4.xml" Id="Rc5dda3948ad740c4" /><Relationship Type="http://schemas.openxmlformats.org/officeDocument/2006/relationships/worksheet" Target="/xl/worksheets/sheet5.xml" Id="Rbd22cc095dd84c7b" /><Relationship Type="http://schemas.openxmlformats.org/officeDocument/2006/relationships/worksheet" Target="/xl/worksheets/sheet6.xml" Id="Ra0749d6f46814107" /><Relationship Type="http://schemas.openxmlformats.org/officeDocument/2006/relationships/worksheet" Target="/xl/worksheets/sheet7.xml" Id="R8e012e65fc714b38" /><Relationship Type="http://schemas.openxmlformats.org/officeDocument/2006/relationships/worksheet" Target="/xl/worksheets/sheet8.xml" Id="R0288f3d7441a4ff8" /><Relationship Type="http://schemas.openxmlformats.org/officeDocument/2006/relationships/worksheet" Target="/xl/worksheets/sheet9.xml" Id="Rf3c2b1c615364808" /><Relationship Type="http://schemas.openxmlformats.org/officeDocument/2006/relationships/worksheet" Target="/xl/worksheets/sheet10.xml" Id="R575e64c5c51742e3" /></Relationships>
</file>

<file path=xl/tables/table1.xml><?xml version="1.0" encoding="utf-8"?>
<x:table xmlns:x="http://schemas.openxmlformats.org/spreadsheetml/2006/main" id="1" name="FinancialSourcesTable" displayName="FinancialSourcesTable" ref="A1:F8" headerRowCount="1">
  <x:tableColumns count="6">
    <x:tableColumn id="1" name="Subject"/>
    <x:tableColumn id="2" name="Source"/>
    <x:tableColumn id="3" name="URL / Location"/>
    <x:tableColumn id="4" name="Status"/>
    <x:tableColumn id="5" name="Use Boundary"/>
    <x:tableColumn id="6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.xml" Id="R524976bf00eb4fda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3" hidden="0" customWidth="1"/>
    <x:col min="3" max="3" width="13" hidden="0" customWidth="1"/>
    <x:col min="4" max="4" width="3" hidden="0" customWidth="1"/>
    <x:col min="5" max="5" width="27" hidden="0" customWidth="1"/>
    <x:col min="6" max="6" width="18" hidden="0" customWidth="1"/>
    <x:col min="7" max="7" width="13" hidden="0" customWidth="1"/>
    <x:col min="8" max="8" width="3" hidden="0" customWidth="1"/>
    <x:col min="9" max="9" width="8" hidden="0" customWidth="1"/>
    <x:col min="10" max="10" width="22" hidden="0" customWidth="1"/>
    <x:col min="11" max="11" width="18" hidden="0" customWidth="1"/>
    <x:col min="12" max="12" width="14" hidden="0" customWidth="1"/>
  </x:cols>
  <x:sheetData>
    <x:row r="1">
      <x:c r="A1" s="594" t="str">
        <x:v>MONTREAL.AI × GoalOS - Megacorn Launch Financial Command Board</x:v>
      </x:c>
      <x:c r="B1" s="594"/>
      <x:c r="C1" s="594"/>
      <x:c r="D1" s="594"/>
      <x:c r="E1" s="594"/>
      <x:c r="F1" s="594"/>
      <x:c r="G1" s="594"/>
      <x:c r="H1" s="594"/>
      <x:c r="I1" s="594"/>
      <x:c r="J1" s="594"/>
      <x:c r="K1" s="594"/>
      <x:c r="L1" s="594"/>
      <x:c r="M1" s="402"/>
      <x:c r="N1" s="402"/>
      <x:c r="O1" s="402"/>
      <x:c r="P1" s="402"/>
      <x:c r="Q1" s="402"/>
      <x:c r="R1" s="402"/>
      <x:c r="S1" s="402"/>
      <x:c r="T1" s="402"/>
      <x:c r="U1" s="402"/>
      <x:c r="V1" s="402"/>
      <x:c r="W1" s="402"/>
      <x:c r="X1" s="402"/>
      <x:c r="Y1" s="402"/>
      <x:c r="Z1" s="402"/>
    </x:row>
    <x:row r="2">
      <x:c r="A2" s="594"/>
      <x:c r="B2" s="594"/>
      <x:c r="C2" s="594"/>
      <x:c r="D2" s="594"/>
      <x:c r="E2" s="594"/>
      <x:c r="F2" s="594"/>
      <x:c r="G2" s="594"/>
      <x:c r="H2" s="594"/>
      <x:c r="I2" s="594"/>
      <x:c r="J2" s="594"/>
      <x:c r="K2" s="594"/>
      <x:c r="L2" s="594"/>
      <x:c r="M2" s="402"/>
      <x:c r="N2" s="402"/>
      <x:c r="O2" s="402"/>
      <x:c r="P2" s="402"/>
      <x:c r="Q2" s="402"/>
      <x:c r="R2" s="402"/>
      <x:c r="S2" s="402"/>
      <x:c r="T2" s="402"/>
      <x:c r="U2" s="402"/>
      <x:c r="V2" s="402"/>
      <x:c r="W2" s="402"/>
      <x:c r="X2" s="402"/>
      <x:c r="Y2" s="402"/>
      <x:c r="Z2" s="402"/>
    </x:row>
    <x:row r="3">
      <x:c r="A3" s="402"/>
      <x:c r="B3" s="402"/>
      <x:c r="C3" s="402"/>
      <x:c r="D3" s="402"/>
      <x:c r="E3" s="402"/>
      <x:c r="F3" s="402"/>
      <x:c r="G3" s="402"/>
      <x:c r="H3" s="402"/>
      <x:c r="I3" s="402"/>
      <x:c r="J3" s="402"/>
      <x:c r="K3" s="402"/>
      <x:c r="L3" s="402"/>
      <x:c r="M3" s="402"/>
      <x:c r="N3" s="402"/>
      <x:c r="O3" s="402"/>
      <x:c r="P3" s="402"/>
      <x:c r="Q3" s="402"/>
      <x:c r="R3" s="402"/>
      <x:c r="S3" s="402"/>
      <x:c r="T3" s="402"/>
      <x:c r="U3" s="402"/>
      <x:c r="V3" s="402"/>
      <x:c r="W3" s="402"/>
      <x:c r="X3" s="402"/>
      <x:c r="Y3" s="402"/>
      <x:c r="Z3" s="402"/>
    </x:row>
    <x:row r="4">
      <x:c r="A4" s="333" t="str">
        <x:v>Commercial Proof</x:v>
      </x:c>
      <x:c r="B4" s="333" t="str">
        <x:v>Actual</x:v>
      </x:c>
      <x:c r="C4" s="333" t="str">
        <x:v>Target</x:v>
      </x:c>
      <x:c r="D4" s="402"/>
      <x:c r="E4" s="333" t="str">
        <x:v>Operating Scenario</x:v>
      </x:c>
      <x:c r="F4" s="333" t="str">
        <x:v>Value</x:v>
      </x:c>
      <x:c r="G4" s="333" t="str">
        <x:v>Status</x:v>
      </x:c>
      <x:c r="H4" s="402"/>
      <x:c r="I4" s="305" t="str">
        <x:v>Authority Ladder</x:v>
      </x:c>
      <x:c r="J4" s="305"/>
      <x:c r="K4" s="305"/>
      <x:c r="L4" s="305"/>
      <x:c r="M4" s="402"/>
      <x:c r="N4" s="402"/>
      <x:c r="O4" s="402"/>
      <x:c r="P4" s="402"/>
      <x:c r="Q4" s="402"/>
      <x:c r="R4" s="402"/>
      <x:c r="S4" s="402"/>
      <x:c r="T4" s="402"/>
      <x:c r="U4" s="402"/>
      <x:c r="V4" s="402"/>
      <x:c r="W4" s="402"/>
      <x:c r="X4" s="402"/>
      <x:c r="Y4" s="402"/>
      <x:c r="Z4" s="402"/>
    </x:row>
    <x:row r="5">
      <x:c r="A5" s="403" t="str">
        <x:v>Paying customers</x:v>
      </x:c>
      <x:c r="B5" s="404" t="n">
        <x:f>'Commercial Proof 001'!C5</x:f>
        <x:v>0</x:v>
      </x:c>
      <x:c r="C5" s="405" t="n">
        <x:v>3</x:v>
      </x:c>
      <x:c r="D5" s="402"/>
      <x:c r="E5" s="403" t="str">
        <x:v>Selected scenario</x:v>
      </x:c>
      <x:c r="F5" s="406" t="str">
        <x:f>'Assumptions'!C5</x:f>
        <x:v>Base</x:v>
      </x:c>
      <x:c r="G5" s="407" t="str">
        <x:v>Scenario</x:v>
      </x:c>
      <x:c r="H5" s="402"/>
      <x:c r="I5" s="408" t="n">
        <x:v>1</x:v>
      </x:c>
      <x:c r="J5" s="409" t="str">
        <x:v>Architecture</x:v>
      </x:c>
      <x:c r="K5" s="410" t="str">
        <x:v>Attention</x:v>
      </x:c>
      <x:c r="L5" s="411" t="str">
        <x:v>PASS</x:v>
      </x:c>
      <x:c r="M5" s="402"/>
      <x:c r="N5" s="402"/>
      <x:c r="O5" s="402"/>
      <x:c r="P5" s="402"/>
      <x:c r="Q5" s="402"/>
      <x:c r="R5" s="402"/>
      <x:c r="S5" s="402"/>
      <x:c r="T5" s="402"/>
      <x:c r="U5" s="402"/>
      <x:c r="V5" s="402"/>
      <x:c r="W5" s="402"/>
      <x:c r="X5" s="402"/>
      <x:c r="Y5" s="402"/>
      <x:c r="Z5" s="402"/>
    </x:row>
    <x:row r="6">
      <x:c r="A6" s="412" t="str">
        <x:v>Delivered missions</x:v>
      </x:c>
      <x:c r="B6" s="413" t="n">
        <x:f>'Commercial Proof 001'!C6</x:f>
        <x:v>0</x:v>
      </x:c>
      <x:c r="C6" s="414" t="n">
        <x:v>3</x:v>
      </x:c>
      <x:c r="D6" s="402"/>
      <x:c r="E6" s="412" t="str">
        <x:v>Month 12 revenue</x:v>
      </x:c>
      <x:c r="F6" s="415" t="n">
        <x:f>'36-Month Model'!J16</x:f>
        <x:v>162500</x:v>
      </x:c>
      <x:c r="G6" s="416" t="str">
        <x:v>Scenario</x:v>
      </x:c>
      <x:c r="H6" s="402"/>
      <x:c r="I6" s="417" t="n">
        <x:v>2</x:v>
      </x:c>
      <x:c r="J6" s="418" t="str">
        <x:v>Payment</x:v>
      </x:c>
      <x:c r="K6" s="419" t="str">
        <x:v>Relevance</x:v>
      </x:c>
      <x:c r="L6" s="420" t="str">
        <x:v>OPEN</x:v>
      </x:c>
      <x:c r="M6" s="402"/>
      <x:c r="N6" s="402"/>
      <x:c r="O6" s="402"/>
      <x:c r="P6" s="402"/>
      <x:c r="Q6" s="402"/>
      <x:c r="R6" s="402"/>
      <x:c r="S6" s="402"/>
      <x:c r="T6" s="402"/>
      <x:c r="U6" s="402"/>
      <x:c r="V6" s="402"/>
      <x:c r="W6" s="402"/>
      <x:c r="X6" s="402"/>
      <x:c r="Y6" s="402"/>
      <x:c r="Z6" s="402"/>
    </x:row>
    <x:row r="7">
      <x:c r="A7" s="412" t="str">
        <x:v>Verified outcomes</x:v>
      </x:c>
      <x:c r="B7" s="413" t="n">
        <x:f>'Commercial Proof 001'!C7</x:f>
        <x:v>0</x:v>
      </x:c>
      <x:c r="C7" s="414" t="n">
        <x:v>1</x:v>
      </x:c>
      <x:c r="D7" s="402"/>
      <x:c r="E7" s="412" t="str">
        <x:v>Month 12 ending cash</x:v>
      </x:c>
      <x:c r="F7" s="415" t="n">
        <x:f>'36-Month Model'!R16</x:f>
        <x:v>8858051.918076627</x:v>
      </x:c>
      <x:c r="G7" s="416" t="str">
        <x:v>Scenario</x:v>
      </x:c>
      <x:c r="H7" s="402"/>
      <x:c r="I7" s="417" t="n">
        <x:v>3</x:v>
      </x:c>
      <x:c r="J7" s="418" t="str">
        <x:v>Outcome</x:v>
      </x:c>
      <x:c r="K7" s="419" t="str">
        <x:v>Credibility</x:v>
      </x:c>
      <x:c r="L7" s="420" t="str">
        <x:v>OPEN</x:v>
      </x:c>
      <x:c r="M7" s="402"/>
      <x:c r="N7" s="402"/>
      <x:c r="O7" s="402"/>
      <x:c r="P7" s="402"/>
      <x:c r="Q7" s="402"/>
      <x:c r="R7" s="402"/>
      <x:c r="S7" s="402"/>
      <x:c r="T7" s="402"/>
      <x:c r="U7" s="402"/>
      <x:c r="V7" s="402"/>
      <x:c r="W7" s="402"/>
      <x:c r="X7" s="402"/>
      <x:c r="Y7" s="402"/>
      <x:c r="Z7" s="402"/>
    </x:row>
    <x:row r="8">
      <x:c r="A8" s="412" t="str">
        <x:v>Repeat purchases</x:v>
      </x:c>
      <x:c r="B8" s="413" t="n">
        <x:f>'Commercial Proof 001'!C8</x:f>
        <x:v>0</x:v>
      </x:c>
      <x:c r="C8" s="414" t="n">
        <x:v>1</x:v>
      </x:c>
      <x:c r="D8" s="402"/>
      <x:c r="E8" s="412" t="str">
        <x:v>Month 24 revenue</x:v>
      </x:c>
      <x:c r="F8" s="415" t="n">
        <x:f>'36-Month Model'!J28</x:f>
        <x:v>457125</x:v>
      </x:c>
      <x:c r="G8" s="416" t="str">
        <x:v>Scenario</x:v>
      </x:c>
      <x:c r="H8" s="402"/>
      <x:c r="I8" s="417" t="n">
        <x:v>4</x:v>
      </x:c>
      <x:c r="J8" s="418" t="str">
        <x:v>Verification</x:v>
      </x:c>
      <x:c r="K8" s="419" t="str">
        <x:v>Authority</x:v>
      </x:c>
      <x:c r="L8" s="420" t="str">
        <x:v>OPEN</x:v>
      </x:c>
      <x:c r="M8" s="402"/>
      <x:c r="N8" s="402"/>
      <x:c r="O8" s="402"/>
      <x:c r="P8" s="402"/>
      <x:c r="Q8" s="402"/>
      <x:c r="R8" s="402"/>
      <x:c r="S8" s="402"/>
      <x:c r="T8" s="402"/>
      <x:c r="U8" s="402"/>
      <x:c r="V8" s="402"/>
      <x:c r="W8" s="402"/>
      <x:c r="X8" s="402"/>
      <x:c r="Y8" s="402"/>
      <x:c r="Z8" s="402"/>
    </x:row>
    <x:row r="9">
      <x:c r="A9" s="412" t="str">
        <x:v>Positive contribution</x:v>
      </x:c>
      <x:c r="B9" s="413" t="n">
        <x:f>'Commercial Proof 001'!C9</x:f>
        <x:v>0</x:v>
      </x:c>
      <x:c r="C9" s="414" t="n">
        <x:v>1</x:v>
      </x:c>
      <x:c r="D9" s="402"/>
      <x:c r="E9" s="412" t="str">
        <x:v>Month 24 ending cash</x:v>
      </x:c>
      <x:c r="F9" s="415" t="n">
        <x:f>'36-Month Model'!R28</x:f>
        <x:v>32867411.089693524</x:v>
      </x:c>
      <x:c r="G9" s="416" t="str">
        <x:v>Scenario</x:v>
      </x:c>
      <x:c r="H9" s="402"/>
      <x:c r="I9" s="417" t="n">
        <x:v>5</x:v>
      </x:c>
      <x:c r="J9" s="418" t="str">
        <x:v>Repeat purchase</x:v>
      </x:c>
      <x:c r="K9" s="419" t="str">
        <x:v>Confidence</x:v>
      </x:c>
      <x:c r="L9" s="420" t="str">
        <x:v>OPEN</x:v>
      </x:c>
      <x:c r="M9" s="402"/>
      <x:c r="N9" s="402"/>
      <x:c r="O9" s="402"/>
      <x:c r="P9" s="402"/>
      <x:c r="Q9" s="402"/>
      <x:c r="R9" s="402"/>
      <x:c r="S9" s="402"/>
      <x:c r="T9" s="402"/>
      <x:c r="U9" s="402"/>
      <x:c r="V9" s="402"/>
      <x:c r="W9" s="402"/>
      <x:c r="X9" s="402"/>
      <x:c r="Y9" s="402"/>
      <x:c r="Z9" s="402"/>
    </x:row>
    <x:row r="10">
      <x:c r="A10" s="412" t="str">
        <x:v>Public-safe Docket</x:v>
      </x:c>
      <x:c r="B10" s="413" t="n">
        <x:f>'Commercial Proof 001'!C10</x:f>
        <x:v>0</x:v>
      </x:c>
      <x:c r="C10" s="414" t="n">
        <x:v>1</x:v>
      </x:c>
      <x:c r="D10" s="402"/>
      <x:c r="E10" s="412" t="str">
        <x:v>Month 36 revenue</x:v>
      </x:c>
      <x:c r="F10" s="415" t="n">
        <x:f>'36-Month Model'!J40</x:f>
        <x:v>1104352.501054737</x:v>
      </x:c>
      <x:c r="G10" s="416" t="str">
        <x:v>Scenario</x:v>
      </x:c>
      <x:c r="H10" s="402"/>
      <x:c r="I10" s="417" t="n">
        <x:v>6</x:v>
      </x:c>
      <x:c r="J10" s="418" t="str">
        <x:v>Fresh transfer</x:v>
      </x:c>
      <x:c r="K10" s="419" t="str">
        <x:v>Platform</x:v>
      </x:c>
      <x:c r="L10" s="420" t="str">
        <x:v>OPEN</x:v>
      </x:c>
      <x:c r="M10" s="402"/>
      <x:c r="N10" s="402"/>
      <x:c r="O10" s="402"/>
      <x:c r="P10" s="402"/>
      <x:c r="Q10" s="402"/>
      <x:c r="R10" s="402"/>
      <x:c r="S10" s="402"/>
      <x:c r="T10" s="402"/>
      <x:c r="U10" s="402"/>
      <x:c r="V10" s="402"/>
      <x:c r="W10" s="402"/>
      <x:c r="X10" s="402"/>
      <x:c r="Y10" s="402"/>
      <x:c r="Z10" s="402"/>
    </x:row>
    <x:row r="11">
      <x:c r="A11" s="412" t="str">
        <x:v>Transferable capability</x:v>
      </x:c>
      <x:c r="B11" s="413" t="n">
        <x:f>'Commercial Proof 001'!C11</x:f>
        <x:v>0</x:v>
      </x:c>
      <x:c r="C11" s="414" t="n">
        <x:v>1</x:v>
      </x:c>
      <x:c r="D11" s="402"/>
      <x:c r="E11" s="412" t="str">
        <x:v>Month 36 ending cash</x:v>
      </x:c>
      <x:c r="F11" s="415" t="n">
        <x:f>'36-Month Model'!R40</x:f>
        <x:v>33522387.58025613</x:v>
      </x:c>
      <x:c r="G11" s="416" t="str">
        <x:v>Scenario</x:v>
      </x:c>
      <x:c r="H11" s="402"/>
      <x:c r="I11" s="417" t="n">
        <x:v>7</x:v>
      </x:c>
      <x:c r="J11" s="418" t="str">
        <x:v>Verified free cash flow</x:v>
      </x:c>
      <x:c r="K11" s="419" t="str">
        <x:v>Treasury</x:v>
      </x:c>
      <x:c r="L11" s="420" t="str">
        <x:v>OPEN</x:v>
      </x:c>
      <x:c r="M11" s="402"/>
      <x:c r="N11" s="402"/>
      <x:c r="O11" s="402"/>
      <x:c r="P11" s="402"/>
      <x:c r="Q11" s="402"/>
      <x:c r="R11" s="402"/>
      <x:c r="S11" s="402"/>
      <x:c r="T11" s="402"/>
      <x:c r="U11" s="402"/>
      <x:c r="V11" s="402"/>
      <x:c r="W11" s="402"/>
      <x:c r="X11" s="402"/>
      <x:c r="Y11" s="402"/>
      <x:c r="Z11" s="402"/>
    </x:row>
    <x:row r="12">
      <x:c r="A12" s="421" t="str">
        <x:v>Trust breaches</x:v>
      </x:c>
      <x:c r="B12" s="422" t="n">
        <x:f>'Commercial Proof 001'!C12</x:f>
        <x:v>0</x:v>
      </x:c>
      <x:c r="C12" s="423" t="n">
        <x:v>0</x:v>
      </x:c>
      <x:c r="D12" s="402"/>
      <x:c r="E12" s="421" t="str">
        <x:v>Month 36 headcount</x:v>
      </x:c>
      <x:c r="F12" s="424" t="n">
        <x:f>'36-Month Model'!M40</x:f>
        <x:v>22</x:v>
      </x:c>
      <x:c r="G12" s="425" t="str">
        <x:v>Scenario</x:v>
      </x:c>
      <x:c r="H12" s="402"/>
      <x:c r="I12" s="426" t="n">
        <x:v>8</x:v>
      </x:c>
      <x:c r="J12" s="427" t="str">
        <x:v>Measured productive output</x:v>
      </x:c>
      <x:c r="K12" s="428" t="str">
        <x:v>Infrastructure</x:v>
      </x:c>
      <x:c r="L12" s="429" t="str">
        <x:v>OPEN</x:v>
      </x:c>
      <x:c r="M12" s="402"/>
      <x:c r="N12" s="402"/>
      <x:c r="O12" s="402"/>
      <x:c r="P12" s="402"/>
      <x:c r="Q12" s="402"/>
      <x:c r="R12" s="402"/>
      <x:c r="S12" s="402"/>
      <x:c r="T12" s="402"/>
      <x:c r="U12" s="402"/>
      <x:c r="V12" s="402"/>
      <x:c r="W12" s="402"/>
      <x:c r="X12" s="402"/>
      <x:c r="Y12" s="402"/>
      <x:c r="Z12" s="402"/>
    </x:row>
    <x:row r="13">
      <x:c r="A13" s="402"/>
      <x:c r="B13" s="402"/>
      <x:c r="C13" s="402"/>
      <x:c r="D13" s="402"/>
      <x:c r="E13" s="402"/>
      <x:c r="F13" s="402"/>
      <x:c r="G13" s="402"/>
      <x:c r="H13" s="402"/>
      <x:c r="I13" s="402"/>
      <x:c r="J13" s="402"/>
      <x:c r="K13" s="402"/>
      <x:c r="L13" s="402"/>
      <x:c r="M13" s="402"/>
      <x:c r="N13" s="402"/>
      <x:c r="O13" s="402"/>
      <x:c r="P13" s="402"/>
      <x:c r="Q13" s="402"/>
      <x:c r="R13" s="402"/>
      <x:c r="S13" s="402"/>
      <x:c r="T13" s="402"/>
      <x:c r="U13" s="402"/>
      <x:c r="V13" s="402"/>
      <x:c r="W13" s="402"/>
      <x:c r="X13" s="402"/>
      <x:c r="Y13" s="402"/>
      <x:c r="Z13" s="402"/>
    </x:row>
    <x:row r="14">
      <x:c r="A14" s="402"/>
      <x:c r="B14" s="402"/>
      <x:c r="C14" s="402"/>
      <x:c r="D14" s="402"/>
      <x:c r="E14" s="402"/>
      <x:c r="F14" s="402"/>
      <x:c r="G14" s="402"/>
      <x:c r="H14" s="402"/>
      <x:c r="I14" s="402"/>
      <x:c r="J14" s="402"/>
      <x:c r="K14" s="402"/>
      <x:c r="L14" s="402"/>
      <x:c r="M14" s="402"/>
      <x:c r="N14" s="402"/>
      <x:c r="O14" s="402"/>
      <x:c r="P14" s="402"/>
      <x:c r="Q14" s="402"/>
      <x:c r="R14" s="402"/>
      <x:c r="S14" s="402"/>
      <x:c r="T14" s="402"/>
      <x:c r="U14" s="402"/>
      <x:c r="V14" s="402"/>
      <x:c r="W14" s="402"/>
      <x:c r="X14" s="402"/>
      <x:c r="Y14" s="402"/>
      <x:c r="Z14" s="402"/>
    </x:row>
    <x:row r="15">
      <x:c r="A15" s="333" t="str">
        <x:v>North Star: maximize long-term Net Verified Productive Capacity - not prompt volume, pipeline, token price, model ranking, unaudited valuation or synthetic traction.</x:v>
      </x:c>
      <x:c r="B15" s="333"/>
      <x:c r="C15" s="333"/>
      <x:c r="D15" s="333"/>
      <x:c r="E15" s="333"/>
      <x:c r="F15" s="333"/>
      <x:c r="G15" s="333"/>
      <x:c r="H15" s="333"/>
      <x:c r="I15" s="333"/>
      <x:c r="J15" s="333"/>
      <x:c r="K15" s="333"/>
      <x:c r="L15" s="333"/>
      <x:c r="M15" s="402"/>
      <x:c r="N15" s="402"/>
      <x:c r="O15" s="402"/>
      <x:c r="P15" s="402"/>
      <x:c r="Q15" s="402"/>
      <x:c r="R15" s="402"/>
      <x:c r="S15" s="402"/>
      <x:c r="T15" s="402"/>
      <x:c r="U15" s="402"/>
      <x:c r="V15" s="402"/>
      <x:c r="W15" s="402"/>
      <x:c r="X15" s="402"/>
      <x:c r="Y15" s="402"/>
      <x:c r="Z15" s="402"/>
    </x:row>
    <x:row r="16">
      <x:c r="A16" s="333"/>
      <x:c r="B16" s="333"/>
      <x:c r="C16" s="333"/>
      <x:c r="D16" s="333"/>
      <x:c r="E16" s="333"/>
      <x:c r="F16" s="333"/>
      <x:c r="G16" s="333"/>
      <x:c r="H16" s="333"/>
      <x:c r="I16" s="333"/>
      <x:c r="J16" s="333"/>
      <x:c r="K16" s="333"/>
      <x:c r="L16" s="333"/>
      <x:c r="M16" s="402"/>
      <x:c r="N16" s="402"/>
      <x:c r="O16" s="402"/>
      <x:c r="P16" s="402"/>
      <x:c r="Q16" s="402"/>
      <x:c r="R16" s="402"/>
      <x:c r="S16" s="402"/>
      <x:c r="T16" s="402"/>
      <x:c r="U16" s="402"/>
      <x:c r="V16" s="402"/>
      <x:c r="W16" s="402"/>
      <x:c r="X16" s="402"/>
      <x:c r="Y16" s="402"/>
      <x:c r="Z16" s="402"/>
    </x:row>
    <x:row r="17">
      <x:c r="A17" s="402"/>
      <x:c r="B17" s="402"/>
      <x:c r="C17" s="402"/>
      <x:c r="D17" s="402"/>
      <x:c r="E17" s="402"/>
      <x:c r="F17" s="402"/>
      <x:c r="G17" s="402"/>
      <x:c r="H17" s="402"/>
      <x:c r="I17" s="402"/>
      <x:c r="J17" s="402"/>
      <x:c r="K17" s="402"/>
      <x:c r="L17" s="402"/>
      <x:c r="M17" s="402"/>
      <x:c r="N17" s="402"/>
      <x:c r="O17" s="402"/>
      <x:c r="P17" s="402"/>
      <x:c r="Q17" s="402"/>
      <x:c r="R17" s="402"/>
      <x:c r="S17" s="402"/>
      <x:c r="T17" s="402"/>
      <x:c r="U17" s="402"/>
      <x:c r="V17" s="402"/>
      <x:c r="W17" s="402"/>
      <x:c r="X17" s="402"/>
      <x:c r="Y17" s="402"/>
      <x:c r="Z17" s="402"/>
    </x:row>
    <x:row r="18">
      <x:c r="A18" s="334" t="str">
        <x:v>Immediate executive decision
Approve the category launch, assign accountable roles, freeze Commercial Proof Run 001, approve the first 100 named accounts, publish the zero-state scoreboard, and begin the first paid enterprise cohort.</x:v>
      </x:c>
      <x:c r="B18" s="335"/>
      <x:c r="C18" s="335"/>
      <x:c r="D18" s="335"/>
      <x:c r="E18" s="335"/>
      <x:c r="F18" s="336"/>
      <x:c r="G18" s="402"/>
      <x:c r="H18" s="337" t="str">
        <x:v>Institutional law
No payment, no commercial proof.
No outcome, no value claim.
No independent verification, no authority.
No repeat purchase, no product confidence.
No fresh transfer test, no platform claim.</x:v>
      </x:c>
      <x:c r="I18" s="338"/>
      <x:c r="J18" s="338"/>
      <x:c r="K18" s="338"/>
      <x:c r="L18" s="339"/>
      <x:c r="M18" s="402"/>
      <x:c r="N18" s="402"/>
      <x:c r="O18" s="402"/>
      <x:c r="P18" s="402"/>
      <x:c r="Q18" s="402"/>
      <x:c r="R18" s="402"/>
      <x:c r="S18" s="402"/>
      <x:c r="T18" s="402"/>
      <x:c r="U18" s="402"/>
      <x:c r="V18" s="402"/>
      <x:c r="W18" s="402"/>
      <x:c r="X18" s="402"/>
      <x:c r="Y18" s="402"/>
      <x:c r="Z18" s="402"/>
    </x:row>
    <x:row r="19">
      <x:c r="A19" s="340"/>
      <x:c r="B19" s="341"/>
      <x:c r="C19" s="341"/>
      <x:c r="D19" s="341"/>
      <x:c r="E19" s="341"/>
      <x:c r="F19" s="342"/>
      <x:c r="G19" s="402"/>
      <x:c r="H19" s="343"/>
      <x:c r="I19" s="344"/>
      <x:c r="J19" s="344"/>
      <x:c r="K19" s="344"/>
      <x:c r="L19" s="345"/>
      <x:c r="M19" s="402"/>
      <x:c r="N19" s="402"/>
      <x:c r="O19" s="402"/>
      <x:c r="P19" s="402"/>
      <x:c r="Q19" s="402"/>
      <x:c r="R19" s="402"/>
      <x:c r="S19" s="402"/>
      <x:c r="T19" s="402"/>
      <x:c r="U19" s="402"/>
      <x:c r="V19" s="402"/>
      <x:c r="W19" s="402"/>
      <x:c r="X19" s="402"/>
      <x:c r="Y19" s="402"/>
      <x:c r="Z19" s="402"/>
    </x:row>
    <x:row r="20">
      <x:c r="A20" s="340"/>
      <x:c r="B20" s="341"/>
      <x:c r="C20" s="341"/>
      <x:c r="D20" s="341"/>
      <x:c r="E20" s="341"/>
      <x:c r="F20" s="342"/>
      <x:c r="G20" s="402"/>
      <x:c r="H20" s="343"/>
      <x:c r="I20" s="344"/>
      <x:c r="J20" s="344"/>
      <x:c r="K20" s="344"/>
      <x:c r="L20" s="345"/>
      <x:c r="M20" s="402"/>
      <x:c r="N20" s="402"/>
      <x:c r="O20" s="402"/>
      <x:c r="P20" s="402"/>
      <x:c r="Q20" s="402"/>
      <x:c r="R20" s="402"/>
      <x:c r="S20" s="402"/>
      <x:c r="T20" s="402"/>
      <x:c r="U20" s="402"/>
      <x:c r="V20" s="402"/>
      <x:c r="W20" s="402"/>
      <x:c r="X20" s="402"/>
      <x:c r="Y20" s="402"/>
      <x:c r="Z20" s="402"/>
    </x:row>
    <x:row r="21">
      <x:c r="A21" s="340"/>
      <x:c r="B21" s="341"/>
      <x:c r="C21" s="341"/>
      <x:c r="D21" s="341"/>
      <x:c r="E21" s="341"/>
      <x:c r="F21" s="342"/>
      <x:c r="G21" s="402"/>
      <x:c r="H21" s="343"/>
      <x:c r="I21" s="344"/>
      <x:c r="J21" s="344"/>
      <x:c r="K21" s="344"/>
      <x:c r="L21" s="345"/>
      <x:c r="M21" s="402"/>
      <x:c r="N21" s="402"/>
      <x:c r="O21" s="402"/>
      <x:c r="P21" s="402"/>
      <x:c r="Q21" s="402"/>
      <x:c r="R21" s="402"/>
      <x:c r="S21" s="402"/>
      <x:c r="T21" s="402"/>
      <x:c r="U21" s="402"/>
      <x:c r="V21" s="402"/>
      <x:c r="W21" s="402"/>
      <x:c r="X21" s="402"/>
      <x:c r="Y21" s="402"/>
      <x:c r="Z21" s="402"/>
    </x:row>
    <x:row r="22">
      <x:c r="A22" s="346"/>
      <x:c r="B22" s="347"/>
      <x:c r="C22" s="347"/>
      <x:c r="D22" s="347"/>
      <x:c r="E22" s="347"/>
      <x:c r="F22" s="348"/>
      <x:c r="G22" s="402"/>
      <x:c r="H22" s="349"/>
      <x:c r="I22" s="350"/>
      <x:c r="J22" s="350"/>
      <x:c r="K22" s="350"/>
      <x:c r="L22" s="351"/>
      <x:c r="M22" s="402"/>
      <x:c r="N22" s="402"/>
      <x:c r="O22" s="402"/>
      <x:c r="P22" s="402"/>
      <x:c r="Q22" s="402"/>
      <x:c r="R22" s="402"/>
      <x:c r="S22" s="402"/>
      <x:c r="T22" s="402"/>
      <x:c r="U22" s="402"/>
      <x:c r="V22" s="402"/>
      <x:c r="W22" s="402"/>
      <x:c r="X22" s="402"/>
      <x:c r="Y22" s="402"/>
      <x:c r="Z22" s="402"/>
    </x:row>
    <x:row r="23">
      <x:c r="A23" s="402"/>
      <x:c r="B23" s="402"/>
      <x:c r="C23" s="402"/>
      <x:c r="D23" s="402"/>
      <x:c r="E23" s="402"/>
      <x:c r="F23" s="402"/>
      <x:c r="G23" s="402"/>
      <x:c r="H23" s="402"/>
      <x:c r="I23" s="402"/>
      <x:c r="J23" s="402"/>
      <x:c r="K23" s="402"/>
      <x:c r="L23" s="402"/>
      <x:c r="M23" s="402"/>
      <x:c r="N23" s="402"/>
      <x:c r="O23" s="402"/>
      <x:c r="P23" s="402"/>
      <x:c r="Q23" s="402"/>
      <x:c r="R23" s="402"/>
      <x:c r="S23" s="402"/>
      <x:c r="T23" s="402"/>
      <x:c r="U23" s="402"/>
      <x:c r="V23" s="402"/>
      <x:c r="W23" s="402"/>
      <x:c r="X23" s="402"/>
      <x:c r="Y23" s="402"/>
      <x:c r="Z23" s="402"/>
    </x:row>
    <x:row r="24">
      <x:c r="A24" s="402"/>
      <x:c r="B24" s="402"/>
      <x:c r="C24" s="402"/>
      <x:c r="D24" s="402"/>
      <x:c r="E24" s="402"/>
      <x:c r="F24" s="402"/>
      <x:c r="G24" s="402"/>
      <x:c r="H24" s="402"/>
      <x:c r="I24" s="402"/>
      <x:c r="J24" s="402"/>
      <x:c r="K24" s="402"/>
      <x:c r="L24" s="402"/>
      <x:c r="M24" s="402"/>
      <x:c r="N24" s="402"/>
      <x:c r="O24" s="402"/>
      <x:c r="P24" s="402"/>
      <x:c r="Q24" s="402"/>
      <x:c r="R24" s="402"/>
      <x:c r="S24" s="402"/>
      <x:c r="T24" s="402"/>
      <x:c r="U24" s="402"/>
      <x:c r="V24" s="402"/>
      <x:c r="W24" s="402"/>
      <x:c r="X24" s="402"/>
      <x:c r="Y24" s="402"/>
      <x:c r="Z24" s="402"/>
    </x:row>
    <x:row r="25">
      <x:c r="A25" s="402"/>
      <x:c r="B25" s="402"/>
      <x:c r="C25" s="402"/>
      <x:c r="D25" s="402"/>
      <x:c r="E25" s="402"/>
      <x:c r="F25" s="402"/>
      <x:c r="G25" s="402"/>
      <x:c r="H25" s="402"/>
      <x:c r="I25" s="402"/>
      <x:c r="J25" s="402"/>
      <x:c r="K25" s="402"/>
      <x:c r="L25" s="402"/>
      <x:c r="M25" s="402"/>
      <x:c r="N25" s="402"/>
      <x:c r="O25" s="402"/>
      <x:c r="P25" s="402"/>
      <x:c r="Q25" s="402"/>
      <x:c r="R25" s="402"/>
      <x:c r="S25" s="402"/>
      <x:c r="T25" s="402"/>
      <x:c r="U25" s="402"/>
      <x:c r="V25" s="402"/>
      <x:c r="W25" s="402"/>
      <x:c r="X25" s="402"/>
      <x:c r="Y25" s="402"/>
      <x:c r="Z25" s="402"/>
    </x:row>
    <x:row r="26">
      <x:c r="A26" s="402"/>
      <x:c r="B26" s="402"/>
      <x:c r="C26" s="402"/>
      <x:c r="D26" s="402"/>
      <x:c r="E26" s="402"/>
      <x:c r="F26" s="402"/>
      <x:c r="G26" s="402"/>
      <x:c r="H26" s="402"/>
      <x:c r="I26" s="402"/>
      <x:c r="J26" s="402"/>
      <x:c r="K26" s="402"/>
      <x:c r="L26" s="402"/>
      <x:c r="M26" s="402"/>
      <x:c r="N26" s="402"/>
      <x:c r="O26" s="402"/>
      <x:c r="P26" s="402"/>
      <x:c r="Q26" s="402"/>
      <x:c r="R26" s="402"/>
      <x:c r="S26" s="402"/>
      <x:c r="T26" s="402"/>
      <x:c r="U26" s="402"/>
      <x:c r="V26" s="402"/>
      <x:c r="W26" s="402"/>
      <x:c r="X26" s="402"/>
      <x:c r="Y26" s="402"/>
      <x:c r="Z26" s="402"/>
    </x:row>
    <x:row r="27">
      <x:c r="A27" s="402"/>
      <x:c r="B27" s="402"/>
      <x:c r="C27" s="402"/>
      <x:c r="D27" s="402"/>
      <x:c r="E27" s="402"/>
      <x:c r="F27" s="402"/>
      <x:c r="G27" s="402"/>
      <x:c r="H27" s="402"/>
      <x:c r="I27" s="402"/>
      <x:c r="J27" s="402"/>
      <x:c r="K27" s="402"/>
      <x:c r="L27" s="402"/>
      <x:c r="M27" s="402"/>
      <x:c r="N27" s="402"/>
      <x:c r="O27" s="402"/>
      <x:c r="P27" s="402"/>
      <x:c r="Q27" s="402"/>
      <x:c r="R27" s="402"/>
      <x:c r="S27" s="402"/>
      <x:c r="T27" s="402"/>
      <x:c r="U27" s="402"/>
      <x:c r="V27" s="402"/>
      <x:c r="W27" s="402"/>
      <x:c r="X27" s="402"/>
      <x:c r="Y27" s="402"/>
      <x:c r="Z27" s="402"/>
    </x:row>
    <x:row r="28">
      <x:c r="A28" s="402"/>
      <x:c r="B28" s="402"/>
      <x:c r="C28" s="402"/>
      <x:c r="D28" s="402"/>
      <x:c r="E28" s="402"/>
      <x:c r="F28" s="402"/>
      <x:c r="G28" s="402"/>
      <x:c r="H28" s="402"/>
      <x:c r="I28" s="402"/>
      <x:c r="J28" s="402"/>
      <x:c r="K28" s="402"/>
      <x:c r="L28" s="402"/>
      <x:c r="M28" s="402"/>
      <x:c r="N28" s="402"/>
      <x:c r="O28" s="402"/>
      <x:c r="P28" s="402"/>
      <x:c r="Q28" s="402"/>
      <x:c r="R28" s="402"/>
      <x:c r="S28" s="402"/>
      <x:c r="T28" s="402"/>
      <x:c r="U28" s="402"/>
      <x:c r="V28" s="402"/>
      <x:c r="W28" s="402"/>
      <x:c r="X28" s="402"/>
      <x:c r="Y28" s="402"/>
      <x:c r="Z28" s="402"/>
    </x:row>
    <x:row r="29">
      <x:c r="A29" s="402"/>
      <x:c r="B29" s="402"/>
      <x:c r="C29" s="402"/>
      <x:c r="D29" s="402"/>
      <x:c r="E29" s="402"/>
      <x:c r="F29" s="402"/>
      <x:c r="G29" s="402"/>
      <x:c r="H29" s="402"/>
      <x:c r="I29" s="402"/>
      <x:c r="J29" s="402"/>
      <x:c r="K29" s="402"/>
      <x:c r="L29" s="402"/>
      <x:c r="M29" s="402"/>
      <x:c r="N29" s="402"/>
      <x:c r="O29" s="402"/>
      <x:c r="P29" s="402"/>
      <x:c r="Q29" s="402"/>
      <x:c r="R29" s="402"/>
      <x:c r="S29" s="402"/>
      <x:c r="T29" s="402"/>
      <x:c r="U29" s="402"/>
      <x:c r="V29" s="402"/>
      <x:c r="W29" s="402"/>
      <x:c r="X29" s="402"/>
      <x:c r="Y29" s="402"/>
      <x:c r="Z29" s="402"/>
    </x:row>
    <x:row r="30">
      <x:c r="A30" s="402"/>
      <x:c r="B30" s="402"/>
      <x:c r="C30" s="402"/>
      <x:c r="D30" s="402"/>
      <x:c r="E30" s="402"/>
      <x:c r="F30" s="402"/>
      <x:c r="G30" s="402"/>
      <x:c r="H30" s="402"/>
      <x:c r="I30" s="402"/>
      <x:c r="J30" s="402"/>
      <x:c r="K30" s="402"/>
      <x:c r="L30" s="402"/>
      <x:c r="M30" s="402"/>
      <x:c r="N30" s="402"/>
      <x:c r="O30" s="402"/>
      <x:c r="P30" s="402"/>
      <x:c r="Q30" s="402"/>
      <x:c r="R30" s="402"/>
      <x:c r="S30" s="402"/>
      <x:c r="T30" s="402"/>
      <x:c r="U30" s="402"/>
      <x:c r="V30" s="402"/>
      <x:c r="W30" s="402"/>
      <x:c r="X30" s="402"/>
      <x:c r="Y30" s="402"/>
      <x:c r="Z30" s="402"/>
    </x:row>
    <x:row r="31">
      <x:c r="A31" s="402"/>
      <x:c r="B31" s="402"/>
      <x:c r="C31" s="402"/>
      <x:c r="D31" s="402"/>
      <x:c r="E31" s="402"/>
      <x:c r="F31" s="402"/>
      <x:c r="G31" s="402"/>
      <x:c r="H31" s="402"/>
      <x:c r="I31" s="402"/>
      <x:c r="J31" s="402"/>
      <x:c r="K31" s="402"/>
      <x:c r="L31" s="402"/>
      <x:c r="M31" s="402"/>
      <x:c r="N31" s="402"/>
      <x:c r="O31" s="402"/>
      <x:c r="P31" s="402"/>
      <x:c r="Q31" s="402"/>
      <x:c r="R31" s="402"/>
      <x:c r="S31" s="402"/>
      <x:c r="T31" s="402"/>
      <x:c r="U31" s="402"/>
      <x:c r="V31" s="402"/>
      <x:c r="W31" s="402"/>
      <x:c r="X31" s="402"/>
      <x:c r="Y31" s="402"/>
      <x:c r="Z31" s="402"/>
    </x:row>
    <x:row r="32">
      <x:c r="A32" s="402"/>
      <x:c r="B32" s="402"/>
      <x:c r="C32" s="402"/>
      <x:c r="D32" s="402"/>
      <x:c r="E32" s="402"/>
      <x:c r="F32" s="402"/>
      <x:c r="G32" s="402"/>
      <x:c r="H32" s="402"/>
      <x:c r="I32" s="402"/>
      <x:c r="J32" s="402"/>
      <x:c r="K32" s="402"/>
      <x:c r="L32" s="402"/>
      <x:c r="M32" s="402"/>
      <x:c r="N32" s="402"/>
      <x:c r="O32" s="402"/>
      <x:c r="P32" s="402"/>
      <x:c r="Q32" s="402"/>
      <x:c r="R32" s="402"/>
      <x:c r="S32" s="402"/>
      <x:c r="T32" s="402"/>
      <x:c r="U32" s="402"/>
      <x:c r="V32" s="402"/>
      <x:c r="W32" s="402"/>
      <x:c r="X32" s="402"/>
      <x:c r="Y32" s="402"/>
      <x:c r="Z32" s="402"/>
    </x:row>
    <x:row r="33">
      <x:c r="A33" s="402"/>
      <x:c r="B33" s="402"/>
      <x:c r="C33" s="402"/>
      <x:c r="D33" s="402"/>
      <x:c r="E33" s="402"/>
      <x:c r="F33" s="402"/>
      <x:c r="G33" s="402"/>
      <x:c r="H33" s="402"/>
      <x:c r="I33" s="402"/>
      <x:c r="J33" s="402"/>
      <x:c r="K33" s="402"/>
      <x:c r="L33" s="402"/>
      <x:c r="M33" s="402"/>
      <x:c r="N33" s="402"/>
      <x:c r="O33" s="402"/>
      <x:c r="P33" s="402"/>
      <x:c r="Q33" s="402"/>
      <x:c r="R33" s="402"/>
      <x:c r="S33" s="402"/>
      <x:c r="T33" s="402"/>
      <x:c r="U33" s="402"/>
      <x:c r="V33" s="402"/>
      <x:c r="W33" s="402"/>
      <x:c r="X33" s="402"/>
      <x:c r="Y33" s="402"/>
      <x:c r="Z33" s="402"/>
    </x:row>
    <x:row r="34">
      <x:c r="A34" s="402"/>
      <x:c r="B34" s="402"/>
      <x:c r="C34" s="402"/>
      <x:c r="D34" s="402"/>
      <x:c r="E34" s="402"/>
      <x:c r="F34" s="402"/>
      <x:c r="G34" s="402"/>
      <x:c r="H34" s="402"/>
      <x:c r="I34" s="402"/>
      <x:c r="J34" s="402"/>
      <x:c r="K34" s="402"/>
      <x:c r="L34" s="402"/>
      <x:c r="M34" s="402"/>
      <x:c r="N34" s="402"/>
      <x:c r="O34" s="402"/>
      <x:c r="P34" s="402"/>
      <x:c r="Q34" s="402"/>
      <x:c r="R34" s="402"/>
      <x:c r="S34" s="402"/>
      <x:c r="T34" s="402"/>
      <x:c r="U34" s="402"/>
      <x:c r="V34" s="402"/>
      <x:c r="W34" s="402"/>
      <x:c r="X34" s="402"/>
      <x:c r="Y34" s="402"/>
      <x:c r="Z34" s="402"/>
    </x:row>
    <x:row r="35">
      <x:c r="A35" s="402"/>
      <x:c r="B35" s="402"/>
      <x:c r="C35" s="402"/>
      <x:c r="D35" s="402"/>
      <x:c r="E35" s="402"/>
      <x:c r="F35" s="402"/>
      <x:c r="G35" s="402"/>
      <x:c r="H35" s="402"/>
      <x:c r="I35" s="402"/>
      <x:c r="J35" s="402"/>
      <x:c r="K35" s="402"/>
      <x:c r="L35" s="402"/>
      <x:c r="M35" s="402"/>
      <x:c r="N35" s="402"/>
      <x:c r="O35" s="402"/>
      <x:c r="P35" s="402"/>
      <x:c r="Q35" s="402"/>
      <x:c r="R35" s="402"/>
      <x:c r="S35" s="402"/>
      <x:c r="T35" s="402"/>
      <x:c r="U35" s="402"/>
      <x:c r="V35" s="402"/>
      <x:c r="W35" s="402"/>
      <x:c r="X35" s="402"/>
      <x:c r="Y35" s="402"/>
      <x:c r="Z35" s="402"/>
    </x:row>
    <x:row r="36">
      <x:c r="A36" s="402"/>
      <x:c r="B36" s="402"/>
      <x:c r="C36" s="402"/>
      <x:c r="D36" s="402"/>
      <x:c r="E36" s="402"/>
      <x:c r="F36" s="402"/>
      <x:c r="G36" s="402"/>
      <x:c r="H36" s="402"/>
      <x:c r="I36" s="402"/>
      <x:c r="J36" s="402"/>
      <x:c r="K36" s="402"/>
      <x:c r="L36" s="402"/>
      <x:c r="M36" s="402"/>
      <x:c r="N36" s="402"/>
      <x:c r="O36" s="402"/>
      <x:c r="P36" s="402"/>
      <x:c r="Q36" s="402"/>
      <x:c r="R36" s="402"/>
      <x:c r="S36" s="402"/>
      <x:c r="T36" s="402"/>
      <x:c r="U36" s="402"/>
      <x:c r="V36" s="402"/>
      <x:c r="W36" s="402"/>
      <x:c r="X36" s="402"/>
      <x:c r="Y36" s="402"/>
      <x:c r="Z36" s="402"/>
    </x:row>
    <x:row r="37">
      <x:c r="A37" s="402"/>
      <x:c r="B37" s="402"/>
      <x:c r="C37" s="402"/>
      <x:c r="D37" s="402"/>
      <x:c r="E37" s="402"/>
      <x:c r="F37" s="402"/>
      <x:c r="G37" s="402"/>
      <x:c r="H37" s="402"/>
      <x:c r="I37" s="402"/>
      <x:c r="J37" s="402"/>
      <x:c r="K37" s="402"/>
      <x:c r="L37" s="402"/>
      <x:c r="M37" s="402"/>
      <x:c r="N37" s="402"/>
      <x:c r="O37" s="402"/>
      <x:c r="P37" s="402"/>
      <x:c r="Q37" s="402"/>
      <x:c r="R37" s="402"/>
      <x:c r="S37" s="402"/>
      <x:c r="T37" s="402"/>
      <x:c r="U37" s="402"/>
      <x:c r="V37" s="402"/>
      <x:c r="W37" s="402"/>
      <x:c r="X37" s="402"/>
      <x:c r="Y37" s="402"/>
      <x:c r="Z37" s="402"/>
    </x:row>
    <x:row r="38">
      <x:c r="A38" s="402"/>
      <x:c r="B38" s="402"/>
      <x:c r="C38" s="402"/>
      <x:c r="D38" s="402"/>
      <x:c r="E38" s="402"/>
      <x:c r="F38" s="402"/>
      <x:c r="G38" s="402"/>
      <x:c r="H38" s="402"/>
      <x:c r="I38" s="402"/>
      <x:c r="J38" s="402"/>
      <x:c r="K38" s="402"/>
      <x:c r="L38" s="402"/>
      <x:c r="M38" s="402"/>
      <x:c r="N38" s="402"/>
      <x:c r="O38" s="402"/>
      <x:c r="P38" s="402"/>
      <x:c r="Q38" s="402"/>
      <x:c r="R38" s="402"/>
      <x:c r="S38" s="402"/>
      <x:c r="T38" s="402"/>
      <x:c r="U38" s="402"/>
      <x:c r="V38" s="402"/>
      <x:c r="W38" s="402"/>
      <x:c r="X38" s="402"/>
      <x:c r="Y38" s="402"/>
      <x:c r="Z38" s="402"/>
    </x:row>
    <x:row r="39">
      <x:c r="A39" s="402"/>
      <x:c r="B39" s="402"/>
      <x:c r="C39" s="402"/>
      <x:c r="D39" s="402"/>
      <x:c r="E39" s="402"/>
      <x:c r="F39" s="402"/>
      <x:c r="G39" s="402"/>
      <x:c r="H39" s="402"/>
      <x:c r="I39" s="402"/>
      <x:c r="J39" s="402"/>
      <x:c r="K39" s="402"/>
      <x:c r="L39" s="402"/>
      <x:c r="M39" s="402"/>
      <x:c r="N39" s="402"/>
      <x:c r="O39" s="402"/>
      <x:c r="P39" s="402"/>
      <x:c r="Q39" s="402"/>
      <x:c r="R39" s="402"/>
      <x:c r="S39" s="402"/>
      <x:c r="T39" s="402"/>
      <x:c r="U39" s="402"/>
      <x:c r="V39" s="402"/>
      <x:c r="W39" s="402"/>
      <x:c r="X39" s="402"/>
      <x:c r="Y39" s="402"/>
      <x:c r="Z39" s="402"/>
    </x:row>
    <x:row r="40">
      <x:c r="A40" s="402"/>
      <x:c r="B40" s="402"/>
      <x:c r="C40" s="402"/>
      <x:c r="D40" s="402"/>
      <x:c r="E40" s="402"/>
      <x:c r="F40" s="402"/>
      <x:c r="G40" s="402"/>
      <x:c r="H40" s="402"/>
      <x:c r="I40" s="402"/>
      <x:c r="J40" s="402"/>
      <x:c r="K40" s="402"/>
      <x:c r="L40" s="402"/>
      <x:c r="M40" s="402"/>
      <x:c r="N40" s="402"/>
      <x:c r="O40" s="402"/>
      <x:c r="P40" s="402"/>
      <x:c r="Q40" s="402"/>
      <x:c r="R40" s="402"/>
      <x:c r="S40" s="402"/>
      <x:c r="T40" s="402"/>
      <x:c r="U40" s="402"/>
      <x:c r="V40" s="402"/>
      <x:c r="W40" s="402"/>
      <x:c r="X40" s="402"/>
      <x:c r="Y40" s="402"/>
      <x:c r="Z40" s="402"/>
    </x:row>
    <x:row r="41">
      <x:c r="A41" s="402"/>
      <x:c r="B41" s="402"/>
      <x:c r="C41" s="402"/>
      <x:c r="D41" s="402"/>
      <x:c r="E41" s="402"/>
      <x:c r="F41" s="402"/>
      <x:c r="G41" s="402"/>
      <x:c r="H41" s="402"/>
      <x:c r="I41" s="402"/>
      <x:c r="J41" s="402"/>
      <x:c r="K41" s="402"/>
      <x:c r="L41" s="402"/>
      <x:c r="M41" s="402"/>
      <x:c r="N41" s="402"/>
      <x:c r="O41" s="402"/>
      <x:c r="P41" s="402"/>
      <x:c r="Q41" s="402"/>
      <x:c r="R41" s="402"/>
      <x:c r="S41" s="402"/>
      <x:c r="T41" s="402"/>
      <x:c r="U41" s="402"/>
      <x:c r="V41" s="402"/>
      <x:c r="W41" s="402"/>
      <x:c r="X41" s="402"/>
      <x:c r="Y41" s="402"/>
      <x:c r="Z41" s="402"/>
    </x:row>
    <x:row r="42">
      <x:c r="A42" s="402"/>
      <x:c r="B42" s="402"/>
      <x:c r="C42" s="402"/>
      <x:c r="D42" s="402"/>
      <x:c r="E42" s="402"/>
      <x:c r="F42" s="402"/>
      <x:c r="G42" s="402"/>
      <x:c r="H42" s="402"/>
      <x:c r="I42" s="402"/>
      <x:c r="J42" s="402"/>
      <x:c r="K42" s="402"/>
      <x:c r="L42" s="402"/>
      <x:c r="M42" s="402"/>
      <x:c r="N42" s="402"/>
      <x:c r="O42" s="402"/>
      <x:c r="P42" s="402"/>
      <x:c r="Q42" s="402"/>
      <x:c r="R42" s="402"/>
      <x:c r="S42" s="402"/>
      <x:c r="T42" s="402"/>
      <x:c r="U42" s="402"/>
      <x:c r="V42" s="402"/>
      <x:c r="W42" s="402"/>
      <x:c r="X42" s="402"/>
      <x:c r="Y42" s="402"/>
      <x:c r="Z42" s="402"/>
    </x:row>
    <x:row r="43">
      <x:c r="A43" s="402"/>
      <x:c r="B43" s="402"/>
      <x:c r="C43" s="402"/>
      <x:c r="D43" s="402"/>
      <x:c r="E43" s="402"/>
      <x:c r="F43" s="402"/>
      <x:c r="G43" s="402"/>
      <x:c r="H43" s="402"/>
      <x:c r="I43" s="402"/>
      <x:c r="J43" s="402"/>
      <x:c r="K43" s="402"/>
      <x:c r="L43" s="402"/>
      <x:c r="M43" s="402"/>
      <x:c r="N43" s="402"/>
      <x:c r="O43" s="402"/>
      <x:c r="P43" s="402"/>
      <x:c r="Q43" s="402"/>
      <x:c r="R43" s="402"/>
      <x:c r="S43" s="402"/>
      <x:c r="T43" s="402"/>
      <x:c r="U43" s="402"/>
      <x:c r="V43" s="402"/>
      <x:c r="W43" s="402"/>
      <x:c r="X43" s="402"/>
      <x:c r="Y43" s="402"/>
      <x:c r="Z43" s="402"/>
    </x:row>
    <x:row r="44">
      <x:c r="A44" s="402"/>
      <x:c r="B44" s="402"/>
      <x:c r="C44" s="402"/>
      <x:c r="D44" s="402"/>
      <x:c r="E44" s="402"/>
      <x:c r="F44" s="402"/>
      <x:c r="G44" s="402"/>
      <x:c r="H44" s="402"/>
      <x:c r="I44" s="402"/>
      <x:c r="J44" s="402"/>
      <x:c r="K44" s="402"/>
      <x:c r="L44" s="402"/>
      <x:c r="M44" s="402"/>
      <x:c r="N44" s="402"/>
      <x:c r="O44" s="402"/>
      <x:c r="P44" s="402"/>
      <x:c r="Q44" s="402"/>
      <x:c r="R44" s="402"/>
      <x:c r="S44" s="402"/>
      <x:c r="T44" s="402"/>
      <x:c r="U44" s="402"/>
      <x:c r="V44" s="402"/>
      <x:c r="W44" s="402"/>
      <x:c r="X44" s="402"/>
      <x:c r="Y44" s="402"/>
      <x:c r="Z44" s="402"/>
    </x:row>
    <x:row r="45">
      <x:c r="A45" s="402"/>
      <x:c r="B45" s="402"/>
      <x:c r="C45" s="402"/>
      <x:c r="D45" s="402"/>
      <x:c r="E45" s="402"/>
      <x:c r="F45" s="402"/>
      <x:c r="G45" s="402"/>
      <x:c r="H45" s="402"/>
      <x:c r="I45" s="402"/>
      <x:c r="J45" s="402"/>
      <x:c r="K45" s="402"/>
      <x:c r="L45" s="402"/>
      <x:c r="M45" s="402"/>
      <x:c r="N45" s="402"/>
      <x:c r="O45" s="402"/>
      <x:c r="P45" s="402"/>
      <x:c r="Q45" s="402"/>
      <x:c r="R45" s="402"/>
      <x:c r="S45" s="402"/>
      <x:c r="T45" s="402"/>
      <x:c r="U45" s="402"/>
      <x:c r="V45" s="402"/>
      <x:c r="W45" s="402"/>
      <x:c r="X45" s="402"/>
      <x:c r="Y45" s="402"/>
      <x:c r="Z45" s="402"/>
    </x:row>
    <x:row r="46">
      <x:c r="A46" s="402"/>
      <x:c r="B46" s="402"/>
      <x:c r="C46" s="402"/>
      <x:c r="D46" s="402"/>
      <x:c r="E46" s="402"/>
      <x:c r="F46" s="402"/>
      <x:c r="G46" s="402"/>
      <x:c r="H46" s="402"/>
      <x:c r="I46" s="402"/>
      <x:c r="J46" s="402"/>
      <x:c r="K46" s="402"/>
      <x:c r="L46" s="402"/>
      <x:c r="M46" s="402"/>
      <x:c r="N46" s="402"/>
      <x:c r="O46" s="402"/>
      <x:c r="P46" s="402"/>
      <x:c r="Q46" s="402"/>
      <x:c r="R46" s="402"/>
      <x:c r="S46" s="402"/>
      <x:c r="T46" s="402"/>
      <x:c r="U46" s="402"/>
      <x:c r="V46" s="402"/>
      <x:c r="W46" s="402"/>
      <x:c r="X46" s="402"/>
      <x:c r="Y46" s="402"/>
      <x:c r="Z46" s="402"/>
    </x:row>
    <x:row r="47">
      <x:c r="A47" s="402"/>
      <x:c r="B47" s="402"/>
      <x:c r="C47" s="402"/>
      <x:c r="D47" s="402"/>
      <x:c r="E47" s="402"/>
      <x:c r="F47" s="402"/>
      <x:c r="G47" s="402"/>
      <x:c r="H47" s="402"/>
      <x:c r="I47" s="402"/>
      <x:c r="J47" s="402"/>
      <x:c r="K47" s="402"/>
      <x:c r="L47" s="402"/>
      <x:c r="M47" s="402"/>
      <x:c r="N47" s="402"/>
      <x:c r="O47" s="402"/>
      <x:c r="P47" s="402"/>
      <x:c r="Q47" s="402"/>
      <x:c r="R47" s="402"/>
      <x:c r="S47" s="402"/>
      <x:c r="T47" s="402"/>
      <x:c r="U47" s="402"/>
      <x:c r="V47" s="402"/>
      <x:c r="W47" s="402"/>
      <x:c r="X47" s="402"/>
      <x:c r="Y47" s="402"/>
      <x:c r="Z47" s="402"/>
    </x:row>
    <x:row r="48">
      <x:c r="A48" s="402"/>
      <x:c r="B48" s="402"/>
      <x:c r="C48" s="402"/>
      <x:c r="D48" s="402"/>
      <x:c r="E48" s="402"/>
      <x:c r="F48" s="402"/>
      <x:c r="G48" s="402"/>
      <x:c r="H48" s="402"/>
      <x:c r="I48" s="402"/>
      <x:c r="J48" s="402"/>
      <x:c r="K48" s="402"/>
      <x:c r="L48" s="402"/>
      <x:c r="M48" s="402"/>
      <x:c r="N48" s="402"/>
      <x:c r="O48" s="402"/>
      <x:c r="P48" s="402"/>
      <x:c r="Q48" s="402"/>
      <x:c r="R48" s="402"/>
      <x:c r="S48" s="402"/>
      <x:c r="T48" s="402"/>
      <x:c r="U48" s="402"/>
      <x:c r="V48" s="402"/>
      <x:c r="W48" s="402"/>
      <x:c r="X48" s="402"/>
      <x:c r="Y48" s="402"/>
      <x:c r="Z48" s="402"/>
    </x:row>
    <x:row r="49">
      <x:c r="A49" s="402"/>
      <x:c r="B49" s="402"/>
      <x:c r="C49" s="402"/>
      <x:c r="D49" s="402"/>
      <x:c r="E49" s="402"/>
      <x:c r="F49" s="402"/>
      <x:c r="G49" s="402"/>
      <x:c r="H49" s="402"/>
      <x:c r="I49" s="402"/>
      <x:c r="J49" s="402"/>
      <x:c r="K49" s="402"/>
      <x:c r="L49" s="402"/>
      <x:c r="M49" s="402"/>
      <x:c r="N49" s="402"/>
      <x:c r="O49" s="402"/>
      <x:c r="P49" s="402"/>
      <x:c r="Q49" s="402"/>
      <x:c r="R49" s="402"/>
      <x:c r="S49" s="402"/>
      <x:c r="T49" s="402"/>
      <x:c r="U49" s="402"/>
      <x:c r="V49" s="402"/>
      <x:c r="W49" s="402"/>
      <x:c r="X49" s="402"/>
      <x:c r="Y49" s="402"/>
      <x:c r="Z49" s="402"/>
    </x:row>
    <x:row r="50">
      <x:c r="A50" s="402"/>
      <x:c r="B50" s="402"/>
      <x:c r="C50" s="402"/>
      <x:c r="D50" s="402"/>
      <x:c r="E50" s="402"/>
      <x:c r="F50" s="402"/>
      <x:c r="G50" s="402"/>
      <x:c r="H50" s="402"/>
      <x:c r="I50" s="402"/>
      <x:c r="J50" s="402"/>
      <x:c r="K50" s="402"/>
      <x:c r="L50" s="402"/>
      <x:c r="M50" s="402"/>
      <x:c r="N50" s="402"/>
      <x:c r="O50" s="402"/>
      <x:c r="P50" s="402"/>
      <x:c r="Q50" s="402"/>
      <x:c r="R50" s="402"/>
      <x:c r="S50" s="402"/>
      <x:c r="T50" s="402"/>
      <x:c r="U50" s="402"/>
      <x:c r="V50" s="402"/>
      <x:c r="W50" s="402"/>
      <x:c r="X50" s="402"/>
      <x:c r="Y50" s="402"/>
      <x:c r="Z50" s="402"/>
    </x:row>
    <x:row r="51">
      <x:c r="A51" s="402"/>
      <x:c r="B51" s="402"/>
      <x:c r="C51" s="402"/>
      <x:c r="D51" s="402"/>
      <x:c r="E51" s="402"/>
      <x:c r="F51" s="402"/>
      <x:c r="G51" s="402"/>
      <x:c r="H51" s="402"/>
      <x:c r="I51" s="402"/>
      <x:c r="J51" s="402"/>
      <x:c r="K51" s="402"/>
      <x:c r="L51" s="402"/>
      <x:c r="M51" s="402"/>
      <x:c r="N51" s="402"/>
      <x:c r="O51" s="402"/>
      <x:c r="P51" s="402"/>
      <x:c r="Q51" s="402"/>
      <x:c r="R51" s="402"/>
      <x:c r="S51" s="402"/>
      <x:c r="T51" s="402"/>
      <x:c r="U51" s="402"/>
      <x:c r="V51" s="402"/>
      <x:c r="W51" s="402"/>
      <x:c r="X51" s="402"/>
      <x:c r="Y51" s="402"/>
      <x:c r="Z51" s="402"/>
    </x:row>
    <x:row r="52">
      <x:c r="A52" s="402"/>
      <x:c r="B52" s="402"/>
      <x:c r="C52" s="402"/>
      <x:c r="D52" s="402"/>
      <x:c r="E52" s="402"/>
      <x:c r="F52" s="402"/>
      <x:c r="G52" s="402"/>
      <x:c r="H52" s="402"/>
      <x:c r="I52" s="402"/>
      <x:c r="J52" s="402"/>
      <x:c r="K52" s="402"/>
      <x:c r="L52" s="402"/>
      <x:c r="M52" s="402"/>
      <x:c r="N52" s="402"/>
      <x:c r="O52" s="402"/>
      <x:c r="P52" s="402"/>
      <x:c r="Q52" s="402"/>
      <x:c r="R52" s="402"/>
      <x:c r="S52" s="402"/>
      <x:c r="T52" s="402"/>
      <x:c r="U52" s="402"/>
      <x:c r="V52" s="402"/>
      <x:c r="W52" s="402"/>
      <x:c r="X52" s="402"/>
      <x:c r="Y52" s="402"/>
      <x:c r="Z52" s="402"/>
    </x:row>
    <x:row r="53">
      <x:c r="A53" s="402"/>
      <x:c r="B53" s="402"/>
      <x:c r="C53" s="402"/>
      <x:c r="D53" s="402"/>
      <x:c r="E53" s="402"/>
      <x:c r="F53" s="402"/>
      <x:c r="G53" s="402"/>
      <x:c r="H53" s="402"/>
      <x:c r="I53" s="402"/>
      <x:c r="J53" s="402"/>
      <x:c r="K53" s="402"/>
      <x:c r="L53" s="402"/>
      <x:c r="M53" s="402"/>
      <x:c r="N53" s="402"/>
      <x:c r="O53" s="402"/>
      <x:c r="P53" s="402"/>
      <x:c r="Q53" s="402"/>
      <x:c r="R53" s="402"/>
      <x:c r="S53" s="402"/>
      <x:c r="T53" s="402"/>
      <x:c r="U53" s="402"/>
      <x:c r="V53" s="402"/>
      <x:c r="W53" s="402"/>
      <x:c r="X53" s="402"/>
      <x:c r="Y53" s="402"/>
      <x:c r="Z53" s="402"/>
    </x:row>
    <x:row r="54">
      <x:c r="A54" s="402"/>
      <x:c r="B54" s="402"/>
      <x:c r="C54" s="402"/>
      <x:c r="D54" s="402"/>
      <x:c r="E54" s="402"/>
      <x:c r="F54" s="402"/>
      <x:c r="G54" s="402"/>
      <x:c r="H54" s="402"/>
      <x:c r="I54" s="402"/>
      <x:c r="J54" s="402"/>
      <x:c r="K54" s="402"/>
      <x:c r="L54" s="402"/>
      <x:c r="M54" s="402"/>
      <x:c r="N54" s="402"/>
      <x:c r="O54" s="402"/>
      <x:c r="P54" s="402"/>
      <x:c r="Q54" s="402"/>
      <x:c r="R54" s="402"/>
      <x:c r="S54" s="402"/>
      <x:c r="T54" s="402"/>
      <x:c r="U54" s="402"/>
      <x:c r="V54" s="402"/>
      <x:c r="W54" s="402"/>
      <x:c r="X54" s="402"/>
      <x:c r="Y54" s="402"/>
      <x:c r="Z54" s="402"/>
    </x:row>
    <x:row r="55">
      <x:c r="A55" s="402"/>
      <x:c r="B55" s="402"/>
      <x:c r="C55" s="402"/>
      <x:c r="D55" s="402"/>
      <x:c r="E55" s="402"/>
      <x:c r="F55" s="402"/>
      <x:c r="G55" s="402"/>
      <x:c r="H55" s="402"/>
      <x:c r="I55" s="402"/>
      <x:c r="J55" s="402"/>
      <x:c r="K55" s="402"/>
      <x:c r="L55" s="402"/>
      <x:c r="M55" s="402"/>
      <x:c r="N55" s="402"/>
      <x:c r="O55" s="402"/>
      <x:c r="P55" s="402"/>
      <x:c r="Q55" s="402"/>
      <x:c r="R55" s="402"/>
      <x:c r="S55" s="402"/>
      <x:c r="T55" s="402"/>
      <x:c r="U55" s="402"/>
      <x:c r="V55" s="402"/>
      <x:c r="W55" s="402"/>
      <x:c r="X55" s="402"/>
      <x:c r="Y55" s="402"/>
      <x:c r="Z55" s="402"/>
    </x:row>
    <x:row r="56">
      <x:c r="A56" s="402"/>
      <x:c r="B56" s="402"/>
      <x:c r="C56" s="402"/>
      <x:c r="D56" s="402"/>
      <x:c r="E56" s="402"/>
      <x:c r="F56" s="402"/>
      <x:c r="G56" s="402"/>
      <x:c r="H56" s="402"/>
      <x:c r="I56" s="402"/>
      <x:c r="J56" s="402"/>
      <x:c r="K56" s="402"/>
      <x:c r="L56" s="402"/>
      <x:c r="M56" s="402"/>
      <x:c r="N56" s="402"/>
      <x:c r="O56" s="402"/>
      <x:c r="P56" s="402"/>
      <x:c r="Q56" s="402"/>
      <x:c r="R56" s="402"/>
      <x:c r="S56" s="402"/>
      <x:c r="T56" s="402"/>
      <x:c r="U56" s="402"/>
      <x:c r="V56" s="402"/>
      <x:c r="W56" s="402"/>
      <x:c r="X56" s="402"/>
      <x:c r="Y56" s="402"/>
      <x:c r="Z56" s="402"/>
    </x:row>
    <x:row r="57">
      <x:c r="A57" s="402"/>
      <x:c r="B57" s="402"/>
      <x:c r="C57" s="402"/>
      <x:c r="D57" s="402"/>
      <x:c r="E57" s="402"/>
      <x:c r="F57" s="402"/>
      <x:c r="G57" s="402"/>
      <x:c r="H57" s="402"/>
      <x:c r="I57" s="402"/>
      <x:c r="J57" s="402"/>
      <x:c r="K57" s="402"/>
      <x:c r="L57" s="402"/>
      <x:c r="M57" s="402"/>
      <x:c r="N57" s="402"/>
      <x:c r="O57" s="402"/>
      <x:c r="P57" s="402"/>
      <x:c r="Q57" s="402"/>
      <x:c r="R57" s="402"/>
      <x:c r="S57" s="402"/>
      <x:c r="T57" s="402"/>
      <x:c r="U57" s="402"/>
      <x:c r="V57" s="402"/>
      <x:c r="W57" s="402"/>
      <x:c r="X57" s="402"/>
      <x:c r="Y57" s="402"/>
      <x:c r="Z57" s="402"/>
    </x:row>
    <x:row r="58">
      <x:c r="A58" s="402"/>
      <x:c r="B58" s="402"/>
      <x:c r="C58" s="402"/>
      <x:c r="D58" s="402"/>
      <x:c r="E58" s="402"/>
      <x:c r="F58" s="402"/>
      <x:c r="G58" s="402"/>
      <x:c r="H58" s="402"/>
      <x:c r="I58" s="402"/>
      <x:c r="J58" s="402"/>
      <x:c r="K58" s="402"/>
      <x:c r="L58" s="402"/>
      <x:c r="M58" s="402"/>
      <x:c r="N58" s="402"/>
      <x:c r="O58" s="402"/>
      <x:c r="P58" s="402"/>
      <x:c r="Q58" s="402"/>
      <x:c r="R58" s="402"/>
      <x:c r="S58" s="402"/>
      <x:c r="T58" s="402"/>
      <x:c r="U58" s="402"/>
      <x:c r="V58" s="402"/>
      <x:c r="W58" s="402"/>
      <x:c r="X58" s="402"/>
      <x:c r="Y58" s="402"/>
      <x:c r="Z58" s="402"/>
    </x:row>
    <x:row r="59">
      <x:c r="A59" s="402"/>
      <x:c r="B59" s="402"/>
      <x:c r="C59" s="402"/>
      <x:c r="D59" s="402"/>
      <x:c r="E59" s="402"/>
      <x:c r="F59" s="402"/>
      <x:c r="G59" s="402"/>
      <x:c r="H59" s="402"/>
      <x:c r="I59" s="402"/>
      <x:c r="J59" s="402"/>
      <x:c r="K59" s="402"/>
      <x:c r="L59" s="402"/>
      <x:c r="M59" s="402"/>
      <x:c r="N59" s="402"/>
      <x:c r="O59" s="402"/>
      <x:c r="P59" s="402"/>
      <x:c r="Q59" s="402"/>
      <x:c r="R59" s="402"/>
      <x:c r="S59" s="402"/>
      <x:c r="T59" s="402"/>
      <x:c r="U59" s="402"/>
      <x:c r="V59" s="402"/>
      <x:c r="W59" s="402"/>
      <x:c r="X59" s="402"/>
      <x:c r="Y59" s="402"/>
      <x:c r="Z59" s="402"/>
    </x:row>
    <x:row r="60">
      <x:c r="A60" s="402"/>
      <x:c r="B60" s="402"/>
      <x:c r="C60" s="402"/>
      <x:c r="D60" s="402"/>
      <x:c r="E60" s="402"/>
      <x:c r="F60" s="402"/>
      <x:c r="G60" s="402"/>
      <x:c r="H60" s="402"/>
      <x:c r="I60" s="402"/>
      <x:c r="J60" s="402"/>
      <x:c r="K60" s="402"/>
      <x:c r="L60" s="402"/>
      <x:c r="M60" s="402"/>
      <x:c r="N60" s="402"/>
      <x:c r="O60" s="402"/>
      <x:c r="P60" s="402"/>
      <x:c r="Q60" s="402"/>
      <x:c r="R60" s="402"/>
      <x:c r="S60" s="402"/>
      <x:c r="T60" s="402"/>
      <x:c r="U60" s="402"/>
      <x:c r="V60" s="402"/>
      <x:c r="W60" s="402"/>
      <x:c r="X60" s="402"/>
      <x:c r="Y60" s="402"/>
      <x:c r="Z60" s="402"/>
    </x:row>
    <x:row r="61">
      <x:c r="A61" s="402"/>
      <x:c r="B61" s="402"/>
      <x:c r="C61" s="402"/>
      <x:c r="D61" s="402"/>
      <x:c r="E61" s="402"/>
      <x:c r="F61" s="402"/>
      <x:c r="G61" s="402"/>
      <x:c r="H61" s="402"/>
      <x:c r="I61" s="402"/>
      <x:c r="J61" s="402"/>
      <x:c r="K61" s="402"/>
      <x:c r="L61" s="402"/>
      <x:c r="M61" s="402"/>
      <x:c r="N61" s="402"/>
      <x:c r="O61" s="402"/>
      <x:c r="P61" s="402"/>
      <x:c r="Q61" s="402"/>
      <x:c r="R61" s="402"/>
      <x:c r="S61" s="402"/>
      <x:c r="T61" s="402"/>
      <x:c r="U61" s="402"/>
      <x:c r="V61" s="402"/>
      <x:c r="W61" s="402"/>
      <x:c r="X61" s="402"/>
      <x:c r="Y61" s="402"/>
      <x:c r="Z61" s="402"/>
    </x:row>
    <x:row r="62">
      <x:c r="A62" s="402"/>
      <x:c r="B62" s="402"/>
      <x:c r="C62" s="402"/>
      <x:c r="D62" s="402"/>
      <x:c r="E62" s="402"/>
      <x:c r="F62" s="402"/>
      <x:c r="G62" s="402"/>
      <x:c r="H62" s="402"/>
      <x:c r="I62" s="402"/>
      <x:c r="J62" s="402"/>
      <x:c r="K62" s="402"/>
      <x:c r="L62" s="402"/>
      <x:c r="M62" s="402"/>
      <x:c r="N62" s="402"/>
      <x:c r="O62" s="402"/>
      <x:c r="P62" s="402"/>
      <x:c r="Q62" s="402"/>
      <x:c r="R62" s="402"/>
      <x:c r="S62" s="402"/>
      <x:c r="T62" s="402"/>
      <x:c r="U62" s="402"/>
      <x:c r="V62" s="402"/>
      <x:c r="W62" s="402"/>
      <x:c r="X62" s="402"/>
      <x:c r="Y62" s="402"/>
      <x:c r="Z62" s="402"/>
    </x:row>
    <x:row r="63">
      <x:c r="A63" s="402"/>
      <x:c r="B63" s="402"/>
      <x:c r="C63" s="402"/>
      <x:c r="D63" s="402"/>
      <x:c r="E63" s="402"/>
      <x:c r="F63" s="402"/>
      <x:c r="G63" s="402"/>
      <x:c r="H63" s="402"/>
      <x:c r="I63" s="402"/>
      <x:c r="J63" s="402"/>
      <x:c r="K63" s="402"/>
      <x:c r="L63" s="402"/>
      <x:c r="M63" s="402"/>
      <x:c r="N63" s="402"/>
      <x:c r="O63" s="402"/>
      <x:c r="P63" s="402"/>
      <x:c r="Q63" s="402"/>
      <x:c r="R63" s="402"/>
      <x:c r="S63" s="402"/>
      <x:c r="T63" s="402"/>
      <x:c r="U63" s="402"/>
      <x:c r="V63" s="402"/>
      <x:c r="W63" s="402"/>
      <x:c r="X63" s="402"/>
      <x:c r="Y63" s="402"/>
      <x:c r="Z63" s="402"/>
    </x:row>
    <x:row r="64">
      <x:c r="A64" s="402"/>
      <x:c r="B64" s="402"/>
      <x:c r="C64" s="402"/>
      <x:c r="D64" s="402"/>
      <x:c r="E64" s="402"/>
      <x:c r="F64" s="402"/>
      <x:c r="G64" s="402"/>
      <x:c r="H64" s="402"/>
      <x:c r="I64" s="402"/>
      <x:c r="J64" s="402"/>
      <x:c r="K64" s="402"/>
      <x:c r="L64" s="402"/>
      <x:c r="M64" s="402"/>
      <x:c r="N64" s="402"/>
      <x:c r="O64" s="402"/>
      <x:c r="P64" s="402"/>
      <x:c r="Q64" s="402"/>
      <x:c r="R64" s="402"/>
      <x:c r="S64" s="402"/>
      <x:c r="T64" s="402"/>
      <x:c r="U64" s="402"/>
      <x:c r="V64" s="402"/>
      <x:c r="W64" s="402"/>
      <x:c r="X64" s="402"/>
      <x:c r="Y64" s="402"/>
      <x:c r="Z64" s="402"/>
    </x:row>
    <x:row r="65">
      <x:c r="A65" s="402"/>
      <x:c r="B65" s="402"/>
      <x:c r="C65" s="402"/>
      <x:c r="D65" s="402"/>
      <x:c r="E65" s="402"/>
      <x:c r="F65" s="402"/>
      <x:c r="G65" s="402"/>
      <x:c r="H65" s="402"/>
      <x:c r="I65" s="402"/>
      <x:c r="J65" s="402"/>
      <x:c r="K65" s="402"/>
      <x:c r="L65" s="402"/>
      <x:c r="M65" s="402"/>
      <x:c r="N65" s="402"/>
      <x:c r="O65" s="402"/>
      <x:c r="P65" s="402"/>
      <x:c r="Q65" s="402"/>
      <x:c r="R65" s="402"/>
      <x:c r="S65" s="402"/>
      <x:c r="T65" s="402"/>
      <x:c r="U65" s="402"/>
      <x:c r="V65" s="402"/>
      <x:c r="W65" s="402"/>
      <x:c r="X65" s="402"/>
      <x:c r="Y65" s="402"/>
      <x:c r="Z65" s="402"/>
    </x:row>
    <x:row r="66">
      <x:c r="A66" s="402"/>
      <x:c r="B66" s="402"/>
      <x:c r="C66" s="402"/>
      <x:c r="D66" s="402"/>
      <x:c r="E66" s="402"/>
      <x:c r="F66" s="402"/>
      <x:c r="G66" s="402"/>
      <x:c r="H66" s="402"/>
      <x:c r="I66" s="402"/>
      <x:c r="J66" s="402"/>
      <x:c r="K66" s="402"/>
      <x:c r="L66" s="402"/>
      <x:c r="M66" s="402"/>
      <x:c r="N66" s="402"/>
      <x:c r="O66" s="402"/>
      <x:c r="P66" s="402"/>
      <x:c r="Q66" s="402"/>
      <x:c r="R66" s="402"/>
      <x:c r="S66" s="402"/>
      <x:c r="T66" s="402"/>
      <x:c r="U66" s="402"/>
      <x:c r="V66" s="402"/>
      <x:c r="W66" s="402"/>
      <x:c r="X66" s="402"/>
      <x:c r="Y66" s="402"/>
      <x:c r="Z66" s="402"/>
    </x:row>
    <x:row r="67">
      <x:c r="A67" s="402"/>
      <x:c r="B67" s="402"/>
      <x:c r="C67" s="402"/>
      <x:c r="D67" s="402"/>
      <x:c r="E67" s="402"/>
      <x:c r="F67" s="402"/>
      <x:c r="G67" s="402"/>
      <x:c r="H67" s="402"/>
      <x:c r="I67" s="402"/>
      <x:c r="J67" s="402"/>
      <x:c r="K67" s="402"/>
      <x:c r="L67" s="402"/>
      <x:c r="M67" s="402"/>
      <x:c r="N67" s="402"/>
      <x:c r="O67" s="402"/>
      <x:c r="P67" s="402"/>
      <x:c r="Q67" s="402"/>
      <x:c r="R67" s="402"/>
      <x:c r="S67" s="402"/>
      <x:c r="T67" s="402"/>
      <x:c r="U67" s="402"/>
      <x:c r="V67" s="402"/>
      <x:c r="W67" s="402"/>
      <x:c r="X67" s="402"/>
      <x:c r="Y67" s="402"/>
      <x:c r="Z67" s="402"/>
    </x:row>
    <x:row r="68">
      <x:c r="A68" s="402"/>
      <x:c r="B68" s="402"/>
      <x:c r="C68" s="402"/>
      <x:c r="D68" s="402"/>
      <x:c r="E68" s="402"/>
      <x:c r="F68" s="402"/>
      <x:c r="G68" s="402"/>
      <x:c r="H68" s="402"/>
      <x:c r="I68" s="402"/>
      <x:c r="J68" s="402"/>
      <x:c r="K68" s="402"/>
      <x:c r="L68" s="402"/>
      <x:c r="M68" s="402"/>
      <x:c r="N68" s="402"/>
      <x:c r="O68" s="402"/>
      <x:c r="P68" s="402"/>
      <x:c r="Q68" s="402"/>
      <x:c r="R68" s="402"/>
      <x:c r="S68" s="402"/>
      <x:c r="T68" s="402"/>
      <x:c r="U68" s="402"/>
      <x:c r="V68" s="402"/>
      <x:c r="W68" s="402"/>
      <x:c r="X68" s="402"/>
      <x:c r="Y68" s="402"/>
      <x:c r="Z68" s="402"/>
    </x:row>
    <x:row r="69">
      <x:c r="A69" s="402"/>
      <x:c r="B69" s="402"/>
      <x:c r="C69" s="402"/>
      <x:c r="D69" s="402"/>
      <x:c r="E69" s="402"/>
      <x:c r="F69" s="402"/>
      <x:c r="G69" s="402"/>
      <x:c r="H69" s="402"/>
      <x:c r="I69" s="402"/>
      <x:c r="J69" s="402"/>
      <x:c r="K69" s="402"/>
      <x:c r="L69" s="402"/>
      <x:c r="M69" s="402"/>
      <x:c r="N69" s="402"/>
      <x:c r="O69" s="402"/>
      <x:c r="P69" s="402"/>
      <x:c r="Q69" s="402"/>
      <x:c r="R69" s="402"/>
      <x:c r="S69" s="402"/>
      <x:c r="T69" s="402"/>
      <x:c r="U69" s="402"/>
      <x:c r="V69" s="402"/>
      <x:c r="W69" s="402"/>
      <x:c r="X69" s="402"/>
      <x:c r="Y69" s="402"/>
      <x:c r="Z69" s="402"/>
    </x:row>
    <x:row r="70">
      <x:c r="A70" s="402"/>
      <x:c r="B70" s="402"/>
      <x:c r="C70" s="402"/>
      <x:c r="D70" s="402"/>
      <x:c r="E70" s="402"/>
      <x:c r="F70" s="402"/>
      <x:c r="G70" s="402"/>
      <x:c r="H70" s="402"/>
      <x:c r="I70" s="402"/>
      <x:c r="J70" s="402"/>
      <x:c r="K70" s="402"/>
      <x:c r="L70" s="402"/>
      <x:c r="M70" s="402"/>
      <x:c r="N70" s="402"/>
      <x:c r="O70" s="402"/>
      <x:c r="P70" s="402"/>
      <x:c r="Q70" s="402"/>
      <x:c r="R70" s="402"/>
      <x:c r="S70" s="402"/>
      <x:c r="T70" s="402"/>
      <x:c r="U70" s="402"/>
      <x:c r="V70" s="402"/>
      <x:c r="W70" s="402"/>
      <x:c r="X70" s="402"/>
      <x:c r="Y70" s="402"/>
      <x:c r="Z70" s="402"/>
    </x:row>
    <x:row r="71">
      <x:c r="A71" s="402"/>
      <x:c r="B71" s="402"/>
      <x:c r="C71" s="402"/>
      <x:c r="D71" s="402"/>
      <x:c r="E71" s="402"/>
      <x:c r="F71" s="402"/>
      <x:c r="G71" s="402"/>
      <x:c r="H71" s="402"/>
      <x:c r="I71" s="402"/>
      <x:c r="J71" s="402"/>
      <x:c r="K71" s="402"/>
      <x:c r="L71" s="402"/>
      <x:c r="M71" s="402"/>
      <x:c r="N71" s="402"/>
      <x:c r="O71" s="402"/>
      <x:c r="P71" s="402"/>
      <x:c r="Q71" s="402"/>
      <x:c r="R71" s="402"/>
      <x:c r="S71" s="402"/>
      <x:c r="T71" s="402"/>
      <x:c r="U71" s="402"/>
      <x:c r="V71" s="402"/>
      <x:c r="W71" s="402"/>
      <x:c r="X71" s="402"/>
      <x:c r="Y71" s="402"/>
      <x:c r="Z71" s="402"/>
    </x:row>
    <x:row r="72">
      <x:c r="A72" s="402"/>
      <x:c r="B72" s="402"/>
      <x:c r="C72" s="402"/>
      <x:c r="D72" s="402"/>
      <x:c r="E72" s="402"/>
      <x:c r="F72" s="402"/>
      <x:c r="G72" s="402"/>
      <x:c r="H72" s="402"/>
      <x:c r="I72" s="402"/>
      <x:c r="J72" s="402"/>
      <x:c r="K72" s="402"/>
      <x:c r="L72" s="402"/>
      <x:c r="M72" s="402"/>
      <x:c r="N72" s="402"/>
      <x:c r="O72" s="402"/>
      <x:c r="P72" s="402"/>
      <x:c r="Q72" s="402"/>
      <x:c r="R72" s="402"/>
      <x:c r="S72" s="402"/>
      <x:c r="T72" s="402"/>
      <x:c r="U72" s="402"/>
      <x:c r="V72" s="402"/>
      <x:c r="W72" s="402"/>
      <x:c r="X72" s="402"/>
      <x:c r="Y72" s="402"/>
      <x:c r="Z72" s="402"/>
    </x:row>
    <x:row r="73">
      <x:c r="A73" s="402"/>
      <x:c r="B73" s="402"/>
      <x:c r="C73" s="402"/>
      <x:c r="D73" s="402"/>
      <x:c r="E73" s="402"/>
      <x:c r="F73" s="402"/>
      <x:c r="G73" s="402"/>
      <x:c r="H73" s="402"/>
      <x:c r="I73" s="402"/>
      <x:c r="J73" s="402"/>
      <x:c r="K73" s="402"/>
      <x:c r="L73" s="402"/>
      <x:c r="M73" s="402"/>
      <x:c r="N73" s="402"/>
      <x:c r="O73" s="402"/>
      <x:c r="P73" s="402"/>
      <x:c r="Q73" s="402"/>
      <x:c r="R73" s="402"/>
      <x:c r="S73" s="402"/>
      <x:c r="T73" s="402"/>
      <x:c r="U73" s="402"/>
      <x:c r="V73" s="402"/>
      <x:c r="W73" s="402"/>
      <x:c r="X73" s="402"/>
      <x:c r="Y73" s="402"/>
      <x:c r="Z73" s="402"/>
    </x:row>
    <x:row r="74">
      <x:c r="A74" s="402"/>
      <x:c r="B74" s="402"/>
      <x:c r="C74" s="402"/>
      <x:c r="D74" s="402"/>
      <x:c r="E74" s="402"/>
      <x:c r="F74" s="402"/>
      <x:c r="G74" s="402"/>
      <x:c r="H74" s="402"/>
      <x:c r="I74" s="402"/>
      <x:c r="J74" s="402"/>
      <x:c r="K74" s="402"/>
      <x:c r="L74" s="402"/>
      <x:c r="M74" s="402"/>
      <x:c r="N74" s="402"/>
      <x:c r="O74" s="402"/>
      <x:c r="P74" s="402"/>
      <x:c r="Q74" s="402"/>
      <x:c r="R74" s="402"/>
      <x:c r="S74" s="402"/>
      <x:c r="T74" s="402"/>
      <x:c r="U74" s="402"/>
      <x:c r="V74" s="402"/>
      <x:c r="W74" s="402"/>
      <x:c r="X74" s="402"/>
      <x:c r="Y74" s="402"/>
      <x:c r="Z74" s="402"/>
    </x:row>
    <x:row r="75">
      <x:c r="A75" s="402"/>
      <x:c r="B75" s="402"/>
      <x:c r="C75" s="402"/>
      <x:c r="D75" s="402"/>
      <x:c r="E75" s="402"/>
      <x:c r="F75" s="402"/>
      <x:c r="G75" s="402"/>
      <x:c r="H75" s="402"/>
      <x:c r="I75" s="402"/>
      <x:c r="J75" s="402"/>
      <x:c r="K75" s="402"/>
      <x:c r="L75" s="402"/>
      <x:c r="M75" s="402"/>
      <x:c r="N75" s="402"/>
      <x:c r="O75" s="402"/>
      <x:c r="P75" s="402"/>
      <x:c r="Q75" s="402"/>
      <x:c r="R75" s="402"/>
      <x:c r="S75" s="402"/>
      <x:c r="T75" s="402"/>
      <x:c r="U75" s="402"/>
      <x:c r="V75" s="402"/>
      <x:c r="W75" s="402"/>
      <x:c r="X75" s="402"/>
      <x:c r="Y75" s="402"/>
      <x:c r="Z75" s="402"/>
    </x:row>
    <x:row r="76">
      <x:c r="A76" s="402"/>
      <x:c r="B76" s="402"/>
      <x:c r="C76" s="402"/>
      <x:c r="D76" s="402"/>
      <x:c r="E76" s="402"/>
      <x:c r="F76" s="402"/>
      <x:c r="G76" s="402"/>
      <x:c r="H76" s="402"/>
      <x:c r="I76" s="402"/>
      <x:c r="J76" s="402"/>
      <x:c r="K76" s="402"/>
      <x:c r="L76" s="402"/>
      <x:c r="M76" s="402"/>
      <x:c r="N76" s="402"/>
      <x:c r="O76" s="402"/>
      <x:c r="P76" s="402"/>
      <x:c r="Q76" s="402"/>
      <x:c r="R76" s="402"/>
      <x:c r="S76" s="402"/>
      <x:c r="T76" s="402"/>
      <x:c r="U76" s="402"/>
      <x:c r="V76" s="402"/>
      <x:c r="W76" s="402"/>
      <x:c r="X76" s="402"/>
      <x:c r="Y76" s="402"/>
      <x:c r="Z76" s="402"/>
    </x:row>
    <x:row r="77">
      <x:c r="A77" s="402"/>
      <x:c r="B77" s="402"/>
      <x:c r="C77" s="402"/>
      <x:c r="D77" s="402"/>
      <x:c r="E77" s="402"/>
      <x:c r="F77" s="402"/>
      <x:c r="G77" s="402"/>
      <x:c r="H77" s="402"/>
      <x:c r="I77" s="402"/>
      <x:c r="J77" s="402"/>
      <x:c r="K77" s="402"/>
      <x:c r="L77" s="402"/>
      <x:c r="M77" s="402"/>
      <x:c r="N77" s="402"/>
      <x:c r="O77" s="402"/>
      <x:c r="P77" s="402"/>
      <x:c r="Q77" s="402"/>
      <x:c r="R77" s="402"/>
      <x:c r="S77" s="402"/>
      <x:c r="T77" s="402"/>
      <x:c r="U77" s="402"/>
      <x:c r="V77" s="402"/>
      <x:c r="W77" s="402"/>
      <x:c r="X77" s="402"/>
      <x:c r="Y77" s="402"/>
      <x:c r="Z77" s="402"/>
    </x:row>
    <x:row r="78">
      <x:c r="A78" s="402"/>
      <x:c r="B78" s="402"/>
      <x:c r="C78" s="402"/>
      <x:c r="D78" s="402"/>
      <x:c r="E78" s="402"/>
      <x:c r="F78" s="402"/>
      <x:c r="G78" s="402"/>
      <x:c r="H78" s="402"/>
      <x:c r="I78" s="402"/>
      <x:c r="J78" s="402"/>
      <x:c r="K78" s="402"/>
      <x:c r="L78" s="402"/>
      <x:c r="M78" s="402"/>
      <x:c r="N78" s="402"/>
      <x:c r="O78" s="402"/>
      <x:c r="P78" s="402"/>
      <x:c r="Q78" s="402"/>
      <x:c r="R78" s="402"/>
      <x:c r="S78" s="402"/>
      <x:c r="T78" s="402"/>
      <x:c r="U78" s="402"/>
      <x:c r="V78" s="402"/>
      <x:c r="W78" s="402"/>
      <x:c r="X78" s="402"/>
      <x:c r="Y78" s="402"/>
      <x:c r="Z78" s="402"/>
    </x:row>
    <x:row r="79">
      <x:c r="A79" s="402"/>
      <x:c r="B79" s="402"/>
      <x:c r="C79" s="402"/>
      <x:c r="D79" s="402"/>
      <x:c r="E79" s="402"/>
      <x:c r="F79" s="402"/>
      <x:c r="G79" s="402"/>
      <x:c r="H79" s="402"/>
      <x:c r="I79" s="402"/>
      <x:c r="J79" s="402"/>
      <x:c r="K79" s="402"/>
      <x:c r="L79" s="402"/>
      <x:c r="M79" s="402"/>
      <x:c r="N79" s="402"/>
      <x:c r="O79" s="402"/>
      <x:c r="P79" s="402"/>
      <x:c r="Q79" s="402"/>
      <x:c r="R79" s="402"/>
      <x:c r="S79" s="402"/>
      <x:c r="T79" s="402"/>
      <x:c r="U79" s="402"/>
      <x:c r="V79" s="402"/>
      <x:c r="W79" s="402"/>
      <x:c r="X79" s="402"/>
      <x:c r="Y79" s="402"/>
      <x:c r="Z79" s="402"/>
    </x:row>
    <x:row r="80">
      <x:c r="A80" s="402"/>
      <x:c r="B80" s="402"/>
      <x:c r="C80" s="402"/>
      <x:c r="D80" s="402"/>
      <x:c r="E80" s="402"/>
      <x:c r="F80" s="402"/>
      <x:c r="G80" s="402"/>
      <x:c r="H80" s="402"/>
      <x:c r="I80" s="402"/>
      <x:c r="J80" s="402"/>
      <x:c r="K80" s="402"/>
      <x:c r="L80" s="402"/>
      <x:c r="M80" s="402"/>
      <x:c r="N80" s="402"/>
      <x:c r="O80" s="402"/>
      <x:c r="P80" s="402"/>
      <x:c r="Q80" s="402"/>
      <x:c r="R80" s="402"/>
      <x:c r="S80" s="402"/>
      <x:c r="T80" s="402"/>
      <x:c r="U80" s="402"/>
      <x:c r="V80" s="402"/>
      <x:c r="W80" s="402"/>
      <x:c r="X80" s="402"/>
      <x:c r="Y80" s="402"/>
      <x:c r="Z80" s="402"/>
    </x:row>
    <x:row r="81">
      <x:c r="A81" s="402"/>
      <x:c r="B81" s="402"/>
      <x:c r="C81" s="402"/>
      <x:c r="D81" s="402"/>
      <x:c r="E81" s="402"/>
      <x:c r="F81" s="402"/>
      <x:c r="G81" s="402"/>
      <x:c r="H81" s="402"/>
      <x:c r="I81" s="402"/>
      <x:c r="J81" s="402"/>
      <x:c r="K81" s="402"/>
      <x:c r="L81" s="402"/>
      <x:c r="M81" s="402"/>
      <x:c r="N81" s="402"/>
      <x:c r="O81" s="402"/>
      <x:c r="P81" s="402"/>
      <x:c r="Q81" s="402"/>
      <x:c r="R81" s="402"/>
      <x:c r="S81" s="402"/>
      <x:c r="T81" s="402"/>
      <x:c r="U81" s="402"/>
      <x:c r="V81" s="402"/>
      <x:c r="W81" s="402"/>
      <x:c r="X81" s="402"/>
      <x:c r="Y81" s="402"/>
      <x:c r="Z81" s="402"/>
    </x:row>
    <x:row r="82">
      <x:c r="A82" s="402"/>
      <x:c r="B82" s="402"/>
      <x:c r="C82" s="402"/>
      <x:c r="D82" s="402"/>
      <x:c r="E82" s="402"/>
      <x:c r="F82" s="402"/>
      <x:c r="G82" s="402"/>
      <x:c r="H82" s="402"/>
      <x:c r="I82" s="402"/>
      <x:c r="J82" s="402"/>
      <x:c r="K82" s="402"/>
      <x:c r="L82" s="402"/>
      <x:c r="M82" s="402"/>
      <x:c r="N82" s="402"/>
      <x:c r="O82" s="402"/>
      <x:c r="P82" s="402"/>
      <x:c r="Q82" s="402"/>
      <x:c r="R82" s="402"/>
      <x:c r="S82" s="402"/>
      <x:c r="T82" s="402"/>
      <x:c r="U82" s="402"/>
      <x:c r="V82" s="402"/>
      <x:c r="W82" s="402"/>
      <x:c r="X82" s="402"/>
      <x:c r="Y82" s="402"/>
      <x:c r="Z82" s="402"/>
    </x:row>
    <x:row r="83">
      <x:c r="A83" s="402"/>
      <x:c r="B83" s="402"/>
      <x:c r="C83" s="402"/>
      <x:c r="D83" s="402"/>
      <x:c r="E83" s="402"/>
      <x:c r="F83" s="402"/>
      <x:c r="G83" s="402"/>
      <x:c r="H83" s="402"/>
      <x:c r="I83" s="402"/>
      <x:c r="J83" s="402"/>
      <x:c r="K83" s="402"/>
      <x:c r="L83" s="402"/>
      <x:c r="M83" s="402"/>
      <x:c r="N83" s="402"/>
      <x:c r="O83" s="402"/>
      <x:c r="P83" s="402"/>
      <x:c r="Q83" s="402"/>
      <x:c r="R83" s="402"/>
      <x:c r="S83" s="402"/>
      <x:c r="T83" s="402"/>
      <x:c r="U83" s="402"/>
      <x:c r="V83" s="402"/>
      <x:c r="W83" s="402"/>
      <x:c r="X83" s="402"/>
      <x:c r="Y83" s="402"/>
      <x:c r="Z83" s="402"/>
    </x:row>
    <x:row r="84">
      <x:c r="A84" s="402"/>
      <x:c r="B84" s="402"/>
      <x:c r="C84" s="402"/>
      <x:c r="D84" s="402"/>
      <x:c r="E84" s="402"/>
      <x:c r="F84" s="402"/>
      <x:c r="G84" s="402"/>
      <x:c r="H84" s="402"/>
      <x:c r="I84" s="402"/>
      <x:c r="J84" s="402"/>
      <x:c r="K84" s="402"/>
      <x:c r="L84" s="402"/>
      <x:c r="M84" s="402"/>
      <x:c r="N84" s="402"/>
      <x:c r="O84" s="402"/>
      <x:c r="P84" s="402"/>
      <x:c r="Q84" s="402"/>
      <x:c r="R84" s="402"/>
      <x:c r="S84" s="402"/>
      <x:c r="T84" s="402"/>
      <x:c r="U84" s="402"/>
      <x:c r="V84" s="402"/>
      <x:c r="W84" s="402"/>
      <x:c r="X84" s="402"/>
      <x:c r="Y84" s="402"/>
      <x:c r="Z84" s="402"/>
    </x:row>
    <x:row r="85">
      <x:c r="A85" s="402"/>
      <x:c r="B85" s="402"/>
      <x:c r="C85" s="402"/>
      <x:c r="D85" s="402"/>
      <x:c r="E85" s="402"/>
      <x:c r="F85" s="402"/>
      <x:c r="G85" s="402"/>
      <x:c r="H85" s="402"/>
      <x:c r="I85" s="402"/>
      <x:c r="J85" s="402"/>
      <x:c r="K85" s="402"/>
      <x:c r="L85" s="402"/>
      <x:c r="M85" s="402"/>
      <x:c r="N85" s="402"/>
      <x:c r="O85" s="402"/>
      <x:c r="P85" s="402"/>
      <x:c r="Q85" s="402"/>
      <x:c r="R85" s="402"/>
      <x:c r="S85" s="402"/>
      <x:c r="T85" s="402"/>
      <x:c r="U85" s="402"/>
      <x:c r="V85" s="402"/>
      <x:c r="W85" s="402"/>
      <x:c r="X85" s="402"/>
      <x:c r="Y85" s="402"/>
      <x:c r="Z85" s="402"/>
    </x:row>
    <x:row r="86">
      <x:c r="A86" s="402"/>
      <x:c r="B86" s="402"/>
      <x:c r="C86" s="402"/>
      <x:c r="D86" s="402"/>
      <x:c r="E86" s="402"/>
      <x:c r="F86" s="402"/>
      <x:c r="G86" s="402"/>
      <x:c r="H86" s="402"/>
      <x:c r="I86" s="402"/>
      <x:c r="J86" s="402"/>
      <x:c r="K86" s="402"/>
      <x:c r="L86" s="402"/>
      <x:c r="M86" s="402"/>
      <x:c r="N86" s="402"/>
      <x:c r="O86" s="402"/>
      <x:c r="P86" s="402"/>
      <x:c r="Q86" s="402"/>
      <x:c r="R86" s="402"/>
      <x:c r="S86" s="402"/>
      <x:c r="T86" s="402"/>
      <x:c r="U86" s="402"/>
      <x:c r="V86" s="402"/>
      <x:c r="W86" s="402"/>
      <x:c r="X86" s="402"/>
      <x:c r="Y86" s="402"/>
      <x:c r="Z86" s="402"/>
    </x:row>
    <x:row r="87">
      <x:c r="A87" s="402"/>
      <x:c r="B87" s="402"/>
      <x:c r="C87" s="402"/>
      <x:c r="D87" s="402"/>
      <x:c r="E87" s="402"/>
      <x:c r="F87" s="402"/>
      <x:c r="G87" s="402"/>
      <x:c r="H87" s="402"/>
      <x:c r="I87" s="402"/>
      <x:c r="J87" s="402"/>
      <x:c r="K87" s="402"/>
      <x:c r="L87" s="402"/>
      <x:c r="M87" s="402"/>
      <x:c r="N87" s="402"/>
      <x:c r="O87" s="402"/>
      <x:c r="P87" s="402"/>
      <x:c r="Q87" s="402"/>
      <x:c r="R87" s="402"/>
      <x:c r="S87" s="402"/>
      <x:c r="T87" s="402"/>
      <x:c r="U87" s="402"/>
      <x:c r="V87" s="402"/>
      <x:c r="W87" s="402"/>
      <x:c r="X87" s="402"/>
      <x:c r="Y87" s="402"/>
      <x:c r="Z87" s="402"/>
    </x:row>
    <x:row r="88">
      <x:c r="A88" s="402"/>
      <x:c r="B88" s="402"/>
      <x:c r="C88" s="402"/>
      <x:c r="D88" s="402"/>
      <x:c r="E88" s="402"/>
      <x:c r="F88" s="402"/>
      <x:c r="G88" s="402"/>
      <x:c r="H88" s="402"/>
      <x:c r="I88" s="402"/>
      <x:c r="J88" s="402"/>
      <x:c r="K88" s="402"/>
      <x:c r="L88" s="402"/>
      <x:c r="M88" s="402"/>
      <x:c r="N88" s="402"/>
      <x:c r="O88" s="402"/>
      <x:c r="P88" s="402"/>
      <x:c r="Q88" s="402"/>
      <x:c r="R88" s="402"/>
      <x:c r="S88" s="402"/>
      <x:c r="T88" s="402"/>
      <x:c r="U88" s="402"/>
      <x:c r="V88" s="402"/>
      <x:c r="W88" s="402"/>
      <x:c r="X88" s="402"/>
      <x:c r="Y88" s="402"/>
      <x:c r="Z88" s="402"/>
    </x:row>
    <x:row r="89">
      <x:c r="A89" s="402"/>
      <x:c r="B89" s="402"/>
      <x:c r="C89" s="402"/>
      <x:c r="D89" s="402"/>
      <x:c r="E89" s="402"/>
      <x:c r="F89" s="402"/>
      <x:c r="G89" s="402"/>
      <x:c r="H89" s="402"/>
      <x:c r="I89" s="402"/>
      <x:c r="J89" s="402"/>
      <x:c r="K89" s="402"/>
      <x:c r="L89" s="402"/>
      <x:c r="M89" s="402"/>
      <x:c r="N89" s="402"/>
      <x:c r="O89" s="402"/>
      <x:c r="P89" s="402"/>
      <x:c r="Q89" s="402"/>
      <x:c r="R89" s="402"/>
      <x:c r="S89" s="402"/>
      <x:c r="T89" s="402"/>
      <x:c r="U89" s="402"/>
      <x:c r="V89" s="402"/>
      <x:c r="W89" s="402"/>
      <x:c r="X89" s="402"/>
      <x:c r="Y89" s="402"/>
      <x:c r="Z89" s="402"/>
    </x:row>
    <x:row r="90">
      <x:c r="A90" s="402"/>
      <x:c r="B90" s="402"/>
      <x:c r="C90" s="402"/>
      <x:c r="D90" s="402"/>
      <x:c r="E90" s="402"/>
      <x:c r="F90" s="402"/>
      <x:c r="G90" s="402"/>
      <x:c r="H90" s="402"/>
      <x:c r="I90" s="402"/>
      <x:c r="J90" s="402"/>
      <x:c r="K90" s="402"/>
      <x:c r="L90" s="402"/>
      <x:c r="M90" s="402"/>
      <x:c r="N90" s="402"/>
      <x:c r="O90" s="402"/>
      <x:c r="P90" s="402"/>
      <x:c r="Q90" s="402"/>
      <x:c r="R90" s="402"/>
      <x:c r="S90" s="402"/>
      <x:c r="T90" s="402"/>
      <x:c r="U90" s="402"/>
      <x:c r="V90" s="402"/>
      <x:c r="W90" s="402"/>
      <x:c r="X90" s="402"/>
      <x:c r="Y90" s="402"/>
      <x:c r="Z90" s="402"/>
    </x:row>
    <x:row r="91">
      <x:c r="A91" s="402"/>
      <x:c r="B91" s="402"/>
      <x:c r="C91" s="402"/>
      <x:c r="D91" s="402"/>
      <x:c r="E91" s="402"/>
      <x:c r="F91" s="402"/>
      <x:c r="G91" s="402"/>
      <x:c r="H91" s="402"/>
      <x:c r="I91" s="402"/>
      <x:c r="J91" s="402"/>
      <x:c r="K91" s="402"/>
      <x:c r="L91" s="402"/>
      <x:c r="M91" s="402"/>
      <x:c r="N91" s="402"/>
      <x:c r="O91" s="402"/>
      <x:c r="P91" s="402"/>
      <x:c r="Q91" s="402"/>
      <x:c r="R91" s="402"/>
      <x:c r="S91" s="402"/>
      <x:c r="T91" s="402"/>
      <x:c r="U91" s="402"/>
      <x:c r="V91" s="402"/>
      <x:c r="W91" s="402"/>
      <x:c r="X91" s="402"/>
      <x:c r="Y91" s="402"/>
      <x:c r="Z91" s="402"/>
    </x:row>
    <x:row r="92">
      <x:c r="A92" s="402"/>
      <x:c r="B92" s="402"/>
      <x:c r="C92" s="402"/>
      <x:c r="D92" s="402"/>
      <x:c r="E92" s="402"/>
      <x:c r="F92" s="402"/>
      <x:c r="G92" s="402"/>
      <x:c r="H92" s="402"/>
      <x:c r="I92" s="402"/>
      <x:c r="J92" s="402"/>
      <x:c r="K92" s="402"/>
      <x:c r="L92" s="402"/>
      <x:c r="M92" s="402"/>
      <x:c r="N92" s="402"/>
      <x:c r="O92" s="402"/>
      <x:c r="P92" s="402"/>
      <x:c r="Q92" s="402"/>
      <x:c r="R92" s="402"/>
      <x:c r="S92" s="402"/>
      <x:c r="T92" s="402"/>
      <x:c r="U92" s="402"/>
      <x:c r="V92" s="402"/>
      <x:c r="W92" s="402"/>
      <x:c r="X92" s="402"/>
      <x:c r="Y92" s="402"/>
      <x:c r="Z92" s="402"/>
    </x:row>
    <x:row r="93">
      <x:c r="A93" s="402"/>
      <x:c r="B93" s="402"/>
      <x:c r="C93" s="402"/>
      <x:c r="D93" s="402"/>
      <x:c r="E93" s="402"/>
      <x:c r="F93" s="402"/>
      <x:c r="G93" s="402"/>
      <x:c r="H93" s="402"/>
      <x:c r="I93" s="402"/>
      <x:c r="J93" s="402"/>
      <x:c r="K93" s="402"/>
      <x:c r="L93" s="402"/>
      <x:c r="M93" s="402"/>
      <x:c r="N93" s="402"/>
      <x:c r="O93" s="402"/>
      <x:c r="P93" s="402"/>
      <x:c r="Q93" s="402"/>
      <x:c r="R93" s="402"/>
      <x:c r="S93" s="402"/>
      <x:c r="T93" s="402"/>
      <x:c r="U93" s="402"/>
      <x:c r="V93" s="402"/>
      <x:c r="W93" s="402"/>
      <x:c r="X93" s="402"/>
      <x:c r="Y93" s="402"/>
      <x:c r="Z93" s="402"/>
    </x:row>
    <x:row r="94">
      <x:c r="A94" s="402"/>
      <x:c r="B94" s="402"/>
      <x:c r="C94" s="402"/>
      <x:c r="D94" s="402"/>
      <x:c r="E94" s="402"/>
      <x:c r="F94" s="402"/>
      <x:c r="G94" s="402"/>
      <x:c r="H94" s="402"/>
      <x:c r="I94" s="402"/>
      <x:c r="J94" s="402"/>
      <x:c r="K94" s="402"/>
      <x:c r="L94" s="402"/>
      <x:c r="M94" s="402"/>
      <x:c r="N94" s="402"/>
      <x:c r="O94" s="402"/>
      <x:c r="P94" s="402"/>
      <x:c r="Q94" s="402"/>
      <x:c r="R94" s="402"/>
      <x:c r="S94" s="402"/>
      <x:c r="T94" s="402"/>
      <x:c r="U94" s="402"/>
      <x:c r="V94" s="402"/>
      <x:c r="W94" s="402"/>
      <x:c r="X94" s="402"/>
      <x:c r="Y94" s="402"/>
      <x:c r="Z94" s="402"/>
    </x:row>
    <x:row r="95">
      <x:c r="A95" s="402"/>
      <x:c r="B95" s="402"/>
      <x:c r="C95" s="402"/>
      <x:c r="D95" s="402"/>
      <x:c r="E95" s="402"/>
      <x:c r="F95" s="402"/>
      <x:c r="G95" s="402"/>
      <x:c r="H95" s="402"/>
      <x:c r="I95" s="402"/>
      <x:c r="J95" s="402"/>
      <x:c r="K95" s="402"/>
      <x:c r="L95" s="402"/>
      <x:c r="M95" s="402"/>
      <x:c r="N95" s="402"/>
      <x:c r="O95" s="402"/>
      <x:c r="P95" s="402"/>
      <x:c r="Q95" s="402"/>
      <x:c r="R95" s="402"/>
      <x:c r="S95" s="402"/>
      <x:c r="T95" s="402"/>
      <x:c r="U95" s="402"/>
      <x:c r="V95" s="402"/>
      <x:c r="W95" s="402"/>
      <x:c r="X95" s="402"/>
      <x:c r="Y95" s="402"/>
      <x:c r="Z95" s="402"/>
    </x:row>
    <x:row r="96">
      <x:c r="A96" s="402"/>
      <x:c r="B96" s="402"/>
      <x:c r="C96" s="402"/>
      <x:c r="D96" s="402"/>
      <x:c r="E96" s="402"/>
      <x:c r="F96" s="402"/>
      <x:c r="G96" s="402"/>
      <x:c r="H96" s="402"/>
      <x:c r="I96" s="402"/>
      <x:c r="J96" s="402"/>
      <x:c r="K96" s="402"/>
      <x:c r="L96" s="402"/>
      <x:c r="M96" s="402"/>
      <x:c r="N96" s="402"/>
      <x:c r="O96" s="402"/>
      <x:c r="P96" s="402"/>
      <x:c r="Q96" s="402"/>
      <x:c r="R96" s="402"/>
      <x:c r="S96" s="402"/>
      <x:c r="T96" s="402"/>
      <x:c r="U96" s="402"/>
      <x:c r="V96" s="402"/>
      <x:c r="W96" s="402"/>
      <x:c r="X96" s="402"/>
      <x:c r="Y96" s="402"/>
      <x:c r="Z96" s="402"/>
    </x:row>
    <x:row r="97">
      <x:c r="A97" s="402"/>
      <x:c r="B97" s="402"/>
      <x:c r="C97" s="402"/>
      <x:c r="D97" s="402"/>
      <x:c r="E97" s="402"/>
      <x:c r="F97" s="402"/>
      <x:c r="G97" s="402"/>
      <x:c r="H97" s="402"/>
      <x:c r="I97" s="402"/>
      <x:c r="J97" s="402"/>
      <x:c r="K97" s="402"/>
      <x:c r="L97" s="402"/>
      <x:c r="M97" s="402"/>
      <x:c r="N97" s="402"/>
      <x:c r="O97" s="402"/>
      <x:c r="P97" s="402"/>
      <x:c r="Q97" s="402"/>
      <x:c r="R97" s="402"/>
      <x:c r="S97" s="402"/>
      <x:c r="T97" s="402"/>
      <x:c r="U97" s="402"/>
      <x:c r="V97" s="402"/>
      <x:c r="W97" s="402"/>
      <x:c r="X97" s="402"/>
      <x:c r="Y97" s="402"/>
      <x:c r="Z97" s="402"/>
    </x:row>
    <x:row r="98">
      <x:c r="A98" s="402"/>
      <x:c r="B98" s="402"/>
      <x:c r="C98" s="402"/>
      <x:c r="D98" s="402"/>
      <x:c r="E98" s="402"/>
      <x:c r="F98" s="402"/>
      <x:c r="G98" s="402"/>
      <x:c r="H98" s="402"/>
      <x:c r="I98" s="402"/>
      <x:c r="J98" s="402"/>
      <x:c r="K98" s="402"/>
      <x:c r="L98" s="402"/>
      <x:c r="M98" s="402"/>
      <x:c r="N98" s="402"/>
      <x:c r="O98" s="402"/>
      <x:c r="P98" s="402"/>
      <x:c r="Q98" s="402"/>
      <x:c r="R98" s="402"/>
      <x:c r="S98" s="402"/>
      <x:c r="T98" s="402"/>
      <x:c r="U98" s="402"/>
      <x:c r="V98" s="402"/>
      <x:c r="W98" s="402"/>
      <x:c r="X98" s="402"/>
      <x:c r="Y98" s="402"/>
      <x:c r="Z98" s="402"/>
    </x:row>
    <x:row r="99">
      <x:c r="A99" s="402"/>
      <x:c r="B99" s="402"/>
      <x:c r="C99" s="402"/>
      <x:c r="D99" s="402"/>
      <x:c r="E99" s="402"/>
      <x:c r="F99" s="402"/>
      <x:c r="G99" s="402"/>
      <x:c r="H99" s="402"/>
      <x:c r="I99" s="402"/>
      <x:c r="J99" s="402"/>
      <x:c r="K99" s="402"/>
      <x:c r="L99" s="402"/>
      <x:c r="M99" s="402"/>
      <x:c r="N99" s="402"/>
      <x:c r="O99" s="402"/>
      <x:c r="P99" s="402"/>
      <x:c r="Q99" s="402"/>
      <x:c r="R99" s="402"/>
      <x:c r="S99" s="402"/>
      <x:c r="T99" s="402"/>
      <x:c r="U99" s="402"/>
      <x:c r="V99" s="402"/>
      <x:c r="W99" s="402"/>
      <x:c r="X99" s="402"/>
      <x:c r="Y99" s="402"/>
      <x:c r="Z99" s="402"/>
    </x:row>
    <x:row r="100">
      <x:c r="A100" s="402"/>
      <x:c r="B100" s="402"/>
      <x:c r="C100" s="402"/>
      <x:c r="D100" s="402"/>
      <x:c r="E100" s="402"/>
      <x:c r="F100" s="402"/>
      <x:c r="G100" s="402"/>
      <x:c r="H100" s="402"/>
      <x:c r="I100" s="402"/>
      <x:c r="J100" s="402"/>
      <x:c r="K100" s="402"/>
      <x:c r="L100" s="402"/>
      <x:c r="M100" s="402"/>
      <x:c r="N100" s="402"/>
      <x:c r="O100" s="402"/>
      <x:c r="P100" s="402"/>
      <x:c r="Q100" s="402"/>
      <x:c r="R100" s="402"/>
      <x:c r="S100" s="402"/>
      <x:c r="T100" s="402"/>
      <x:c r="U100" s="402"/>
      <x:c r="V100" s="402"/>
      <x:c r="W100" s="402"/>
      <x:c r="X100" s="402"/>
      <x:c r="Y100" s="402"/>
      <x:c r="Z100" s="402"/>
    </x:row>
    <x:row r="101">
      <x:c r="A101" s="402"/>
      <x:c r="B101" s="402"/>
      <x:c r="C101" s="402"/>
      <x:c r="D101" s="402"/>
      <x:c r="E101" s="402"/>
      <x:c r="F101" s="402"/>
      <x:c r="G101" s="402"/>
      <x:c r="H101" s="402"/>
      <x:c r="I101" s="402"/>
      <x:c r="J101" s="402"/>
      <x:c r="K101" s="402"/>
      <x:c r="L101" s="402"/>
      <x:c r="M101" s="402"/>
      <x:c r="N101" s="402"/>
      <x:c r="O101" s="402"/>
      <x:c r="P101" s="402"/>
      <x:c r="Q101" s="402"/>
      <x:c r="R101" s="402"/>
      <x:c r="S101" s="402"/>
      <x:c r="T101" s="402"/>
      <x:c r="U101" s="402"/>
      <x:c r="V101" s="402"/>
      <x:c r="W101" s="402"/>
      <x:c r="X101" s="402"/>
      <x:c r="Y101" s="402"/>
      <x:c r="Z101" s="402"/>
    </x:row>
    <x:row r="102">
      <x:c r="A102" s="402"/>
      <x:c r="B102" s="402"/>
      <x:c r="C102" s="402"/>
      <x:c r="D102" s="402"/>
      <x:c r="E102" s="402"/>
      <x:c r="F102" s="402"/>
      <x:c r="G102" s="402"/>
      <x:c r="H102" s="402"/>
      <x:c r="I102" s="402"/>
      <x:c r="J102" s="402"/>
      <x:c r="K102" s="402"/>
      <x:c r="L102" s="402"/>
      <x:c r="M102" s="402"/>
      <x:c r="N102" s="402"/>
      <x:c r="O102" s="402"/>
      <x:c r="P102" s="402"/>
      <x:c r="Q102" s="402"/>
      <x:c r="R102" s="402"/>
      <x:c r="S102" s="402"/>
      <x:c r="T102" s="402"/>
      <x:c r="U102" s="402"/>
      <x:c r="V102" s="402"/>
      <x:c r="W102" s="402"/>
      <x:c r="X102" s="402"/>
      <x:c r="Y102" s="402"/>
      <x:c r="Z102" s="402"/>
    </x:row>
    <x:row r="103">
      <x:c r="A103" s="402"/>
      <x:c r="B103" s="402"/>
      <x:c r="C103" s="402"/>
      <x:c r="D103" s="402"/>
      <x:c r="E103" s="402"/>
      <x:c r="F103" s="402"/>
      <x:c r="G103" s="402"/>
      <x:c r="H103" s="402"/>
      <x:c r="I103" s="402"/>
      <x:c r="J103" s="402"/>
      <x:c r="K103" s="402"/>
      <x:c r="L103" s="402"/>
      <x:c r="M103" s="402"/>
      <x:c r="N103" s="402"/>
      <x:c r="O103" s="402"/>
      <x:c r="P103" s="402"/>
      <x:c r="Q103" s="402"/>
      <x:c r="R103" s="402"/>
      <x:c r="S103" s="402"/>
      <x:c r="T103" s="402"/>
      <x:c r="U103" s="402"/>
      <x:c r="V103" s="402"/>
      <x:c r="W103" s="402"/>
      <x:c r="X103" s="402"/>
      <x:c r="Y103" s="402"/>
      <x:c r="Z103" s="402"/>
    </x:row>
    <x:row r="104">
      <x:c r="A104" s="402"/>
      <x:c r="B104" s="402"/>
      <x:c r="C104" s="402"/>
      <x:c r="D104" s="402"/>
      <x:c r="E104" s="402"/>
      <x:c r="F104" s="402"/>
      <x:c r="G104" s="402"/>
      <x:c r="H104" s="402"/>
      <x:c r="I104" s="402"/>
      <x:c r="J104" s="402"/>
      <x:c r="K104" s="402"/>
      <x:c r="L104" s="402"/>
      <x:c r="M104" s="402"/>
      <x:c r="N104" s="402"/>
      <x:c r="O104" s="402"/>
      <x:c r="P104" s="402"/>
      <x:c r="Q104" s="402"/>
      <x:c r="R104" s="402"/>
      <x:c r="S104" s="402"/>
      <x:c r="T104" s="402"/>
      <x:c r="U104" s="402"/>
      <x:c r="V104" s="402"/>
      <x:c r="W104" s="402"/>
      <x:c r="X104" s="402"/>
      <x:c r="Y104" s="402"/>
      <x:c r="Z104" s="402"/>
    </x:row>
    <x:row r="105">
      <x:c r="A105" s="402"/>
      <x:c r="B105" s="402"/>
      <x:c r="C105" s="402"/>
      <x:c r="D105" s="402"/>
      <x:c r="E105" s="402"/>
      <x:c r="F105" s="402"/>
      <x:c r="G105" s="402"/>
      <x:c r="H105" s="402"/>
      <x:c r="I105" s="402"/>
      <x:c r="J105" s="402"/>
      <x:c r="K105" s="402"/>
      <x:c r="L105" s="402"/>
      <x:c r="M105" s="402"/>
      <x:c r="N105" s="402"/>
      <x:c r="O105" s="402"/>
      <x:c r="P105" s="402"/>
      <x:c r="Q105" s="402"/>
      <x:c r="R105" s="402"/>
      <x:c r="S105" s="402"/>
      <x:c r="T105" s="402"/>
      <x:c r="U105" s="402"/>
      <x:c r="V105" s="402"/>
      <x:c r="W105" s="402"/>
      <x:c r="X105" s="402"/>
      <x:c r="Y105" s="402"/>
      <x:c r="Z105" s="402"/>
    </x:row>
    <x:row r="106">
      <x:c r="A106" s="402"/>
      <x:c r="B106" s="402"/>
      <x:c r="C106" s="402"/>
      <x:c r="D106" s="402"/>
      <x:c r="E106" s="402"/>
      <x:c r="F106" s="402"/>
      <x:c r="G106" s="402"/>
      <x:c r="H106" s="402"/>
      <x:c r="I106" s="402"/>
      <x:c r="J106" s="402"/>
      <x:c r="K106" s="402"/>
      <x:c r="L106" s="402"/>
      <x:c r="M106" s="402"/>
      <x:c r="N106" s="402"/>
      <x:c r="O106" s="402"/>
      <x:c r="P106" s="402"/>
      <x:c r="Q106" s="402"/>
      <x:c r="R106" s="402"/>
      <x:c r="S106" s="402"/>
      <x:c r="T106" s="402"/>
      <x:c r="U106" s="402"/>
      <x:c r="V106" s="402"/>
      <x:c r="W106" s="402"/>
      <x:c r="X106" s="402"/>
      <x:c r="Y106" s="402"/>
      <x:c r="Z106" s="402"/>
    </x:row>
    <x:row r="107">
      <x:c r="A107" s="402"/>
      <x:c r="B107" s="402"/>
      <x:c r="C107" s="402"/>
      <x:c r="D107" s="402"/>
      <x:c r="E107" s="402"/>
      <x:c r="F107" s="402"/>
      <x:c r="G107" s="402"/>
      <x:c r="H107" s="402"/>
      <x:c r="I107" s="402"/>
      <x:c r="J107" s="402"/>
      <x:c r="K107" s="402"/>
      <x:c r="L107" s="402"/>
      <x:c r="M107" s="402"/>
      <x:c r="N107" s="402"/>
      <x:c r="O107" s="402"/>
      <x:c r="P107" s="402"/>
      <x:c r="Q107" s="402"/>
      <x:c r="R107" s="402"/>
      <x:c r="S107" s="402"/>
      <x:c r="T107" s="402"/>
      <x:c r="U107" s="402"/>
      <x:c r="V107" s="402"/>
      <x:c r="W107" s="402"/>
      <x:c r="X107" s="402"/>
      <x:c r="Y107" s="402"/>
      <x:c r="Z107" s="402"/>
    </x:row>
    <x:row r="108">
      <x:c r="A108" s="402"/>
      <x:c r="B108" s="402"/>
      <x:c r="C108" s="402"/>
      <x:c r="D108" s="402"/>
      <x:c r="E108" s="402"/>
      <x:c r="F108" s="402"/>
      <x:c r="G108" s="402"/>
      <x:c r="H108" s="402"/>
      <x:c r="I108" s="402"/>
      <x:c r="J108" s="402"/>
      <x:c r="K108" s="402"/>
      <x:c r="L108" s="402"/>
      <x:c r="M108" s="402"/>
      <x:c r="N108" s="402"/>
      <x:c r="O108" s="402"/>
      <x:c r="P108" s="402"/>
      <x:c r="Q108" s="402"/>
      <x:c r="R108" s="402"/>
      <x:c r="S108" s="402"/>
      <x:c r="T108" s="402"/>
      <x:c r="U108" s="402"/>
      <x:c r="V108" s="402"/>
      <x:c r="W108" s="402"/>
      <x:c r="X108" s="402"/>
      <x:c r="Y108" s="402"/>
      <x:c r="Z108" s="402"/>
    </x:row>
    <x:row r="109">
      <x:c r="A109" s="402"/>
      <x:c r="B109" s="402"/>
      <x:c r="C109" s="402"/>
      <x:c r="D109" s="402"/>
      <x:c r="E109" s="402"/>
      <x:c r="F109" s="402"/>
      <x:c r="G109" s="402"/>
      <x:c r="H109" s="402"/>
      <x:c r="I109" s="402"/>
      <x:c r="J109" s="402"/>
      <x:c r="K109" s="402"/>
      <x:c r="L109" s="402"/>
      <x:c r="M109" s="402"/>
      <x:c r="N109" s="402"/>
      <x:c r="O109" s="402"/>
      <x:c r="P109" s="402"/>
      <x:c r="Q109" s="402"/>
      <x:c r="R109" s="402"/>
      <x:c r="S109" s="402"/>
      <x:c r="T109" s="402"/>
      <x:c r="U109" s="402"/>
      <x:c r="V109" s="402"/>
      <x:c r="W109" s="402"/>
      <x:c r="X109" s="402"/>
      <x:c r="Y109" s="402"/>
      <x:c r="Z109" s="402"/>
    </x:row>
    <x:row r="110">
      <x:c r="A110" s="402"/>
      <x:c r="B110" s="402"/>
      <x:c r="C110" s="402"/>
      <x:c r="D110" s="402"/>
      <x:c r="E110" s="402"/>
      <x:c r="F110" s="402"/>
      <x:c r="G110" s="402"/>
      <x:c r="H110" s="402"/>
      <x:c r="I110" s="402"/>
      <x:c r="J110" s="402"/>
      <x:c r="K110" s="402"/>
      <x:c r="L110" s="402"/>
      <x:c r="M110" s="402"/>
      <x:c r="N110" s="402"/>
      <x:c r="O110" s="402"/>
      <x:c r="P110" s="402"/>
      <x:c r="Q110" s="402"/>
      <x:c r="R110" s="402"/>
      <x:c r="S110" s="402"/>
      <x:c r="T110" s="402"/>
      <x:c r="U110" s="402"/>
      <x:c r="V110" s="402"/>
      <x:c r="W110" s="402"/>
      <x:c r="X110" s="402"/>
      <x:c r="Y110" s="402"/>
      <x:c r="Z110" s="402"/>
    </x:row>
    <x:row r="111">
      <x:c r="A111" s="402"/>
      <x:c r="B111" s="402"/>
      <x:c r="C111" s="402"/>
      <x:c r="D111" s="402"/>
      <x:c r="E111" s="402"/>
      <x:c r="F111" s="402"/>
      <x:c r="G111" s="402"/>
      <x:c r="H111" s="402"/>
      <x:c r="I111" s="402"/>
      <x:c r="J111" s="402"/>
      <x:c r="K111" s="402"/>
      <x:c r="L111" s="402"/>
      <x:c r="M111" s="402"/>
      <x:c r="N111" s="402"/>
      <x:c r="O111" s="402"/>
      <x:c r="P111" s="402"/>
      <x:c r="Q111" s="402"/>
      <x:c r="R111" s="402"/>
      <x:c r="S111" s="402"/>
      <x:c r="T111" s="402"/>
      <x:c r="U111" s="402"/>
      <x:c r="V111" s="402"/>
      <x:c r="W111" s="402"/>
      <x:c r="X111" s="402"/>
      <x:c r="Y111" s="402"/>
      <x:c r="Z111" s="402"/>
    </x:row>
    <x:row r="112">
      <x:c r="A112" s="402"/>
      <x:c r="B112" s="402"/>
      <x:c r="C112" s="402"/>
      <x:c r="D112" s="402"/>
      <x:c r="E112" s="402"/>
      <x:c r="F112" s="402"/>
      <x:c r="G112" s="402"/>
      <x:c r="H112" s="402"/>
      <x:c r="I112" s="402"/>
      <x:c r="J112" s="402"/>
      <x:c r="K112" s="402"/>
      <x:c r="L112" s="402"/>
      <x:c r="M112" s="402"/>
      <x:c r="N112" s="402"/>
      <x:c r="O112" s="402"/>
      <x:c r="P112" s="402"/>
      <x:c r="Q112" s="402"/>
      <x:c r="R112" s="402"/>
      <x:c r="S112" s="402"/>
      <x:c r="T112" s="402"/>
      <x:c r="U112" s="402"/>
      <x:c r="V112" s="402"/>
      <x:c r="W112" s="402"/>
      <x:c r="X112" s="402"/>
      <x:c r="Y112" s="402"/>
      <x:c r="Z112" s="402"/>
    </x:row>
    <x:row r="113">
      <x:c r="A113" s="402"/>
      <x:c r="B113" s="402"/>
      <x:c r="C113" s="402"/>
      <x:c r="D113" s="402"/>
      <x:c r="E113" s="402"/>
      <x:c r="F113" s="402"/>
      <x:c r="G113" s="402"/>
      <x:c r="H113" s="402"/>
      <x:c r="I113" s="402"/>
      <x:c r="J113" s="402"/>
      <x:c r="K113" s="402"/>
      <x:c r="L113" s="402"/>
      <x:c r="M113" s="402"/>
      <x:c r="N113" s="402"/>
      <x:c r="O113" s="402"/>
      <x:c r="P113" s="402"/>
      <x:c r="Q113" s="402"/>
      <x:c r="R113" s="402"/>
      <x:c r="S113" s="402"/>
      <x:c r="T113" s="402"/>
      <x:c r="U113" s="402"/>
      <x:c r="V113" s="402"/>
      <x:c r="W113" s="402"/>
      <x:c r="X113" s="402"/>
      <x:c r="Y113" s="402"/>
      <x:c r="Z113" s="402"/>
    </x:row>
    <x:row r="114">
      <x:c r="A114" s="402"/>
      <x:c r="B114" s="402"/>
      <x:c r="C114" s="402"/>
      <x:c r="D114" s="402"/>
      <x:c r="E114" s="402"/>
      <x:c r="F114" s="402"/>
      <x:c r="G114" s="402"/>
      <x:c r="H114" s="402"/>
      <x:c r="I114" s="402"/>
      <x:c r="J114" s="402"/>
      <x:c r="K114" s="402"/>
      <x:c r="L114" s="402"/>
      <x:c r="M114" s="402"/>
      <x:c r="N114" s="402"/>
      <x:c r="O114" s="402"/>
      <x:c r="P114" s="402"/>
      <x:c r="Q114" s="402"/>
      <x:c r="R114" s="402"/>
      <x:c r="S114" s="402"/>
      <x:c r="T114" s="402"/>
      <x:c r="U114" s="402"/>
      <x:c r="V114" s="402"/>
      <x:c r="W114" s="402"/>
      <x:c r="X114" s="402"/>
      <x:c r="Y114" s="402"/>
      <x:c r="Z114" s="402"/>
    </x:row>
    <x:row r="115">
      <x:c r="A115" s="402"/>
      <x:c r="B115" s="402"/>
      <x:c r="C115" s="402"/>
      <x:c r="D115" s="402"/>
      <x:c r="E115" s="402"/>
      <x:c r="F115" s="402"/>
      <x:c r="G115" s="402"/>
      <x:c r="H115" s="402"/>
      <x:c r="I115" s="402"/>
      <x:c r="J115" s="402"/>
      <x:c r="K115" s="402"/>
      <x:c r="L115" s="402"/>
      <x:c r="M115" s="402"/>
      <x:c r="N115" s="402"/>
      <x:c r="O115" s="402"/>
      <x:c r="P115" s="402"/>
      <x:c r="Q115" s="402"/>
      <x:c r="R115" s="402"/>
      <x:c r="S115" s="402"/>
      <x:c r="T115" s="402"/>
      <x:c r="U115" s="402"/>
      <x:c r="V115" s="402"/>
      <x:c r="W115" s="402"/>
      <x:c r="X115" s="402"/>
      <x:c r="Y115" s="402"/>
      <x:c r="Z115" s="402"/>
    </x:row>
    <x:row r="116">
      <x:c r="A116" s="402"/>
      <x:c r="B116" s="402"/>
      <x:c r="C116" s="402"/>
      <x:c r="D116" s="402"/>
      <x:c r="E116" s="402"/>
      <x:c r="F116" s="402"/>
      <x:c r="G116" s="402"/>
      <x:c r="H116" s="402"/>
      <x:c r="I116" s="402"/>
      <x:c r="J116" s="402"/>
      <x:c r="K116" s="402"/>
      <x:c r="L116" s="402"/>
      <x:c r="M116" s="402"/>
      <x:c r="N116" s="402"/>
      <x:c r="O116" s="402"/>
      <x:c r="P116" s="402"/>
      <x:c r="Q116" s="402"/>
      <x:c r="R116" s="402"/>
      <x:c r="S116" s="402"/>
      <x:c r="T116" s="402"/>
      <x:c r="U116" s="402"/>
      <x:c r="V116" s="402"/>
      <x:c r="W116" s="402"/>
      <x:c r="X116" s="402"/>
      <x:c r="Y116" s="402"/>
      <x:c r="Z116" s="402"/>
    </x:row>
    <x:row r="117">
      <x:c r="A117" s="402"/>
      <x:c r="B117" s="402"/>
      <x:c r="C117" s="402"/>
      <x:c r="D117" s="402"/>
      <x:c r="E117" s="402"/>
      <x:c r="F117" s="402"/>
      <x:c r="G117" s="402"/>
      <x:c r="H117" s="402"/>
      <x:c r="I117" s="402"/>
      <x:c r="J117" s="402"/>
      <x:c r="K117" s="402"/>
      <x:c r="L117" s="402"/>
      <x:c r="M117" s="402"/>
      <x:c r="N117" s="402"/>
      <x:c r="O117" s="402"/>
      <x:c r="P117" s="402"/>
      <x:c r="Q117" s="402"/>
      <x:c r="R117" s="402"/>
      <x:c r="S117" s="402"/>
      <x:c r="T117" s="402"/>
      <x:c r="U117" s="402"/>
      <x:c r="V117" s="402"/>
      <x:c r="W117" s="402"/>
      <x:c r="X117" s="402"/>
      <x:c r="Y117" s="402"/>
      <x:c r="Z117" s="402"/>
    </x:row>
    <x:row r="118">
      <x:c r="A118" s="402"/>
      <x:c r="B118" s="402"/>
      <x:c r="C118" s="402"/>
      <x:c r="D118" s="402"/>
      <x:c r="E118" s="402"/>
      <x:c r="F118" s="402"/>
      <x:c r="G118" s="402"/>
      <x:c r="H118" s="402"/>
      <x:c r="I118" s="402"/>
      <x:c r="J118" s="402"/>
      <x:c r="K118" s="402"/>
      <x:c r="L118" s="402"/>
      <x:c r="M118" s="402"/>
      <x:c r="N118" s="402"/>
      <x:c r="O118" s="402"/>
      <x:c r="P118" s="402"/>
      <x:c r="Q118" s="402"/>
      <x:c r="R118" s="402"/>
      <x:c r="S118" s="402"/>
      <x:c r="T118" s="402"/>
      <x:c r="U118" s="402"/>
      <x:c r="V118" s="402"/>
      <x:c r="W118" s="402"/>
      <x:c r="X118" s="402"/>
      <x:c r="Y118" s="402"/>
      <x:c r="Z118" s="402"/>
    </x:row>
    <x:row r="119">
      <x:c r="A119" s="402"/>
      <x:c r="B119" s="402"/>
      <x:c r="C119" s="402"/>
      <x:c r="D119" s="402"/>
      <x:c r="E119" s="402"/>
      <x:c r="F119" s="402"/>
      <x:c r="G119" s="402"/>
      <x:c r="H119" s="402"/>
      <x:c r="I119" s="402"/>
      <x:c r="J119" s="402"/>
      <x:c r="K119" s="402"/>
      <x:c r="L119" s="402"/>
      <x:c r="M119" s="402"/>
      <x:c r="N119" s="402"/>
      <x:c r="O119" s="402"/>
      <x:c r="P119" s="402"/>
      <x:c r="Q119" s="402"/>
      <x:c r="R119" s="402"/>
      <x:c r="S119" s="402"/>
      <x:c r="T119" s="402"/>
      <x:c r="U119" s="402"/>
      <x:c r="V119" s="402"/>
      <x:c r="W119" s="402"/>
      <x:c r="X119" s="402"/>
      <x:c r="Y119" s="402"/>
      <x:c r="Z119" s="402"/>
    </x:row>
    <x:row r="120">
      <x:c r="A120" s="402"/>
      <x:c r="B120" s="402"/>
      <x:c r="C120" s="402"/>
      <x:c r="D120" s="402"/>
      <x:c r="E120" s="402"/>
      <x:c r="F120" s="402"/>
      <x:c r="G120" s="402"/>
      <x:c r="H120" s="402"/>
      <x:c r="I120" s="402"/>
      <x:c r="J120" s="402"/>
      <x:c r="K120" s="402"/>
      <x:c r="L120" s="402"/>
      <x:c r="M120" s="402"/>
      <x:c r="N120" s="402"/>
      <x:c r="O120" s="402"/>
      <x:c r="P120" s="402"/>
      <x:c r="Q120" s="402"/>
      <x:c r="R120" s="402"/>
      <x:c r="S120" s="402"/>
      <x:c r="T120" s="402"/>
      <x:c r="U120" s="402"/>
      <x:c r="V120" s="402"/>
      <x:c r="W120" s="402"/>
      <x:c r="X120" s="402"/>
      <x:c r="Y120" s="402"/>
      <x:c r="Z120" s="402"/>
    </x:row>
    <x:row r="121">
      <x:c r="A121" s="402"/>
      <x:c r="B121" s="402"/>
      <x:c r="C121" s="402"/>
      <x:c r="D121" s="402"/>
      <x:c r="E121" s="402"/>
      <x:c r="F121" s="402"/>
      <x:c r="G121" s="402"/>
      <x:c r="H121" s="402"/>
      <x:c r="I121" s="402"/>
      <x:c r="J121" s="402"/>
      <x:c r="K121" s="402"/>
      <x:c r="L121" s="402"/>
      <x:c r="M121" s="402"/>
      <x:c r="N121" s="402"/>
      <x:c r="O121" s="402"/>
      <x:c r="P121" s="402"/>
      <x:c r="Q121" s="402"/>
      <x:c r="R121" s="402"/>
      <x:c r="S121" s="402"/>
      <x:c r="T121" s="402"/>
      <x:c r="U121" s="402"/>
      <x:c r="V121" s="402"/>
      <x:c r="W121" s="402"/>
      <x:c r="X121" s="402"/>
      <x:c r="Y121" s="402"/>
      <x:c r="Z121" s="402"/>
    </x:row>
    <x:row r="122">
      <x:c r="A122" s="402"/>
      <x:c r="B122" s="402"/>
      <x:c r="C122" s="402"/>
      <x:c r="D122" s="402"/>
      <x:c r="E122" s="402"/>
      <x:c r="F122" s="402"/>
      <x:c r="G122" s="402"/>
      <x:c r="H122" s="402"/>
      <x:c r="I122" s="402"/>
      <x:c r="J122" s="402"/>
      <x:c r="K122" s="402"/>
      <x:c r="L122" s="402"/>
      <x:c r="M122" s="402"/>
      <x:c r="N122" s="402"/>
      <x:c r="O122" s="402"/>
      <x:c r="P122" s="402"/>
      <x:c r="Q122" s="402"/>
      <x:c r="R122" s="402"/>
      <x:c r="S122" s="402"/>
      <x:c r="T122" s="402"/>
      <x:c r="U122" s="402"/>
      <x:c r="V122" s="402"/>
      <x:c r="W122" s="402"/>
      <x:c r="X122" s="402"/>
      <x:c r="Y122" s="402"/>
      <x:c r="Z122" s="402"/>
    </x:row>
    <x:row r="123">
      <x:c r="A123" s="402"/>
      <x:c r="B123" s="402"/>
      <x:c r="C123" s="402"/>
      <x:c r="D123" s="402"/>
      <x:c r="E123" s="402"/>
      <x:c r="F123" s="402"/>
      <x:c r="G123" s="402"/>
      <x:c r="H123" s="402"/>
      <x:c r="I123" s="402"/>
      <x:c r="J123" s="402"/>
      <x:c r="K123" s="402"/>
      <x:c r="L123" s="402"/>
      <x:c r="M123" s="402"/>
      <x:c r="N123" s="402"/>
      <x:c r="O123" s="402"/>
      <x:c r="P123" s="402"/>
      <x:c r="Q123" s="402"/>
      <x:c r="R123" s="402"/>
      <x:c r="S123" s="402"/>
      <x:c r="T123" s="402"/>
      <x:c r="U123" s="402"/>
      <x:c r="V123" s="402"/>
      <x:c r="W123" s="402"/>
      <x:c r="X123" s="402"/>
      <x:c r="Y123" s="402"/>
      <x:c r="Z123" s="402"/>
    </x:row>
    <x:row r="124">
      <x:c r="A124" s="402"/>
      <x:c r="B124" s="402"/>
      <x:c r="C124" s="402"/>
      <x:c r="D124" s="402"/>
      <x:c r="E124" s="402"/>
      <x:c r="F124" s="402"/>
      <x:c r="G124" s="402"/>
      <x:c r="H124" s="402"/>
      <x:c r="I124" s="402"/>
      <x:c r="J124" s="402"/>
      <x:c r="K124" s="402"/>
      <x:c r="L124" s="402"/>
      <x:c r="M124" s="402"/>
      <x:c r="N124" s="402"/>
      <x:c r="O124" s="402"/>
      <x:c r="P124" s="402"/>
      <x:c r="Q124" s="402"/>
      <x:c r="R124" s="402"/>
      <x:c r="S124" s="402"/>
      <x:c r="T124" s="402"/>
      <x:c r="U124" s="402"/>
      <x:c r="V124" s="402"/>
      <x:c r="W124" s="402"/>
      <x:c r="X124" s="402"/>
      <x:c r="Y124" s="402"/>
      <x:c r="Z124" s="402"/>
    </x:row>
    <x:row r="125">
      <x:c r="A125" s="402"/>
      <x:c r="B125" s="402"/>
      <x:c r="C125" s="402"/>
      <x:c r="D125" s="402"/>
      <x:c r="E125" s="402"/>
      <x:c r="F125" s="402"/>
      <x:c r="G125" s="402"/>
      <x:c r="H125" s="402"/>
      <x:c r="I125" s="402"/>
      <x:c r="J125" s="402"/>
      <x:c r="K125" s="402"/>
      <x:c r="L125" s="402"/>
      <x:c r="M125" s="402"/>
      <x:c r="N125" s="402"/>
      <x:c r="O125" s="402"/>
      <x:c r="P125" s="402"/>
      <x:c r="Q125" s="402"/>
      <x:c r="R125" s="402"/>
      <x:c r="S125" s="402"/>
      <x:c r="T125" s="402"/>
      <x:c r="U125" s="402"/>
      <x:c r="V125" s="402"/>
      <x:c r="W125" s="402"/>
      <x:c r="X125" s="402"/>
      <x:c r="Y125" s="402"/>
      <x:c r="Z125" s="402"/>
    </x:row>
    <x:row r="126">
      <x:c r="A126" s="402"/>
      <x:c r="B126" s="402"/>
      <x:c r="C126" s="402"/>
      <x:c r="D126" s="402"/>
      <x:c r="E126" s="402"/>
      <x:c r="F126" s="402"/>
      <x:c r="G126" s="402"/>
      <x:c r="H126" s="402"/>
      <x:c r="I126" s="402"/>
      <x:c r="J126" s="402"/>
      <x:c r="K126" s="402"/>
      <x:c r="L126" s="402"/>
      <x:c r="M126" s="402"/>
      <x:c r="N126" s="402"/>
      <x:c r="O126" s="402"/>
      <x:c r="P126" s="402"/>
      <x:c r="Q126" s="402"/>
      <x:c r="R126" s="402"/>
      <x:c r="S126" s="402"/>
      <x:c r="T126" s="402"/>
      <x:c r="U126" s="402"/>
      <x:c r="V126" s="402"/>
      <x:c r="W126" s="402"/>
      <x:c r="X126" s="402"/>
      <x:c r="Y126" s="402"/>
      <x:c r="Z126" s="402"/>
    </x:row>
    <x:row r="127">
      <x:c r="A127" s="402"/>
      <x:c r="B127" s="402"/>
      <x:c r="C127" s="402"/>
      <x:c r="D127" s="402"/>
      <x:c r="E127" s="402"/>
      <x:c r="F127" s="402"/>
      <x:c r="G127" s="402"/>
      <x:c r="H127" s="402"/>
      <x:c r="I127" s="402"/>
      <x:c r="J127" s="402"/>
      <x:c r="K127" s="402"/>
      <x:c r="L127" s="402"/>
      <x:c r="M127" s="402"/>
      <x:c r="N127" s="402"/>
      <x:c r="O127" s="402"/>
      <x:c r="P127" s="402"/>
      <x:c r="Q127" s="402"/>
      <x:c r="R127" s="402"/>
      <x:c r="S127" s="402"/>
      <x:c r="T127" s="402"/>
      <x:c r="U127" s="402"/>
      <x:c r="V127" s="402"/>
      <x:c r="W127" s="402"/>
      <x:c r="X127" s="402"/>
      <x:c r="Y127" s="402"/>
      <x:c r="Z127" s="402"/>
    </x:row>
    <x:row r="128">
      <x:c r="A128" s="402"/>
      <x:c r="B128" s="402"/>
      <x:c r="C128" s="402"/>
      <x:c r="D128" s="402"/>
      <x:c r="E128" s="402"/>
      <x:c r="F128" s="402"/>
      <x:c r="G128" s="402"/>
      <x:c r="H128" s="402"/>
      <x:c r="I128" s="402"/>
      <x:c r="J128" s="402"/>
      <x:c r="K128" s="402"/>
      <x:c r="L128" s="402"/>
      <x:c r="M128" s="402"/>
      <x:c r="N128" s="402"/>
      <x:c r="O128" s="402"/>
      <x:c r="P128" s="402"/>
      <x:c r="Q128" s="402"/>
      <x:c r="R128" s="402"/>
      <x:c r="S128" s="402"/>
      <x:c r="T128" s="402"/>
      <x:c r="U128" s="402"/>
      <x:c r="V128" s="402"/>
      <x:c r="W128" s="402"/>
      <x:c r="X128" s="402"/>
      <x:c r="Y128" s="402"/>
      <x:c r="Z128" s="402"/>
    </x:row>
    <x:row r="129">
      <x:c r="A129" s="402"/>
      <x:c r="B129" s="402"/>
      <x:c r="C129" s="402"/>
      <x:c r="D129" s="402"/>
      <x:c r="E129" s="402"/>
      <x:c r="F129" s="402"/>
      <x:c r="G129" s="402"/>
      <x:c r="H129" s="402"/>
      <x:c r="I129" s="402"/>
      <x:c r="J129" s="402"/>
      <x:c r="K129" s="402"/>
      <x:c r="L129" s="402"/>
      <x:c r="M129" s="402"/>
      <x:c r="N129" s="402"/>
      <x:c r="O129" s="402"/>
      <x:c r="P129" s="402"/>
      <x:c r="Q129" s="402"/>
      <x:c r="R129" s="402"/>
      <x:c r="S129" s="402"/>
      <x:c r="T129" s="402"/>
      <x:c r="U129" s="402"/>
      <x:c r="V129" s="402"/>
      <x:c r="W129" s="402"/>
      <x:c r="X129" s="402"/>
      <x:c r="Y129" s="402"/>
      <x:c r="Z129" s="402"/>
    </x:row>
    <x:row r="130">
      <x:c r="A130" s="402"/>
      <x:c r="B130" s="402"/>
      <x:c r="C130" s="402"/>
      <x:c r="D130" s="402"/>
      <x:c r="E130" s="402"/>
      <x:c r="F130" s="402"/>
      <x:c r="G130" s="402"/>
      <x:c r="H130" s="402"/>
      <x:c r="I130" s="402"/>
      <x:c r="J130" s="402"/>
      <x:c r="K130" s="402"/>
      <x:c r="L130" s="402"/>
      <x:c r="M130" s="402"/>
      <x:c r="N130" s="402"/>
      <x:c r="O130" s="402"/>
      <x:c r="P130" s="402"/>
      <x:c r="Q130" s="402"/>
      <x:c r="R130" s="402"/>
      <x:c r="S130" s="402"/>
      <x:c r="T130" s="402"/>
      <x:c r="U130" s="402"/>
      <x:c r="V130" s="402"/>
      <x:c r="W130" s="402"/>
      <x:c r="X130" s="402"/>
      <x:c r="Y130" s="402"/>
      <x:c r="Z130" s="402"/>
    </x:row>
    <x:row r="131">
      <x:c r="A131" s="402"/>
      <x:c r="B131" s="402"/>
      <x:c r="C131" s="402"/>
      <x:c r="D131" s="402"/>
      <x:c r="E131" s="402"/>
      <x:c r="F131" s="402"/>
      <x:c r="G131" s="402"/>
      <x:c r="H131" s="402"/>
      <x:c r="I131" s="402"/>
      <x:c r="J131" s="402"/>
      <x:c r="K131" s="402"/>
      <x:c r="L131" s="402"/>
      <x:c r="M131" s="402"/>
      <x:c r="N131" s="402"/>
      <x:c r="O131" s="402"/>
      <x:c r="P131" s="402"/>
      <x:c r="Q131" s="402"/>
      <x:c r="R131" s="402"/>
      <x:c r="S131" s="402"/>
      <x:c r="T131" s="402"/>
      <x:c r="U131" s="402"/>
      <x:c r="V131" s="402"/>
      <x:c r="W131" s="402"/>
      <x:c r="X131" s="402"/>
      <x:c r="Y131" s="402"/>
      <x:c r="Z131" s="402"/>
    </x:row>
    <x:row r="132">
      <x:c r="A132" s="402"/>
      <x:c r="B132" s="402"/>
      <x:c r="C132" s="402"/>
      <x:c r="D132" s="402"/>
      <x:c r="E132" s="402"/>
      <x:c r="F132" s="402"/>
      <x:c r="G132" s="402"/>
      <x:c r="H132" s="402"/>
      <x:c r="I132" s="402"/>
      <x:c r="J132" s="402"/>
      <x:c r="K132" s="402"/>
      <x:c r="L132" s="402"/>
      <x:c r="M132" s="402"/>
      <x:c r="N132" s="402"/>
      <x:c r="O132" s="402"/>
      <x:c r="P132" s="402"/>
      <x:c r="Q132" s="402"/>
      <x:c r="R132" s="402"/>
      <x:c r="S132" s="402"/>
      <x:c r="T132" s="402"/>
      <x:c r="U132" s="402"/>
      <x:c r="V132" s="402"/>
      <x:c r="W132" s="402"/>
      <x:c r="X132" s="402"/>
      <x:c r="Y132" s="402"/>
      <x:c r="Z132" s="402"/>
    </x:row>
    <x:row r="133">
      <x:c r="A133" s="402"/>
      <x:c r="B133" s="402"/>
      <x:c r="C133" s="402"/>
      <x:c r="D133" s="402"/>
      <x:c r="E133" s="402"/>
      <x:c r="F133" s="402"/>
      <x:c r="G133" s="402"/>
      <x:c r="H133" s="402"/>
      <x:c r="I133" s="402"/>
      <x:c r="J133" s="402"/>
      <x:c r="K133" s="402"/>
      <x:c r="L133" s="402"/>
      <x:c r="M133" s="402"/>
      <x:c r="N133" s="402"/>
      <x:c r="O133" s="402"/>
      <x:c r="P133" s="402"/>
      <x:c r="Q133" s="402"/>
      <x:c r="R133" s="402"/>
      <x:c r="S133" s="402"/>
      <x:c r="T133" s="402"/>
      <x:c r="U133" s="402"/>
      <x:c r="V133" s="402"/>
      <x:c r="W133" s="402"/>
      <x:c r="X133" s="402"/>
      <x:c r="Y133" s="402"/>
      <x:c r="Z133" s="402"/>
    </x:row>
    <x:row r="134">
      <x:c r="A134" s="402"/>
      <x:c r="B134" s="402"/>
      <x:c r="C134" s="402"/>
      <x:c r="D134" s="402"/>
      <x:c r="E134" s="402"/>
      <x:c r="F134" s="402"/>
      <x:c r="G134" s="402"/>
      <x:c r="H134" s="402"/>
      <x:c r="I134" s="402"/>
      <x:c r="J134" s="402"/>
      <x:c r="K134" s="402"/>
      <x:c r="L134" s="402"/>
      <x:c r="M134" s="402"/>
      <x:c r="N134" s="402"/>
      <x:c r="O134" s="402"/>
      <x:c r="P134" s="402"/>
      <x:c r="Q134" s="402"/>
      <x:c r="R134" s="402"/>
      <x:c r="S134" s="402"/>
      <x:c r="T134" s="402"/>
      <x:c r="U134" s="402"/>
      <x:c r="V134" s="402"/>
      <x:c r="W134" s="402"/>
      <x:c r="X134" s="402"/>
      <x:c r="Y134" s="402"/>
      <x:c r="Z134" s="402"/>
    </x:row>
    <x:row r="135">
      <x:c r="A135" s="402"/>
      <x:c r="B135" s="402"/>
      <x:c r="C135" s="402"/>
      <x:c r="D135" s="402"/>
      <x:c r="E135" s="402"/>
      <x:c r="F135" s="402"/>
      <x:c r="G135" s="402"/>
      <x:c r="H135" s="402"/>
      <x:c r="I135" s="402"/>
      <x:c r="J135" s="402"/>
      <x:c r="K135" s="402"/>
      <x:c r="L135" s="402"/>
      <x:c r="M135" s="402"/>
      <x:c r="N135" s="402"/>
      <x:c r="O135" s="402"/>
      <x:c r="P135" s="402"/>
      <x:c r="Q135" s="402"/>
      <x:c r="R135" s="402"/>
      <x:c r="S135" s="402"/>
      <x:c r="T135" s="402"/>
      <x:c r="U135" s="402"/>
      <x:c r="V135" s="402"/>
      <x:c r="W135" s="402"/>
      <x:c r="X135" s="402"/>
      <x:c r="Y135" s="402"/>
      <x:c r="Z135" s="402"/>
    </x:row>
    <x:row r="136">
      <x:c r="A136" s="402"/>
      <x:c r="B136" s="402"/>
      <x:c r="C136" s="402"/>
      <x:c r="D136" s="402"/>
      <x:c r="E136" s="402"/>
      <x:c r="F136" s="402"/>
      <x:c r="G136" s="402"/>
      <x:c r="H136" s="402"/>
      <x:c r="I136" s="402"/>
      <x:c r="J136" s="402"/>
      <x:c r="K136" s="402"/>
      <x:c r="L136" s="402"/>
      <x:c r="M136" s="402"/>
      <x:c r="N136" s="402"/>
      <x:c r="O136" s="402"/>
      <x:c r="P136" s="402"/>
      <x:c r="Q136" s="402"/>
      <x:c r="R136" s="402"/>
      <x:c r="S136" s="402"/>
      <x:c r="T136" s="402"/>
      <x:c r="U136" s="402"/>
      <x:c r="V136" s="402"/>
      <x:c r="W136" s="402"/>
      <x:c r="X136" s="402"/>
      <x:c r="Y136" s="402"/>
      <x:c r="Z136" s="402"/>
    </x:row>
    <x:row r="137">
      <x:c r="A137" s="402"/>
      <x:c r="B137" s="402"/>
      <x:c r="C137" s="402"/>
      <x:c r="D137" s="402"/>
      <x:c r="E137" s="402"/>
      <x:c r="F137" s="402"/>
      <x:c r="G137" s="402"/>
      <x:c r="H137" s="402"/>
      <x:c r="I137" s="402"/>
      <x:c r="J137" s="402"/>
      <x:c r="K137" s="402"/>
      <x:c r="L137" s="402"/>
      <x:c r="M137" s="402"/>
      <x:c r="N137" s="402"/>
      <x:c r="O137" s="402"/>
      <x:c r="P137" s="402"/>
      <x:c r="Q137" s="402"/>
      <x:c r="R137" s="402"/>
      <x:c r="S137" s="402"/>
      <x:c r="T137" s="402"/>
      <x:c r="U137" s="402"/>
      <x:c r="V137" s="402"/>
      <x:c r="W137" s="402"/>
      <x:c r="X137" s="402"/>
      <x:c r="Y137" s="402"/>
      <x:c r="Z137" s="402"/>
    </x:row>
    <x:row r="138">
      <x:c r="A138" s="402"/>
      <x:c r="B138" s="402"/>
      <x:c r="C138" s="402"/>
      <x:c r="D138" s="402"/>
      <x:c r="E138" s="402"/>
      <x:c r="F138" s="402"/>
      <x:c r="G138" s="402"/>
      <x:c r="H138" s="402"/>
      <x:c r="I138" s="402"/>
      <x:c r="J138" s="402"/>
      <x:c r="K138" s="402"/>
      <x:c r="L138" s="402"/>
      <x:c r="M138" s="402"/>
      <x:c r="N138" s="402"/>
      <x:c r="O138" s="402"/>
      <x:c r="P138" s="402"/>
      <x:c r="Q138" s="402"/>
      <x:c r="R138" s="402"/>
      <x:c r="S138" s="402"/>
      <x:c r="T138" s="402"/>
      <x:c r="U138" s="402"/>
      <x:c r="V138" s="402"/>
      <x:c r="W138" s="402"/>
      <x:c r="X138" s="402"/>
      <x:c r="Y138" s="402"/>
      <x:c r="Z138" s="402"/>
    </x:row>
    <x:row r="139">
      <x:c r="A139" s="402"/>
      <x:c r="B139" s="402"/>
      <x:c r="C139" s="402"/>
      <x:c r="D139" s="402"/>
      <x:c r="E139" s="402"/>
      <x:c r="F139" s="402"/>
      <x:c r="G139" s="402"/>
      <x:c r="H139" s="402"/>
      <x:c r="I139" s="402"/>
      <x:c r="J139" s="402"/>
      <x:c r="K139" s="402"/>
      <x:c r="L139" s="402"/>
      <x:c r="M139" s="402"/>
      <x:c r="N139" s="402"/>
      <x:c r="O139" s="402"/>
      <x:c r="P139" s="402"/>
      <x:c r="Q139" s="402"/>
      <x:c r="R139" s="402"/>
      <x:c r="S139" s="402"/>
      <x:c r="T139" s="402"/>
      <x:c r="U139" s="402"/>
      <x:c r="V139" s="402"/>
      <x:c r="W139" s="402"/>
      <x:c r="X139" s="402"/>
      <x:c r="Y139" s="402"/>
      <x:c r="Z139" s="402"/>
    </x:row>
    <x:row r="140">
      <x:c r="A140" s="402"/>
      <x:c r="B140" s="402"/>
      <x:c r="C140" s="402"/>
      <x:c r="D140" s="402"/>
      <x:c r="E140" s="402"/>
      <x:c r="F140" s="402"/>
      <x:c r="G140" s="402"/>
      <x:c r="H140" s="402"/>
      <x:c r="I140" s="402"/>
      <x:c r="J140" s="402"/>
      <x:c r="K140" s="402"/>
      <x:c r="L140" s="402"/>
      <x:c r="M140" s="402"/>
      <x:c r="N140" s="402"/>
      <x:c r="O140" s="402"/>
      <x:c r="P140" s="402"/>
      <x:c r="Q140" s="402"/>
      <x:c r="R140" s="402"/>
      <x:c r="S140" s="402"/>
      <x:c r="T140" s="402"/>
      <x:c r="U140" s="402"/>
      <x:c r="V140" s="402"/>
      <x:c r="W140" s="402"/>
      <x:c r="X140" s="402"/>
      <x:c r="Y140" s="402"/>
      <x:c r="Z140" s="402"/>
    </x:row>
    <x:row r="141">
      <x:c r="A141" s="402"/>
      <x:c r="B141" s="402"/>
      <x:c r="C141" s="402"/>
      <x:c r="D141" s="402"/>
      <x:c r="E141" s="402"/>
      <x:c r="F141" s="402"/>
      <x:c r="G141" s="402"/>
      <x:c r="H141" s="402"/>
      <x:c r="I141" s="402"/>
      <x:c r="J141" s="402"/>
      <x:c r="K141" s="402"/>
      <x:c r="L141" s="402"/>
      <x:c r="M141" s="402"/>
      <x:c r="N141" s="402"/>
      <x:c r="O141" s="402"/>
      <x:c r="P141" s="402"/>
      <x:c r="Q141" s="402"/>
      <x:c r="R141" s="402"/>
      <x:c r="S141" s="402"/>
      <x:c r="T141" s="402"/>
      <x:c r="U141" s="402"/>
      <x:c r="V141" s="402"/>
      <x:c r="W141" s="402"/>
      <x:c r="X141" s="402"/>
      <x:c r="Y141" s="402"/>
      <x:c r="Z141" s="402"/>
    </x:row>
    <x:row r="142">
      <x:c r="A142" s="402"/>
      <x:c r="B142" s="402"/>
      <x:c r="C142" s="402"/>
      <x:c r="D142" s="402"/>
      <x:c r="E142" s="402"/>
      <x:c r="F142" s="402"/>
      <x:c r="G142" s="402"/>
      <x:c r="H142" s="402"/>
      <x:c r="I142" s="402"/>
      <x:c r="J142" s="402"/>
      <x:c r="K142" s="402"/>
      <x:c r="L142" s="402"/>
      <x:c r="M142" s="402"/>
      <x:c r="N142" s="402"/>
      <x:c r="O142" s="402"/>
      <x:c r="P142" s="402"/>
      <x:c r="Q142" s="402"/>
      <x:c r="R142" s="402"/>
      <x:c r="S142" s="402"/>
      <x:c r="T142" s="402"/>
      <x:c r="U142" s="402"/>
      <x:c r="V142" s="402"/>
      <x:c r="W142" s="402"/>
      <x:c r="X142" s="402"/>
      <x:c r="Y142" s="402"/>
      <x:c r="Z142" s="402"/>
    </x:row>
    <x:row r="143">
      <x:c r="A143" s="402"/>
      <x:c r="B143" s="402"/>
      <x:c r="C143" s="402"/>
      <x:c r="D143" s="402"/>
      <x:c r="E143" s="402"/>
      <x:c r="F143" s="402"/>
      <x:c r="G143" s="402"/>
      <x:c r="H143" s="402"/>
      <x:c r="I143" s="402"/>
      <x:c r="J143" s="402"/>
      <x:c r="K143" s="402"/>
      <x:c r="L143" s="402"/>
      <x:c r="M143" s="402"/>
      <x:c r="N143" s="402"/>
      <x:c r="O143" s="402"/>
      <x:c r="P143" s="402"/>
      <x:c r="Q143" s="402"/>
      <x:c r="R143" s="402"/>
      <x:c r="S143" s="402"/>
      <x:c r="T143" s="402"/>
      <x:c r="U143" s="402"/>
      <x:c r="V143" s="402"/>
      <x:c r="W143" s="402"/>
      <x:c r="X143" s="402"/>
      <x:c r="Y143" s="402"/>
      <x:c r="Z143" s="402"/>
    </x:row>
    <x:row r="144">
      <x:c r="A144" s="402"/>
      <x:c r="B144" s="402"/>
      <x:c r="C144" s="402"/>
      <x:c r="D144" s="402"/>
      <x:c r="E144" s="402"/>
      <x:c r="F144" s="402"/>
      <x:c r="G144" s="402"/>
      <x:c r="H144" s="402"/>
      <x:c r="I144" s="402"/>
      <x:c r="J144" s="402"/>
      <x:c r="K144" s="402"/>
      <x:c r="L144" s="402"/>
      <x:c r="M144" s="402"/>
      <x:c r="N144" s="402"/>
      <x:c r="O144" s="402"/>
      <x:c r="P144" s="402"/>
      <x:c r="Q144" s="402"/>
      <x:c r="R144" s="402"/>
      <x:c r="S144" s="402"/>
      <x:c r="T144" s="402"/>
      <x:c r="U144" s="402"/>
      <x:c r="V144" s="402"/>
      <x:c r="W144" s="402"/>
      <x:c r="X144" s="402"/>
      <x:c r="Y144" s="402"/>
      <x:c r="Z144" s="402"/>
    </x:row>
    <x:row r="145">
      <x:c r="A145" s="402"/>
      <x:c r="B145" s="402"/>
      <x:c r="C145" s="402"/>
      <x:c r="D145" s="402"/>
      <x:c r="E145" s="402"/>
      <x:c r="F145" s="402"/>
      <x:c r="G145" s="402"/>
      <x:c r="H145" s="402"/>
      <x:c r="I145" s="402"/>
      <x:c r="J145" s="402"/>
      <x:c r="K145" s="402"/>
      <x:c r="L145" s="402"/>
      <x:c r="M145" s="402"/>
      <x:c r="N145" s="402"/>
      <x:c r="O145" s="402"/>
      <x:c r="P145" s="402"/>
      <x:c r="Q145" s="402"/>
      <x:c r="R145" s="402"/>
      <x:c r="S145" s="402"/>
      <x:c r="T145" s="402"/>
      <x:c r="U145" s="402"/>
      <x:c r="V145" s="402"/>
      <x:c r="W145" s="402"/>
      <x:c r="X145" s="402"/>
      <x:c r="Y145" s="402"/>
      <x:c r="Z145" s="402"/>
    </x:row>
    <x:row r="146">
      <x:c r="A146" s="402"/>
      <x:c r="B146" s="402"/>
      <x:c r="C146" s="402"/>
      <x:c r="D146" s="402"/>
      <x:c r="E146" s="402"/>
      <x:c r="F146" s="402"/>
      <x:c r="G146" s="402"/>
      <x:c r="H146" s="402"/>
      <x:c r="I146" s="402"/>
      <x:c r="J146" s="402"/>
      <x:c r="K146" s="402"/>
      <x:c r="L146" s="402"/>
      <x:c r="M146" s="402"/>
      <x:c r="N146" s="402"/>
      <x:c r="O146" s="402"/>
      <x:c r="P146" s="402"/>
      <x:c r="Q146" s="402"/>
      <x:c r="R146" s="402"/>
      <x:c r="S146" s="402"/>
      <x:c r="T146" s="402"/>
      <x:c r="U146" s="402"/>
      <x:c r="V146" s="402"/>
      <x:c r="W146" s="402"/>
      <x:c r="X146" s="402"/>
      <x:c r="Y146" s="402"/>
      <x:c r="Z146" s="402"/>
    </x:row>
    <x:row r="147">
      <x:c r="A147" s="402"/>
      <x:c r="B147" s="402"/>
      <x:c r="C147" s="402"/>
      <x:c r="D147" s="402"/>
      <x:c r="E147" s="402"/>
      <x:c r="F147" s="402"/>
      <x:c r="G147" s="402"/>
      <x:c r="H147" s="402"/>
      <x:c r="I147" s="402"/>
      <x:c r="J147" s="402"/>
      <x:c r="K147" s="402"/>
      <x:c r="L147" s="402"/>
      <x:c r="M147" s="402"/>
      <x:c r="N147" s="402"/>
      <x:c r="O147" s="402"/>
      <x:c r="P147" s="402"/>
      <x:c r="Q147" s="402"/>
      <x:c r="R147" s="402"/>
      <x:c r="S147" s="402"/>
      <x:c r="T147" s="402"/>
      <x:c r="U147" s="402"/>
      <x:c r="V147" s="402"/>
      <x:c r="W147" s="402"/>
      <x:c r="X147" s="402"/>
      <x:c r="Y147" s="402"/>
      <x:c r="Z147" s="402"/>
    </x:row>
    <x:row r="148">
      <x:c r="A148" s="402"/>
      <x:c r="B148" s="402"/>
      <x:c r="C148" s="402"/>
      <x:c r="D148" s="402"/>
      <x:c r="E148" s="402"/>
      <x:c r="F148" s="402"/>
      <x:c r="G148" s="402"/>
      <x:c r="H148" s="402"/>
      <x:c r="I148" s="402"/>
      <x:c r="J148" s="402"/>
      <x:c r="K148" s="402"/>
      <x:c r="L148" s="402"/>
      <x:c r="M148" s="402"/>
      <x:c r="N148" s="402"/>
      <x:c r="O148" s="402"/>
      <x:c r="P148" s="402"/>
      <x:c r="Q148" s="402"/>
      <x:c r="R148" s="402"/>
      <x:c r="S148" s="402"/>
      <x:c r="T148" s="402"/>
      <x:c r="U148" s="402"/>
      <x:c r="V148" s="402"/>
      <x:c r="W148" s="402"/>
      <x:c r="X148" s="402"/>
      <x:c r="Y148" s="402"/>
      <x:c r="Z148" s="402"/>
    </x:row>
    <x:row r="149">
      <x:c r="A149" s="402"/>
      <x:c r="B149" s="402"/>
      <x:c r="C149" s="402"/>
      <x:c r="D149" s="402"/>
      <x:c r="E149" s="402"/>
      <x:c r="F149" s="402"/>
      <x:c r="G149" s="402"/>
      <x:c r="H149" s="402"/>
      <x:c r="I149" s="402"/>
      <x:c r="J149" s="402"/>
      <x:c r="K149" s="402"/>
      <x:c r="L149" s="402"/>
      <x:c r="M149" s="402"/>
      <x:c r="N149" s="402"/>
      <x:c r="O149" s="402"/>
      <x:c r="P149" s="402"/>
      <x:c r="Q149" s="402"/>
      <x:c r="R149" s="402"/>
      <x:c r="S149" s="402"/>
      <x:c r="T149" s="402"/>
      <x:c r="U149" s="402"/>
      <x:c r="V149" s="402"/>
      <x:c r="W149" s="402"/>
      <x:c r="X149" s="402"/>
      <x:c r="Y149" s="402"/>
      <x:c r="Z149" s="402"/>
    </x:row>
    <x:row r="150">
      <x:c r="A150" s="402"/>
      <x:c r="B150" s="402"/>
      <x:c r="C150" s="402"/>
      <x:c r="D150" s="402"/>
      <x:c r="E150" s="402"/>
      <x:c r="F150" s="402"/>
      <x:c r="G150" s="402"/>
      <x:c r="H150" s="402"/>
      <x:c r="I150" s="402"/>
      <x:c r="J150" s="402"/>
      <x:c r="K150" s="402"/>
      <x:c r="L150" s="402"/>
      <x:c r="M150" s="402"/>
      <x:c r="N150" s="402"/>
      <x:c r="O150" s="402"/>
      <x:c r="P150" s="402"/>
      <x:c r="Q150" s="402"/>
      <x:c r="R150" s="402"/>
      <x:c r="S150" s="402"/>
      <x:c r="T150" s="402"/>
      <x:c r="U150" s="402"/>
      <x:c r="V150" s="402"/>
      <x:c r="W150" s="402"/>
      <x:c r="X150" s="402"/>
      <x:c r="Y150" s="402"/>
      <x:c r="Z150" s="402"/>
    </x:row>
    <x:row r="151">
      <x:c r="A151" s="402"/>
      <x:c r="B151" s="402"/>
      <x:c r="C151" s="402"/>
      <x:c r="D151" s="402"/>
      <x:c r="E151" s="402"/>
      <x:c r="F151" s="402"/>
      <x:c r="G151" s="402"/>
      <x:c r="H151" s="402"/>
      <x:c r="I151" s="402"/>
      <x:c r="J151" s="402"/>
      <x:c r="K151" s="402"/>
      <x:c r="L151" s="402"/>
      <x:c r="M151" s="402"/>
      <x:c r="N151" s="402"/>
      <x:c r="O151" s="402"/>
      <x:c r="P151" s="402"/>
      <x:c r="Q151" s="402"/>
      <x:c r="R151" s="402"/>
      <x:c r="S151" s="402"/>
      <x:c r="T151" s="402"/>
      <x:c r="U151" s="402"/>
      <x:c r="V151" s="402"/>
      <x:c r="W151" s="402"/>
      <x:c r="X151" s="402"/>
      <x:c r="Y151" s="402"/>
      <x:c r="Z151" s="402"/>
    </x:row>
    <x:row r="152">
      <x:c r="A152" s="402"/>
      <x:c r="B152" s="402"/>
      <x:c r="C152" s="402"/>
      <x:c r="D152" s="402"/>
      <x:c r="E152" s="402"/>
      <x:c r="F152" s="402"/>
      <x:c r="G152" s="402"/>
      <x:c r="H152" s="402"/>
      <x:c r="I152" s="402"/>
      <x:c r="J152" s="402"/>
      <x:c r="K152" s="402"/>
      <x:c r="L152" s="402"/>
      <x:c r="M152" s="402"/>
      <x:c r="N152" s="402"/>
      <x:c r="O152" s="402"/>
      <x:c r="P152" s="402"/>
      <x:c r="Q152" s="402"/>
      <x:c r="R152" s="402"/>
      <x:c r="S152" s="402"/>
      <x:c r="T152" s="402"/>
      <x:c r="U152" s="402"/>
      <x:c r="V152" s="402"/>
      <x:c r="W152" s="402"/>
      <x:c r="X152" s="402"/>
      <x:c r="Y152" s="402"/>
      <x:c r="Z152" s="402"/>
    </x:row>
    <x:row r="153">
      <x:c r="A153" s="402"/>
      <x:c r="B153" s="402"/>
      <x:c r="C153" s="402"/>
      <x:c r="D153" s="402"/>
      <x:c r="E153" s="402"/>
      <x:c r="F153" s="402"/>
      <x:c r="G153" s="402"/>
      <x:c r="H153" s="402"/>
      <x:c r="I153" s="402"/>
      <x:c r="J153" s="402"/>
      <x:c r="K153" s="402"/>
      <x:c r="L153" s="402"/>
      <x:c r="M153" s="402"/>
      <x:c r="N153" s="402"/>
      <x:c r="O153" s="402"/>
      <x:c r="P153" s="402"/>
      <x:c r="Q153" s="402"/>
      <x:c r="R153" s="402"/>
      <x:c r="S153" s="402"/>
      <x:c r="T153" s="402"/>
      <x:c r="U153" s="402"/>
      <x:c r="V153" s="402"/>
      <x:c r="W153" s="402"/>
      <x:c r="X153" s="402"/>
      <x:c r="Y153" s="402"/>
      <x:c r="Z153" s="402"/>
    </x:row>
    <x:row r="154">
      <x:c r="A154" s="402"/>
      <x:c r="B154" s="402"/>
      <x:c r="C154" s="402"/>
      <x:c r="D154" s="402"/>
      <x:c r="E154" s="402"/>
      <x:c r="F154" s="402"/>
      <x:c r="G154" s="402"/>
      <x:c r="H154" s="402"/>
      <x:c r="I154" s="402"/>
      <x:c r="J154" s="402"/>
      <x:c r="K154" s="402"/>
      <x:c r="L154" s="402"/>
      <x:c r="M154" s="402"/>
      <x:c r="N154" s="402"/>
      <x:c r="O154" s="402"/>
      <x:c r="P154" s="402"/>
      <x:c r="Q154" s="402"/>
      <x:c r="R154" s="402"/>
      <x:c r="S154" s="402"/>
      <x:c r="T154" s="402"/>
      <x:c r="U154" s="402"/>
      <x:c r="V154" s="402"/>
      <x:c r="W154" s="402"/>
      <x:c r="X154" s="402"/>
      <x:c r="Y154" s="402"/>
      <x:c r="Z154" s="402"/>
    </x:row>
    <x:row r="155">
      <x:c r="A155" s="402"/>
      <x:c r="B155" s="402"/>
      <x:c r="C155" s="402"/>
      <x:c r="D155" s="402"/>
      <x:c r="E155" s="402"/>
      <x:c r="F155" s="402"/>
      <x:c r="G155" s="402"/>
      <x:c r="H155" s="402"/>
      <x:c r="I155" s="402"/>
      <x:c r="J155" s="402"/>
      <x:c r="K155" s="402"/>
      <x:c r="L155" s="402"/>
      <x:c r="M155" s="402"/>
      <x:c r="N155" s="402"/>
      <x:c r="O155" s="402"/>
      <x:c r="P155" s="402"/>
      <x:c r="Q155" s="402"/>
      <x:c r="R155" s="402"/>
      <x:c r="S155" s="402"/>
      <x:c r="T155" s="402"/>
      <x:c r="U155" s="402"/>
      <x:c r="V155" s="402"/>
      <x:c r="W155" s="402"/>
      <x:c r="X155" s="402"/>
      <x:c r="Y155" s="402"/>
      <x:c r="Z155" s="402"/>
    </x:row>
    <x:row r="156">
      <x:c r="A156" s="402"/>
      <x:c r="B156" s="402"/>
      <x:c r="C156" s="402"/>
      <x:c r="D156" s="402"/>
      <x:c r="E156" s="402"/>
      <x:c r="F156" s="402"/>
      <x:c r="G156" s="402"/>
      <x:c r="H156" s="402"/>
      <x:c r="I156" s="402"/>
      <x:c r="J156" s="402"/>
      <x:c r="K156" s="402"/>
      <x:c r="L156" s="402"/>
      <x:c r="M156" s="402"/>
      <x:c r="N156" s="402"/>
      <x:c r="O156" s="402"/>
      <x:c r="P156" s="402"/>
      <x:c r="Q156" s="402"/>
      <x:c r="R156" s="402"/>
      <x:c r="S156" s="402"/>
      <x:c r="T156" s="402"/>
      <x:c r="U156" s="402"/>
      <x:c r="V156" s="402"/>
      <x:c r="W156" s="402"/>
      <x:c r="X156" s="402"/>
      <x:c r="Y156" s="402"/>
      <x:c r="Z156" s="402"/>
    </x:row>
    <x:row r="157">
      <x:c r="A157" s="402"/>
      <x:c r="B157" s="402"/>
      <x:c r="C157" s="402"/>
      <x:c r="D157" s="402"/>
      <x:c r="E157" s="402"/>
      <x:c r="F157" s="402"/>
      <x:c r="G157" s="402"/>
      <x:c r="H157" s="402"/>
      <x:c r="I157" s="402"/>
      <x:c r="J157" s="402"/>
      <x:c r="K157" s="402"/>
      <x:c r="L157" s="402"/>
      <x:c r="M157" s="402"/>
      <x:c r="N157" s="402"/>
      <x:c r="O157" s="402"/>
      <x:c r="P157" s="402"/>
      <x:c r="Q157" s="402"/>
      <x:c r="R157" s="402"/>
      <x:c r="S157" s="402"/>
      <x:c r="T157" s="402"/>
      <x:c r="U157" s="402"/>
      <x:c r="V157" s="402"/>
      <x:c r="W157" s="402"/>
      <x:c r="X157" s="402"/>
      <x:c r="Y157" s="402"/>
      <x:c r="Z157" s="402"/>
    </x:row>
    <x:row r="158">
      <x:c r="A158" s="402"/>
      <x:c r="B158" s="402"/>
      <x:c r="C158" s="402"/>
      <x:c r="D158" s="402"/>
      <x:c r="E158" s="402"/>
      <x:c r="F158" s="402"/>
      <x:c r="G158" s="402"/>
      <x:c r="H158" s="402"/>
      <x:c r="I158" s="402"/>
      <x:c r="J158" s="402"/>
      <x:c r="K158" s="402"/>
      <x:c r="L158" s="402"/>
      <x:c r="M158" s="402"/>
      <x:c r="N158" s="402"/>
      <x:c r="O158" s="402"/>
      <x:c r="P158" s="402"/>
      <x:c r="Q158" s="402"/>
      <x:c r="R158" s="402"/>
      <x:c r="S158" s="402"/>
      <x:c r="T158" s="402"/>
      <x:c r="U158" s="402"/>
      <x:c r="V158" s="402"/>
      <x:c r="W158" s="402"/>
      <x:c r="X158" s="402"/>
      <x:c r="Y158" s="402"/>
      <x:c r="Z158" s="402"/>
    </x:row>
    <x:row r="159">
      <x:c r="A159" s="402"/>
      <x:c r="B159" s="402"/>
      <x:c r="C159" s="402"/>
      <x:c r="D159" s="402"/>
      <x:c r="E159" s="402"/>
      <x:c r="F159" s="402"/>
      <x:c r="G159" s="402"/>
      <x:c r="H159" s="402"/>
      <x:c r="I159" s="402"/>
      <x:c r="J159" s="402"/>
      <x:c r="K159" s="402"/>
      <x:c r="L159" s="402"/>
      <x:c r="M159" s="402"/>
      <x:c r="N159" s="402"/>
      <x:c r="O159" s="402"/>
      <x:c r="P159" s="402"/>
      <x:c r="Q159" s="402"/>
      <x:c r="R159" s="402"/>
      <x:c r="S159" s="402"/>
      <x:c r="T159" s="402"/>
      <x:c r="U159" s="402"/>
      <x:c r="V159" s="402"/>
      <x:c r="W159" s="402"/>
      <x:c r="X159" s="402"/>
      <x:c r="Y159" s="402"/>
      <x:c r="Z159" s="402"/>
    </x:row>
    <x:row r="160">
      <x:c r="A160" s="402"/>
      <x:c r="B160" s="402"/>
      <x:c r="C160" s="402"/>
      <x:c r="D160" s="402"/>
      <x:c r="E160" s="402"/>
      <x:c r="F160" s="402"/>
      <x:c r="G160" s="402"/>
      <x:c r="H160" s="402"/>
      <x:c r="I160" s="402"/>
      <x:c r="J160" s="402"/>
      <x:c r="K160" s="402"/>
      <x:c r="L160" s="402"/>
      <x:c r="M160" s="402"/>
      <x:c r="N160" s="402"/>
      <x:c r="O160" s="402"/>
      <x:c r="P160" s="402"/>
      <x:c r="Q160" s="402"/>
      <x:c r="R160" s="402"/>
      <x:c r="S160" s="402"/>
      <x:c r="T160" s="402"/>
      <x:c r="U160" s="402"/>
      <x:c r="V160" s="402"/>
      <x:c r="W160" s="402"/>
      <x:c r="X160" s="402"/>
      <x:c r="Y160" s="402"/>
      <x:c r="Z160" s="402"/>
    </x:row>
    <x:row r="161">
      <x:c r="A161" s="402"/>
      <x:c r="B161" s="402"/>
      <x:c r="C161" s="402"/>
      <x:c r="D161" s="402"/>
      <x:c r="E161" s="402"/>
      <x:c r="F161" s="402"/>
      <x:c r="G161" s="402"/>
      <x:c r="H161" s="402"/>
      <x:c r="I161" s="402"/>
      <x:c r="J161" s="402"/>
      <x:c r="K161" s="402"/>
      <x:c r="L161" s="402"/>
      <x:c r="M161" s="402"/>
      <x:c r="N161" s="402"/>
      <x:c r="O161" s="402"/>
      <x:c r="P161" s="402"/>
      <x:c r="Q161" s="402"/>
      <x:c r="R161" s="402"/>
      <x:c r="S161" s="402"/>
      <x:c r="T161" s="402"/>
      <x:c r="U161" s="402"/>
      <x:c r="V161" s="402"/>
      <x:c r="W161" s="402"/>
      <x:c r="X161" s="402"/>
      <x:c r="Y161" s="402"/>
      <x:c r="Z161" s="402"/>
    </x:row>
    <x:row r="162">
      <x:c r="A162" s="402"/>
      <x:c r="B162" s="402"/>
      <x:c r="C162" s="402"/>
      <x:c r="D162" s="402"/>
      <x:c r="E162" s="402"/>
      <x:c r="F162" s="402"/>
      <x:c r="G162" s="402"/>
      <x:c r="H162" s="402"/>
      <x:c r="I162" s="402"/>
      <x:c r="J162" s="402"/>
      <x:c r="K162" s="402"/>
      <x:c r="L162" s="402"/>
      <x:c r="M162" s="402"/>
      <x:c r="N162" s="402"/>
      <x:c r="O162" s="402"/>
      <x:c r="P162" s="402"/>
      <x:c r="Q162" s="402"/>
      <x:c r="R162" s="402"/>
      <x:c r="S162" s="402"/>
      <x:c r="T162" s="402"/>
      <x:c r="U162" s="402"/>
      <x:c r="V162" s="402"/>
      <x:c r="W162" s="402"/>
      <x:c r="X162" s="402"/>
      <x:c r="Y162" s="402"/>
      <x:c r="Z162" s="402"/>
    </x:row>
    <x:row r="163">
      <x:c r="A163" s="402"/>
      <x:c r="B163" s="402"/>
      <x:c r="C163" s="402"/>
      <x:c r="D163" s="402"/>
      <x:c r="E163" s="402"/>
      <x:c r="F163" s="402"/>
      <x:c r="G163" s="402"/>
      <x:c r="H163" s="402"/>
      <x:c r="I163" s="402"/>
      <x:c r="J163" s="402"/>
      <x:c r="K163" s="402"/>
      <x:c r="L163" s="402"/>
      <x:c r="M163" s="402"/>
      <x:c r="N163" s="402"/>
      <x:c r="O163" s="402"/>
      <x:c r="P163" s="402"/>
      <x:c r="Q163" s="402"/>
      <x:c r="R163" s="402"/>
      <x:c r="S163" s="402"/>
      <x:c r="T163" s="402"/>
      <x:c r="U163" s="402"/>
      <x:c r="V163" s="402"/>
      <x:c r="W163" s="402"/>
      <x:c r="X163" s="402"/>
      <x:c r="Y163" s="402"/>
      <x:c r="Z163" s="402"/>
    </x:row>
    <x:row r="164">
      <x:c r="A164" s="402"/>
      <x:c r="B164" s="402"/>
      <x:c r="C164" s="402"/>
      <x:c r="D164" s="402"/>
      <x:c r="E164" s="402"/>
      <x:c r="F164" s="402"/>
      <x:c r="G164" s="402"/>
      <x:c r="H164" s="402"/>
      <x:c r="I164" s="402"/>
      <x:c r="J164" s="402"/>
      <x:c r="K164" s="402"/>
      <x:c r="L164" s="402"/>
      <x:c r="M164" s="402"/>
      <x:c r="N164" s="402"/>
      <x:c r="O164" s="402"/>
      <x:c r="P164" s="402"/>
      <x:c r="Q164" s="402"/>
      <x:c r="R164" s="402"/>
      <x:c r="S164" s="402"/>
      <x:c r="T164" s="402"/>
      <x:c r="U164" s="402"/>
      <x:c r="V164" s="402"/>
      <x:c r="W164" s="402"/>
      <x:c r="X164" s="402"/>
      <x:c r="Y164" s="402"/>
      <x:c r="Z164" s="402"/>
    </x:row>
    <x:row r="165">
      <x:c r="A165" s="402"/>
      <x:c r="B165" s="402"/>
      <x:c r="C165" s="402"/>
      <x:c r="D165" s="402"/>
      <x:c r="E165" s="402"/>
      <x:c r="F165" s="402"/>
      <x:c r="G165" s="402"/>
      <x:c r="H165" s="402"/>
      <x:c r="I165" s="402"/>
      <x:c r="J165" s="402"/>
      <x:c r="K165" s="402"/>
      <x:c r="L165" s="402"/>
      <x:c r="M165" s="402"/>
      <x:c r="N165" s="402"/>
      <x:c r="O165" s="402"/>
      <x:c r="P165" s="402"/>
      <x:c r="Q165" s="402"/>
      <x:c r="R165" s="402"/>
      <x:c r="S165" s="402"/>
      <x:c r="T165" s="402"/>
      <x:c r="U165" s="402"/>
      <x:c r="V165" s="402"/>
      <x:c r="W165" s="402"/>
      <x:c r="X165" s="402"/>
      <x:c r="Y165" s="402"/>
      <x:c r="Z165" s="402"/>
    </x:row>
    <x:row r="166">
      <x:c r="A166" s="402"/>
      <x:c r="B166" s="402"/>
      <x:c r="C166" s="402"/>
      <x:c r="D166" s="402"/>
      <x:c r="E166" s="402"/>
      <x:c r="F166" s="402"/>
      <x:c r="G166" s="402"/>
      <x:c r="H166" s="402"/>
      <x:c r="I166" s="402"/>
      <x:c r="J166" s="402"/>
      <x:c r="K166" s="402"/>
      <x:c r="L166" s="402"/>
      <x:c r="M166" s="402"/>
      <x:c r="N166" s="402"/>
      <x:c r="O166" s="402"/>
      <x:c r="P166" s="402"/>
      <x:c r="Q166" s="402"/>
      <x:c r="R166" s="402"/>
      <x:c r="S166" s="402"/>
      <x:c r="T166" s="402"/>
      <x:c r="U166" s="402"/>
      <x:c r="V166" s="402"/>
      <x:c r="W166" s="402"/>
      <x:c r="X166" s="402"/>
      <x:c r="Y166" s="402"/>
      <x:c r="Z166" s="402"/>
    </x:row>
    <x:row r="167">
      <x:c r="A167" s="402"/>
      <x:c r="B167" s="402"/>
      <x:c r="C167" s="402"/>
      <x:c r="D167" s="402"/>
      <x:c r="E167" s="402"/>
      <x:c r="F167" s="402"/>
      <x:c r="G167" s="402"/>
      <x:c r="H167" s="402"/>
      <x:c r="I167" s="402"/>
      <x:c r="J167" s="402"/>
      <x:c r="K167" s="402"/>
      <x:c r="L167" s="402"/>
      <x:c r="M167" s="402"/>
      <x:c r="N167" s="402"/>
      <x:c r="O167" s="402"/>
      <x:c r="P167" s="402"/>
      <x:c r="Q167" s="402"/>
      <x:c r="R167" s="402"/>
      <x:c r="S167" s="402"/>
      <x:c r="T167" s="402"/>
      <x:c r="U167" s="402"/>
      <x:c r="V167" s="402"/>
      <x:c r="W167" s="402"/>
      <x:c r="X167" s="402"/>
      <x:c r="Y167" s="402"/>
      <x:c r="Z167" s="402"/>
    </x:row>
    <x:row r="168">
      <x:c r="A168" s="402"/>
      <x:c r="B168" s="402"/>
      <x:c r="C168" s="402"/>
      <x:c r="D168" s="402"/>
      <x:c r="E168" s="402"/>
      <x:c r="F168" s="402"/>
      <x:c r="G168" s="402"/>
      <x:c r="H168" s="402"/>
      <x:c r="I168" s="402"/>
      <x:c r="J168" s="402"/>
      <x:c r="K168" s="402"/>
      <x:c r="L168" s="402"/>
      <x:c r="M168" s="402"/>
      <x:c r="N168" s="402"/>
      <x:c r="O168" s="402"/>
      <x:c r="P168" s="402"/>
      <x:c r="Q168" s="402"/>
      <x:c r="R168" s="402"/>
      <x:c r="S168" s="402"/>
      <x:c r="T168" s="402"/>
      <x:c r="U168" s="402"/>
      <x:c r="V168" s="402"/>
      <x:c r="W168" s="402"/>
      <x:c r="X168" s="402"/>
      <x:c r="Y168" s="402"/>
      <x:c r="Z168" s="402"/>
    </x:row>
    <x:row r="169">
      <x:c r="A169" s="402"/>
      <x:c r="B169" s="402"/>
      <x:c r="C169" s="402"/>
      <x:c r="D169" s="402"/>
      <x:c r="E169" s="402"/>
      <x:c r="F169" s="402"/>
      <x:c r="G169" s="402"/>
      <x:c r="H169" s="402"/>
      <x:c r="I169" s="402"/>
      <x:c r="J169" s="402"/>
      <x:c r="K169" s="402"/>
      <x:c r="L169" s="402"/>
      <x:c r="M169" s="402"/>
      <x:c r="N169" s="402"/>
      <x:c r="O169" s="402"/>
      <x:c r="P169" s="402"/>
      <x:c r="Q169" s="402"/>
      <x:c r="R169" s="402"/>
      <x:c r="S169" s="402"/>
      <x:c r="T169" s="402"/>
      <x:c r="U169" s="402"/>
      <x:c r="V169" s="402"/>
      <x:c r="W169" s="402"/>
      <x:c r="X169" s="402"/>
      <x:c r="Y169" s="402"/>
      <x:c r="Z169" s="402"/>
    </x:row>
    <x:row r="170">
      <x:c r="A170" s="402"/>
      <x:c r="B170" s="402"/>
      <x:c r="C170" s="402"/>
      <x:c r="D170" s="402"/>
      <x:c r="E170" s="402"/>
      <x:c r="F170" s="402"/>
      <x:c r="G170" s="402"/>
      <x:c r="H170" s="402"/>
      <x:c r="I170" s="402"/>
      <x:c r="J170" s="402"/>
      <x:c r="K170" s="402"/>
      <x:c r="L170" s="402"/>
      <x:c r="M170" s="402"/>
      <x:c r="N170" s="402"/>
      <x:c r="O170" s="402"/>
      <x:c r="P170" s="402"/>
      <x:c r="Q170" s="402"/>
      <x:c r="R170" s="402"/>
      <x:c r="S170" s="402"/>
      <x:c r="T170" s="402"/>
      <x:c r="U170" s="402"/>
      <x:c r="V170" s="402"/>
      <x:c r="W170" s="402"/>
      <x:c r="X170" s="402"/>
      <x:c r="Y170" s="402"/>
      <x:c r="Z170" s="402"/>
    </x:row>
    <x:row r="171">
      <x:c r="A171" s="402"/>
      <x:c r="B171" s="402"/>
      <x:c r="C171" s="402"/>
      <x:c r="D171" s="402"/>
      <x:c r="E171" s="402"/>
      <x:c r="F171" s="402"/>
      <x:c r="G171" s="402"/>
      <x:c r="H171" s="402"/>
      <x:c r="I171" s="402"/>
      <x:c r="J171" s="402"/>
      <x:c r="K171" s="402"/>
      <x:c r="L171" s="402"/>
      <x:c r="M171" s="402"/>
      <x:c r="N171" s="402"/>
      <x:c r="O171" s="402"/>
      <x:c r="P171" s="402"/>
      <x:c r="Q171" s="402"/>
      <x:c r="R171" s="402"/>
      <x:c r="S171" s="402"/>
      <x:c r="T171" s="402"/>
      <x:c r="U171" s="402"/>
      <x:c r="V171" s="402"/>
      <x:c r="W171" s="402"/>
      <x:c r="X171" s="402"/>
      <x:c r="Y171" s="402"/>
      <x:c r="Z171" s="402"/>
    </x:row>
    <x:row r="172">
      <x:c r="A172" s="402"/>
      <x:c r="B172" s="402"/>
      <x:c r="C172" s="402"/>
      <x:c r="D172" s="402"/>
      <x:c r="E172" s="402"/>
      <x:c r="F172" s="402"/>
      <x:c r="G172" s="402"/>
      <x:c r="H172" s="402"/>
      <x:c r="I172" s="402"/>
      <x:c r="J172" s="402"/>
      <x:c r="K172" s="402"/>
      <x:c r="L172" s="402"/>
      <x:c r="M172" s="402"/>
      <x:c r="N172" s="402"/>
      <x:c r="O172" s="402"/>
      <x:c r="P172" s="402"/>
      <x:c r="Q172" s="402"/>
      <x:c r="R172" s="402"/>
      <x:c r="S172" s="402"/>
      <x:c r="T172" s="402"/>
      <x:c r="U172" s="402"/>
      <x:c r="V172" s="402"/>
      <x:c r="W172" s="402"/>
      <x:c r="X172" s="402"/>
      <x:c r="Y172" s="402"/>
      <x:c r="Z172" s="402"/>
    </x:row>
    <x:row r="173">
      <x:c r="A173" s="402"/>
      <x:c r="B173" s="402"/>
      <x:c r="C173" s="402"/>
      <x:c r="D173" s="402"/>
      <x:c r="E173" s="402"/>
      <x:c r="F173" s="402"/>
      <x:c r="G173" s="402"/>
      <x:c r="H173" s="402"/>
      <x:c r="I173" s="402"/>
      <x:c r="J173" s="402"/>
      <x:c r="K173" s="402"/>
      <x:c r="L173" s="402"/>
      <x:c r="M173" s="402"/>
      <x:c r="N173" s="402"/>
      <x:c r="O173" s="402"/>
      <x:c r="P173" s="402"/>
      <x:c r="Q173" s="402"/>
      <x:c r="R173" s="402"/>
      <x:c r="S173" s="402"/>
      <x:c r="T173" s="402"/>
      <x:c r="U173" s="402"/>
      <x:c r="V173" s="402"/>
      <x:c r="W173" s="402"/>
      <x:c r="X173" s="402"/>
      <x:c r="Y173" s="402"/>
      <x:c r="Z173" s="402"/>
    </x:row>
    <x:row r="174">
      <x:c r="A174" s="402"/>
      <x:c r="B174" s="402"/>
      <x:c r="C174" s="402"/>
      <x:c r="D174" s="402"/>
      <x:c r="E174" s="402"/>
      <x:c r="F174" s="402"/>
      <x:c r="G174" s="402"/>
      <x:c r="H174" s="402"/>
      <x:c r="I174" s="402"/>
      <x:c r="J174" s="402"/>
      <x:c r="K174" s="402"/>
      <x:c r="L174" s="402"/>
      <x:c r="M174" s="402"/>
      <x:c r="N174" s="402"/>
      <x:c r="O174" s="402"/>
      <x:c r="P174" s="402"/>
      <x:c r="Q174" s="402"/>
      <x:c r="R174" s="402"/>
      <x:c r="S174" s="402"/>
      <x:c r="T174" s="402"/>
      <x:c r="U174" s="402"/>
      <x:c r="V174" s="402"/>
      <x:c r="W174" s="402"/>
      <x:c r="X174" s="402"/>
      <x:c r="Y174" s="402"/>
      <x:c r="Z174" s="402"/>
    </x:row>
    <x:row r="175">
      <x:c r="A175" s="402"/>
      <x:c r="B175" s="402"/>
      <x:c r="C175" s="402"/>
      <x:c r="D175" s="402"/>
      <x:c r="E175" s="402"/>
      <x:c r="F175" s="402"/>
      <x:c r="G175" s="402"/>
      <x:c r="H175" s="402"/>
      <x:c r="I175" s="402"/>
      <x:c r="J175" s="402"/>
      <x:c r="K175" s="402"/>
      <x:c r="L175" s="402"/>
      <x:c r="M175" s="402"/>
      <x:c r="N175" s="402"/>
      <x:c r="O175" s="402"/>
      <x:c r="P175" s="402"/>
      <x:c r="Q175" s="402"/>
      <x:c r="R175" s="402"/>
      <x:c r="S175" s="402"/>
      <x:c r="T175" s="402"/>
      <x:c r="U175" s="402"/>
      <x:c r="V175" s="402"/>
      <x:c r="W175" s="402"/>
      <x:c r="X175" s="402"/>
      <x:c r="Y175" s="402"/>
      <x:c r="Z175" s="402"/>
    </x:row>
    <x:row r="176">
      <x:c r="A176" s="402"/>
      <x:c r="B176" s="402"/>
      <x:c r="C176" s="402"/>
      <x:c r="D176" s="402"/>
      <x:c r="E176" s="402"/>
      <x:c r="F176" s="402"/>
      <x:c r="G176" s="402"/>
      <x:c r="H176" s="402"/>
      <x:c r="I176" s="402"/>
      <x:c r="J176" s="402"/>
      <x:c r="K176" s="402"/>
      <x:c r="L176" s="402"/>
      <x:c r="M176" s="402"/>
      <x:c r="N176" s="402"/>
      <x:c r="O176" s="402"/>
      <x:c r="P176" s="402"/>
      <x:c r="Q176" s="402"/>
      <x:c r="R176" s="402"/>
      <x:c r="S176" s="402"/>
      <x:c r="T176" s="402"/>
      <x:c r="U176" s="402"/>
      <x:c r="V176" s="402"/>
      <x:c r="W176" s="402"/>
      <x:c r="X176" s="402"/>
      <x:c r="Y176" s="402"/>
      <x:c r="Z176" s="402"/>
    </x:row>
    <x:row r="177">
      <x:c r="A177" s="402"/>
      <x:c r="B177" s="402"/>
      <x:c r="C177" s="402"/>
      <x:c r="D177" s="402"/>
      <x:c r="E177" s="402"/>
      <x:c r="F177" s="402"/>
      <x:c r="G177" s="402"/>
      <x:c r="H177" s="402"/>
      <x:c r="I177" s="402"/>
      <x:c r="J177" s="402"/>
      <x:c r="K177" s="402"/>
      <x:c r="L177" s="402"/>
      <x:c r="M177" s="402"/>
      <x:c r="N177" s="402"/>
      <x:c r="O177" s="402"/>
      <x:c r="P177" s="402"/>
      <x:c r="Q177" s="402"/>
      <x:c r="R177" s="402"/>
      <x:c r="S177" s="402"/>
      <x:c r="T177" s="402"/>
      <x:c r="U177" s="402"/>
      <x:c r="V177" s="402"/>
      <x:c r="W177" s="402"/>
      <x:c r="X177" s="402"/>
      <x:c r="Y177" s="402"/>
      <x:c r="Z177" s="402"/>
    </x:row>
    <x:row r="178">
      <x:c r="A178" s="402"/>
      <x:c r="B178" s="402"/>
      <x:c r="C178" s="402"/>
      <x:c r="D178" s="402"/>
      <x:c r="E178" s="402"/>
      <x:c r="F178" s="402"/>
      <x:c r="G178" s="402"/>
      <x:c r="H178" s="402"/>
      <x:c r="I178" s="402"/>
      <x:c r="J178" s="402"/>
      <x:c r="K178" s="402"/>
      <x:c r="L178" s="402"/>
      <x:c r="M178" s="402"/>
      <x:c r="N178" s="402"/>
      <x:c r="O178" s="402"/>
      <x:c r="P178" s="402"/>
      <x:c r="Q178" s="402"/>
      <x:c r="R178" s="402"/>
      <x:c r="S178" s="402"/>
      <x:c r="T178" s="402"/>
      <x:c r="U178" s="402"/>
      <x:c r="V178" s="402"/>
      <x:c r="W178" s="402"/>
      <x:c r="X178" s="402"/>
      <x:c r="Y178" s="402"/>
      <x:c r="Z178" s="402"/>
    </x:row>
    <x:row r="179">
      <x:c r="A179" s="402"/>
      <x:c r="B179" s="402"/>
      <x:c r="C179" s="402"/>
      <x:c r="D179" s="402"/>
      <x:c r="E179" s="402"/>
      <x:c r="F179" s="402"/>
      <x:c r="G179" s="402"/>
      <x:c r="H179" s="402"/>
      <x:c r="I179" s="402"/>
      <x:c r="J179" s="402"/>
      <x:c r="K179" s="402"/>
      <x:c r="L179" s="402"/>
      <x:c r="M179" s="402"/>
      <x:c r="N179" s="402"/>
      <x:c r="O179" s="402"/>
      <x:c r="P179" s="402"/>
      <x:c r="Q179" s="402"/>
      <x:c r="R179" s="402"/>
      <x:c r="S179" s="402"/>
      <x:c r="T179" s="402"/>
      <x:c r="U179" s="402"/>
      <x:c r="V179" s="402"/>
      <x:c r="W179" s="402"/>
      <x:c r="X179" s="402"/>
      <x:c r="Y179" s="402"/>
      <x:c r="Z179" s="402"/>
    </x:row>
    <x:row r="180">
      <x:c r="A180" s="402"/>
      <x:c r="B180" s="402"/>
      <x:c r="C180" s="402"/>
      <x:c r="D180" s="402"/>
      <x:c r="E180" s="402"/>
      <x:c r="F180" s="402"/>
      <x:c r="G180" s="402"/>
      <x:c r="H180" s="402"/>
      <x:c r="I180" s="402"/>
      <x:c r="J180" s="402"/>
      <x:c r="K180" s="402"/>
      <x:c r="L180" s="402"/>
      <x:c r="M180" s="402"/>
      <x:c r="N180" s="402"/>
      <x:c r="O180" s="402"/>
      <x:c r="P180" s="402"/>
      <x:c r="Q180" s="402"/>
      <x:c r="R180" s="402"/>
      <x:c r="S180" s="402"/>
      <x:c r="T180" s="402"/>
      <x:c r="U180" s="402"/>
      <x:c r="V180" s="402"/>
      <x:c r="W180" s="402"/>
      <x:c r="X180" s="402"/>
      <x:c r="Y180" s="402"/>
      <x:c r="Z180" s="402"/>
    </x:row>
    <x:row r="181">
      <x:c r="A181" s="402"/>
      <x:c r="B181" s="402"/>
      <x:c r="C181" s="402"/>
      <x:c r="D181" s="402"/>
      <x:c r="E181" s="402"/>
      <x:c r="F181" s="402"/>
      <x:c r="G181" s="402"/>
      <x:c r="H181" s="402"/>
      <x:c r="I181" s="402"/>
      <x:c r="J181" s="402"/>
      <x:c r="K181" s="402"/>
      <x:c r="L181" s="402"/>
      <x:c r="M181" s="402"/>
      <x:c r="N181" s="402"/>
      <x:c r="O181" s="402"/>
      <x:c r="P181" s="402"/>
      <x:c r="Q181" s="402"/>
      <x:c r="R181" s="402"/>
      <x:c r="S181" s="402"/>
      <x:c r="T181" s="402"/>
      <x:c r="U181" s="402"/>
      <x:c r="V181" s="402"/>
      <x:c r="W181" s="402"/>
      <x:c r="X181" s="402"/>
      <x:c r="Y181" s="402"/>
      <x:c r="Z181" s="402"/>
    </x:row>
    <x:row r="182">
      <x:c r="A182" s="402"/>
      <x:c r="B182" s="402"/>
      <x:c r="C182" s="402"/>
      <x:c r="D182" s="402"/>
      <x:c r="E182" s="402"/>
      <x:c r="F182" s="402"/>
      <x:c r="G182" s="402"/>
      <x:c r="H182" s="402"/>
      <x:c r="I182" s="402"/>
      <x:c r="J182" s="402"/>
      <x:c r="K182" s="402"/>
      <x:c r="L182" s="402"/>
      <x:c r="M182" s="402"/>
      <x:c r="N182" s="402"/>
      <x:c r="O182" s="402"/>
      <x:c r="P182" s="402"/>
      <x:c r="Q182" s="402"/>
      <x:c r="R182" s="402"/>
      <x:c r="S182" s="402"/>
      <x:c r="T182" s="402"/>
      <x:c r="U182" s="402"/>
      <x:c r="V182" s="402"/>
      <x:c r="W182" s="402"/>
      <x:c r="X182" s="402"/>
      <x:c r="Y182" s="402"/>
      <x:c r="Z182" s="402"/>
    </x:row>
    <x:row r="183">
      <x:c r="A183" s="402"/>
      <x:c r="B183" s="402"/>
      <x:c r="C183" s="402"/>
      <x:c r="D183" s="402"/>
      <x:c r="E183" s="402"/>
      <x:c r="F183" s="402"/>
      <x:c r="G183" s="402"/>
      <x:c r="H183" s="402"/>
      <x:c r="I183" s="402"/>
      <x:c r="J183" s="402"/>
      <x:c r="K183" s="402"/>
      <x:c r="L183" s="402"/>
      <x:c r="M183" s="402"/>
      <x:c r="N183" s="402"/>
      <x:c r="O183" s="402"/>
      <x:c r="P183" s="402"/>
      <x:c r="Q183" s="402"/>
      <x:c r="R183" s="402"/>
      <x:c r="S183" s="402"/>
      <x:c r="T183" s="402"/>
      <x:c r="U183" s="402"/>
      <x:c r="V183" s="402"/>
      <x:c r="W183" s="402"/>
      <x:c r="X183" s="402"/>
      <x:c r="Y183" s="402"/>
      <x:c r="Z183" s="402"/>
    </x:row>
    <x:row r="184">
      <x:c r="A184" s="402"/>
      <x:c r="B184" s="402"/>
      <x:c r="C184" s="402"/>
      <x:c r="D184" s="402"/>
      <x:c r="E184" s="402"/>
      <x:c r="F184" s="402"/>
      <x:c r="G184" s="402"/>
      <x:c r="H184" s="402"/>
      <x:c r="I184" s="402"/>
      <x:c r="J184" s="402"/>
      <x:c r="K184" s="402"/>
      <x:c r="L184" s="402"/>
      <x:c r="M184" s="402"/>
      <x:c r="N184" s="402"/>
      <x:c r="O184" s="402"/>
      <x:c r="P184" s="402"/>
      <x:c r="Q184" s="402"/>
      <x:c r="R184" s="402"/>
      <x:c r="S184" s="402"/>
      <x:c r="T184" s="402"/>
      <x:c r="U184" s="402"/>
      <x:c r="V184" s="402"/>
      <x:c r="W184" s="402"/>
      <x:c r="X184" s="402"/>
      <x:c r="Y184" s="402"/>
      <x:c r="Z184" s="402"/>
    </x:row>
    <x:row r="185">
      <x:c r="A185" s="402"/>
      <x:c r="B185" s="402"/>
      <x:c r="C185" s="402"/>
      <x:c r="D185" s="402"/>
      <x:c r="E185" s="402"/>
      <x:c r="F185" s="402"/>
      <x:c r="G185" s="402"/>
      <x:c r="H185" s="402"/>
      <x:c r="I185" s="402"/>
      <x:c r="J185" s="402"/>
      <x:c r="K185" s="402"/>
      <x:c r="L185" s="402"/>
      <x:c r="M185" s="402"/>
      <x:c r="N185" s="402"/>
      <x:c r="O185" s="402"/>
      <x:c r="P185" s="402"/>
      <x:c r="Q185" s="402"/>
      <x:c r="R185" s="402"/>
      <x:c r="S185" s="402"/>
      <x:c r="T185" s="402"/>
      <x:c r="U185" s="402"/>
      <x:c r="V185" s="402"/>
      <x:c r="W185" s="402"/>
      <x:c r="X185" s="402"/>
      <x:c r="Y185" s="402"/>
      <x:c r="Z185" s="402"/>
    </x:row>
    <x:row r="186">
      <x:c r="A186" s="402"/>
      <x:c r="B186" s="402"/>
      <x:c r="C186" s="402"/>
      <x:c r="D186" s="402"/>
      <x:c r="E186" s="402"/>
      <x:c r="F186" s="402"/>
      <x:c r="G186" s="402"/>
      <x:c r="H186" s="402"/>
      <x:c r="I186" s="402"/>
      <x:c r="J186" s="402"/>
      <x:c r="K186" s="402"/>
      <x:c r="L186" s="402"/>
      <x:c r="M186" s="402"/>
      <x:c r="N186" s="402"/>
      <x:c r="O186" s="402"/>
      <x:c r="P186" s="402"/>
      <x:c r="Q186" s="402"/>
      <x:c r="R186" s="402"/>
      <x:c r="S186" s="402"/>
      <x:c r="T186" s="402"/>
      <x:c r="U186" s="402"/>
      <x:c r="V186" s="402"/>
      <x:c r="W186" s="402"/>
      <x:c r="X186" s="402"/>
      <x:c r="Y186" s="402"/>
      <x:c r="Z186" s="402"/>
    </x:row>
    <x:row r="187">
      <x:c r="A187" s="402"/>
      <x:c r="B187" s="402"/>
      <x:c r="C187" s="402"/>
      <x:c r="D187" s="402"/>
      <x:c r="E187" s="402"/>
      <x:c r="F187" s="402"/>
      <x:c r="G187" s="402"/>
      <x:c r="H187" s="402"/>
      <x:c r="I187" s="402"/>
      <x:c r="J187" s="402"/>
      <x:c r="K187" s="402"/>
      <x:c r="L187" s="402"/>
      <x:c r="M187" s="402"/>
      <x:c r="N187" s="402"/>
      <x:c r="O187" s="402"/>
      <x:c r="P187" s="402"/>
      <x:c r="Q187" s="402"/>
      <x:c r="R187" s="402"/>
      <x:c r="S187" s="402"/>
      <x:c r="T187" s="402"/>
      <x:c r="U187" s="402"/>
      <x:c r="V187" s="402"/>
      <x:c r="W187" s="402"/>
      <x:c r="X187" s="402"/>
      <x:c r="Y187" s="402"/>
      <x:c r="Z187" s="402"/>
    </x:row>
    <x:row r="188">
      <x:c r="A188" s="402"/>
      <x:c r="B188" s="402"/>
      <x:c r="C188" s="402"/>
      <x:c r="D188" s="402"/>
      <x:c r="E188" s="402"/>
      <x:c r="F188" s="402"/>
      <x:c r="G188" s="402"/>
      <x:c r="H188" s="402"/>
      <x:c r="I188" s="402"/>
      <x:c r="J188" s="402"/>
      <x:c r="K188" s="402"/>
      <x:c r="L188" s="402"/>
      <x:c r="M188" s="402"/>
      <x:c r="N188" s="402"/>
      <x:c r="O188" s="402"/>
      <x:c r="P188" s="402"/>
      <x:c r="Q188" s="402"/>
      <x:c r="R188" s="402"/>
      <x:c r="S188" s="402"/>
      <x:c r="T188" s="402"/>
      <x:c r="U188" s="402"/>
      <x:c r="V188" s="402"/>
      <x:c r="W188" s="402"/>
      <x:c r="X188" s="402"/>
      <x:c r="Y188" s="402"/>
      <x:c r="Z188" s="402"/>
    </x:row>
    <x:row r="189">
      <x:c r="A189" s="402"/>
      <x:c r="B189" s="402"/>
      <x:c r="C189" s="402"/>
      <x:c r="D189" s="402"/>
      <x:c r="E189" s="402"/>
      <x:c r="F189" s="402"/>
      <x:c r="G189" s="402"/>
      <x:c r="H189" s="402"/>
      <x:c r="I189" s="402"/>
      <x:c r="J189" s="402"/>
      <x:c r="K189" s="402"/>
      <x:c r="L189" s="402"/>
      <x:c r="M189" s="402"/>
      <x:c r="N189" s="402"/>
      <x:c r="O189" s="402"/>
      <x:c r="P189" s="402"/>
      <x:c r="Q189" s="402"/>
      <x:c r="R189" s="402"/>
      <x:c r="S189" s="402"/>
      <x:c r="T189" s="402"/>
      <x:c r="U189" s="402"/>
      <x:c r="V189" s="402"/>
      <x:c r="W189" s="402"/>
      <x:c r="X189" s="402"/>
      <x:c r="Y189" s="402"/>
      <x:c r="Z189" s="402"/>
    </x:row>
    <x:row r="190">
      <x:c r="A190" s="402"/>
      <x:c r="B190" s="402"/>
      <x:c r="C190" s="402"/>
      <x:c r="D190" s="402"/>
      <x:c r="E190" s="402"/>
      <x:c r="F190" s="402"/>
      <x:c r="G190" s="402"/>
      <x:c r="H190" s="402"/>
      <x:c r="I190" s="402"/>
      <x:c r="J190" s="402"/>
      <x:c r="K190" s="402"/>
      <x:c r="L190" s="402"/>
      <x:c r="M190" s="402"/>
      <x:c r="N190" s="402"/>
      <x:c r="O190" s="402"/>
      <x:c r="P190" s="402"/>
      <x:c r="Q190" s="402"/>
      <x:c r="R190" s="402"/>
      <x:c r="S190" s="402"/>
      <x:c r="T190" s="402"/>
      <x:c r="U190" s="402"/>
      <x:c r="V190" s="402"/>
      <x:c r="W190" s="402"/>
      <x:c r="X190" s="402"/>
      <x:c r="Y190" s="402"/>
      <x:c r="Z190" s="402"/>
    </x:row>
    <x:row r="191">
      <x:c r="A191" s="402"/>
      <x:c r="B191" s="402"/>
      <x:c r="C191" s="402"/>
      <x:c r="D191" s="402"/>
      <x:c r="E191" s="402"/>
      <x:c r="F191" s="402"/>
      <x:c r="G191" s="402"/>
      <x:c r="H191" s="402"/>
      <x:c r="I191" s="402"/>
      <x:c r="J191" s="402"/>
      <x:c r="K191" s="402"/>
      <x:c r="L191" s="402"/>
      <x:c r="M191" s="402"/>
      <x:c r="N191" s="402"/>
      <x:c r="O191" s="402"/>
      <x:c r="P191" s="402"/>
      <x:c r="Q191" s="402"/>
      <x:c r="R191" s="402"/>
      <x:c r="S191" s="402"/>
      <x:c r="T191" s="402"/>
      <x:c r="U191" s="402"/>
      <x:c r="V191" s="402"/>
      <x:c r="W191" s="402"/>
      <x:c r="X191" s="402"/>
      <x:c r="Y191" s="402"/>
      <x:c r="Z191" s="402"/>
    </x:row>
    <x:row r="192">
      <x:c r="A192" s="402"/>
      <x:c r="B192" s="402"/>
      <x:c r="C192" s="402"/>
      <x:c r="D192" s="402"/>
      <x:c r="E192" s="402"/>
      <x:c r="F192" s="402"/>
      <x:c r="G192" s="402"/>
      <x:c r="H192" s="402"/>
      <x:c r="I192" s="402"/>
      <x:c r="J192" s="402"/>
      <x:c r="K192" s="402"/>
      <x:c r="L192" s="402"/>
      <x:c r="M192" s="402"/>
      <x:c r="N192" s="402"/>
      <x:c r="O192" s="402"/>
      <x:c r="P192" s="402"/>
      <x:c r="Q192" s="402"/>
      <x:c r="R192" s="402"/>
      <x:c r="S192" s="402"/>
      <x:c r="T192" s="402"/>
      <x:c r="U192" s="402"/>
      <x:c r="V192" s="402"/>
      <x:c r="W192" s="402"/>
      <x:c r="X192" s="402"/>
      <x:c r="Y192" s="402"/>
      <x:c r="Z192" s="402"/>
    </x:row>
    <x:row r="193">
      <x:c r="A193" s="402"/>
      <x:c r="B193" s="402"/>
      <x:c r="C193" s="402"/>
      <x:c r="D193" s="402"/>
      <x:c r="E193" s="402"/>
      <x:c r="F193" s="402"/>
      <x:c r="G193" s="402"/>
      <x:c r="H193" s="402"/>
      <x:c r="I193" s="402"/>
      <x:c r="J193" s="402"/>
      <x:c r="K193" s="402"/>
      <x:c r="L193" s="402"/>
      <x:c r="M193" s="402"/>
      <x:c r="N193" s="402"/>
      <x:c r="O193" s="402"/>
      <x:c r="P193" s="402"/>
      <x:c r="Q193" s="402"/>
      <x:c r="R193" s="402"/>
      <x:c r="S193" s="402"/>
      <x:c r="T193" s="402"/>
      <x:c r="U193" s="402"/>
      <x:c r="V193" s="402"/>
      <x:c r="W193" s="402"/>
      <x:c r="X193" s="402"/>
      <x:c r="Y193" s="402"/>
      <x:c r="Z193" s="402"/>
    </x:row>
    <x:row r="194">
      <x:c r="A194" s="402"/>
      <x:c r="B194" s="402"/>
      <x:c r="C194" s="402"/>
      <x:c r="D194" s="402"/>
      <x:c r="E194" s="402"/>
      <x:c r="F194" s="402"/>
      <x:c r="G194" s="402"/>
      <x:c r="H194" s="402"/>
      <x:c r="I194" s="402"/>
      <x:c r="J194" s="402"/>
      <x:c r="K194" s="402"/>
      <x:c r="L194" s="402"/>
      <x:c r="M194" s="402"/>
      <x:c r="N194" s="402"/>
      <x:c r="O194" s="402"/>
      <x:c r="P194" s="402"/>
      <x:c r="Q194" s="402"/>
      <x:c r="R194" s="402"/>
      <x:c r="S194" s="402"/>
      <x:c r="T194" s="402"/>
      <x:c r="U194" s="402"/>
      <x:c r="V194" s="402"/>
      <x:c r="W194" s="402"/>
      <x:c r="X194" s="402"/>
      <x:c r="Y194" s="402"/>
      <x:c r="Z194" s="402"/>
    </x:row>
    <x:row r="195">
      <x:c r="A195" s="402"/>
      <x:c r="B195" s="402"/>
      <x:c r="C195" s="402"/>
      <x:c r="D195" s="402"/>
      <x:c r="E195" s="402"/>
      <x:c r="F195" s="402"/>
      <x:c r="G195" s="402"/>
      <x:c r="H195" s="402"/>
      <x:c r="I195" s="402"/>
      <x:c r="J195" s="402"/>
      <x:c r="K195" s="402"/>
      <x:c r="L195" s="402"/>
      <x:c r="M195" s="402"/>
      <x:c r="N195" s="402"/>
      <x:c r="O195" s="402"/>
      <x:c r="P195" s="402"/>
      <x:c r="Q195" s="402"/>
      <x:c r="R195" s="402"/>
      <x:c r="S195" s="402"/>
      <x:c r="T195" s="402"/>
      <x:c r="U195" s="402"/>
      <x:c r="V195" s="402"/>
      <x:c r="W195" s="402"/>
      <x:c r="X195" s="402"/>
      <x:c r="Y195" s="402"/>
      <x:c r="Z195" s="402"/>
    </x:row>
    <x:row r="196">
      <x:c r="A196" s="402"/>
      <x:c r="B196" s="402"/>
      <x:c r="C196" s="402"/>
      <x:c r="D196" s="402"/>
      <x:c r="E196" s="402"/>
      <x:c r="F196" s="402"/>
      <x:c r="G196" s="402"/>
      <x:c r="H196" s="402"/>
      <x:c r="I196" s="402"/>
      <x:c r="J196" s="402"/>
      <x:c r="K196" s="402"/>
      <x:c r="L196" s="402"/>
      <x:c r="M196" s="402"/>
      <x:c r="N196" s="402"/>
      <x:c r="O196" s="402"/>
      <x:c r="P196" s="402"/>
      <x:c r="Q196" s="402"/>
      <x:c r="R196" s="402"/>
      <x:c r="S196" s="402"/>
      <x:c r="T196" s="402"/>
      <x:c r="U196" s="402"/>
      <x:c r="V196" s="402"/>
      <x:c r="W196" s="402"/>
      <x:c r="X196" s="402"/>
      <x:c r="Y196" s="402"/>
      <x:c r="Z196" s="402"/>
    </x:row>
    <x:row r="197">
      <x:c r="A197" s="402"/>
      <x:c r="B197" s="402"/>
      <x:c r="C197" s="402"/>
      <x:c r="D197" s="402"/>
      <x:c r="E197" s="402"/>
      <x:c r="F197" s="402"/>
      <x:c r="G197" s="402"/>
      <x:c r="H197" s="402"/>
      <x:c r="I197" s="402"/>
      <x:c r="J197" s="402"/>
      <x:c r="K197" s="402"/>
      <x:c r="L197" s="402"/>
      <x:c r="M197" s="402"/>
      <x:c r="N197" s="402"/>
      <x:c r="O197" s="402"/>
      <x:c r="P197" s="402"/>
      <x:c r="Q197" s="402"/>
      <x:c r="R197" s="402"/>
      <x:c r="S197" s="402"/>
      <x:c r="T197" s="402"/>
      <x:c r="U197" s="402"/>
      <x:c r="V197" s="402"/>
      <x:c r="W197" s="402"/>
      <x:c r="X197" s="402"/>
      <x:c r="Y197" s="402"/>
      <x:c r="Z197" s="402"/>
    </x:row>
    <x:row r="198">
      <x:c r="A198" s="402"/>
      <x:c r="B198" s="402"/>
      <x:c r="C198" s="402"/>
      <x:c r="D198" s="402"/>
      <x:c r="E198" s="402"/>
      <x:c r="F198" s="402"/>
      <x:c r="G198" s="402"/>
      <x:c r="H198" s="402"/>
      <x:c r="I198" s="402"/>
      <x:c r="J198" s="402"/>
      <x:c r="K198" s="402"/>
      <x:c r="L198" s="402"/>
      <x:c r="M198" s="402"/>
      <x:c r="N198" s="402"/>
      <x:c r="O198" s="402"/>
      <x:c r="P198" s="402"/>
      <x:c r="Q198" s="402"/>
      <x:c r="R198" s="402"/>
      <x:c r="S198" s="402"/>
      <x:c r="T198" s="402"/>
      <x:c r="U198" s="402"/>
      <x:c r="V198" s="402"/>
      <x:c r="W198" s="402"/>
      <x:c r="X198" s="402"/>
      <x:c r="Y198" s="402"/>
      <x:c r="Z198" s="402"/>
    </x:row>
    <x:row r="199">
      <x:c r="A199" s="402"/>
      <x:c r="B199" s="402"/>
      <x:c r="C199" s="402"/>
      <x:c r="D199" s="402"/>
      <x:c r="E199" s="402"/>
      <x:c r="F199" s="402"/>
      <x:c r="G199" s="402"/>
      <x:c r="H199" s="402"/>
      <x:c r="I199" s="402"/>
      <x:c r="J199" s="402"/>
      <x:c r="K199" s="402"/>
      <x:c r="L199" s="402"/>
      <x:c r="M199" s="402"/>
      <x:c r="N199" s="402"/>
      <x:c r="O199" s="402"/>
      <x:c r="P199" s="402"/>
      <x:c r="Q199" s="402"/>
      <x:c r="R199" s="402"/>
      <x:c r="S199" s="402"/>
      <x:c r="T199" s="402"/>
      <x:c r="U199" s="402"/>
      <x:c r="V199" s="402"/>
      <x:c r="W199" s="402"/>
      <x:c r="X199" s="402"/>
      <x:c r="Y199" s="402"/>
      <x:c r="Z199" s="402"/>
    </x:row>
    <x:row r="200">
      <x:c r="A200" s="402"/>
      <x:c r="B200" s="402"/>
      <x:c r="C200" s="402"/>
      <x:c r="D200" s="402"/>
      <x:c r="E200" s="402"/>
      <x:c r="F200" s="402"/>
      <x:c r="G200" s="402"/>
      <x:c r="H200" s="402"/>
      <x:c r="I200" s="402"/>
      <x:c r="J200" s="402"/>
      <x:c r="K200" s="402"/>
      <x:c r="L200" s="402"/>
      <x:c r="M200" s="402"/>
      <x:c r="N200" s="402"/>
      <x:c r="O200" s="402"/>
      <x:c r="P200" s="402"/>
      <x:c r="Q200" s="402"/>
      <x:c r="R200" s="402"/>
      <x:c r="S200" s="402"/>
      <x:c r="T200" s="402"/>
      <x:c r="U200" s="402"/>
      <x:c r="V200" s="402"/>
      <x:c r="W200" s="402"/>
      <x:c r="X200" s="402"/>
      <x:c r="Y200" s="402"/>
      <x:c r="Z200" s="402"/>
    </x:row>
  </x:sheetData>
  <x:mergeCells>
    <x:mergeCell ref="A1:L2"/>
    <x:mergeCell ref="I4:L4"/>
    <x:mergeCell ref="A15:L16"/>
    <x:mergeCell ref="A18:F22"/>
    <x:mergeCell ref="H18:L22"/>
  </x:mergeCells>
  <x:conditionalFormatting sqref="B5:B12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{52C91449-CBC7-ECC4-9FA2-668C83A5804F}</x14:id>
        </x:ext>
      </x:extLst>
    </x:cfRule>
  </x:conditionalFormatting>
  <x:conditionalFormatting sqref="L5:L12">
    <x:cfRule type="expression" dxfId="4" priority="2">
      <x:formula>L5="PASS"</x:formula>
    </x:cfRule>
    <x:cfRule type="expression" dxfId="5" priority="3">
      <x:formula>L5="OPEN"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52C91449-CBC7-ECC4-9FA2-668C83A5804F}">
            <x14:dataBar gradient="1">
              <x14:cfvo type="min"/>
              <x14:cfvo type="max"/>
              <x14:fillColor rgb="FFA02B93"/>
            </x14:dataBar>
          </x14:cfRule>
          <xm:sqref>B5:B12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5" hidden="0" customWidth="1"/>
    <x:col min="3" max="3" width="15" hidden="0" customWidth="1"/>
    <x:col min="4" max="4" width="15" hidden="0" customWidth="1"/>
    <x:col min="5" max="5" width="20" hidden="0" customWidth="1"/>
    <x:col min="7" max="7" width="38" hidden="0" customWidth="1"/>
    <x:col min="8" max="8" width="18" hidden="0" customWidth="1"/>
  </x:cols>
  <x:sheetData>
    <x:row r="1">
      <x:c r="A1" s="596" t="str">
        <x:v>GoalOS Launch Financial Model - Editable Management Scenarios</x:v>
      </x:c>
      <x:c r="B1" s="596"/>
      <x:c r="C1" s="596"/>
      <x:c r="D1" s="596"/>
      <x:c r="E1" s="596"/>
      <x:c r="F1" s="596"/>
      <x:c r="G1" s="596"/>
      <x:c r="H1" s="596"/>
      <x:c r="I1" s="402"/>
      <x:c r="J1" s="402"/>
      <x:c r="K1" s="402"/>
      <x:c r="L1" s="402"/>
      <x:c r="M1" s="402"/>
      <x:c r="N1" s="402"/>
      <x:c r="O1" s="402"/>
      <x:c r="P1" s="402"/>
      <x:c r="Q1" s="402"/>
      <x:c r="R1" s="402"/>
      <x:c r="S1" s="402"/>
      <x:c r="T1" s="402"/>
      <x:c r="U1" s="402"/>
      <x:c r="V1" s="402"/>
      <x:c r="W1" s="402"/>
      <x:c r="X1" s="402"/>
      <x:c r="Y1" s="402"/>
      <x:c r="Z1" s="402"/>
    </x:row>
    <x:row r="2">
      <x:c r="A2" s="596"/>
      <x:c r="B2" s="596"/>
      <x:c r="C2" s="596"/>
      <x:c r="D2" s="596"/>
      <x:c r="E2" s="596"/>
      <x:c r="F2" s="596"/>
      <x:c r="G2" s="596"/>
      <x:c r="H2" s="596"/>
      <x:c r="I2" s="402"/>
      <x:c r="J2" s="402"/>
      <x:c r="K2" s="402"/>
      <x:c r="L2" s="402"/>
      <x:c r="M2" s="402"/>
      <x:c r="N2" s="402"/>
      <x:c r="O2" s="402"/>
      <x:c r="P2" s="402"/>
      <x:c r="Q2" s="402"/>
      <x:c r="R2" s="402"/>
      <x:c r="S2" s="402"/>
      <x:c r="T2" s="402"/>
      <x:c r="U2" s="402"/>
      <x:c r="V2" s="402"/>
      <x:c r="W2" s="402"/>
      <x:c r="X2" s="402"/>
      <x:c r="Y2" s="402"/>
      <x:c r="Z2" s="402"/>
    </x:row>
    <x:row r="3">
      <x:c r="A3" s="402"/>
      <x:c r="B3" s="402"/>
      <x:c r="C3" s="402"/>
      <x:c r="D3" s="402"/>
      <x:c r="E3" s="402"/>
      <x:c r="F3" s="402"/>
      <x:c r="G3" s="402"/>
      <x:c r="H3" s="402"/>
      <x:c r="I3" s="402"/>
      <x:c r="J3" s="402"/>
      <x:c r="K3" s="402"/>
      <x:c r="L3" s="402"/>
      <x:c r="M3" s="402"/>
      <x:c r="N3" s="402"/>
      <x:c r="O3" s="402"/>
      <x:c r="P3" s="402"/>
      <x:c r="Q3" s="402"/>
      <x:c r="R3" s="402"/>
      <x:c r="S3" s="402"/>
      <x:c r="T3" s="402"/>
      <x:c r="U3" s="402"/>
      <x:c r="V3" s="402"/>
      <x:c r="W3" s="402"/>
      <x:c r="X3" s="402"/>
      <x:c r="Y3" s="402"/>
      <x:c r="Z3" s="402"/>
    </x:row>
    <x:row r="4">
      <x:c r="A4" s="305" t="str">
        <x:v>Input</x:v>
      </x:c>
      <x:c r="B4" s="305" t="str">
        <x:v>Downside</x:v>
      </x:c>
      <x:c r="C4" s="305" t="str">
        <x:v>Base</x:v>
      </x:c>
      <x:c r="D4" s="305" t="str">
        <x:v>Upside</x:v>
      </x:c>
      <x:c r="E4" s="305" t="str">
        <x:v>Unit</x:v>
      </x:c>
      <x:c r="F4" s="402"/>
      <x:c r="G4" s="305" t="str">
        <x:v>Selected Input</x:v>
      </x:c>
      <x:c r="H4" s="305" t="str">
        <x:v>Value</x:v>
      </x:c>
      <x:c r="I4" s="402"/>
      <x:c r="J4" s="402"/>
      <x:c r="K4" s="402"/>
      <x:c r="L4" s="402"/>
      <x:c r="M4" s="402"/>
      <x:c r="N4" s="402"/>
      <x:c r="O4" s="402"/>
      <x:c r="P4" s="402"/>
      <x:c r="Q4" s="402"/>
      <x:c r="R4" s="402"/>
      <x:c r="S4" s="402"/>
      <x:c r="T4" s="402"/>
      <x:c r="U4" s="402"/>
      <x:c r="V4" s="402"/>
      <x:c r="W4" s="402"/>
      <x:c r="X4" s="402"/>
      <x:c r="Y4" s="402"/>
      <x:c r="Z4" s="402"/>
    </x:row>
    <x:row r="5">
      <x:c r="A5" s="402" t="str">
        <x:v>Selected scenario</x:v>
      </x:c>
      <x:c r="B5" s="494" t="str"/>
      <x:c r="C5" s="495" t="str">
        <x:v>Base</x:v>
      </x:c>
      <x:c r="D5" s="496" t="str"/>
      <x:c r="E5" s="402" t="str">
        <x:v>text</x:v>
      </x:c>
      <x:c r="F5" s="402"/>
      <x:c r="G5" s="409" t="str">
        <x:v>Month 1 Proof Missions</x:v>
      </x:c>
      <x:c r="H5" s="497" t="n">
        <x:f>IF($C$5="Downside",B6,IF($C$5="Upside",D6,C6))</x:f>
        <x:v>2</x:v>
      </x:c>
      <x:c r="I5" s="402"/>
      <x:c r="J5" s="402"/>
      <x:c r="K5" s="402"/>
      <x:c r="L5" s="402"/>
      <x:c r="M5" s="402"/>
      <x:c r="N5" s="402"/>
      <x:c r="O5" s="402"/>
      <x:c r="P5" s="402"/>
      <x:c r="Q5" s="402"/>
      <x:c r="R5" s="402"/>
      <x:c r="S5" s="402"/>
      <x:c r="T5" s="402"/>
      <x:c r="U5" s="402"/>
      <x:c r="V5" s="402"/>
      <x:c r="W5" s="402"/>
      <x:c r="X5" s="402"/>
      <x:c r="Y5" s="402"/>
      <x:c r="Z5" s="402"/>
    </x:row>
    <x:row r="6">
      <x:c r="A6" s="402" t="str">
        <x:v>Month 1 Proof Missions</x:v>
      </x:c>
      <x:c r="B6" s="498" t="n">
        <x:v>1</x:v>
      </x:c>
      <x:c r="C6" s="499" t="n">
        <x:v>2</x:v>
      </x:c>
      <x:c r="D6" s="500" t="n">
        <x:v>3</x:v>
      </x:c>
      <x:c r="E6" s="402" t="str">
        <x:v>missions</x:v>
      </x:c>
      <x:c r="F6" s="402"/>
      <x:c r="G6" s="418" t="str">
        <x:v>Monthly mission volume growth</x:v>
      </x:c>
      <x:c r="H6" s="501" t="n">
        <x:f>IF($C$5="Downside",B7,IF($C$5="Upside",D7,C7))</x:f>
        <x:v>0.08</x:v>
      </x:c>
      <x:c r="I6" s="402"/>
      <x:c r="J6" s="402"/>
      <x:c r="K6" s="402"/>
      <x:c r="L6" s="402"/>
      <x:c r="M6" s="402"/>
      <x:c r="N6" s="402"/>
      <x:c r="O6" s="402"/>
      <x:c r="P6" s="402"/>
      <x:c r="Q6" s="402"/>
      <x:c r="R6" s="402"/>
      <x:c r="S6" s="402"/>
      <x:c r="T6" s="402"/>
      <x:c r="U6" s="402"/>
      <x:c r="V6" s="402"/>
      <x:c r="W6" s="402"/>
      <x:c r="X6" s="402"/>
      <x:c r="Y6" s="402"/>
      <x:c r="Z6" s="402"/>
    </x:row>
    <x:row r="7">
      <x:c r="A7" s="402" t="str">
        <x:v>Monthly mission volume growth</x:v>
      </x:c>
      <x:c r="B7" s="502" t="n">
        <x:v>0.04</x:v>
      </x:c>
      <x:c r="C7" s="503" t="n">
        <x:v>0.08</x:v>
      </x:c>
      <x:c r="D7" s="504" t="n">
        <x:v>0.12</x:v>
      </x:c>
      <x:c r="E7" s="402" t="str">
        <x:v>%</x:v>
      </x:c>
      <x:c r="F7" s="402"/>
      <x:c r="G7" s="418" t="str">
        <x:v>Average mission price</x:v>
      </x:c>
      <x:c r="H7" s="501" t="n">
        <x:f>IF($C$5="Downside",B8,IF($C$5="Upside",D8,C8))</x:f>
        <x:v>25000</x:v>
      </x:c>
      <x:c r="I7" s="402"/>
      <x:c r="J7" s="402"/>
      <x:c r="K7" s="402"/>
      <x:c r="L7" s="402"/>
      <x:c r="M7" s="402"/>
      <x:c r="N7" s="402"/>
      <x:c r="O7" s="402"/>
      <x:c r="P7" s="402"/>
      <x:c r="Q7" s="402"/>
      <x:c r="R7" s="402"/>
      <x:c r="S7" s="402"/>
      <x:c r="T7" s="402"/>
      <x:c r="U7" s="402"/>
      <x:c r="V7" s="402"/>
      <x:c r="W7" s="402"/>
      <x:c r="X7" s="402"/>
      <x:c r="Y7" s="402"/>
      <x:c r="Z7" s="402"/>
    </x:row>
    <x:row r="8">
      <x:c r="A8" s="402" t="str">
        <x:v>Average mission price</x:v>
      </x:c>
      <x:c r="B8" s="505" t="n">
        <x:v>18000</x:v>
      </x:c>
      <x:c r="C8" s="506" t="n">
        <x:v>25000</x:v>
      </x:c>
      <x:c r="D8" s="507" t="n">
        <x:v>35000</x:v>
      </x:c>
      <x:c r="E8" s="402" t="str">
        <x:v>USD</x:v>
      </x:c>
      <x:c r="F8" s="402"/>
      <x:c r="G8" s="418" t="str">
        <x:v>Annual mission price increase</x:v>
      </x:c>
      <x:c r="H8" s="501" t="n">
        <x:f>IF($C$5="Downside",B9,IF($C$5="Upside",D9,C9))</x:f>
        <x:v>0.05</x:v>
      </x:c>
      <x:c r="I8" s="402"/>
      <x:c r="J8" s="402"/>
      <x:c r="K8" s="402"/>
      <x:c r="L8" s="402"/>
      <x:c r="M8" s="402"/>
      <x:c r="N8" s="402"/>
      <x:c r="O8" s="402"/>
      <x:c r="P8" s="402"/>
      <x:c r="Q8" s="402"/>
      <x:c r="R8" s="402"/>
      <x:c r="S8" s="402"/>
      <x:c r="T8" s="402"/>
      <x:c r="U8" s="402"/>
      <x:c r="V8" s="402"/>
      <x:c r="W8" s="402"/>
      <x:c r="X8" s="402"/>
      <x:c r="Y8" s="402"/>
      <x:c r="Z8" s="402"/>
    </x:row>
    <x:row r="9">
      <x:c r="A9" s="402" t="str">
        <x:v>Annual mission price increase</x:v>
      </x:c>
      <x:c r="B9" s="502" t="n">
        <x:v>0.02</x:v>
      </x:c>
      <x:c r="C9" s="503" t="n">
        <x:v>0.05</x:v>
      </x:c>
      <x:c r="D9" s="504" t="n">
        <x:v>0.08</x:v>
      </x:c>
      <x:c r="E9" s="402" t="str">
        <x:v>%</x:v>
      </x:c>
      <x:c r="F9" s="402"/>
      <x:c r="G9" s="418" t="str">
        <x:v>Month 1 Proof Offices</x:v>
      </x:c>
      <x:c r="H9" s="501" t="n">
        <x:f>IF($C$5="Downside",B10,IF($C$5="Upside",D10,C10))</x:f>
        <x:v>1</x:v>
      </x:c>
      <x:c r="I9" s="402"/>
      <x:c r="J9" s="402"/>
      <x:c r="K9" s="402"/>
      <x:c r="L9" s="402"/>
      <x:c r="M9" s="402"/>
      <x:c r="N9" s="402"/>
      <x:c r="O9" s="402"/>
      <x:c r="P9" s="402"/>
      <x:c r="Q9" s="402"/>
      <x:c r="R9" s="402"/>
      <x:c r="S9" s="402"/>
      <x:c r="T9" s="402"/>
      <x:c r="U9" s="402"/>
      <x:c r="V9" s="402"/>
      <x:c r="W9" s="402"/>
      <x:c r="X9" s="402"/>
      <x:c r="Y9" s="402"/>
      <x:c r="Z9" s="402"/>
    </x:row>
    <x:row r="10">
      <x:c r="A10" s="402" t="str">
        <x:v>Month 1 Proof Offices</x:v>
      </x:c>
      <x:c r="B10" s="498" t="n">
        <x:v>0</x:v>
      </x:c>
      <x:c r="C10" s="499" t="n">
        <x:v>1</x:v>
      </x:c>
      <x:c r="D10" s="500" t="n">
        <x:v>2</x:v>
      </x:c>
      <x:c r="E10" s="402" t="str">
        <x:v>accounts</x:v>
      </x:c>
      <x:c r="F10" s="402"/>
      <x:c r="G10" s="418" t="str">
        <x:v>Proof Office monthly fee</x:v>
      </x:c>
      <x:c r="H10" s="501" t="n">
        <x:f>IF($C$5="Downside",B11,IF($C$5="Upside",D11,C11))</x:f>
        <x:v>15000</x:v>
      </x:c>
      <x:c r="I10" s="402"/>
      <x:c r="J10" s="402"/>
      <x:c r="K10" s="402"/>
      <x:c r="L10" s="402"/>
      <x:c r="M10" s="402"/>
      <x:c r="N10" s="402"/>
      <x:c r="O10" s="402"/>
      <x:c r="P10" s="402"/>
      <x:c r="Q10" s="402"/>
      <x:c r="R10" s="402"/>
      <x:c r="S10" s="402"/>
      <x:c r="T10" s="402"/>
      <x:c r="U10" s="402"/>
      <x:c r="V10" s="402"/>
      <x:c r="W10" s="402"/>
      <x:c r="X10" s="402"/>
      <x:c r="Y10" s="402"/>
      <x:c r="Z10" s="402"/>
    </x:row>
    <x:row r="11">
      <x:c r="A11" s="402" t="str">
        <x:v>Proof Office monthly fee</x:v>
      </x:c>
      <x:c r="B11" s="505" t="n">
        <x:v>10000</x:v>
      </x:c>
      <x:c r="C11" s="506" t="n">
        <x:v>15000</x:v>
      </x:c>
      <x:c r="D11" s="507" t="n">
        <x:v>25000</x:v>
      </x:c>
      <x:c r="E11" s="402" t="str">
        <x:v>USD</x:v>
      </x:c>
      <x:c r="F11" s="402"/>
      <x:c r="G11" s="418" t="str">
        <x:v>New Proof Office every N months</x:v>
      </x:c>
      <x:c r="H11" s="501" t="n">
        <x:f>IF($C$5="Downside",B12,IF($C$5="Upside",D12,C12))</x:f>
        <x:v>4</x:v>
      </x:c>
      <x:c r="I11" s="402"/>
      <x:c r="J11" s="402"/>
      <x:c r="K11" s="402"/>
      <x:c r="L11" s="402"/>
      <x:c r="M11" s="402"/>
      <x:c r="N11" s="402"/>
      <x:c r="O11" s="402"/>
      <x:c r="P11" s="402"/>
      <x:c r="Q11" s="402"/>
      <x:c r="R11" s="402"/>
      <x:c r="S11" s="402"/>
      <x:c r="T11" s="402"/>
      <x:c r="U11" s="402"/>
      <x:c r="V11" s="402"/>
      <x:c r="W11" s="402"/>
      <x:c r="X11" s="402"/>
      <x:c r="Y11" s="402"/>
      <x:c r="Z11" s="402"/>
    </x:row>
    <x:row r="12">
      <x:c r="A12" s="402" t="str">
        <x:v>New Proof Office every N months</x:v>
      </x:c>
      <x:c r="B12" s="498" t="n">
        <x:v>6</x:v>
      </x:c>
      <x:c r="C12" s="499" t="n">
        <x:v>4</x:v>
      </x:c>
      <x:c r="D12" s="500" t="n">
        <x:v>3</x:v>
      </x:c>
      <x:c r="E12" s="402" t="str">
        <x:v>months</x:v>
      </x:c>
      <x:c r="F12" s="402"/>
      <x:c r="G12" s="418" t="str">
        <x:v>Proof Office churn / year</x:v>
      </x:c>
      <x:c r="H12" s="501" t="n">
        <x:f>IF($C$5="Downside",B13,IF($C$5="Upside",D13,C13))</x:f>
        <x:v>0.15</x:v>
      </x:c>
      <x:c r="I12" s="402"/>
      <x:c r="J12" s="402"/>
      <x:c r="K12" s="402"/>
      <x:c r="L12" s="402"/>
      <x:c r="M12" s="402"/>
      <x:c r="N12" s="402"/>
      <x:c r="O12" s="402"/>
      <x:c r="P12" s="402"/>
      <x:c r="Q12" s="402"/>
      <x:c r="R12" s="402"/>
      <x:c r="S12" s="402"/>
      <x:c r="T12" s="402"/>
      <x:c r="U12" s="402"/>
      <x:c r="V12" s="402"/>
      <x:c r="W12" s="402"/>
      <x:c r="X12" s="402"/>
      <x:c r="Y12" s="402"/>
      <x:c r="Z12" s="402"/>
    </x:row>
    <x:row r="13">
      <x:c r="A13" s="402" t="str">
        <x:v>Proof Office churn / year</x:v>
      </x:c>
      <x:c r="B13" s="502" t="n">
        <x:v>0.25</x:v>
      </x:c>
      <x:c r="C13" s="503" t="n">
        <x:v>0.15</x:v>
      </x:c>
      <x:c r="D13" s="504" t="n">
        <x:v>0.08</x:v>
      </x:c>
      <x:c r="E13" s="402" t="str">
        <x:v>%</x:v>
      </x:c>
      <x:c r="F13" s="402"/>
      <x:c r="G13" s="418" t="str">
        <x:v>Platform launch month</x:v>
      </x:c>
      <x:c r="H13" s="501" t="n">
        <x:f>IF($C$5="Downside",B14,IF($C$5="Upside",D14,C14))</x:f>
        <x:v>18</x:v>
      </x:c>
      <x:c r="I13" s="402"/>
      <x:c r="J13" s="402"/>
      <x:c r="K13" s="402"/>
      <x:c r="L13" s="402"/>
      <x:c r="M13" s="402"/>
      <x:c r="N13" s="402"/>
      <x:c r="O13" s="402"/>
      <x:c r="P13" s="402"/>
      <x:c r="Q13" s="402"/>
      <x:c r="R13" s="402"/>
      <x:c r="S13" s="402"/>
      <x:c r="T13" s="402"/>
      <x:c r="U13" s="402"/>
      <x:c r="V13" s="402"/>
      <x:c r="W13" s="402"/>
      <x:c r="X13" s="402"/>
      <x:c r="Y13" s="402"/>
      <x:c r="Z13" s="402"/>
    </x:row>
    <x:row r="14">
      <x:c r="A14" s="402" t="str">
        <x:v>Platform launch month</x:v>
      </x:c>
      <x:c r="B14" s="498" t="n">
        <x:v>24</x:v>
      </x:c>
      <x:c r="C14" s="499" t="n">
        <x:v>18</x:v>
      </x:c>
      <x:c r="D14" s="500" t="n">
        <x:v>15</x:v>
      </x:c>
      <x:c r="E14" s="402" t="str">
        <x:v>month</x:v>
      </x:c>
      <x:c r="F14" s="402"/>
      <x:c r="G14" s="418" t="str">
        <x:v>Platform annual contract value</x:v>
      </x:c>
      <x:c r="H14" s="501" t="n">
        <x:f>IF($C$5="Downside",B15,IF($C$5="Upside",D15,C15))</x:f>
        <x:v>300000</x:v>
      </x:c>
      <x:c r="I14" s="402"/>
      <x:c r="J14" s="402"/>
      <x:c r="K14" s="402"/>
      <x:c r="L14" s="402"/>
      <x:c r="M14" s="402"/>
      <x:c r="N14" s="402"/>
      <x:c r="O14" s="402"/>
      <x:c r="P14" s="402"/>
      <x:c r="Q14" s="402"/>
      <x:c r="R14" s="402"/>
      <x:c r="S14" s="402"/>
      <x:c r="T14" s="402"/>
      <x:c r="U14" s="402"/>
      <x:c r="V14" s="402"/>
      <x:c r="W14" s="402"/>
      <x:c r="X14" s="402"/>
      <x:c r="Y14" s="402"/>
      <x:c r="Z14" s="402"/>
    </x:row>
    <x:row r="15">
      <x:c r="A15" s="402" t="str">
        <x:v>Platform annual contract value</x:v>
      </x:c>
      <x:c r="B15" s="505" t="n">
        <x:v>180000</x:v>
      </x:c>
      <x:c r="C15" s="506" t="n">
        <x:v>300000</x:v>
      </x:c>
      <x:c r="D15" s="507" t="n">
        <x:v>500000</x:v>
      </x:c>
      <x:c r="E15" s="402" t="str">
        <x:v>USD</x:v>
      </x:c>
      <x:c r="F15" s="402"/>
      <x:c r="G15" s="418" t="str">
        <x:v>New platform account every N months</x:v>
      </x:c>
      <x:c r="H15" s="501" t="n">
        <x:f>IF($C$5="Downside",B16,IF($C$5="Upside",D16,C16))</x:f>
        <x:v>6</x:v>
      </x:c>
      <x:c r="I15" s="402"/>
      <x:c r="J15" s="402"/>
      <x:c r="K15" s="402"/>
      <x:c r="L15" s="402"/>
      <x:c r="M15" s="402"/>
      <x:c r="N15" s="402"/>
      <x:c r="O15" s="402"/>
      <x:c r="P15" s="402"/>
      <x:c r="Q15" s="402"/>
      <x:c r="R15" s="402"/>
      <x:c r="S15" s="402"/>
      <x:c r="T15" s="402"/>
      <x:c r="U15" s="402"/>
      <x:c r="V15" s="402"/>
      <x:c r="W15" s="402"/>
      <x:c r="X15" s="402"/>
      <x:c r="Y15" s="402"/>
      <x:c r="Z15" s="402"/>
    </x:row>
    <x:row r="16">
      <x:c r="A16" s="402" t="str">
        <x:v>New platform account every N months</x:v>
      </x:c>
      <x:c r="B16" s="498" t="n">
        <x:v>9</x:v>
      </x:c>
      <x:c r="C16" s="499" t="n">
        <x:v>6</x:v>
      </x:c>
      <x:c r="D16" s="500" t="n">
        <x:v>4</x:v>
      </x:c>
      <x:c r="E16" s="402" t="str">
        <x:v>months</x:v>
      </x:c>
      <x:c r="F16" s="402"/>
      <x:c r="G16" s="418" t="str">
        <x:v>Month 1 licensing / usage revenue</x:v>
      </x:c>
      <x:c r="H16" s="501" t="n">
        <x:f>IF($C$5="Downside",B17,IF($C$5="Upside",D17,C17))</x:f>
        <x:v>0</x:v>
      </x:c>
      <x:c r="I16" s="402"/>
      <x:c r="J16" s="402"/>
      <x:c r="K16" s="402"/>
      <x:c r="L16" s="402"/>
      <x:c r="M16" s="402"/>
      <x:c r="N16" s="402"/>
      <x:c r="O16" s="402"/>
      <x:c r="P16" s="402"/>
      <x:c r="Q16" s="402"/>
      <x:c r="R16" s="402"/>
      <x:c r="S16" s="402"/>
      <x:c r="T16" s="402"/>
      <x:c r="U16" s="402"/>
      <x:c r="V16" s="402"/>
      <x:c r="W16" s="402"/>
      <x:c r="X16" s="402"/>
      <x:c r="Y16" s="402"/>
      <x:c r="Z16" s="402"/>
    </x:row>
    <x:row r="17">
      <x:c r="A17" s="402" t="str">
        <x:v>Month 1 licensing / usage revenue</x:v>
      </x:c>
      <x:c r="B17" s="498" t="n">
        <x:v>0</x:v>
      </x:c>
      <x:c r="C17" s="499" t="n">
        <x:v>0</x:v>
      </x:c>
      <x:c r="D17" s="500" t="n">
        <x:v>0</x:v>
      </x:c>
      <x:c r="E17" s="402" t="str">
        <x:v>USD</x:v>
      </x:c>
      <x:c r="F17" s="402"/>
      <x:c r="G17" s="418" t="str">
        <x:v>Licensing starts month</x:v>
      </x:c>
      <x:c r="H17" s="501" t="n">
        <x:f>IF($C$5="Downside",B18,IF($C$5="Upside",D18,C18))</x:f>
        <x:v>24</x:v>
      </x:c>
      <x:c r="I17" s="402"/>
      <x:c r="J17" s="402"/>
      <x:c r="K17" s="402"/>
      <x:c r="L17" s="402"/>
      <x:c r="M17" s="402"/>
      <x:c r="N17" s="402"/>
      <x:c r="O17" s="402"/>
      <x:c r="P17" s="402"/>
      <x:c r="Q17" s="402"/>
      <x:c r="R17" s="402"/>
      <x:c r="S17" s="402"/>
      <x:c r="T17" s="402"/>
      <x:c r="U17" s="402"/>
      <x:c r="V17" s="402"/>
      <x:c r="W17" s="402"/>
      <x:c r="X17" s="402"/>
      <x:c r="Y17" s="402"/>
      <x:c r="Z17" s="402"/>
    </x:row>
    <x:row r="18">
      <x:c r="A18" s="402" t="str">
        <x:v>Licensing starts month</x:v>
      </x:c>
      <x:c r="B18" s="498" t="n">
        <x:v>30</x:v>
      </x:c>
      <x:c r="C18" s="499" t="n">
        <x:v>24</x:v>
      </x:c>
      <x:c r="D18" s="500" t="n">
        <x:v>20</x:v>
      </x:c>
      <x:c r="E18" s="402" t="str">
        <x:v>month</x:v>
      </x:c>
      <x:c r="F18" s="402"/>
      <x:c r="G18" s="418" t="str">
        <x:v>Monthly licensing growth after start</x:v>
      </x:c>
      <x:c r="H18" s="501" t="n">
        <x:f>IF($C$5="Downside",B19,IF($C$5="Upside",D19,C19))</x:f>
        <x:v>0.15</x:v>
      </x:c>
      <x:c r="I18" s="402"/>
      <x:c r="J18" s="402"/>
      <x:c r="K18" s="402"/>
      <x:c r="L18" s="402"/>
      <x:c r="M18" s="402"/>
      <x:c r="N18" s="402"/>
      <x:c r="O18" s="402"/>
      <x:c r="P18" s="402"/>
      <x:c r="Q18" s="402"/>
      <x:c r="R18" s="402"/>
      <x:c r="S18" s="402"/>
      <x:c r="T18" s="402"/>
      <x:c r="U18" s="402"/>
      <x:c r="V18" s="402"/>
      <x:c r="W18" s="402"/>
      <x:c r="X18" s="402"/>
      <x:c r="Y18" s="402"/>
      <x:c r="Z18" s="402"/>
    </x:row>
    <x:row r="19">
      <x:c r="A19" s="402" t="str">
        <x:v>Monthly licensing growth after start</x:v>
      </x:c>
      <x:c r="B19" s="502" t="n">
        <x:v>0.08</x:v>
      </x:c>
      <x:c r="C19" s="503" t="n">
        <x:v>0.15</x:v>
      </x:c>
      <x:c r="D19" s="504" t="n">
        <x:v>0.25</x:v>
      </x:c>
      <x:c r="E19" s="402" t="str">
        <x:v>%</x:v>
      </x:c>
      <x:c r="F19" s="402"/>
      <x:c r="G19" s="418" t="str">
        <x:v>Mission COGS rate</x:v>
      </x:c>
      <x:c r="H19" s="501" t="n">
        <x:f>IF($C$5="Downside",B20,IF($C$5="Upside",D20,C20))</x:f>
        <x:v>0.42</x:v>
      </x:c>
      <x:c r="I19" s="402"/>
      <x:c r="J19" s="402"/>
      <x:c r="K19" s="402"/>
      <x:c r="L19" s="402"/>
      <x:c r="M19" s="402"/>
      <x:c r="N19" s="402"/>
      <x:c r="O19" s="402"/>
      <x:c r="P19" s="402"/>
      <x:c r="Q19" s="402"/>
      <x:c r="R19" s="402"/>
      <x:c r="S19" s="402"/>
      <x:c r="T19" s="402"/>
      <x:c r="U19" s="402"/>
      <x:c r="V19" s="402"/>
      <x:c r="W19" s="402"/>
      <x:c r="X19" s="402"/>
      <x:c r="Y19" s="402"/>
      <x:c r="Z19" s="402"/>
    </x:row>
    <x:row r="20">
      <x:c r="A20" s="402" t="str">
        <x:v>Mission COGS rate</x:v>
      </x:c>
      <x:c r="B20" s="502" t="n">
        <x:v>0.55</x:v>
      </x:c>
      <x:c r="C20" s="503" t="n">
        <x:v>0.42</x:v>
      </x:c>
      <x:c r="D20" s="504" t="n">
        <x:v>0.32</x:v>
      </x:c>
      <x:c r="E20" s="402" t="str">
        <x:v>%</x:v>
      </x:c>
      <x:c r="F20" s="402"/>
      <x:c r="G20" s="418" t="str">
        <x:v>Office / platform COGS rate</x:v>
      </x:c>
      <x:c r="H20" s="501" t="n">
        <x:f>IF($C$5="Downside",B21,IF($C$5="Upside",D21,C21))</x:f>
        <x:v>0.24</x:v>
      </x:c>
      <x:c r="I20" s="402"/>
      <x:c r="J20" s="402"/>
      <x:c r="K20" s="402"/>
      <x:c r="L20" s="402"/>
      <x:c r="M20" s="402"/>
      <x:c r="N20" s="402"/>
      <x:c r="O20" s="402"/>
      <x:c r="P20" s="402"/>
      <x:c r="Q20" s="402"/>
      <x:c r="R20" s="402"/>
      <x:c r="S20" s="402"/>
      <x:c r="T20" s="402"/>
      <x:c r="U20" s="402"/>
      <x:c r="V20" s="402"/>
      <x:c r="W20" s="402"/>
      <x:c r="X20" s="402"/>
      <x:c r="Y20" s="402"/>
      <x:c r="Z20" s="402"/>
    </x:row>
    <x:row r="21">
      <x:c r="A21" s="402" t="str">
        <x:v>Office / platform COGS rate</x:v>
      </x:c>
      <x:c r="B21" s="498" t="n">
        <x:v>0.35</x:v>
      </x:c>
      <x:c r="C21" s="499" t="n">
        <x:v>0.24</x:v>
      </x:c>
      <x:c r="D21" s="500" t="n">
        <x:v>0.18</x:v>
      </x:c>
      <x:c r="E21" s="402" t="str">
        <x:v>%</x:v>
      </x:c>
      <x:c r="F21" s="402"/>
      <x:c r="G21" s="418" t="str">
        <x:v>Starting headcount</x:v>
      </x:c>
      <x:c r="H21" s="501" t="n">
        <x:f>IF($C$5="Downside",B22,IF($C$5="Upside",D22,C22))</x:f>
        <x:v>5</x:v>
      </x:c>
      <x:c r="I21" s="402"/>
      <x:c r="J21" s="402"/>
      <x:c r="K21" s="402"/>
      <x:c r="L21" s="402"/>
      <x:c r="M21" s="402"/>
      <x:c r="N21" s="402"/>
      <x:c r="O21" s="402"/>
      <x:c r="P21" s="402"/>
      <x:c r="Q21" s="402"/>
      <x:c r="R21" s="402"/>
      <x:c r="S21" s="402"/>
      <x:c r="T21" s="402"/>
      <x:c r="U21" s="402"/>
      <x:c r="V21" s="402"/>
      <x:c r="W21" s="402"/>
      <x:c r="X21" s="402"/>
      <x:c r="Y21" s="402"/>
      <x:c r="Z21" s="402"/>
    </x:row>
    <x:row r="22">
      <x:c r="A22" s="402" t="str">
        <x:v>Starting headcount</x:v>
      </x:c>
      <x:c r="B22" s="498" t="n">
        <x:v>4</x:v>
      </x:c>
      <x:c r="C22" s="499" t="n">
        <x:v>5</x:v>
      </x:c>
      <x:c r="D22" s="500" t="n">
        <x:v>7</x:v>
      </x:c>
      <x:c r="E22" s="402" t="str">
        <x:v>FTE</x:v>
      </x:c>
      <x:c r="F22" s="402"/>
      <x:c r="G22" s="418" t="str">
        <x:v>Month 12 headcount</x:v>
      </x:c>
      <x:c r="H22" s="501" t="n">
        <x:f>IF($C$5="Downside",B23,IF($C$5="Upside",D23,C23))</x:f>
        <x:v>8</x:v>
      </x:c>
      <x:c r="I22" s="402"/>
      <x:c r="J22" s="402"/>
      <x:c r="K22" s="402"/>
      <x:c r="L22" s="402"/>
      <x:c r="M22" s="402"/>
      <x:c r="N22" s="402"/>
      <x:c r="O22" s="402"/>
      <x:c r="P22" s="402"/>
      <x:c r="Q22" s="402"/>
      <x:c r="R22" s="402"/>
      <x:c r="S22" s="402"/>
      <x:c r="T22" s="402"/>
      <x:c r="U22" s="402"/>
      <x:c r="V22" s="402"/>
      <x:c r="W22" s="402"/>
      <x:c r="X22" s="402"/>
      <x:c r="Y22" s="402"/>
      <x:c r="Z22" s="402"/>
    </x:row>
    <x:row r="23">
      <x:c r="A23" s="402" t="str">
        <x:v>Month 12 headcount</x:v>
      </x:c>
      <x:c r="B23" s="498" t="n">
        <x:v>6</x:v>
      </x:c>
      <x:c r="C23" s="499" t="n">
        <x:v>8</x:v>
      </x:c>
      <x:c r="D23" s="500" t="n">
        <x:v>12</x:v>
      </x:c>
      <x:c r="E23" s="402" t="str">
        <x:v>FTE</x:v>
      </x:c>
      <x:c r="F23" s="402"/>
      <x:c r="G23" s="418" t="str">
        <x:v>Month 24 headcount</x:v>
      </x:c>
      <x:c r="H23" s="501" t="n">
        <x:f>IF($C$5="Downside",B24,IF($C$5="Upside",D24,C24))</x:f>
        <x:v>14</x:v>
      </x:c>
      <x:c r="I23" s="402"/>
      <x:c r="J23" s="402"/>
      <x:c r="K23" s="402"/>
      <x:c r="L23" s="402"/>
      <x:c r="M23" s="402"/>
      <x:c r="N23" s="402"/>
      <x:c r="O23" s="402"/>
      <x:c r="P23" s="402"/>
      <x:c r="Q23" s="402"/>
      <x:c r="R23" s="402"/>
      <x:c r="S23" s="402"/>
      <x:c r="T23" s="402"/>
      <x:c r="U23" s="402"/>
      <x:c r="V23" s="402"/>
      <x:c r="W23" s="402"/>
      <x:c r="X23" s="402"/>
      <x:c r="Y23" s="402"/>
      <x:c r="Z23" s="402"/>
    </x:row>
    <x:row r="24">
      <x:c r="A24" s="402" t="str">
        <x:v>Month 24 headcount</x:v>
      </x:c>
      <x:c r="B24" s="498" t="n">
        <x:v>10</x:v>
      </x:c>
      <x:c r="C24" s="499" t="n">
        <x:v>14</x:v>
      </x:c>
      <x:c r="D24" s="500" t="n">
        <x:v>22</x:v>
      </x:c>
      <x:c r="E24" s="402" t="str">
        <x:v>FTE</x:v>
      </x:c>
      <x:c r="F24" s="402"/>
      <x:c r="G24" s="418" t="str">
        <x:v>Month 36 headcount</x:v>
      </x:c>
      <x:c r="H24" s="501" t="n">
        <x:f>IF($C$5="Downside",B25,IF($C$5="Upside",D25,C25))</x:f>
        <x:v>22</x:v>
      </x:c>
      <x:c r="I24" s="402"/>
      <x:c r="J24" s="402"/>
      <x:c r="K24" s="402"/>
      <x:c r="L24" s="402"/>
      <x:c r="M24" s="402"/>
      <x:c r="N24" s="402"/>
      <x:c r="O24" s="402"/>
      <x:c r="P24" s="402"/>
      <x:c r="Q24" s="402"/>
      <x:c r="R24" s="402"/>
      <x:c r="S24" s="402"/>
      <x:c r="T24" s="402"/>
      <x:c r="U24" s="402"/>
      <x:c r="V24" s="402"/>
      <x:c r="W24" s="402"/>
      <x:c r="X24" s="402"/>
      <x:c r="Y24" s="402"/>
      <x:c r="Z24" s="402"/>
    </x:row>
    <x:row r="25">
      <x:c r="A25" s="402" t="str">
        <x:v>Month 36 headcount</x:v>
      </x:c>
      <x:c r="B25" s="498" t="n">
        <x:v>15</x:v>
      </x:c>
      <x:c r="C25" s="499" t="n">
        <x:v>22</x:v>
      </x:c>
      <x:c r="D25" s="500" t="n">
        <x:v>35</x:v>
      </x:c>
      <x:c r="E25" s="402" t="str">
        <x:v>FTE</x:v>
      </x:c>
      <x:c r="F25" s="402"/>
      <x:c r="G25" s="418" t="str">
        <x:v>Average fully loaded annual cost</x:v>
      </x:c>
      <x:c r="H25" s="501" t="n">
        <x:f>IF($C$5="Downside",B26,IF($C$5="Upside",D26,C26))</x:f>
        <x:v>190000</x:v>
      </x:c>
      <x:c r="I25" s="402"/>
      <x:c r="J25" s="402"/>
      <x:c r="K25" s="402"/>
      <x:c r="L25" s="402"/>
      <x:c r="M25" s="402"/>
      <x:c r="N25" s="402"/>
      <x:c r="O25" s="402"/>
      <x:c r="P25" s="402"/>
      <x:c r="Q25" s="402"/>
      <x:c r="R25" s="402"/>
      <x:c r="S25" s="402"/>
      <x:c r="T25" s="402"/>
      <x:c r="U25" s="402"/>
      <x:c r="V25" s="402"/>
      <x:c r="W25" s="402"/>
      <x:c r="X25" s="402"/>
      <x:c r="Y25" s="402"/>
      <x:c r="Z25" s="402"/>
    </x:row>
    <x:row r="26">
      <x:c r="A26" s="402" t="str">
        <x:v>Average fully loaded annual cost</x:v>
      </x:c>
      <x:c r="B26" s="498" t="n">
        <x:v>160000</x:v>
      </x:c>
      <x:c r="C26" s="499" t="n">
        <x:v>190000</x:v>
      </x:c>
      <x:c r="D26" s="500" t="n">
        <x:v>230000</x:v>
      </x:c>
      <x:c r="E26" s="402" t="str">
        <x:v>USD</x:v>
      </x:c>
      <x:c r="F26" s="402"/>
      <x:c r="G26" s="418" t="str">
        <x:v>Other monthly opex - month 1</x:v>
      </x:c>
      <x:c r="H26" s="501" t="n">
        <x:f>IF($C$5="Downside",B27,IF($C$5="Upside",D27,C27))</x:f>
        <x:v>50000</x:v>
      </x:c>
      <x:c r="I26" s="402"/>
      <x:c r="J26" s="402"/>
      <x:c r="K26" s="402"/>
      <x:c r="L26" s="402"/>
      <x:c r="M26" s="402"/>
      <x:c r="N26" s="402"/>
      <x:c r="O26" s="402"/>
      <x:c r="P26" s="402"/>
      <x:c r="Q26" s="402"/>
      <x:c r="R26" s="402"/>
      <x:c r="S26" s="402"/>
      <x:c r="T26" s="402"/>
      <x:c r="U26" s="402"/>
      <x:c r="V26" s="402"/>
      <x:c r="W26" s="402"/>
      <x:c r="X26" s="402"/>
      <x:c r="Y26" s="402"/>
      <x:c r="Z26" s="402"/>
    </x:row>
    <x:row r="27">
      <x:c r="A27" s="402" t="str">
        <x:v>Other monthly opex - month 1</x:v>
      </x:c>
      <x:c r="B27" s="505" t="n">
        <x:v>30000</x:v>
      </x:c>
      <x:c r="C27" s="506" t="n">
        <x:v>50000</x:v>
      </x:c>
      <x:c r="D27" s="507" t="n">
        <x:v>90000</x:v>
      </x:c>
      <x:c r="E27" s="402" t="str">
        <x:v>USD</x:v>
      </x:c>
      <x:c r="F27" s="402"/>
      <x:c r="G27" s="418" t="str">
        <x:v>Other opex monthly growth</x:v>
      </x:c>
      <x:c r="H27" s="501" t="n">
        <x:f>IF($C$5="Downside",B28,IF($C$5="Upside",D28,C28))</x:f>
        <x:v>0.035</x:v>
      </x:c>
      <x:c r="I27" s="402"/>
      <x:c r="J27" s="402"/>
      <x:c r="K27" s="402"/>
      <x:c r="L27" s="402"/>
      <x:c r="M27" s="402"/>
      <x:c r="N27" s="402"/>
      <x:c r="O27" s="402"/>
      <x:c r="P27" s="402"/>
      <x:c r="Q27" s="402"/>
      <x:c r="R27" s="402"/>
      <x:c r="S27" s="402"/>
      <x:c r="T27" s="402"/>
      <x:c r="U27" s="402"/>
      <x:c r="V27" s="402"/>
      <x:c r="W27" s="402"/>
      <x:c r="X27" s="402"/>
      <x:c r="Y27" s="402"/>
      <x:c r="Z27" s="402"/>
    </x:row>
    <x:row r="28">
      <x:c r="A28" s="402" t="str">
        <x:v>Other opex monthly growth</x:v>
      </x:c>
      <x:c r="B28" s="505" t="n">
        <x:v>0.02</x:v>
      </x:c>
      <x:c r="C28" s="506" t="n">
        <x:v>0.035</x:v>
      </x:c>
      <x:c r="D28" s="507" t="n">
        <x:v>0.05</x:v>
      </x:c>
      <x:c r="E28" s="402" t="str">
        <x:v>%</x:v>
      </x:c>
      <x:c r="F28" s="402"/>
      <x:c r="G28" s="418" t="str">
        <x:v>Pre-seed / founder capital month 1</x:v>
      </x:c>
      <x:c r="H28" s="501" t="n">
        <x:f>IF($C$5="Downside",B29,IF($C$5="Upside",D29,C29))</x:f>
        <x:v>2000000</x:v>
      </x:c>
      <x:c r="I28" s="402"/>
      <x:c r="J28" s="402"/>
      <x:c r="K28" s="402"/>
      <x:c r="L28" s="402"/>
      <x:c r="M28" s="402"/>
      <x:c r="N28" s="402"/>
      <x:c r="O28" s="402"/>
      <x:c r="P28" s="402"/>
      <x:c r="Q28" s="402"/>
      <x:c r="R28" s="402"/>
      <x:c r="S28" s="402"/>
      <x:c r="T28" s="402"/>
      <x:c r="U28" s="402"/>
      <x:c r="V28" s="402"/>
      <x:c r="W28" s="402"/>
      <x:c r="X28" s="402"/>
      <x:c r="Y28" s="402"/>
      <x:c r="Z28" s="402"/>
    </x:row>
    <x:row r="29">
      <x:c r="A29" s="402" t="str">
        <x:v>Pre-seed / founder capital month 1</x:v>
      </x:c>
      <x:c r="B29" s="505" t="n">
        <x:v>1000000</x:v>
      </x:c>
      <x:c r="C29" s="506" t="n">
        <x:v>2000000</x:v>
      </x:c>
      <x:c r="D29" s="507" t="n">
        <x:v>4000000</x:v>
      </x:c>
      <x:c r="E29" s="402" t="str">
        <x:v>USD</x:v>
      </x:c>
      <x:c r="F29" s="402"/>
      <x:c r="G29" s="418" t="str">
        <x:v>Seed capital month 12</x:v>
      </x:c>
      <x:c r="H29" s="501" t="n">
        <x:f>IF($C$5="Downside",B30,IF($C$5="Upside",D30,C30))</x:f>
        <x:v>8000000</x:v>
      </x:c>
      <x:c r="I29" s="402"/>
      <x:c r="J29" s="402"/>
      <x:c r="K29" s="402"/>
      <x:c r="L29" s="402"/>
      <x:c r="M29" s="402"/>
      <x:c r="N29" s="402"/>
      <x:c r="O29" s="402"/>
      <x:c r="P29" s="402"/>
      <x:c r="Q29" s="402"/>
      <x:c r="R29" s="402"/>
      <x:c r="S29" s="402"/>
      <x:c r="T29" s="402"/>
      <x:c r="U29" s="402"/>
      <x:c r="V29" s="402"/>
      <x:c r="W29" s="402"/>
      <x:c r="X29" s="402"/>
      <x:c r="Y29" s="402"/>
      <x:c r="Z29" s="402"/>
    </x:row>
    <x:row r="30">
      <x:c r="A30" s="402" t="str">
        <x:v>Seed capital month 12</x:v>
      </x:c>
      <x:c r="B30" s="505" t="n">
        <x:v>4000000</x:v>
      </x:c>
      <x:c r="C30" s="506" t="n">
        <x:v>8000000</x:v>
      </x:c>
      <x:c r="D30" s="507" t="n">
        <x:v>15000000</x:v>
      </x:c>
      <x:c r="E30" s="402" t="str">
        <x:v>USD</x:v>
      </x:c>
      <x:c r="F30" s="402"/>
      <x:c r="G30" s="418" t="str">
        <x:v>Series A capital month 24</x:v>
      </x:c>
      <x:c r="H30" s="501" t="n">
        <x:f>IF($C$5="Downside",B31,IF($C$5="Upside",D31,C31))</x:f>
        <x:v>25000000</x:v>
      </x:c>
      <x:c r="I30" s="402"/>
      <x:c r="J30" s="402"/>
      <x:c r="K30" s="402"/>
      <x:c r="L30" s="402"/>
      <x:c r="M30" s="402"/>
      <x:c r="N30" s="402"/>
      <x:c r="O30" s="402"/>
      <x:c r="P30" s="402"/>
      <x:c r="Q30" s="402"/>
      <x:c r="R30" s="402"/>
      <x:c r="S30" s="402"/>
      <x:c r="T30" s="402"/>
      <x:c r="U30" s="402"/>
      <x:c r="V30" s="402"/>
      <x:c r="W30" s="402"/>
      <x:c r="X30" s="402"/>
      <x:c r="Y30" s="402"/>
      <x:c r="Z30" s="402"/>
    </x:row>
    <x:row r="31">
      <x:c r="A31" s="402" t="str">
        <x:v>Series A capital month 24</x:v>
      </x:c>
      <x:c r="B31" s="505" t="n">
        <x:v>15000000</x:v>
      </x:c>
      <x:c r="C31" s="506" t="n">
        <x:v>25000000</x:v>
      </x:c>
      <x:c r="D31" s="507" t="n">
        <x:v>50000000</x:v>
      </x:c>
      <x:c r="E31" s="402" t="str">
        <x:v>USD</x:v>
      </x:c>
      <x:c r="F31" s="402"/>
      <x:c r="G31" s="418" t="str">
        <x:v>Independent validation reserve</x:v>
      </x:c>
      <x:c r="H31" s="501" t="n">
        <x:f>IF($C$5="Downside",B32,IF($C$5="Upside",D32,C32))</x:f>
        <x:v>0.1</x:v>
      </x:c>
      <x:c r="I31" s="402"/>
      <x:c r="J31" s="402"/>
      <x:c r="K31" s="402"/>
      <x:c r="L31" s="402"/>
      <x:c r="M31" s="402"/>
      <x:c r="N31" s="402"/>
      <x:c r="O31" s="402"/>
      <x:c r="P31" s="402"/>
      <x:c r="Q31" s="402"/>
      <x:c r="R31" s="402"/>
      <x:c r="S31" s="402"/>
      <x:c r="T31" s="402"/>
      <x:c r="U31" s="402"/>
      <x:c r="V31" s="402"/>
      <x:c r="W31" s="402"/>
      <x:c r="X31" s="402"/>
      <x:c r="Y31" s="402"/>
      <x:c r="Z31" s="402"/>
    </x:row>
    <x:row r="32">
      <x:c r="A32" s="402" t="str">
        <x:v>Independent validation reserve</x:v>
      </x:c>
      <x:c r="B32" s="502" t="n">
        <x:v>0.08</x:v>
      </x:c>
      <x:c r="C32" s="503" t="n">
        <x:v>0.1</x:v>
      </x:c>
      <x:c r="D32" s="504" t="n">
        <x:v>0.15</x:v>
      </x:c>
      <x:c r="E32" s="402" t="str">
        <x:v>% mission cost</x:v>
      </x:c>
      <x:c r="F32" s="402"/>
      <x:c r="G32" s="427" t="str">
        <x:v>Target net revenue retention</x:v>
      </x:c>
      <x:c r="H32" s="508" t="n">
        <x:f>IF($C$5="Downside",B33,IF($C$5="Upside",D33,C33))</x:f>
        <x:v>1.15</x:v>
      </x:c>
      <x:c r="I32" s="402"/>
      <x:c r="J32" s="402"/>
      <x:c r="K32" s="402"/>
      <x:c r="L32" s="402"/>
      <x:c r="M32" s="402"/>
      <x:c r="N32" s="402"/>
      <x:c r="O32" s="402"/>
      <x:c r="P32" s="402"/>
      <x:c r="Q32" s="402"/>
      <x:c r="R32" s="402"/>
      <x:c r="S32" s="402"/>
      <x:c r="T32" s="402"/>
      <x:c r="U32" s="402"/>
      <x:c r="V32" s="402"/>
      <x:c r="W32" s="402"/>
      <x:c r="X32" s="402"/>
      <x:c r="Y32" s="402"/>
      <x:c r="Z32" s="402"/>
    </x:row>
    <x:row r="33">
      <x:c r="A33" s="402" t="str">
        <x:v>Target net revenue retention</x:v>
      </x:c>
      <x:c r="B33" s="509" t="n">
        <x:v>0.95</x:v>
      </x:c>
      <x:c r="C33" s="510" t="n">
        <x:v>1.15</x:v>
      </x:c>
      <x:c r="D33" s="511" t="n">
        <x:v>1.35</x:v>
      </x:c>
      <x:c r="E33" s="402" t="str">
        <x:v>x</x:v>
      </x:c>
      <x:c r="F33" s="402"/>
      <x:c r="G33" s="402"/>
      <x:c r="H33" s="402"/>
      <x:c r="I33" s="402"/>
      <x:c r="J33" s="402"/>
      <x:c r="K33" s="402"/>
      <x:c r="L33" s="402"/>
      <x:c r="M33" s="402"/>
      <x:c r="N33" s="402"/>
      <x:c r="O33" s="402"/>
      <x:c r="P33" s="402"/>
      <x:c r="Q33" s="402"/>
      <x:c r="R33" s="402"/>
      <x:c r="S33" s="402"/>
      <x:c r="T33" s="402"/>
      <x:c r="U33" s="402"/>
      <x:c r="V33" s="402"/>
      <x:c r="W33" s="402"/>
      <x:c r="X33" s="402"/>
      <x:c r="Y33" s="402"/>
      <x:c r="Z33" s="402"/>
    </x:row>
    <x:row r="34">
      <x:c r="A34" s="402"/>
      <x:c r="B34" s="402"/>
      <x:c r="C34" s="402"/>
      <x:c r="D34" s="402"/>
      <x:c r="E34" s="402"/>
      <x:c r="F34" s="402"/>
      <x:c r="G34" s="402"/>
      <x:c r="H34" s="402"/>
      <x:c r="I34" s="402"/>
      <x:c r="J34" s="402"/>
      <x:c r="K34" s="402"/>
      <x:c r="L34" s="402"/>
      <x:c r="M34" s="402"/>
      <x:c r="N34" s="402"/>
      <x:c r="O34" s="402"/>
      <x:c r="P34" s="402"/>
      <x:c r="Q34" s="402"/>
      <x:c r="R34" s="402"/>
      <x:c r="S34" s="402"/>
      <x:c r="T34" s="402"/>
      <x:c r="U34" s="402"/>
      <x:c r="V34" s="402"/>
      <x:c r="W34" s="402"/>
      <x:c r="X34" s="402"/>
      <x:c r="Y34" s="402"/>
      <x:c r="Z34" s="402"/>
    </x:row>
    <x:row r="35">
      <x:c r="A35" s="402"/>
      <x:c r="B35" s="402"/>
      <x:c r="C35" s="402"/>
      <x:c r="D35" s="402"/>
      <x:c r="E35" s="402"/>
      <x:c r="F35" s="402"/>
      <x:c r="G35" s="402"/>
      <x:c r="H35" s="402"/>
      <x:c r="I35" s="402"/>
      <x:c r="J35" s="402"/>
      <x:c r="K35" s="402"/>
      <x:c r="L35" s="402"/>
      <x:c r="M35" s="402"/>
      <x:c r="N35" s="402"/>
      <x:c r="O35" s="402"/>
      <x:c r="P35" s="402"/>
      <x:c r="Q35" s="402"/>
      <x:c r="R35" s="402"/>
      <x:c r="S35" s="402"/>
      <x:c r="T35" s="402"/>
      <x:c r="U35" s="402"/>
      <x:c r="V35" s="402"/>
      <x:c r="W35" s="402"/>
      <x:c r="X35" s="402"/>
      <x:c r="Y35" s="402"/>
      <x:c r="Z35" s="402"/>
    </x:row>
    <x:row r="36">
      <x:c r="A36" s="402"/>
      <x:c r="B36" s="402"/>
      <x:c r="C36" s="402"/>
      <x:c r="D36" s="402"/>
      <x:c r="E36" s="402"/>
      <x:c r="F36" s="402"/>
      <x:c r="G36" s="402"/>
      <x:c r="H36" s="402"/>
      <x:c r="I36" s="402"/>
      <x:c r="J36" s="402"/>
      <x:c r="K36" s="402"/>
      <x:c r="L36" s="402"/>
      <x:c r="M36" s="402"/>
      <x:c r="N36" s="402"/>
      <x:c r="O36" s="402"/>
      <x:c r="P36" s="402"/>
      <x:c r="Q36" s="402"/>
      <x:c r="R36" s="402"/>
      <x:c r="S36" s="402"/>
      <x:c r="T36" s="402"/>
      <x:c r="U36" s="402"/>
      <x:c r="V36" s="402"/>
      <x:c r="W36" s="402"/>
      <x:c r="X36" s="402"/>
      <x:c r="Y36" s="402"/>
      <x:c r="Z36" s="402"/>
    </x:row>
    <x:row r="37">
      <x:c r="A37" s="402"/>
      <x:c r="B37" s="402"/>
      <x:c r="C37" s="402"/>
      <x:c r="D37" s="402"/>
      <x:c r="E37" s="402"/>
      <x:c r="F37" s="402"/>
      <x:c r="G37" s="402"/>
      <x:c r="H37" s="402"/>
      <x:c r="I37" s="402"/>
      <x:c r="J37" s="402"/>
      <x:c r="K37" s="402"/>
      <x:c r="L37" s="402"/>
      <x:c r="M37" s="402"/>
      <x:c r="N37" s="402"/>
      <x:c r="O37" s="402"/>
      <x:c r="P37" s="402"/>
      <x:c r="Q37" s="402"/>
      <x:c r="R37" s="402"/>
      <x:c r="S37" s="402"/>
      <x:c r="T37" s="402"/>
      <x:c r="U37" s="402"/>
      <x:c r="V37" s="402"/>
      <x:c r="W37" s="402"/>
      <x:c r="X37" s="402"/>
      <x:c r="Y37" s="402"/>
      <x:c r="Z37" s="402"/>
    </x:row>
    <x:row r="38">
      <x:c r="A38" s="402"/>
      <x:c r="B38" s="402"/>
      <x:c r="C38" s="402"/>
      <x:c r="D38" s="402"/>
      <x:c r="E38" s="402"/>
      <x:c r="F38" s="402"/>
      <x:c r="G38" s="402"/>
      <x:c r="H38" s="402"/>
      <x:c r="I38" s="402"/>
      <x:c r="J38" s="402"/>
      <x:c r="K38" s="402"/>
      <x:c r="L38" s="402"/>
      <x:c r="M38" s="402"/>
      <x:c r="N38" s="402"/>
      <x:c r="O38" s="402"/>
      <x:c r="P38" s="402"/>
      <x:c r="Q38" s="402"/>
      <x:c r="R38" s="402"/>
      <x:c r="S38" s="402"/>
      <x:c r="T38" s="402"/>
      <x:c r="U38" s="402"/>
      <x:c r="V38" s="402"/>
      <x:c r="W38" s="402"/>
      <x:c r="X38" s="402"/>
      <x:c r="Y38" s="402"/>
      <x:c r="Z38" s="402"/>
    </x:row>
    <x:row r="39">
      <x:c r="A39" s="402"/>
      <x:c r="B39" s="402"/>
      <x:c r="C39" s="402"/>
      <x:c r="D39" s="402"/>
      <x:c r="E39" s="402"/>
      <x:c r="F39" s="402"/>
      <x:c r="G39" s="402"/>
      <x:c r="H39" s="402"/>
      <x:c r="I39" s="402"/>
      <x:c r="J39" s="402"/>
      <x:c r="K39" s="402"/>
      <x:c r="L39" s="402"/>
      <x:c r="M39" s="402"/>
      <x:c r="N39" s="402"/>
      <x:c r="O39" s="402"/>
      <x:c r="P39" s="402"/>
      <x:c r="Q39" s="402"/>
      <x:c r="R39" s="402"/>
      <x:c r="S39" s="402"/>
      <x:c r="T39" s="402"/>
      <x:c r="U39" s="402"/>
      <x:c r="V39" s="402"/>
      <x:c r="W39" s="402"/>
      <x:c r="X39" s="402"/>
      <x:c r="Y39" s="402"/>
      <x:c r="Z39" s="402"/>
    </x:row>
    <x:row r="40">
      <x:c r="A40" s="402"/>
      <x:c r="B40" s="402"/>
      <x:c r="C40" s="402"/>
      <x:c r="D40" s="402"/>
      <x:c r="E40" s="402"/>
      <x:c r="F40" s="402"/>
      <x:c r="G40" s="402"/>
      <x:c r="H40" s="402"/>
      <x:c r="I40" s="402"/>
      <x:c r="J40" s="402"/>
      <x:c r="K40" s="402"/>
      <x:c r="L40" s="402"/>
      <x:c r="M40" s="402"/>
      <x:c r="N40" s="402"/>
      <x:c r="O40" s="402"/>
      <x:c r="P40" s="402"/>
      <x:c r="Q40" s="402"/>
      <x:c r="R40" s="402"/>
      <x:c r="S40" s="402"/>
      <x:c r="T40" s="402"/>
      <x:c r="U40" s="402"/>
      <x:c r="V40" s="402"/>
      <x:c r="W40" s="402"/>
      <x:c r="X40" s="402"/>
      <x:c r="Y40" s="402"/>
      <x:c r="Z40" s="402"/>
    </x:row>
    <x:row r="41">
      <x:c r="A41" s="402"/>
      <x:c r="B41" s="402"/>
      <x:c r="C41" s="402"/>
      <x:c r="D41" s="402"/>
      <x:c r="E41" s="402"/>
      <x:c r="F41" s="402"/>
      <x:c r="G41" s="402"/>
      <x:c r="H41" s="402"/>
      <x:c r="I41" s="402"/>
      <x:c r="J41" s="402"/>
      <x:c r="K41" s="402"/>
      <x:c r="L41" s="402"/>
      <x:c r="M41" s="402"/>
      <x:c r="N41" s="402"/>
      <x:c r="O41" s="402"/>
      <x:c r="P41" s="402"/>
      <x:c r="Q41" s="402"/>
      <x:c r="R41" s="402"/>
      <x:c r="S41" s="402"/>
      <x:c r="T41" s="402"/>
      <x:c r="U41" s="402"/>
      <x:c r="V41" s="402"/>
      <x:c r="W41" s="402"/>
      <x:c r="X41" s="402"/>
      <x:c r="Y41" s="402"/>
      <x:c r="Z41" s="402"/>
    </x:row>
    <x:row r="42">
      <x:c r="A42" s="402"/>
      <x:c r="B42" s="402"/>
      <x:c r="C42" s="402"/>
      <x:c r="D42" s="402"/>
      <x:c r="E42" s="402"/>
      <x:c r="F42" s="402"/>
      <x:c r="G42" s="402"/>
      <x:c r="H42" s="402"/>
      <x:c r="I42" s="402"/>
      <x:c r="J42" s="402"/>
      <x:c r="K42" s="402"/>
      <x:c r="L42" s="402"/>
      <x:c r="M42" s="402"/>
      <x:c r="N42" s="402"/>
      <x:c r="O42" s="402"/>
      <x:c r="P42" s="402"/>
      <x:c r="Q42" s="402"/>
      <x:c r="R42" s="402"/>
      <x:c r="S42" s="402"/>
      <x:c r="T42" s="402"/>
      <x:c r="U42" s="402"/>
      <x:c r="V42" s="402"/>
      <x:c r="W42" s="402"/>
      <x:c r="X42" s="402"/>
      <x:c r="Y42" s="402"/>
      <x:c r="Z42" s="402"/>
    </x:row>
    <x:row r="43">
      <x:c r="A43" s="402"/>
      <x:c r="B43" s="402"/>
      <x:c r="C43" s="402"/>
      <x:c r="D43" s="402"/>
      <x:c r="E43" s="402"/>
      <x:c r="F43" s="402"/>
      <x:c r="G43" s="402"/>
      <x:c r="H43" s="402"/>
      <x:c r="I43" s="402"/>
      <x:c r="J43" s="402"/>
      <x:c r="K43" s="402"/>
      <x:c r="L43" s="402"/>
      <x:c r="M43" s="402"/>
      <x:c r="N43" s="402"/>
      <x:c r="O43" s="402"/>
      <x:c r="P43" s="402"/>
      <x:c r="Q43" s="402"/>
      <x:c r="R43" s="402"/>
      <x:c r="S43" s="402"/>
      <x:c r="T43" s="402"/>
      <x:c r="U43" s="402"/>
      <x:c r="V43" s="402"/>
      <x:c r="W43" s="402"/>
      <x:c r="X43" s="402"/>
      <x:c r="Y43" s="402"/>
      <x:c r="Z43" s="402"/>
    </x:row>
    <x:row r="44">
      <x:c r="A44" s="402"/>
      <x:c r="B44" s="402"/>
      <x:c r="C44" s="402"/>
      <x:c r="D44" s="402"/>
      <x:c r="E44" s="402"/>
      <x:c r="F44" s="402"/>
      <x:c r="G44" s="402"/>
      <x:c r="H44" s="402"/>
      <x:c r="I44" s="402"/>
      <x:c r="J44" s="402"/>
      <x:c r="K44" s="402"/>
      <x:c r="L44" s="402"/>
      <x:c r="M44" s="402"/>
      <x:c r="N44" s="402"/>
      <x:c r="O44" s="402"/>
      <x:c r="P44" s="402"/>
      <x:c r="Q44" s="402"/>
      <x:c r="R44" s="402"/>
      <x:c r="S44" s="402"/>
      <x:c r="T44" s="402"/>
      <x:c r="U44" s="402"/>
      <x:c r="V44" s="402"/>
      <x:c r="W44" s="402"/>
      <x:c r="X44" s="402"/>
      <x:c r="Y44" s="402"/>
      <x:c r="Z44" s="402"/>
    </x:row>
    <x:row r="45">
      <x:c r="A45" s="402"/>
      <x:c r="B45" s="402"/>
      <x:c r="C45" s="402"/>
      <x:c r="D45" s="402"/>
      <x:c r="E45" s="402"/>
      <x:c r="F45" s="402"/>
      <x:c r="G45" s="402"/>
      <x:c r="H45" s="402"/>
      <x:c r="I45" s="402"/>
      <x:c r="J45" s="402"/>
      <x:c r="K45" s="402"/>
      <x:c r="L45" s="402"/>
      <x:c r="M45" s="402"/>
      <x:c r="N45" s="402"/>
      <x:c r="O45" s="402"/>
      <x:c r="P45" s="402"/>
      <x:c r="Q45" s="402"/>
      <x:c r="R45" s="402"/>
      <x:c r="S45" s="402"/>
      <x:c r="T45" s="402"/>
      <x:c r="U45" s="402"/>
      <x:c r="V45" s="402"/>
      <x:c r="W45" s="402"/>
      <x:c r="X45" s="402"/>
      <x:c r="Y45" s="402"/>
      <x:c r="Z45" s="402"/>
    </x:row>
    <x:row r="46">
      <x:c r="A46" s="402"/>
      <x:c r="B46" s="402"/>
      <x:c r="C46" s="402"/>
      <x:c r="D46" s="402"/>
      <x:c r="E46" s="402"/>
      <x:c r="F46" s="402"/>
      <x:c r="G46" s="402"/>
      <x:c r="H46" s="402"/>
      <x:c r="I46" s="402"/>
      <x:c r="J46" s="402"/>
      <x:c r="K46" s="402"/>
      <x:c r="L46" s="402"/>
      <x:c r="M46" s="402"/>
      <x:c r="N46" s="402"/>
      <x:c r="O46" s="402"/>
      <x:c r="P46" s="402"/>
      <x:c r="Q46" s="402"/>
      <x:c r="R46" s="402"/>
      <x:c r="S46" s="402"/>
      <x:c r="T46" s="402"/>
      <x:c r="U46" s="402"/>
      <x:c r="V46" s="402"/>
      <x:c r="W46" s="402"/>
      <x:c r="X46" s="402"/>
      <x:c r="Y46" s="402"/>
      <x:c r="Z46" s="402"/>
    </x:row>
    <x:row r="47">
      <x:c r="A47" s="402"/>
      <x:c r="B47" s="402"/>
      <x:c r="C47" s="402"/>
      <x:c r="D47" s="402"/>
      <x:c r="E47" s="402"/>
      <x:c r="F47" s="402"/>
      <x:c r="G47" s="402"/>
      <x:c r="H47" s="402"/>
      <x:c r="I47" s="402"/>
      <x:c r="J47" s="402"/>
      <x:c r="K47" s="402"/>
      <x:c r="L47" s="402"/>
      <x:c r="M47" s="402"/>
      <x:c r="N47" s="402"/>
      <x:c r="O47" s="402"/>
      <x:c r="P47" s="402"/>
      <x:c r="Q47" s="402"/>
      <x:c r="R47" s="402"/>
      <x:c r="S47" s="402"/>
      <x:c r="T47" s="402"/>
      <x:c r="U47" s="402"/>
      <x:c r="V47" s="402"/>
      <x:c r="W47" s="402"/>
      <x:c r="X47" s="402"/>
      <x:c r="Y47" s="402"/>
      <x:c r="Z47" s="402"/>
    </x:row>
    <x:row r="48">
      <x:c r="A48" s="402"/>
      <x:c r="B48" s="402"/>
      <x:c r="C48" s="402"/>
      <x:c r="D48" s="402"/>
      <x:c r="E48" s="402"/>
      <x:c r="F48" s="402"/>
      <x:c r="G48" s="402"/>
      <x:c r="H48" s="402"/>
      <x:c r="I48" s="402"/>
      <x:c r="J48" s="402"/>
      <x:c r="K48" s="402"/>
      <x:c r="L48" s="402"/>
      <x:c r="M48" s="402"/>
      <x:c r="N48" s="402"/>
      <x:c r="O48" s="402"/>
      <x:c r="P48" s="402"/>
      <x:c r="Q48" s="402"/>
      <x:c r="R48" s="402"/>
      <x:c r="S48" s="402"/>
      <x:c r="T48" s="402"/>
      <x:c r="U48" s="402"/>
      <x:c r="V48" s="402"/>
      <x:c r="W48" s="402"/>
      <x:c r="X48" s="402"/>
      <x:c r="Y48" s="402"/>
      <x:c r="Z48" s="402"/>
    </x:row>
    <x:row r="49">
      <x:c r="A49" s="402"/>
      <x:c r="B49" s="402"/>
      <x:c r="C49" s="402"/>
      <x:c r="D49" s="402"/>
      <x:c r="E49" s="402"/>
      <x:c r="F49" s="402"/>
      <x:c r="G49" s="402"/>
      <x:c r="H49" s="402"/>
      <x:c r="I49" s="402"/>
      <x:c r="J49" s="402"/>
      <x:c r="K49" s="402"/>
      <x:c r="L49" s="402"/>
      <x:c r="M49" s="402"/>
      <x:c r="N49" s="402"/>
      <x:c r="O49" s="402"/>
      <x:c r="P49" s="402"/>
      <x:c r="Q49" s="402"/>
      <x:c r="R49" s="402"/>
      <x:c r="S49" s="402"/>
      <x:c r="T49" s="402"/>
      <x:c r="U49" s="402"/>
      <x:c r="V49" s="402"/>
      <x:c r="W49" s="402"/>
      <x:c r="X49" s="402"/>
      <x:c r="Y49" s="402"/>
      <x:c r="Z49" s="402"/>
    </x:row>
    <x:row r="50">
      <x:c r="A50" s="402"/>
      <x:c r="B50" s="402"/>
      <x:c r="C50" s="402"/>
      <x:c r="D50" s="402"/>
      <x:c r="E50" s="402"/>
      <x:c r="F50" s="402"/>
      <x:c r="G50" s="402"/>
      <x:c r="H50" s="402"/>
      <x:c r="I50" s="402"/>
      <x:c r="J50" s="402"/>
      <x:c r="K50" s="402"/>
      <x:c r="L50" s="402"/>
      <x:c r="M50" s="402"/>
      <x:c r="N50" s="402"/>
      <x:c r="O50" s="402"/>
      <x:c r="P50" s="402"/>
      <x:c r="Q50" s="402"/>
      <x:c r="R50" s="402"/>
      <x:c r="S50" s="402"/>
      <x:c r="T50" s="402"/>
      <x:c r="U50" s="402"/>
      <x:c r="V50" s="402"/>
      <x:c r="W50" s="402"/>
      <x:c r="X50" s="402"/>
      <x:c r="Y50" s="402"/>
      <x:c r="Z50" s="402"/>
    </x:row>
    <x:row r="51">
      <x:c r="A51" s="402"/>
      <x:c r="B51" s="402"/>
      <x:c r="C51" s="402"/>
      <x:c r="D51" s="402"/>
      <x:c r="E51" s="402"/>
      <x:c r="F51" s="402"/>
      <x:c r="G51" s="402"/>
      <x:c r="H51" s="402"/>
      <x:c r="I51" s="402"/>
      <x:c r="J51" s="402"/>
      <x:c r="K51" s="402"/>
      <x:c r="L51" s="402"/>
      <x:c r="M51" s="402"/>
      <x:c r="N51" s="402"/>
      <x:c r="O51" s="402"/>
      <x:c r="P51" s="402"/>
      <x:c r="Q51" s="402"/>
      <x:c r="R51" s="402"/>
      <x:c r="S51" s="402"/>
      <x:c r="T51" s="402"/>
      <x:c r="U51" s="402"/>
      <x:c r="V51" s="402"/>
      <x:c r="W51" s="402"/>
      <x:c r="X51" s="402"/>
      <x:c r="Y51" s="402"/>
      <x:c r="Z51" s="402"/>
    </x:row>
    <x:row r="52">
      <x:c r="A52" s="402"/>
      <x:c r="B52" s="402"/>
      <x:c r="C52" s="402"/>
      <x:c r="D52" s="402"/>
      <x:c r="E52" s="402"/>
      <x:c r="F52" s="402"/>
      <x:c r="G52" s="402"/>
      <x:c r="H52" s="402"/>
      <x:c r="I52" s="402"/>
      <x:c r="J52" s="402"/>
      <x:c r="K52" s="402"/>
      <x:c r="L52" s="402"/>
      <x:c r="M52" s="402"/>
      <x:c r="N52" s="402"/>
      <x:c r="O52" s="402"/>
      <x:c r="P52" s="402"/>
      <x:c r="Q52" s="402"/>
      <x:c r="R52" s="402"/>
      <x:c r="S52" s="402"/>
      <x:c r="T52" s="402"/>
      <x:c r="U52" s="402"/>
      <x:c r="V52" s="402"/>
      <x:c r="W52" s="402"/>
      <x:c r="X52" s="402"/>
      <x:c r="Y52" s="402"/>
      <x:c r="Z52" s="402"/>
    </x:row>
    <x:row r="53">
      <x:c r="A53" s="402"/>
      <x:c r="B53" s="402"/>
      <x:c r="C53" s="402"/>
      <x:c r="D53" s="402"/>
      <x:c r="E53" s="402"/>
      <x:c r="F53" s="402"/>
      <x:c r="G53" s="402"/>
      <x:c r="H53" s="402"/>
      <x:c r="I53" s="402"/>
      <x:c r="J53" s="402"/>
      <x:c r="K53" s="402"/>
      <x:c r="L53" s="402"/>
      <x:c r="M53" s="402"/>
      <x:c r="N53" s="402"/>
      <x:c r="O53" s="402"/>
      <x:c r="P53" s="402"/>
      <x:c r="Q53" s="402"/>
      <x:c r="R53" s="402"/>
      <x:c r="S53" s="402"/>
      <x:c r="T53" s="402"/>
      <x:c r="U53" s="402"/>
      <x:c r="V53" s="402"/>
      <x:c r="W53" s="402"/>
      <x:c r="X53" s="402"/>
      <x:c r="Y53" s="402"/>
      <x:c r="Z53" s="402"/>
    </x:row>
    <x:row r="54">
      <x:c r="A54" s="402"/>
      <x:c r="B54" s="402"/>
      <x:c r="C54" s="402"/>
      <x:c r="D54" s="402"/>
      <x:c r="E54" s="402"/>
      <x:c r="F54" s="402"/>
      <x:c r="G54" s="402"/>
      <x:c r="H54" s="402"/>
      <x:c r="I54" s="402"/>
      <x:c r="J54" s="402"/>
      <x:c r="K54" s="402"/>
      <x:c r="L54" s="402"/>
      <x:c r="M54" s="402"/>
      <x:c r="N54" s="402"/>
      <x:c r="O54" s="402"/>
      <x:c r="P54" s="402"/>
      <x:c r="Q54" s="402"/>
      <x:c r="R54" s="402"/>
      <x:c r="S54" s="402"/>
      <x:c r="T54" s="402"/>
      <x:c r="U54" s="402"/>
      <x:c r="V54" s="402"/>
      <x:c r="W54" s="402"/>
      <x:c r="X54" s="402"/>
      <x:c r="Y54" s="402"/>
      <x:c r="Z54" s="402"/>
    </x:row>
    <x:row r="55">
      <x:c r="A55" s="402"/>
      <x:c r="B55" s="402"/>
      <x:c r="C55" s="402"/>
      <x:c r="D55" s="402"/>
      <x:c r="E55" s="402"/>
      <x:c r="F55" s="402"/>
      <x:c r="G55" s="402"/>
      <x:c r="H55" s="402"/>
      <x:c r="I55" s="402"/>
      <x:c r="J55" s="402"/>
      <x:c r="K55" s="402"/>
      <x:c r="L55" s="402"/>
      <x:c r="M55" s="402"/>
      <x:c r="N55" s="402"/>
      <x:c r="O55" s="402"/>
      <x:c r="P55" s="402"/>
      <x:c r="Q55" s="402"/>
      <x:c r="R55" s="402"/>
      <x:c r="S55" s="402"/>
      <x:c r="T55" s="402"/>
      <x:c r="U55" s="402"/>
      <x:c r="V55" s="402"/>
      <x:c r="W55" s="402"/>
      <x:c r="X55" s="402"/>
      <x:c r="Y55" s="402"/>
      <x:c r="Z55" s="402"/>
    </x:row>
    <x:row r="56">
      <x:c r="A56" s="402"/>
      <x:c r="B56" s="402"/>
      <x:c r="C56" s="402"/>
      <x:c r="D56" s="402"/>
      <x:c r="E56" s="402"/>
      <x:c r="F56" s="402"/>
      <x:c r="G56" s="402"/>
      <x:c r="H56" s="402"/>
      <x:c r="I56" s="402"/>
      <x:c r="J56" s="402"/>
      <x:c r="K56" s="402"/>
      <x:c r="L56" s="402"/>
      <x:c r="M56" s="402"/>
      <x:c r="N56" s="402"/>
      <x:c r="O56" s="402"/>
      <x:c r="P56" s="402"/>
      <x:c r="Q56" s="402"/>
      <x:c r="R56" s="402"/>
      <x:c r="S56" s="402"/>
      <x:c r="T56" s="402"/>
      <x:c r="U56" s="402"/>
      <x:c r="V56" s="402"/>
      <x:c r="W56" s="402"/>
      <x:c r="X56" s="402"/>
      <x:c r="Y56" s="402"/>
      <x:c r="Z56" s="402"/>
    </x:row>
    <x:row r="57">
      <x:c r="A57" s="402"/>
      <x:c r="B57" s="402"/>
      <x:c r="C57" s="402"/>
      <x:c r="D57" s="402"/>
      <x:c r="E57" s="402"/>
      <x:c r="F57" s="402"/>
      <x:c r="G57" s="402"/>
      <x:c r="H57" s="402"/>
      <x:c r="I57" s="402"/>
      <x:c r="J57" s="402"/>
      <x:c r="K57" s="402"/>
      <x:c r="L57" s="402"/>
      <x:c r="M57" s="402"/>
      <x:c r="N57" s="402"/>
      <x:c r="O57" s="402"/>
      <x:c r="P57" s="402"/>
      <x:c r="Q57" s="402"/>
      <x:c r="R57" s="402"/>
      <x:c r="S57" s="402"/>
      <x:c r="T57" s="402"/>
      <x:c r="U57" s="402"/>
      <x:c r="V57" s="402"/>
      <x:c r="W57" s="402"/>
      <x:c r="X57" s="402"/>
      <x:c r="Y57" s="402"/>
      <x:c r="Z57" s="402"/>
    </x:row>
    <x:row r="58">
      <x:c r="A58" s="402"/>
      <x:c r="B58" s="402"/>
      <x:c r="C58" s="402"/>
      <x:c r="D58" s="402"/>
      <x:c r="E58" s="402"/>
      <x:c r="F58" s="402"/>
      <x:c r="G58" s="402"/>
      <x:c r="H58" s="402"/>
      <x:c r="I58" s="402"/>
      <x:c r="J58" s="402"/>
      <x:c r="K58" s="402"/>
      <x:c r="L58" s="402"/>
      <x:c r="M58" s="402"/>
      <x:c r="N58" s="402"/>
      <x:c r="O58" s="402"/>
      <x:c r="P58" s="402"/>
      <x:c r="Q58" s="402"/>
      <x:c r="R58" s="402"/>
      <x:c r="S58" s="402"/>
      <x:c r="T58" s="402"/>
      <x:c r="U58" s="402"/>
      <x:c r="V58" s="402"/>
      <x:c r="W58" s="402"/>
      <x:c r="X58" s="402"/>
      <x:c r="Y58" s="402"/>
      <x:c r="Z58" s="402"/>
    </x:row>
    <x:row r="59">
      <x:c r="A59" s="402"/>
      <x:c r="B59" s="402"/>
      <x:c r="C59" s="402"/>
      <x:c r="D59" s="402"/>
      <x:c r="E59" s="402"/>
      <x:c r="F59" s="402"/>
      <x:c r="G59" s="402"/>
      <x:c r="H59" s="402"/>
      <x:c r="I59" s="402"/>
      <x:c r="J59" s="402"/>
      <x:c r="K59" s="402"/>
      <x:c r="L59" s="402"/>
      <x:c r="M59" s="402"/>
      <x:c r="N59" s="402"/>
      <x:c r="O59" s="402"/>
      <x:c r="P59" s="402"/>
      <x:c r="Q59" s="402"/>
      <x:c r="R59" s="402"/>
      <x:c r="S59" s="402"/>
      <x:c r="T59" s="402"/>
      <x:c r="U59" s="402"/>
      <x:c r="V59" s="402"/>
      <x:c r="W59" s="402"/>
      <x:c r="X59" s="402"/>
      <x:c r="Y59" s="402"/>
      <x:c r="Z59" s="402"/>
    </x:row>
    <x:row r="60">
      <x:c r="A60" s="402"/>
      <x:c r="B60" s="402"/>
      <x:c r="C60" s="402"/>
      <x:c r="D60" s="402"/>
      <x:c r="E60" s="402"/>
      <x:c r="F60" s="402"/>
      <x:c r="G60" s="402"/>
      <x:c r="H60" s="402"/>
      <x:c r="I60" s="402"/>
      <x:c r="J60" s="402"/>
      <x:c r="K60" s="402"/>
      <x:c r="L60" s="402"/>
      <x:c r="M60" s="402"/>
      <x:c r="N60" s="402"/>
      <x:c r="O60" s="402"/>
      <x:c r="P60" s="402"/>
      <x:c r="Q60" s="402"/>
      <x:c r="R60" s="402"/>
      <x:c r="S60" s="402"/>
      <x:c r="T60" s="402"/>
      <x:c r="U60" s="402"/>
      <x:c r="V60" s="402"/>
      <x:c r="W60" s="402"/>
      <x:c r="X60" s="402"/>
      <x:c r="Y60" s="402"/>
      <x:c r="Z60" s="402"/>
    </x:row>
    <x:row r="61">
      <x:c r="A61" s="402"/>
      <x:c r="B61" s="402"/>
      <x:c r="C61" s="402"/>
      <x:c r="D61" s="402"/>
      <x:c r="E61" s="402"/>
      <x:c r="F61" s="402"/>
      <x:c r="G61" s="402"/>
      <x:c r="H61" s="402"/>
      <x:c r="I61" s="402"/>
      <x:c r="J61" s="402"/>
      <x:c r="K61" s="402"/>
      <x:c r="L61" s="402"/>
      <x:c r="M61" s="402"/>
      <x:c r="N61" s="402"/>
      <x:c r="O61" s="402"/>
      <x:c r="P61" s="402"/>
      <x:c r="Q61" s="402"/>
      <x:c r="R61" s="402"/>
      <x:c r="S61" s="402"/>
      <x:c r="T61" s="402"/>
      <x:c r="U61" s="402"/>
      <x:c r="V61" s="402"/>
      <x:c r="W61" s="402"/>
      <x:c r="X61" s="402"/>
      <x:c r="Y61" s="402"/>
      <x:c r="Z61" s="402"/>
    </x:row>
    <x:row r="62">
      <x:c r="A62" s="402"/>
      <x:c r="B62" s="402"/>
      <x:c r="C62" s="402"/>
      <x:c r="D62" s="402"/>
      <x:c r="E62" s="402"/>
      <x:c r="F62" s="402"/>
      <x:c r="G62" s="402"/>
      <x:c r="H62" s="402"/>
      <x:c r="I62" s="402"/>
      <x:c r="J62" s="402"/>
      <x:c r="K62" s="402"/>
      <x:c r="L62" s="402"/>
      <x:c r="M62" s="402"/>
      <x:c r="N62" s="402"/>
      <x:c r="O62" s="402"/>
      <x:c r="P62" s="402"/>
      <x:c r="Q62" s="402"/>
      <x:c r="R62" s="402"/>
      <x:c r="S62" s="402"/>
      <x:c r="T62" s="402"/>
      <x:c r="U62" s="402"/>
      <x:c r="V62" s="402"/>
      <x:c r="W62" s="402"/>
      <x:c r="X62" s="402"/>
      <x:c r="Y62" s="402"/>
      <x:c r="Z62" s="402"/>
    </x:row>
    <x:row r="63">
      <x:c r="A63" s="402"/>
      <x:c r="B63" s="402"/>
      <x:c r="C63" s="402"/>
      <x:c r="D63" s="402"/>
      <x:c r="E63" s="402"/>
      <x:c r="F63" s="402"/>
      <x:c r="G63" s="402"/>
      <x:c r="H63" s="402"/>
      <x:c r="I63" s="402"/>
      <x:c r="J63" s="402"/>
      <x:c r="K63" s="402"/>
      <x:c r="L63" s="402"/>
      <x:c r="M63" s="402"/>
      <x:c r="N63" s="402"/>
      <x:c r="O63" s="402"/>
      <x:c r="P63" s="402"/>
      <x:c r="Q63" s="402"/>
      <x:c r="R63" s="402"/>
      <x:c r="S63" s="402"/>
      <x:c r="T63" s="402"/>
      <x:c r="U63" s="402"/>
      <x:c r="V63" s="402"/>
      <x:c r="W63" s="402"/>
      <x:c r="X63" s="402"/>
      <x:c r="Y63" s="402"/>
      <x:c r="Z63" s="402"/>
    </x:row>
    <x:row r="64">
      <x:c r="A64" s="402"/>
      <x:c r="B64" s="402"/>
      <x:c r="C64" s="402"/>
      <x:c r="D64" s="402"/>
      <x:c r="E64" s="402"/>
      <x:c r="F64" s="402"/>
      <x:c r="G64" s="402"/>
      <x:c r="H64" s="402"/>
      <x:c r="I64" s="402"/>
      <x:c r="J64" s="402"/>
      <x:c r="K64" s="402"/>
      <x:c r="L64" s="402"/>
      <x:c r="M64" s="402"/>
      <x:c r="N64" s="402"/>
      <x:c r="O64" s="402"/>
      <x:c r="P64" s="402"/>
      <x:c r="Q64" s="402"/>
      <x:c r="R64" s="402"/>
      <x:c r="S64" s="402"/>
      <x:c r="T64" s="402"/>
      <x:c r="U64" s="402"/>
      <x:c r="V64" s="402"/>
      <x:c r="W64" s="402"/>
      <x:c r="X64" s="402"/>
      <x:c r="Y64" s="402"/>
      <x:c r="Z64" s="402"/>
    </x:row>
    <x:row r="65">
      <x:c r="A65" s="402"/>
      <x:c r="B65" s="402"/>
      <x:c r="C65" s="402"/>
      <x:c r="D65" s="402"/>
      <x:c r="E65" s="402"/>
      <x:c r="F65" s="402"/>
      <x:c r="G65" s="402"/>
      <x:c r="H65" s="402"/>
      <x:c r="I65" s="402"/>
      <x:c r="J65" s="402"/>
      <x:c r="K65" s="402"/>
      <x:c r="L65" s="402"/>
      <x:c r="M65" s="402"/>
      <x:c r="N65" s="402"/>
      <x:c r="O65" s="402"/>
      <x:c r="P65" s="402"/>
      <x:c r="Q65" s="402"/>
      <x:c r="R65" s="402"/>
      <x:c r="S65" s="402"/>
      <x:c r="T65" s="402"/>
      <x:c r="U65" s="402"/>
      <x:c r="V65" s="402"/>
      <x:c r="W65" s="402"/>
      <x:c r="X65" s="402"/>
      <x:c r="Y65" s="402"/>
      <x:c r="Z65" s="402"/>
    </x:row>
    <x:row r="66">
      <x:c r="A66" s="402"/>
      <x:c r="B66" s="402"/>
      <x:c r="C66" s="402"/>
      <x:c r="D66" s="402"/>
      <x:c r="E66" s="402"/>
      <x:c r="F66" s="402"/>
      <x:c r="G66" s="402"/>
      <x:c r="H66" s="402"/>
      <x:c r="I66" s="402"/>
      <x:c r="J66" s="402"/>
      <x:c r="K66" s="402"/>
      <x:c r="L66" s="402"/>
      <x:c r="M66" s="402"/>
      <x:c r="N66" s="402"/>
      <x:c r="O66" s="402"/>
      <x:c r="P66" s="402"/>
      <x:c r="Q66" s="402"/>
      <x:c r="R66" s="402"/>
      <x:c r="S66" s="402"/>
      <x:c r="T66" s="402"/>
      <x:c r="U66" s="402"/>
      <x:c r="V66" s="402"/>
      <x:c r="W66" s="402"/>
      <x:c r="X66" s="402"/>
      <x:c r="Y66" s="402"/>
      <x:c r="Z66" s="402"/>
    </x:row>
    <x:row r="67">
      <x:c r="A67" s="402"/>
      <x:c r="B67" s="402"/>
      <x:c r="C67" s="402"/>
      <x:c r="D67" s="402"/>
      <x:c r="E67" s="402"/>
      <x:c r="F67" s="402"/>
      <x:c r="G67" s="402"/>
      <x:c r="H67" s="402"/>
      <x:c r="I67" s="402"/>
      <x:c r="J67" s="402"/>
      <x:c r="K67" s="402"/>
      <x:c r="L67" s="402"/>
      <x:c r="M67" s="402"/>
      <x:c r="N67" s="402"/>
      <x:c r="O67" s="402"/>
      <x:c r="P67" s="402"/>
      <x:c r="Q67" s="402"/>
      <x:c r="R67" s="402"/>
      <x:c r="S67" s="402"/>
      <x:c r="T67" s="402"/>
      <x:c r="U67" s="402"/>
      <x:c r="V67" s="402"/>
      <x:c r="W67" s="402"/>
      <x:c r="X67" s="402"/>
      <x:c r="Y67" s="402"/>
      <x:c r="Z67" s="402"/>
    </x:row>
    <x:row r="68">
      <x:c r="A68" s="402"/>
      <x:c r="B68" s="402"/>
      <x:c r="C68" s="402"/>
      <x:c r="D68" s="402"/>
      <x:c r="E68" s="402"/>
      <x:c r="F68" s="402"/>
      <x:c r="G68" s="402"/>
      <x:c r="H68" s="402"/>
      <x:c r="I68" s="402"/>
      <x:c r="J68" s="402"/>
      <x:c r="K68" s="402"/>
      <x:c r="L68" s="402"/>
      <x:c r="M68" s="402"/>
      <x:c r="N68" s="402"/>
      <x:c r="O68" s="402"/>
      <x:c r="P68" s="402"/>
      <x:c r="Q68" s="402"/>
      <x:c r="R68" s="402"/>
      <x:c r="S68" s="402"/>
      <x:c r="T68" s="402"/>
      <x:c r="U68" s="402"/>
      <x:c r="V68" s="402"/>
      <x:c r="W68" s="402"/>
      <x:c r="X68" s="402"/>
      <x:c r="Y68" s="402"/>
      <x:c r="Z68" s="402"/>
    </x:row>
    <x:row r="69">
      <x:c r="A69" s="402"/>
      <x:c r="B69" s="402"/>
      <x:c r="C69" s="402"/>
      <x:c r="D69" s="402"/>
      <x:c r="E69" s="402"/>
      <x:c r="F69" s="402"/>
      <x:c r="G69" s="402"/>
      <x:c r="H69" s="402"/>
      <x:c r="I69" s="402"/>
      <x:c r="J69" s="402"/>
      <x:c r="K69" s="402"/>
      <x:c r="L69" s="402"/>
      <x:c r="M69" s="402"/>
      <x:c r="N69" s="402"/>
      <x:c r="O69" s="402"/>
      <x:c r="P69" s="402"/>
      <x:c r="Q69" s="402"/>
      <x:c r="R69" s="402"/>
      <x:c r="S69" s="402"/>
      <x:c r="T69" s="402"/>
      <x:c r="U69" s="402"/>
      <x:c r="V69" s="402"/>
      <x:c r="W69" s="402"/>
      <x:c r="X69" s="402"/>
      <x:c r="Y69" s="402"/>
      <x:c r="Z69" s="402"/>
    </x:row>
    <x:row r="70">
      <x:c r="A70" s="402"/>
      <x:c r="B70" s="402"/>
      <x:c r="C70" s="402"/>
      <x:c r="D70" s="402"/>
      <x:c r="E70" s="402"/>
      <x:c r="F70" s="402"/>
      <x:c r="G70" s="402"/>
      <x:c r="H70" s="402"/>
      <x:c r="I70" s="402"/>
      <x:c r="J70" s="402"/>
      <x:c r="K70" s="402"/>
      <x:c r="L70" s="402"/>
      <x:c r="M70" s="402"/>
      <x:c r="N70" s="402"/>
      <x:c r="O70" s="402"/>
      <x:c r="P70" s="402"/>
      <x:c r="Q70" s="402"/>
      <x:c r="R70" s="402"/>
      <x:c r="S70" s="402"/>
      <x:c r="T70" s="402"/>
      <x:c r="U70" s="402"/>
      <x:c r="V70" s="402"/>
      <x:c r="W70" s="402"/>
      <x:c r="X70" s="402"/>
      <x:c r="Y70" s="402"/>
      <x:c r="Z70" s="402"/>
    </x:row>
    <x:row r="71">
      <x:c r="A71" s="402"/>
      <x:c r="B71" s="402"/>
      <x:c r="C71" s="402"/>
      <x:c r="D71" s="402"/>
      <x:c r="E71" s="402"/>
      <x:c r="F71" s="402"/>
      <x:c r="G71" s="402"/>
      <x:c r="H71" s="402"/>
      <x:c r="I71" s="402"/>
      <x:c r="J71" s="402"/>
      <x:c r="K71" s="402"/>
      <x:c r="L71" s="402"/>
      <x:c r="M71" s="402"/>
      <x:c r="N71" s="402"/>
      <x:c r="O71" s="402"/>
      <x:c r="P71" s="402"/>
      <x:c r="Q71" s="402"/>
      <x:c r="R71" s="402"/>
      <x:c r="S71" s="402"/>
      <x:c r="T71" s="402"/>
      <x:c r="U71" s="402"/>
      <x:c r="V71" s="402"/>
      <x:c r="W71" s="402"/>
      <x:c r="X71" s="402"/>
      <x:c r="Y71" s="402"/>
      <x:c r="Z71" s="402"/>
    </x:row>
    <x:row r="72">
      <x:c r="A72" s="402"/>
      <x:c r="B72" s="402"/>
      <x:c r="C72" s="402"/>
      <x:c r="D72" s="402"/>
      <x:c r="E72" s="402"/>
      <x:c r="F72" s="402"/>
      <x:c r="G72" s="402"/>
      <x:c r="H72" s="402"/>
      <x:c r="I72" s="402"/>
      <x:c r="J72" s="402"/>
      <x:c r="K72" s="402"/>
      <x:c r="L72" s="402"/>
      <x:c r="M72" s="402"/>
      <x:c r="N72" s="402"/>
      <x:c r="O72" s="402"/>
      <x:c r="P72" s="402"/>
      <x:c r="Q72" s="402"/>
      <x:c r="R72" s="402"/>
      <x:c r="S72" s="402"/>
      <x:c r="T72" s="402"/>
      <x:c r="U72" s="402"/>
      <x:c r="V72" s="402"/>
      <x:c r="W72" s="402"/>
      <x:c r="X72" s="402"/>
      <x:c r="Y72" s="402"/>
      <x:c r="Z72" s="402"/>
    </x:row>
    <x:row r="73">
      <x:c r="A73" s="402"/>
      <x:c r="B73" s="402"/>
      <x:c r="C73" s="402"/>
      <x:c r="D73" s="402"/>
      <x:c r="E73" s="402"/>
      <x:c r="F73" s="402"/>
      <x:c r="G73" s="402"/>
      <x:c r="H73" s="402"/>
      <x:c r="I73" s="402"/>
      <x:c r="J73" s="402"/>
      <x:c r="K73" s="402"/>
      <x:c r="L73" s="402"/>
      <x:c r="M73" s="402"/>
      <x:c r="N73" s="402"/>
      <x:c r="O73" s="402"/>
      <x:c r="P73" s="402"/>
      <x:c r="Q73" s="402"/>
      <x:c r="R73" s="402"/>
      <x:c r="S73" s="402"/>
      <x:c r="T73" s="402"/>
      <x:c r="U73" s="402"/>
      <x:c r="V73" s="402"/>
      <x:c r="W73" s="402"/>
      <x:c r="X73" s="402"/>
      <x:c r="Y73" s="402"/>
      <x:c r="Z73" s="402"/>
    </x:row>
    <x:row r="74">
      <x:c r="A74" s="402"/>
      <x:c r="B74" s="402"/>
      <x:c r="C74" s="402"/>
      <x:c r="D74" s="402"/>
      <x:c r="E74" s="402"/>
      <x:c r="F74" s="402"/>
      <x:c r="G74" s="402"/>
      <x:c r="H74" s="402"/>
      <x:c r="I74" s="402"/>
      <x:c r="J74" s="402"/>
      <x:c r="K74" s="402"/>
      <x:c r="L74" s="402"/>
      <x:c r="M74" s="402"/>
      <x:c r="N74" s="402"/>
      <x:c r="O74" s="402"/>
      <x:c r="P74" s="402"/>
      <x:c r="Q74" s="402"/>
      <x:c r="R74" s="402"/>
      <x:c r="S74" s="402"/>
      <x:c r="T74" s="402"/>
      <x:c r="U74" s="402"/>
      <x:c r="V74" s="402"/>
      <x:c r="W74" s="402"/>
      <x:c r="X74" s="402"/>
      <x:c r="Y74" s="402"/>
      <x:c r="Z74" s="402"/>
    </x:row>
    <x:row r="75">
      <x:c r="A75" s="402"/>
      <x:c r="B75" s="402"/>
      <x:c r="C75" s="402"/>
      <x:c r="D75" s="402"/>
      <x:c r="E75" s="402"/>
      <x:c r="F75" s="402"/>
      <x:c r="G75" s="402"/>
      <x:c r="H75" s="402"/>
      <x:c r="I75" s="402"/>
      <x:c r="J75" s="402"/>
      <x:c r="K75" s="402"/>
      <x:c r="L75" s="402"/>
      <x:c r="M75" s="402"/>
      <x:c r="N75" s="402"/>
      <x:c r="O75" s="402"/>
      <x:c r="P75" s="402"/>
      <x:c r="Q75" s="402"/>
      <x:c r="R75" s="402"/>
      <x:c r="S75" s="402"/>
      <x:c r="T75" s="402"/>
      <x:c r="U75" s="402"/>
      <x:c r="V75" s="402"/>
      <x:c r="W75" s="402"/>
      <x:c r="X75" s="402"/>
      <x:c r="Y75" s="402"/>
      <x:c r="Z75" s="402"/>
    </x:row>
    <x:row r="76">
      <x:c r="A76" s="402"/>
      <x:c r="B76" s="402"/>
      <x:c r="C76" s="402"/>
      <x:c r="D76" s="402"/>
      <x:c r="E76" s="402"/>
      <x:c r="F76" s="402"/>
      <x:c r="G76" s="402"/>
      <x:c r="H76" s="402"/>
      <x:c r="I76" s="402"/>
      <x:c r="J76" s="402"/>
      <x:c r="K76" s="402"/>
      <x:c r="L76" s="402"/>
      <x:c r="M76" s="402"/>
      <x:c r="N76" s="402"/>
      <x:c r="O76" s="402"/>
      <x:c r="P76" s="402"/>
      <x:c r="Q76" s="402"/>
      <x:c r="R76" s="402"/>
      <x:c r="S76" s="402"/>
      <x:c r="T76" s="402"/>
      <x:c r="U76" s="402"/>
      <x:c r="V76" s="402"/>
      <x:c r="W76" s="402"/>
      <x:c r="X76" s="402"/>
      <x:c r="Y76" s="402"/>
      <x:c r="Z76" s="402"/>
    </x:row>
    <x:row r="77">
      <x:c r="A77" s="402"/>
      <x:c r="B77" s="402"/>
      <x:c r="C77" s="402"/>
      <x:c r="D77" s="402"/>
      <x:c r="E77" s="402"/>
      <x:c r="F77" s="402"/>
      <x:c r="G77" s="402"/>
      <x:c r="H77" s="402"/>
      <x:c r="I77" s="402"/>
      <x:c r="J77" s="402"/>
      <x:c r="K77" s="402"/>
      <x:c r="L77" s="402"/>
      <x:c r="M77" s="402"/>
      <x:c r="N77" s="402"/>
      <x:c r="O77" s="402"/>
      <x:c r="P77" s="402"/>
      <x:c r="Q77" s="402"/>
      <x:c r="R77" s="402"/>
      <x:c r="S77" s="402"/>
      <x:c r="T77" s="402"/>
      <x:c r="U77" s="402"/>
      <x:c r="V77" s="402"/>
      <x:c r="W77" s="402"/>
      <x:c r="X77" s="402"/>
      <x:c r="Y77" s="402"/>
      <x:c r="Z77" s="402"/>
    </x:row>
    <x:row r="78">
      <x:c r="A78" s="402"/>
      <x:c r="B78" s="402"/>
      <x:c r="C78" s="402"/>
      <x:c r="D78" s="402"/>
      <x:c r="E78" s="402"/>
      <x:c r="F78" s="402"/>
      <x:c r="G78" s="402"/>
      <x:c r="H78" s="402"/>
      <x:c r="I78" s="402"/>
      <x:c r="J78" s="402"/>
      <x:c r="K78" s="402"/>
      <x:c r="L78" s="402"/>
      <x:c r="M78" s="402"/>
      <x:c r="N78" s="402"/>
      <x:c r="O78" s="402"/>
      <x:c r="P78" s="402"/>
      <x:c r="Q78" s="402"/>
      <x:c r="R78" s="402"/>
      <x:c r="S78" s="402"/>
      <x:c r="T78" s="402"/>
      <x:c r="U78" s="402"/>
      <x:c r="V78" s="402"/>
      <x:c r="W78" s="402"/>
      <x:c r="X78" s="402"/>
      <x:c r="Y78" s="402"/>
      <x:c r="Z78" s="402"/>
    </x:row>
    <x:row r="79">
      <x:c r="A79" s="402"/>
      <x:c r="B79" s="402"/>
      <x:c r="C79" s="402"/>
      <x:c r="D79" s="402"/>
      <x:c r="E79" s="402"/>
      <x:c r="F79" s="402"/>
      <x:c r="G79" s="402"/>
      <x:c r="H79" s="402"/>
      <x:c r="I79" s="402"/>
      <x:c r="J79" s="402"/>
      <x:c r="K79" s="402"/>
      <x:c r="L79" s="402"/>
      <x:c r="M79" s="402"/>
      <x:c r="N79" s="402"/>
      <x:c r="O79" s="402"/>
      <x:c r="P79" s="402"/>
      <x:c r="Q79" s="402"/>
      <x:c r="R79" s="402"/>
      <x:c r="S79" s="402"/>
      <x:c r="T79" s="402"/>
      <x:c r="U79" s="402"/>
      <x:c r="V79" s="402"/>
      <x:c r="W79" s="402"/>
      <x:c r="X79" s="402"/>
      <x:c r="Y79" s="402"/>
      <x:c r="Z79" s="402"/>
    </x:row>
    <x:row r="80">
      <x:c r="A80" s="402"/>
      <x:c r="B80" s="402"/>
      <x:c r="C80" s="402"/>
      <x:c r="D80" s="402"/>
      <x:c r="E80" s="402"/>
      <x:c r="F80" s="402"/>
      <x:c r="G80" s="402"/>
      <x:c r="H80" s="402"/>
      <x:c r="I80" s="402"/>
      <x:c r="J80" s="402"/>
      <x:c r="K80" s="402"/>
      <x:c r="L80" s="402"/>
      <x:c r="M80" s="402"/>
      <x:c r="N80" s="402"/>
      <x:c r="O80" s="402"/>
      <x:c r="P80" s="402"/>
      <x:c r="Q80" s="402"/>
      <x:c r="R80" s="402"/>
      <x:c r="S80" s="402"/>
      <x:c r="T80" s="402"/>
      <x:c r="U80" s="402"/>
      <x:c r="V80" s="402"/>
      <x:c r="W80" s="402"/>
      <x:c r="X80" s="402"/>
      <x:c r="Y80" s="402"/>
      <x:c r="Z80" s="402"/>
    </x:row>
    <x:row r="81">
      <x:c r="A81" s="402"/>
      <x:c r="B81" s="402"/>
      <x:c r="C81" s="402"/>
      <x:c r="D81" s="402"/>
      <x:c r="E81" s="402"/>
      <x:c r="F81" s="402"/>
      <x:c r="G81" s="402"/>
      <x:c r="H81" s="402"/>
      <x:c r="I81" s="402"/>
      <x:c r="J81" s="402"/>
      <x:c r="K81" s="402"/>
      <x:c r="L81" s="402"/>
      <x:c r="M81" s="402"/>
      <x:c r="N81" s="402"/>
      <x:c r="O81" s="402"/>
      <x:c r="P81" s="402"/>
      <x:c r="Q81" s="402"/>
      <x:c r="R81" s="402"/>
      <x:c r="S81" s="402"/>
      <x:c r="T81" s="402"/>
      <x:c r="U81" s="402"/>
      <x:c r="V81" s="402"/>
      <x:c r="W81" s="402"/>
      <x:c r="X81" s="402"/>
      <x:c r="Y81" s="402"/>
      <x:c r="Z81" s="402"/>
    </x:row>
    <x:row r="82">
      <x:c r="A82" s="402"/>
      <x:c r="B82" s="402"/>
      <x:c r="C82" s="402"/>
      <x:c r="D82" s="402"/>
      <x:c r="E82" s="402"/>
      <x:c r="F82" s="402"/>
      <x:c r="G82" s="402"/>
      <x:c r="H82" s="402"/>
      <x:c r="I82" s="402"/>
      <x:c r="J82" s="402"/>
      <x:c r="K82" s="402"/>
      <x:c r="L82" s="402"/>
      <x:c r="M82" s="402"/>
      <x:c r="N82" s="402"/>
      <x:c r="O82" s="402"/>
      <x:c r="P82" s="402"/>
      <x:c r="Q82" s="402"/>
      <x:c r="R82" s="402"/>
      <x:c r="S82" s="402"/>
      <x:c r="T82" s="402"/>
      <x:c r="U82" s="402"/>
      <x:c r="V82" s="402"/>
      <x:c r="W82" s="402"/>
      <x:c r="X82" s="402"/>
      <x:c r="Y82" s="402"/>
      <x:c r="Z82" s="402"/>
    </x:row>
    <x:row r="83">
      <x:c r="A83" s="402"/>
      <x:c r="B83" s="402"/>
      <x:c r="C83" s="402"/>
      <x:c r="D83" s="402"/>
      <x:c r="E83" s="402"/>
      <x:c r="F83" s="402"/>
      <x:c r="G83" s="402"/>
      <x:c r="H83" s="402"/>
      <x:c r="I83" s="402"/>
      <x:c r="J83" s="402"/>
      <x:c r="K83" s="402"/>
      <x:c r="L83" s="402"/>
      <x:c r="M83" s="402"/>
      <x:c r="N83" s="402"/>
      <x:c r="O83" s="402"/>
      <x:c r="P83" s="402"/>
      <x:c r="Q83" s="402"/>
      <x:c r="R83" s="402"/>
      <x:c r="S83" s="402"/>
      <x:c r="T83" s="402"/>
      <x:c r="U83" s="402"/>
      <x:c r="V83" s="402"/>
      <x:c r="W83" s="402"/>
      <x:c r="X83" s="402"/>
      <x:c r="Y83" s="402"/>
      <x:c r="Z83" s="402"/>
    </x:row>
    <x:row r="84">
      <x:c r="A84" s="402"/>
      <x:c r="B84" s="402"/>
      <x:c r="C84" s="402"/>
      <x:c r="D84" s="402"/>
      <x:c r="E84" s="402"/>
      <x:c r="F84" s="402"/>
      <x:c r="G84" s="402"/>
      <x:c r="H84" s="402"/>
      <x:c r="I84" s="402"/>
      <x:c r="J84" s="402"/>
      <x:c r="K84" s="402"/>
      <x:c r="L84" s="402"/>
      <x:c r="M84" s="402"/>
      <x:c r="N84" s="402"/>
      <x:c r="O84" s="402"/>
      <x:c r="P84" s="402"/>
      <x:c r="Q84" s="402"/>
      <x:c r="R84" s="402"/>
      <x:c r="S84" s="402"/>
      <x:c r="T84" s="402"/>
      <x:c r="U84" s="402"/>
      <x:c r="V84" s="402"/>
      <x:c r="W84" s="402"/>
      <x:c r="X84" s="402"/>
      <x:c r="Y84" s="402"/>
      <x:c r="Z84" s="402"/>
    </x:row>
    <x:row r="85">
      <x:c r="A85" s="402"/>
      <x:c r="B85" s="402"/>
      <x:c r="C85" s="402"/>
      <x:c r="D85" s="402"/>
      <x:c r="E85" s="402"/>
      <x:c r="F85" s="402"/>
      <x:c r="G85" s="402"/>
      <x:c r="H85" s="402"/>
      <x:c r="I85" s="402"/>
      <x:c r="J85" s="402"/>
      <x:c r="K85" s="402"/>
      <x:c r="L85" s="402"/>
      <x:c r="M85" s="402"/>
      <x:c r="N85" s="402"/>
      <x:c r="O85" s="402"/>
      <x:c r="P85" s="402"/>
      <x:c r="Q85" s="402"/>
      <x:c r="R85" s="402"/>
      <x:c r="S85" s="402"/>
      <x:c r="T85" s="402"/>
      <x:c r="U85" s="402"/>
      <x:c r="V85" s="402"/>
      <x:c r="W85" s="402"/>
      <x:c r="X85" s="402"/>
      <x:c r="Y85" s="402"/>
      <x:c r="Z85" s="402"/>
    </x:row>
    <x:row r="86">
      <x:c r="A86" s="402"/>
      <x:c r="B86" s="402"/>
      <x:c r="C86" s="402"/>
      <x:c r="D86" s="402"/>
      <x:c r="E86" s="402"/>
      <x:c r="F86" s="402"/>
      <x:c r="G86" s="402"/>
      <x:c r="H86" s="402"/>
      <x:c r="I86" s="402"/>
      <x:c r="J86" s="402"/>
      <x:c r="K86" s="402"/>
      <x:c r="L86" s="402"/>
      <x:c r="M86" s="402"/>
      <x:c r="N86" s="402"/>
      <x:c r="O86" s="402"/>
      <x:c r="P86" s="402"/>
      <x:c r="Q86" s="402"/>
      <x:c r="R86" s="402"/>
      <x:c r="S86" s="402"/>
      <x:c r="T86" s="402"/>
      <x:c r="U86" s="402"/>
      <x:c r="V86" s="402"/>
      <x:c r="W86" s="402"/>
      <x:c r="X86" s="402"/>
      <x:c r="Y86" s="402"/>
      <x:c r="Z86" s="402"/>
    </x:row>
    <x:row r="87">
      <x:c r="A87" s="402"/>
      <x:c r="B87" s="402"/>
      <x:c r="C87" s="402"/>
      <x:c r="D87" s="402"/>
      <x:c r="E87" s="402"/>
      <x:c r="F87" s="402"/>
      <x:c r="G87" s="402"/>
      <x:c r="H87" s="402"/>
      <x:c r="I87" s="402"/>
      <x:c r="J87" s="402"/>
      <x:c r="K87" s="402"/>
      <x:c r="L87" s="402"/>
      <x:c r="M87" s="402"/>
      <x:c r="N87" s="402"/>
      <x:c r="O87" s="402"/>
      <x:c r="P87" s="402"/>
      <x:c r="Q87" s="402"/>
      <x:c r="R87" s="402"/>
      <x:c r="S87" s="402"/>
      <x:c r="T87" s="402"/>
      <x:c r="U87" s="402"/>
      <x:c r="V87" s="402"/>
      <x:c r="W87" s="402"/>
      <x:c r="X87" s="402"/>
      <x:c r="Y87" s="402"/>
      <x:c r="Z87" s="402"/>
    </x:row>
    <x:row r="88">
      <x:c r="A88" s="402"/>
      <x:c r="B88" s="402"/>
      <x:c r="C88" s="402"/>
      <x:c r="D88" s="402"/>
      <x:c r="E88" s="402"/>
      <x:c r="F88" s="402"/>
      <x:c r="G88" s="402"/>
      <x:c r="H88" s="402"/>
      <x:c r="I88" s="402"/>
      <x:c r="J88" s="402"/>
      <x:c r="K88" s="402"/>
      <x:c r="L88" s="402"/>
      <x:c r="M88" s="402"/>
      <x:c r="N88" s="402"/>
      <x:c r="O88" s="402"/>
      <x:c r="P88" s="402"/>
      <x:c r="Q88" s="402"/>
      <x:c r="R88" s="402"/>
      <x:c r="S88" s="402"/>
      <x:c r="T88" s="402"/>
      <x:c r="U88" s="402"/>
      <x:c r="V88" s="402"/>
      <x:c r="W88" s="402"/>
      <x:c r="X88" s="402"/>
      <x:c r="Y88" s="402"/>
      <x:c r="Z88" s="402"/>
    </x:row>
    <x:row r="89">
      <x:c r="A89" s="402"/>
      <x:c r="B89" s="402"/>
      <x:c r="C89" s="402"/>
      <x:c r="D89" s="402"/>
      <x:c r="E89" s="402"/>
      <x:c r="F89" s="402"/>
      <x:c r="G89" s="402"/>
      <x:c r="H89" s="402"/>
      <x:c r="I89" s="402"/>
      <x:c r="J89" s="402"/>
      <x:c r="K89" s="402"/>
      <x:c r="L89" s="402"/>
      <x:c r="M89" s="402"/>
      <x:c r="N89" s="402"/>
      <x:c r="O89" s="402"/>
      <x:c r="P89" s="402"/>
      <x:c r="Q89" s="402"/>
      <x:c r="R89" s="402"/>
      <x:c r="S89" s="402"/>
      <x:c r="T89" s="402"/>
      <x:c r="U89" s="402"/>
      <x:c r="V89" s="402"/>
      <x:c r="W89" s="402"/>
      <x:c r="X89" s="402"/>
      <x:c r="Y89" s="402"/>
      <x:c r="Z89" s="402"/>
    </x:row>
    <x:row r="90">
      <x:c r="A90" s="402"/>
      <x:c r="B90" s="402"/>
      <x:c r="C90" s="402"/>
      <x:c r="D90" s="402"/>
      <x:c r="E90" s="402"/>
      <x:c r="F90" s="402"/>
      <x:c r="G90" s="402"/>
      <x:c r="H90" s="402"/>
      <x:c r="I90" s="402"/>
      <x:c r="J90" s="402"/>
      <x:c r="K90" s="402"/>
      <x:c r="L90" s="402"/>
      <x:c r="M90" s="402"/>
      <x:c r="N90" s="402"/>
      <x:c r="O90" s="402"/>
      <x:c r="P90" s="402"/>
      <x:c r="Q90" s="402"/>
      <x:c r="R90" s="402"/>
      <x:c r="S90" s="402"/>
      <x:c r="T90" s="402"/>
      <x:c r="U90" s="402"/>
      <x:c r="V90" s="402"/>
      <x:c r="W90" s="402"/>
      <x:c r="X90" s="402"/>
      <x:c r="Y90" s="402"/>
      <x:c r="Z90" s="402"/>
    </x:row>
    <x:row r="91">
      <x:c r="A91" s="402"/>
      <x:c r="B91" s="402"/>
      <x:c r="C91" s="402"/>
      <x:c r="D91" s="402"/>
      <x:c r="E91" s="402"/>
      <x:c r="F91" s="402"/>
      <x:c r="G91" s="402"/>
      <x:c r="H91" s="402"/>
      <x:c r="I91" s="402"/>
      <x:c r="J91" s="402"/>
      <x:c r="K91" s="402"/>
      <x:c r="L91" s="402"/>
      <x:c r="M91" s="402"/>
      <x:c r="N91" s="402"/>
      <x:c r="O91" s="402"/>
      <x:c r="P91" s="402"/>
      <x:c r="Q91" s="402"/>
      <x:c r="R91" s="402"/>
      <x:c r="S91" s="402"/>
      <x:c r="T91" s="402"/>
      <x:c r="U91" s="402"/>
      <x:c r="V91" s="402"/>
      <x:c r="W91" s="402"/>
      <x:c r="X91" s="402"/>
      <x:c r="Y91" s="402"/>
      <x:c r="Z91" s="402"/>
    </x:row>
    <x:row r="92">
      <x:c r="A92" s="402"/>
      <x:c r="B92" s="402"/>
      <x:c r="C92" s="402"/>
      <x:c r="D92" s="402"/>
      <x:c r="E92" s="402"/>
      <x:c r="F92" s="402"/>
      <x:c r="G92" s="402"/>
      <x:c r="H92" s="402"/>
      <x:c r="I92" s="402"/>
      <x:c r="J92" s="402"/>
      <x:c r="K92" s="402"/>
      <x:c r="L92" s="402"/>
      <x:c r="M92" s="402"/>
      <x:c r="N92" s="402"/>
      <x:c r="O92" s="402"/>
      <x:c r="P92" s="402"/>
      <x:c r="Q92" s="402"/>
      <x:c r="R92" s="402"/>
      <x:c r="S92" s="402"/>
      <x:c r="T92" s="402"/>
      <x:c r="U92" s="402"/>
      <x:c r="V92" s="402"/>
      <x:c r="W92" s="402"/>
      <x:c r="X92" s="402"/>
      <x:c r="Y92" s="402"/>
      <x:c r="Z92" s="402"/>
    </x:row>
    <x:row r="93">
      <x:c r="A93" s="402"/>
      <x:c r="B93" s="402"/>
      <x:c r="C93" s="402"/>
      <x:c r="D93" s="402"/>
      <x:c r="E93" s="402"/>
      <x:c r="F93" s="402"/>
      <x:c r="G93" s="402"/>
      <x:c r="H93" s="402"/>
      <x:c r="I93" s="402"/>
      <x:c r="J93" s="402"/>
      <x:c r="K93" s="402"/>
      <x:c r="L93" s="402"/>
      <x:c r="M93" s="402"/>
      <x:c r="N93" s="402"/>
      <x:c r="O93" s="402"/>
      <x:c r="P93" s="402"/>
      <x:c r="Q93" s="402"/>
      <x:c r="R93" s="402"/>
      <x:c r="S93" s="402"/>
      <x:c r="T93" s="402"/>
      <x:c r="U93" s="402"/>
      <x:c r="V93" s="402"/>
      <x:c r="W93" s="402"/>
      <x:c r="X93" s="402"/>
      <x:c r="Y93" s="402"/>
      <x:c r="Z93" s="402"/>
    </x:row>
    <x:row r="94">
      <x:c r="A94" s="402"/>
      <x:c r="B94" s="402"/>
      <x:c r="C94" s="402"/>
      <x:c r="D94" s="402"/>
      <x:c r="E94" s="402"/>
      <x:c r="F94" s="402"/>
      <x:c r="G94" s="402"/>
      <x:c r="H94" s="402"/>
      <x:c r="I94" s="402"/>
      <x:c r="J94" s="402"/>
      <x:c r="K94" s="402"/>
      <x:c r="L94" s="402"/>
      <x:c r="M94" s="402"/>
      <x:c r="N94" s="402"/>
      <x:c r="O94" s="402"/>
      <x:c r="P94" s="402"/>
      <x:c r="Q94" s="402"/>
      <x:c r="R94" s="402"/>
      <x:c r="S94" s="402"/>
      <x:c r="T94" s="402"/>
      <x:c r="U94" s="402"/>
      <x:c r="V94" s="402"/>
      <x:c r="W94" s="402"/>
      <x:c r="X94" s="402"/>
      <x:c r="Y94" s="402"/>
      <x:c r="Z94" s="402"/>
    </x:row>
    <x:row r="95">
      <x:c r="A95" s="402"/>
      <x:c r="B95" s="402"/>
      <x:c r="C95" s="402"/>
      <x:c r="D95" s="402"/>
      <x:c r="E95" s="402"/>
      <x:c r="F95" s="402"/>
      <x:c r="G95" s="402"/>
      <x:c r="H95" s="402"/>
      <x:c r="I95" s="402"/>
      <x:c r="J95" s="402"/>
      <x:c r="K95" s="402"/>
      <x:c r="L95" s="402"/>
      <x:c r="M95" s="402"/>
      <x:c r="N95" s="402"/>
      <x:c r="O95" s="402"/>
      <x:c r="P95" s="402"/>
      <x:c r="Q95" s="402"/>
      <x:c r="R95" s="402"/>
      <x:c r="S95" s="402"/>
      <x:c r="T95" s="402"/>
      <x:c r="U95" s="402"/>
      <x:c r="V95" s="402"/>
      <x:c r="W95" s="402"/>
      <x:c r="X95" s="402"/>
      <x:c r="Y95" s="402"/>
      <x:c r="Z95" s="402"/>
    </x:row>
    <x:row r="96">
      <x:c r="A96" s="402"/>
      <x:c r="B96" s="402"/>
      <x:c r="C96" s="402"/>
      <x:c r="D96" s="402"/>
      <x:c r="E96" s="402"/>
      <x:c r="F96" s="402"/>
      <x:c r="G96" s="402"/>
      <x:c r="H96" s="402"/>
      <x:c r="I96" s="402"/>
      <x:c r="J96" s="402"/>
      <x:c r="K96" s="402"/>
      <x:c r="L96" s="402"/>
      <x:c r="M96" s="402"/>
      <x:c r="N96" s="402"/>
      <x:c r="O96" s="402"/>
      <x:c r="P96" s="402"/>
      <x:c r="Q96" s="402"/>
      <x:c r="R96" s="402"/>
      <x:c r="S96" s="402"/>
      <x:c r="T96" s="402"/>
      <x:c r="U96" s="402"/>
      <x:c r="V96" s="402"/>
      <x:c r="W96" s="402"/>
      <x:c r="X96" s="402"/>
      <x:c r="Y96" s="402"/>
      <x:c r="Z96" s="402"/>
    </x:row>
    <x:row r="97">
      <x:c r="A97" s="402"/>
      <x:c r="B97" s="402"/>
      <x:c r="C97" s="402"/>
      <x:c r="D97" s="402"/>
      <x:c r="E97" s="402"/>
      <x:c r="F97" s="402"/>
      <x:c r="G97" s="402"/>
      <x:c r="H97" s="402"/>
      <x:c r="I97" s="402"/>
      <x:c r="J97" s="402"/>
      <x:c r="K97" s="402"/>
      <x:c r="L97" s="402"/>
      <x:c r="M97" s="402"/>
      <x:c r="N97" s="402"/>
      <x:c r="O97" s="402"/>
      <x:c r="P97" s="402"/>
      <x:c r="Q97" s="402"/>
      <x:c r="R97" s="402"/>
      <x:c r="S97" s="402"/>
      <x:c r="T97" s="402"/>
      <x:c r="U97" s="402"/>
      <x:c r="V97" s="402"/>
      <x:c r="W97" s="402"/>
      <x:c r="X97" s="402"/>
      <x:c r="Y97" s="402"/>
      <x:c r="Z97" s="402"/>
    </x:row>
    <x:row r="98">
      <x:c r="A98" s="402"/>
      <x:c r="B98" s="402"/>
      <x:c r="C98" s="402"/>
      <x:c r="D98" s="402"/>
      <x:c r="E98" s="402"/>
      <x:c r="F98" s="402"/>
      <x:c r="G98" s="402"/>
      <x:c r="H98" s="402"/>
      <x:c r="I98" s="402"/>
      <x:c r="J98" s="402"/>
      <x:c r="K98" s="402"/>
      <x:c r="L98" s="402"/>
      <x:c r="M98" s="402"/>
      <x:c r="N98" s="402"/>
      <x:c r="O98" s="402"/>
      <x:c r="P98" s="402"/>
      <x:c r="Q98" s="402"/>
      <x:c r="R98" s="402"/>
      <x:c r="S98" s="402"/>
      <x:c r="T98" s="402"/>
      <x:c r="U98" s="402"/>
      <x:c r="V98" s="402"/>
      <x:c r="W98" s="402"/>
      <x:c r="X98" s="402"/>
      <x:c r="Y98" s="402"/>
      <x:c r="Z98" s="402"/>
    </x:row>
    <x:row r="99">
      <x:c r="A99" s="402"/>
      <x:c r="B99" s="402"/>
      <x:c r="C99" s="402"/>
      <x:c r="D99" s="402"/>
      <x:c r="E99" s="402"/>
      <x:c r="F99" s="402"/>
      <x:c r="G99" s="402"/>
      <x:c r="H99" s="402"/>
      <x:c r="I99" s="402"/>
      <x:c r="J99" s="402"/>
      <x:c r="K99" s="402"/>
      <x:c r="L99" s="402"/>
      <x:c r="M99" s="402"/>
      <x:c r="N99" s="402"/>
      <x:c r="O99" s="402"/>
      <x:c r="P99" s="402"/>
      <x:c r="Q99" s="402"/>
      <x:c r="R99" s="402"/>
      <x:c r="S99" s="402"/>
      <x:c r="T99" s="402"/>
      <x:c r="U99" s="402"/>
      <x:c r="V99" s="402"/>
      <x:c r="W99" s="402"/>
      <x:c r="X99" s="402"/>
      <x:c r="Y99" s="402"/>
      <x:c r="Z99" s="402"/>
    </x:row>
    <x:row r="100">
      <x:c r="A100" s="402"/>
      <x:c r="B100" s="402"/>
      <x:c r="C100" s="402"/>
      <x:c r="D100" s="402"/>
      <x:c r="E100" s="402"/>
      <x:c r="F100" s="402"/>
      <x:c r="G100" s="402"/>
      <x:c r="H100" s="402"/>
      <x:c r="I100" s="402"/>
      <x:c r="J100" s="402"/>
      <x:c r="K100" s="402"/>
      <x:c r="L100" s="402"/>
      <x:c r="M100" s="402"/>
      <x:c r="N100" s="402"/>
      <x:c r="O100" s="402"/>
      <x:c r="P100" s="402"/>
      <x:c r="Q100" s="402"/>
      <x:c r="R100" s="402"/>
      <x:c r="S100" s="402"/>
      <x:c r="T100" s="402"/>
      <x:c r="U100" s="402"/>
      <x:c r="V100" s="402"/>
      <x:c r="W100" s="402"/>
      <x:c r="X100" s="402"/>
      <x:c r="Y100" s="402"/>
      <x:c r="Z100" s="402"/>
    </x:row>
    <x:row r="101">
      <x:c r="A101" s="402"/>
      <x:c r="B101" s="402"/>
      <x:c r="C101" s="402"/>
      <x:c r="D101" s="402"/>
      <x:c r="E101" s="402"/>
      <x:c r="F101" s="402"/>
      <x:c r="G101" s="402"/>
      <x:c r="H101" s="402"/>
      <x:c r="I101" s="402"/>
      <x:c r="J101" s="402"/>
      <x:c r="K101" s="402"/>
      <x:c r="L101" s="402"/>
      <x:c r="M101" s="402"/>
      <x:c r="N101" s="402"/>
      <x:c r="O101" s="402"/>
      <x:c r="P101" s="402"/>
      <x:c r="Q101" s="402"/>
      <x:c r="R101" s="402"/>
      <x:c r="S101" s="402"/>
      <x:c r="T101" s="402"/>
      <x:c r="U101" s="402"/>
      <x:c r="V101" s="402"/>
      <x:c r="W101" s="402"/>
      <x:c r="X101" s="402"/>
      <x:c r="Y101" s="402"/>
      <x:c r="Z101" s="402"/>
    </x:row>
    <x:row r="102">
      <x:c r="A102" s="402"/>
      <x:c r="B102" s="402"/>
      <x:c r="C102" s="402"/>
      <x:c r="D102" s="402"/>
      <x:c r="E102" s="402"/>
      <x:c r="F102" s="402"/>
      <x:c r="G102" s="402"/>
      <x:c r="H102" s="402"/>
      <x:c r="I102" s="402"/>
      <x:c r="J102" s="402"/>
      <x:c r="K102" s="402"/>
      <x:c r="L102" s="402"/>
      <x:c r="M102" s="402"/>
      <x:c r="N102" s="402"/>
      <x:c r="O102" s="402"/>
      <x:c r="P102" s="402"/>
      <x:c r="Q102" s="402"/>
      <x:c r="R102" s="402"/>
      <x:c r="S102" s="402"/>
      <x:c r="T102" s="402"/>
      <x:c r="U102" s="402"/>
      <x:c r="V102" s="402"/>
      <x:c r="W102" s="402"/>
      <x:c r="X102" s="402"/>
      <x:c r="Y102" s="402"/>
      <x:c r="Z102" s="402"/>
    </x:row>
    <x:row r="103">
      <x:c r="A103" s="402"/>
      <x:c r="B103" s="402"/>
      <x:c r="C103" s="402"/>
      <x:c r="D103" s="402"/>
      <x:c r="E103" s="402"/>
      <x:c r="F103" s="402"/>
      <x:c r="G103" s="402"/>
      <x:c r="H103" s="402"/>
      <x:c r="I103" s="402"/>
      <x:c r="J103" s="402"/>
      <x:c r="K103" s="402"/>
      <x:c r="L103" s="402"/>
      <x:c r="M103" s="402"/>
      <x:c r="N103" s="402"/>
      <x:c r="O103" s="402"/>
      <x:c r="P103" s="402"/>
      <x:c r="Q103" s="402"/>
      <x:c r="R103" s="402"/>
      <x:c r="S103" s="402"/>
      <x:c r="T103" s="402"/>
      <x:c r="U103" s="402"/>
      <x:c r="V103" s="402"/>
      <x:c r="W103" s="402"/>
      <x:c r="X103" s="402"/>
      <x:c r="Y103" s="402"/>
      <x:c r="Z103" s="402"/>
    </x:row>
    <x:row r="104">
      <x:c r="A104" s="402"/>
      <x:c r="B104" s="402"/>
      <x:c r="C104" s="402"/>
      <x:c r="D104" s="402"/>
      <x:c r="E104" s="402"/>
      <x:c r="F104" s="402"/>
      <x:c r="G104" s="402"/>
      <x:c r="H104" s="402"/>
      <x:c r="I104" s="402"/>
      <x:c r="J104" s="402"/>
      <x:c r="K104" s="402"/>
      <x:c r="L104" s="402"/>
      <x:c r="M104" s="402"/>
      <x:c r="N104" s="402"/>
      <x:c r="O104" s="402"/>
      <x:c r="P104" s="402"/>
      <x:c r="Q104" s="402"/>
      <x:c r="R104" s="402"/>
      <x:c r="S104" s="402"/>
      <x:c r="T104" s="402"/>
      <x:c r="U104" s="402"/>
      <x:c r="V104" s="402"/>
      <x:c r="W104" s="402"/>
      <x:c r="X104" s="402"/>
      <x:c r="Y104" s="402"/>
      <x:c r="Z104" s="402"/>
    </x:row>
    <x:row r="105">
      <x:c r="A105" s="402"/>
      <x:c r="B105" s="402"/>
      <x:c r="C105" s="402"/>
      <x:c r="D105" s="402"/>
      <x:c r="E105" s="402"/>
      <x:c r="F105" s="402"/>
      <x:c r="G105" s="402"/>
      <x:c r="H105" s="402"/>
      <x:c r="I105" s="402"/>
      <x:c r="J105" s="402"/>
      <x:c r="K105" s="402"/>
      <x:c r="L105" s="402"/>
      <x:c r="M105" s="402"/>
      <x:c r="N105" s="402"/>
      <x:c r="O105" s="402"/>
      <x:c r="P105" s="402"/>
      <x:c r="Q105" s="402"/>
      <x:c r="R105" s="402"/>
      <x:c r="S105" s="402"/>
      <x:c r="T105" s="402"/>
      <x:c r="U105" s="402"/>
      <x:c r="V105" s="402"/>
      <x:c r="W105" s="402"/>
      <x:c r="X105" s="402"/>
      <x:c r="Y105" s="402"/>
      <x:c r="Z105" s="402"/>
    </x:row>
    <x:row r="106">
      <x:c r="A106" s="402"/>
      <x:c r="B106" s="402"/>
      <x:c r="C106" s="402"/>
      <x:c r="D106" s="402"/>
      <x:c r="E106" s="402"/>
      <x:c r="F106" s="402"/>
      <x:c r="G106" s="402"/>
      <x:c r="H106" s="402"/>
      <x:c r="I106" s="402"/>
      <x:c r="J106" s="402"/>
      <x:c r="K106" s="402"/>
      <x:c r="L106" s="402"/>
      <x:c r="M106" s="402"/>
      <x:c r="N106" s="402"/>
      <x:c r="O106" s="402"/>
      <x:c r="P106" s="402"/>
      <x:c r="Q106" s="402"/>
      <x:c r="R106" s="402"/>
      <x:c r="S106" s="402"/>
      <x:c r="T106" s="402"/>
      <x:c r="U106" s="402"/>
      <x:c r="V106" s="402"/>
      <x:c r="W106" s="402"/>
      <x:c r="X106" s="402"/>
      <x:c r="Y106" s="402"/>
      <x:c r="Z106" s="402"/>
    </x:row>
    <x:row r="107">
      <x:c r="A107" s="402"/>
      <x:c r="B107" s="402"/>
      <x:c r="C107" s="402"/>
      <x:c r="D107" s="402"/>
      <x:c r="E107" s="402"/>
      <x:c r="F107" s="402"/>
      <x:c r="G107" s="402"/>
      <x:c r="H107" s="402"/>
      <x:c r="I107" s="402"/>
      <x:c r="J107" s="402"/>
      <x:c r="K107" s="402"/>
      <x:c r="L107" s="402"/>
      <x:c r="M107" s="402"/>
      <x:c r="N107" s="402"/>
      <x:c r="O107" s="402"/>
      <x:c r="P107" s="402"/>
      <x:c r="Q107" s="402"/>
      <x:c r="R107" s="402"/>
      <x:c r="S107" s="402"/>
      <x:c r="T107" s="402"/>
      <x:c r="U107" s="402"/>
      <x:c r="V107" s="402"/>
      <x:c r="W107" s="402"/>
      <x:c r="X107" s="402"/>
      <x:c r="Y107" s="402"/>
      <x:c r="Z107" s="402"/>
    </x:row>
    <x:row r="108">
      <x:c r="A108" s="402"/>
      <x:c r="B108" s="402"/>
      <x:c r="C108" s="402"/>
      <x:c r="D108" s="402"/>
      <x:c r="E108" s="402"/>
      <x:c r="F108" s="402"/>
      <x:c r="G108" s="402"/>
      <x:c r="H108" s="402"/>
      <x:c r="I108" s="402"/>
      <x:c r="J108" s="402"/>
      <x:c r="K108" s="402"/>
      <x:c r="L108" s="402"/>
      <x:c r="M108" s="402"/>
      <x:c r="N108" s="402"/>
      <x:c r="O108" s="402"/>
      <x:c r="P108" s="402"/>
      <x:c r="Q108" s="402"/>
      <x:c r="R108" s="402"/>
      <x:c r="S108" s="402"/>
      <x:c r="T108" s="402"/>
      <x:c r="U108" s="402"/>
      <x:c r="V108" s="402"/>
      <x:c r="W108" s="402"/>
      <x:c r="X108" s="402"/>
      <x:c r="Y108" s="402"/>
      <x:c r="Z108" s="402"/>
    </x:row>
    <x:row r="109">
      <x:c r="A109" s="402"/>
      <x:c r="B109" s="402"/>
      <x:c r="C109" s="402"/>
      <x:c r="D109" s="402"/>
      <x:c r="E109" s="402"/>
      <x:c r="F109" s="402"/>
      <x:c r="G109" s="402"/>
      <x:c r="H109" s="402"/>
      <x:c r="I109" s="402"/>
      <x:c r="J109" s="402"/>
      <x:c r="K109" s="402"/>
      <x:c r="L109" s="402"/>
      <x:c r="M109" s="402"/>
      <x:c r="N109" s="402"/>
      <x:c r="O109" s="402"/>
      <x:c r="P109" s="402"/>
      <x:c r="Q109" s="402"/>
      <x:c r="R109" s="402"/>
      <x:c r="S109" s="402"/>
      <x:c r="T109" s="402"/>
      <x:c r="U109" s="402"/>
      <x:c r="V109" s="402"/>
      <x:c r="W109" s="402"/>
      <x:c r="X109" s="402"/>
      <x:c r="Y109" s="402"/>
      <x:c r="Z109" s="402"/>
    </x:row>
    <x:row r="110">
      <x:c r="A110" s="402"/>
      <x:c r="B110" s="402"/>
      <x:c r="C110" s="402"/>
      <x:c r="D110" s="402"/>
      <x:c r="E110" s="402"/>
      <x:c r="F110" s="402"/>
      <x:c r="G110" s="402"/>
      <x:c r="H110" s="402"/>
      <x:c r="I110" s="402"/>
      <x:c r="J110" s="402"/>
      <x:c r="K110" s="402"/>
      <x:c r="L110" s="402"/>
      <x:c r="M110" s="402"/>
      <x:c r="N110" s="402"/>
      <x:c r="O110" s="402"/>
      <x:c r="P110" s="402"/>
      <x:c r="Q110" s="402"/>
      <x:c r="R110" s="402"/>
      <x:c r="S110" s="402"/>
      <x:c r="T110" s="402"/>
      <x:c r="U110" s="402"/>
      <x:c r="V110" s="402"/>
      <x:c r="W110" s="402"/>
      <x:c r="X110" s="402"/>
      <x:c r="Y110" s="402"/>
      <x:c r="Z110" s="402"/>
    </x:row>
    <x:row r="111">
      <x:c r="A111" s="402"/>
      <x:c r="B111" s="402"/>
      <x:c r="C111" s="402"/>
      <x:c r="D111" s="402"/>
      <x:c r="E111" s="402"/>
      <x:c r="F111" s="402"/>
      <x:c r="G111" s="402"/>
      <x:c r="H111" s="402"/>
      <x:c r="I111" s="402"/>
      <x:c r="J111" s="402"/>
      <x:c r="K111" s="402"/>
      <x:c r="L111" s="402"/>
      <x:c r="M111" s="402"/>
      <x:c r="N111" s="402"/>
      <x:c r="O111" s="402"/>
      <x:c r="P111" s="402"/>
      <x:c r="Q111" s="402"/>
      <x:c r="R111" s="402"/>
      <x:c r="S111" s="402"/>
      <x:c r="T111" s="402"/>
      <x:c r="U111" s="402"/>
      <x:c r="V111" s="402"/>
      <x:c r="W111" s="402"/>
      <x:c r="X111" s="402"/>
      <x:c r="Y111" s="402"/>
      <x:c r="Z111" s="402"/>
    </x:row>
    <x:row r="112">
      <x:c r="A112" s="402"/>
      <x:c r="B112" s="402"/>
      <x:c r="C112" s="402"/>
      <x:c r="D112" s="402"/>
      <x:c r="E112" s="402"/>
      <x:c r="F112" s="402"/>
      <x:c r="G112" s="402"/>
      <x:c r="H112" s="402"/>
      <x:c r="I112" s="402"/>
      <x:c r="J112" s="402"/>
      <x:c r="K112" s="402"/>
      <x:c r="L112" s="402"/>
      <x:c r="M112" s="402"/>
      <x:c r="N112" s="402"/>
      <x:c r="O112" s="402"/>
      <x:c r="P112" s="402"/>
      <x:c r="Q112" s="402"/>
      <x:c r="R112" s="402"/>
      <x:c r="S112" s="402"/>
      <x:c r="T112" s="402"/>
      <x:c r="U112" s="402"/>
      <x:c r="V112" s="402"/>
      <x:c r="W112" s="402"/>
      <x:c r="X112" s="402"/>
      <x:c r="Y112" s="402"/>
      <x:c r="Z112" s="402"/>
    </x:row>
    <x:row r="113">
      <x:c r="A113" s="402"/>
      <x:c r="B113" s="402"/>
      <x:c r="C113" s="402"/>
      <x:c r="D113" s="402"/>
      <x:c r="E113" s="402"/>
      <x:c r="F113" s="402"/>
      <x:c r="G113" s="402"/>
      <x:c r="H113" s="402"/>
      <x:c r="I113" s="402"/>
      <x:c r="J113" s="402"/>
      <x:c r="K113" s="402"/>
      <x:c r="L113" s="402"/>
      <x:c r="M113" s="402"/>
      <x:c r="N113" s="402"/>
      <x:c r="O113" s="402"/>
      <x:c r="P113" s="402"/>
      <x:c r="Q113" s="402"/>
      <x:c r="R113" s="402"/>
      <x:c r="S113" s="402"/>
      <x:c r="T113" s="402"/>
      <x:c r="U113" s="402"/>
      <x:c r="V113" s="402"/>
      <x:c r="W113" s="402"/>
      <x:c r="X113" s="402"/>
      <x:c r="Y113" s="402"/>
      <x:c r="Z113" s="402"/>
    </x:row>
    <x:row r="114">
      <x:c r="A114" s="402"/>
      <x:c r="B114" s="402"/>
      <x:c r="C114" s="402"/>
      <x:c r="D114" s="402"/>
      <x:c r="E114" s="402"/>
      <x:c r="F114" s="402"/>
      <x:c r="G114" s="402"/>
      <x:c r="H114" s="402"/>
      <x:c r="I114" s="402"/>
      <x:c r="J114" s="402"/>
      <x:c r="K114" s="402"/>
      <x:c r="L114" s="402"/>
      <x:c r="M114" s="402"/>
      <x:c r="N114" s="402"/>
      <x:c r="O114" s="402"/>
      <x:c r="P114" s="402"/>
      <x:c r="Q114" s="402"/>
      <x:c r="R114" s="402"/>
      <x:c r="S114" s="402"/>
      <x:c r="T114" s="402"/>
      <x:c r="U114" s="402"/>
      <x:c r="V114" s="402"/>
      <x:c r="W114" s="402"/>
      <x:c r="X114" s="402"/>
      <x:c r="Y114" s="402"/>
      <x:c r="Z114" s="402"/>
    </x:row>
    <x:row r="115">
      <x:c r="A115" s="402"/>
      <x:c r="B115" s="402"/>
      <x:c r="C115" s="402"/>
      <x:c r="D115" s="402"/>
      <x:c r="E115" s="402"/>
      <x:c r="F115" s="402"/>
      <x:c r="G115" s="402"/>
      <x:c r="H115" s="402"/>
      <x:c r="I115" s="402"/>
      <x:c r="J115" s="402"/>
      <x:c r="K115" s="402"/>
      <x:c r="L115" s="402"/>
      <x:c r="M115" s="402"/>
      <x:c r="N115" s="402"/>
      <x:c r="O115" s="402"/>
      <x:c r="P115" s="402"/>
      <x:c r="Q115" s="402"/>
      <x:c r="R115" s="402"/>
      <x:c r="S115" s="402"/>
      <x:c r="T115" s="402"/>
      <x:c r="U115" s="402"/>
      <x:c r="V115" s="402"/>
      <x:c r="W115" s="402"/>
      <x:c r="X115" s="402"/>
      <x:c r="Y115" s="402"/>
      <x:c r="Z115" s="402"/>
    </x:row>
    <x:row r="116">
      <x:c r="A116" s="402"/>
      <x:c r="B116" s="402"/>
      <x:c r="C116" s="402"/>
      <x:c r="D116" s="402"/>
      <x:c r="E116" s="402"/>
      <x:c r="F116" s="402"/>
      <x:c r="G116" s="402"/>
      <x:c r="H116" s="402"/>
      <x:c r="I116" s="402"/>
      <x:c r="J116" s="402"/>
      <x:c r="K116" s="402"/>
      <x:c r="L116" s="402"/>
      <x:c r="M116" s="402"/>
      <x:c r="N116" s="402"/>
      <x:c r="O116" s="402"/>
      <x:c r="P116" s="402"/>
      <x:c r="Q116" s="402"/>
      <x:c r="R116" s="402"/>
      <x:c r="S116" s="402"/>
      <x:c r="T116" s="402"/>
      <x:c r="U116" s="402"/>
      <x:c r="V116" s="402"/>
      <x:c r="W116" s="402"/>
      <x:c r="X116" s="402"/>
      <x:c r="Y116" s="402"/>
      <x:c r="Z116" s="402"/>
    </x:row>
    <x:row r="117">
      <x:c r="A117" s="402"/>
      <x:c r="B117" s="402"/>
      <x:c r="C117" s="402"/>
      <x:c r="D117" s="402"/>
      <x:c r="E117" s="402"/>
      <x:c r="F117" s="402"/>
      <x:c r="G117" s="402"/>
      <x:c r="H117" s="402"/>
      <x:c r="I117" s="402"/>
      <x:c r="J117" s="402"/>
      <x:c r="K117" s="402"/>
      <x:c r="L117" s="402"/>
      <x:c r="M117" s="402"/>
      <x:c r="N117" s="402"/>
      <x:c r="O117" s="402"/>
      <x:c r="P117" s="402"/>
      <x:c r="Q117" s="402"/>
      <x:c r="R117" s="402"/>
      <x:c r="S117" s="402"/>
      <x:c r="T117" s="402"/>
      <x:c r="U117" s="402"/>
      <x:c r="V117" s="402"/>
      <x:c r="W117" s="402"/>
      <x:c r="X117" s="402"/>
      <x:c r="Y117" s="402"/>
      <x:c r="Z117" s="402"/>
    </x:row>
    <x:row r="118">
      <x:c r="A118" s="402"/>
      <x:c r="B118" s="402"/>
      <x:c r="C118" s="402"/>
      <x:c r="D118" s="402"/>
      <x:c r="E118" s="402"/>
      <x:c r="F118" s="402"/>
      <x:c r="G118" s="402"/>
      <x:c r="H118" s="402"/>
      <x:c r="I118" s="402"/>
      <x:c r="J118" s="402"/>
      <x:c r="K118" s="402"/>
      <x:c r="L118" s="402"/>
      <x:c r="M118" s="402"/>
      <x:c r="N118" s="402"/>
      <x:c r="O118" s="402"/>
      <x:c r="P118" s="402"/>
      <x:c r="Q118" s="402"/>
      <x:c r="R118" s="402"/>
      <x:c r="S118" s="402"/>
      <x:c r="T118" s="402"/>
      <x:c r="U118" s="402"/>
      <x:c r="V118" s="402"/>
      <x:c r="W118" s="402"/>
      <x:c r="X118" s="402"/>
      <x:c r="Y118" s="402"/>
      <x:c r="Z118" s="402"/>
    </x:row>
    <x:row r="119">
      <x:c r="A119" s="402"/>
      <x:c r="B119" s="402"/>
      <x:c r="C119" s="402"/>
      <x:c r="D119" s="402"/>
      <x:c r="E119" s="402"/>
      <x:c r="F119" s="402"/>
      <x:c r="G119" s="402"/>
      <x:c r="H119" s="402"/>
      <x:c r="I119" s="402"/>
      <x:c r="J119" s="402"/>
      <x:c r="K119" s="402"/>
      <x:c r="L119" s="402"/>
      <x:c r="M119" s="402"/>
      <x:c r="N119" s="402"/>
      <x:c r="O119" s="402"/>
      <x:c r="P119" s="402"/>
      <x:c r="Q119" s="402"/>
      <x:c r="R119" s="402"/>
      <x:c r="S119" s="402"/>
      <x:c r="T119" s="402"/>
      <x:c r="U119" s="402"/>
      <x:c r="V119" s="402"/>
      <x:c r="W119" s="402"/>
      <x:c r="X119" s="402"/>
      <x:c r="Y119" s="402"/>
      <x:c r="Z119" s="402"/>
    </x:row>
    <x:row r="120">
      <x:c r="A120" s="402"/>
      <x:c r="B120" s="402"/>
      <x:c r="C120" s="402"/>
      <x:c r="D120" s="402"/>
      <x:c r="E120" s="402"/>
      <x:c r="F120" s="402"/>
      <x:c r="G120" s="402"/>
      <x:c r="H120" s="402"/>
      <x:c r="I120" s="402"/>
      <x:c r="J120" s="402"/>
      <x:c r="K120" s="402"/>
      <x:c r="L120" s="402"/>
      <x:c r="M120" s="402"/>
      <x:c r="N120" s="402"/>
      <x:c r="O120" s="402"/>
      <x:c r="P120" s="402"/>
      <x:c r="Q120" s="402"/>
      <x:c r="R120" s="402"/>
      <x:c r="S120" s="402"/>
      <x:c r="T120" s="402"/>
      <x:c r="U120" s="402"/>
      <x:c r="V120" s="402"/>
      <x:c r="W120" s="402"/>
      <x:c r="X120" s="402"/>
      <x:c r="Y120" s="402"/>
      <x:c r="Z120" s="402"/>
    </x:row>
    <x:row r="121">
      <x:c r="A121" s="402"/>
      <x:c r="B121" s="402"/>
      <x:c r="C121" s="402"/>
      <x:c r="D121" s="402"/>
      <x:c r="E121" s="402"/>
      <x:c r="F121" s="402"/>
      <x:c r="G121" s="402"/>
      <x:c r="H121" s="402"/>
      <x:c r="I121" s="402"/>
      <x:c r="J121" s="402"/>
      <x:c r="K121" s="402"/>
      <x:c r="L121" s="402"/>
      <x:c r="M121" s="402"/>
      <x:c r="N121" s="402"/>
      <x:c r="O121" s="402"/>
      <x:c r="P121" s="402"/>
      <x:c r="Q121" s="402"/>
      <x:c r="R121" s="402"/>
      <x:c r="S121" s="402"/>
      <x:c r="T121" s="402"/>
      <x:c r="U121" s="402"/>
      <x:c r="V121" s="402"/>
      <x:c r="W121" s="402"/>
      <x:c r="X121" s="402"/>
      <x:c r="Y121" s="402"/>
      <x:c r="Z121" s="402"/>
    </x:row>
    <x:row r="122">
      <x:c r="A122" s="402"/>
      <x:c r="B122" s="402"/>
      <x:c r="C122" s="402"/>
      <x:c r="D122" s="402"/>
      <x:c r="E122" s="402"/>
      <x:c r="F122" s="402"/>
      <x:c r="G122" s="402"/>
      <x:c r="H122" s="402"/>
      <x:c r="I122" s="402"/>
      <x:c r="J122" s="402"/>
      <x:c r="K122" s="402"/>
      <x:c r="L122" s="402"/>
      <x:c r="M122" s="402"/>
      <x:c r="N122" s="402"/>
      <x:c r="O122" s="402"/>
      <x:c r="P122" s="402"/>
      <x:c r="Q122" s="402"/>
      <x:c r="R122" s="402"/>
      <x:c r="S122" s="402"/>
      <x:c r="T122" s="402"/>
      <x:c r="U122" s="402"/>
      <x:c r="V122" s="402"/>
      <x:c r="W122" s="402"/>
      <x:c r="X122" s="402"/>
      <x:c r="Y122" s="402"/>
      <x:c r="Z122" s="402"/>
    </x:row>
    <x:row r="123">
      <x:c r="A123" s="402"/>
      <x:c r="B123" s="402"/>
      <x:c r="C123" s="402"/>
      <x:c r="D123" s="402"/>
      <x:c r="E123" s="402"/>
      <x:c r="F123" s="402"/>
      <x:c r="G123" s="402"/>
      <x:c r="H123" s="402"/>
      <x:c r="I123" s="402"/>
      <x:c r="J123" s="402"/>
      <x:c r="K123" s="402"/>
      <x:c r="L123" s="402"/>
      <x:c r="M123" s="402"/>
      <x:c r="N123" s="402"/>
      <x:c r="O123" s="402"/>
      <x:c r="P123" s="402"/>
      <x:c r="Q123" s="402"/>
      <x:c r="R123" s="402"/>
      <x:c r="S123" s="402"/>
      <x:c r="T123" s="402"/>
      <x:c r="U123" s="402"/>
      <x:c r="V123" s="402"/>
      <x:c r="W123" s="402"/>
      <x:c r="X123" s="402"/>
      <x:c r="Y123" s="402"/>
      <x:c r="Z123" s="402"/>
    </x:row>
    <x:row r="124">
      <x:c r="A124" s="402"/>
      <x:c r="B124" s="402"/>
      <x:c r="C124" s="402"/>
      <x:c r="D124" s="402"/>
      <x:c r="E124" s="402"/>
      <x:c r="F124" s="402"/>
      <x:c r="G124" s="402"/>
      <x:c r="H124" s="402"/>
      <x:c r="I124" s="402"/>
      <x:c r="J124" s="402"/>
      <x:c r="K124" s="402"/>
      <x:c r="L124" s="402"/>
      <x:c r="M124" s="402"/>
      <x:c r="N124" s="402"/>
      <x:c r="O124" s="402"/>
      <x:c r="P124" s="402"/>
      <x:c r="Q124" s="402"/>
      <x:c r="R124" s="402"/>
      <x:c r="S124" s="402"/>
      <x:c r="T124" s="402"/>
      <x:c r="U124" s="402"/>
      <x:c r="V124" s="402"/>
      <x:c r="W124" s="402"/>
      <x:c r="X124" s="402"/>
      <x:c r="Y124" s="402"/>
      <x:c r="Z124" s="402"/>
    </x:row>
    <x:row r="125">
      <x:c r="A125" s="402"/>
      <x:c r="B125" s="402"/>
      <x:c r="C125" s="402"/>
      <x:c r="D125" s="402"/>
      <x:c r="E125" s="402"/>
      <x:c r="F125" s="402"/>
      <x:c r="G125" s="402"/>
      <x:c r="H125" s="402"/>
      <x:c r="I125" s="402"/>
      <x:c r="J125" s="402"/>
      <x:c r="K125" s="402"/>
      <x:c r="L125" s="402"/>
      <x:c r="M125" s="402"/>
      <x:c r="N125" s="402"/>
      <x:c r="O125" s="402"/>
      <x:c r="P125" s="402"/>
      <x:c r="Q125" s="402"/>
      <x:c r="R125" s="402"/>
      <x:c r="S125" s="402"/>
      <x:c r="T125" s="402"/>
      <x:c r="U125" s="402"/>
      <x:c r="V125" s="402"/>
      <x:c r="W125" s="402"/>
      <x:c r="X125" s="402"/>
      <x:c r="Y125" s="402"/>
      <x:c r="Z125" s="402"/>
    </x:row>
    <x:row r="126">
      <x:c r="A126" s="402"/>
      <x:c r="B126" s="402"/>
      <x:c r="C126" s="402"/>
      <x:c r="D126" s="402"/>
      <x:c r="E126" s="402"/>
      <x:c r="F126" s="402"/>
      <x:c r="G126" s="402"/>
      <x:c r="H126" s="402"/>
      <x:c r="I126" s="402"/>
      <x:c r="J126" s="402"/>
      <x:c r="K126" s="402"/>
      <x:c r="L126" s="402"/>
      <x:c r="M126" s="402"/>
      <x:c r="N126" s="402"/>
      <x:c r="O126" s="402"/>
      <x:c r="P126" s="402"/>
      <x:c r="Q126" s="402"/>
      <x:c r="R126" s="402"/>
      <x:c r="S126" s="402"/>
      <x:c r="T126" s="402"/>
      <x:c r="U126" s="402"/>
      <x:c r="V126" s="402"/>
      <x:c r="W126" s="402"/>
      <x:c r="X126" s="402"/>
      <x:c r="Y126" s="402"/>
      <x:c r="Z126" s="402"/>
    </x:row>
    <x:row r="127">
      <x:c r="A127" s="402"/>
      <x:c r="B127" s="402"/>
      <x:c r="C127" s="402"/>
      <x:c r="D127" s="402"/>
      <x:c r="E127" s="402"/>
      <x:c r="F127" s="402"/>
      <x:c r="G127" s="402"/>
      <x:c r="H127" s="402"/>
      <x:c r="I127" s="402"/>
      <x:c r="J127" s="402"/>
      <x:c r="K127" s="402"/>
      <x:c r="L127" s="402"/>
      <x:c r="M127" s="402"/>
      <x:c r="N127" s="402"/>
      <x:c r="O127" s="402"/>
      <x:c r="P127" s="402"/>
      <x:c r="Q127" s="402"/>
      <x:c r="R127" s="402"/>
      <x:c r="S127" s="402"/>
      <x:c r="T127" s="402"/>
      <x:c r="U127" s="402"/>
      <x:c r="V127" s="402"/>
      <x:c r="W127" s="402"/>
      <x:c r="X127" s="402"/>
      <x:c r="Y127" s="402"/>
      <x:c r="Z127" s="402"/>
    </x:row>
    <x:row r="128">
      <x:c r="A128" s="402"/>
      <x:c r="B128" s="402"/>
      <x:c r="C128" s="402"/>
      <x:c r="D128" s="402"/>
      <x:c r="E128" s="402"/>
      <x:c r="F128" s="402"/>
      <x:c r="G128" s="402"/>
      <x:c r="H128" s="402"/>
      <x:c r="I128" s="402"/>
      <x:c r="J128" s="402"/>
      <x:c r="K128" s="402"/>
      <x:c r="L128" s="402"/>
      <x:c r="M128" s="402"/>
      <x:c r="N128" s="402"/>
      <x:c r="O128" s="402"/>
      <x:c r="P128" s="402"/>
      <x:c r="Q128" s="402"/>
      <x:c r="R128" s="402"/>
      <x:c r="S128" s="402"/>
      <x:c r="T128" s="402"/>
      <x:c r="U128" s="402"/>
      <x:c r="V128" s="402"/>
      <x:c r="W128" s="402"/>
      <x:c r="X128" s="402"/>
      <x:c r="Y128" s="402"/>
      <x:c r="Z128" s="402"/>
    </x:row>
    <x:row r="129">
      <x:c r="A129" s="402"/>
      <x:c r="B129" s="402"/>
      <x:c r="C129" s="402"/>
      <x:c r="D129" s="402"/>
      <x:c r="E129" s="402"/>
      <x:c r="F129" s="402"/>
      <x:c r="G129" s="402"/>
      <x:c r="H129" s="402"/>
      <x:c r="I129" s="402"/>
      <x:c r="J129" s="402"/>
      <x:c r="K129" s="402"/>
      <x:c r="L129" s="402"/>
      <x:c r="M129" s="402"/>
      <x:c r="N129" s="402"/>
      <x:c r="O129" s="402"/>
      <x:c r="P129" s="402"/>
      <x:c r="Q129" s="402"/>
      <x:c r="R129" s="402"/>
      <x:c r="S129" s="402"/>
      <x:c r="T129" s="402"/>
      <x:c r="U129" s="402"/>
      <x:c r="V129" s="402"/>
      <x:c r="W129" s="402"/>
      <x:c r="X129" s="402"/>
      <x:c r="Y129" s="402"/>
      <x:c r="Z129" s="402"/>
    </x:row>
    <x:row r="130">
      <x:c r="A130" s="402"/>
      <x:c r="B130" s="402"/>
      <x:c r="C130" s="402"/>
      <x:c r="D130" s="402"/>
      <x:c r="E130" s="402"/>
      <x:c r="F130" s="402"/>
      <x:c r="G130" s="402"/>
      <x:c r="H130" s="402"/>
      <x:c r="I130" s="402"/>
      <x:c r="J130" s="402"/>
      <x:c r="K130" s="402"/>
      <x:c r="L130" s="402"/>
      <x:c r="M130" s="402"/>
      <x:c r="N130" s="402"/>
      <x:c r="O130" s="402"/>
      <x:c r="P130" s="402"/>
      <x:c r="Q130" s="402"/>
      <x:c r="R130" s="402"/>
      <x:c r="S130" s="402"/>
      <x:c r="T130" s="402"/>
      <x:c r="U130" s="402"/>
      <x:c r="V130" s="402"/>
      <x:c r="W130" s="402"/>
      <x:c r="X130" s="402"/>
      <x:c r="Y130" s="402"/>
      <x:c r="Z130" s="402"/>
    </x:row>
    <x:row r="131">
      <x:c r="A131" s="402"/>
      <x:c r="B131" s="402"/>
      <x:c r="C131" s="402"/>
      <x:c r="D131" s="402"/>
      <x:c r="E131" s="402"/>
      <x:c r="F131" s="402"/>
      <x:c r="G131" s="402"/>
      <x:c r="H131" s="402"/>
      <x:c r="I131" s="402"/>
      <x:c r="J131" s="402"/>
      <x:c r="K131" s="402"/>
      <x:c r="L131" s="402"/>
      <x:c r="M131" s="402"/>
      <x:c r="N131" s="402"/>
      <x:c r="O131" s="402"/>
      <x:c r="P131" s="402"/>
      <x:c r="Q131" s="402"/>
      <x:c r="R131" s="402"/>
      <x:c r="S131" s="402"/>
      <x:c r="T131" s="402"/>
      <x:c r="U131" s="402"/>
      <x:c r="V131" s="402"/>
      <x:c r="W131" s="402"/>
      <x:c r="X131" s="402"/>
      <x:c r="Y131" s="402"/>
      <x:c r="Z131" s="402"/>
    </x:row>
    <x:row r="132">
      <x:c r="A132" s="402"/>
      <x:c r="B132" s="402"/>
      <x:c r="C132" s="402"/>
      <x:c r="D132" s="402"/>
      <x:c r="E132" s="402"/>
      <x:c r="F132" s="402"/>
      <x:c r="G132" s="402"/>
      <x:c r="H132" s="402"/>
      <x:c r="I132" s="402"/>
      <x:c r="J132" s="402"/>
      <x:c r="K132" s="402"/>
      <x:c r="L132" s="402"/>
      <x:c r="M132" s="402"/>
      <x:c r="N132" s="402"/>
      <x:c r="O132" s="402"/>
      <x:c r="P132" s="402"/>
      <x:c r="Q132" s="402"/>
      <x:c r="R132" s="402"/>
      <x:c r="S132" s="402"/>
      <x:c r="T132" s="402"/>
      <x:c r="U132" s="402"/>
      <x:c r="V132" s="402"/>
      <x:c r="W132" s="402"/>
      <x:c r="X132" s="402"/>
      <x:c r="Y132" s="402"/>
      <x:c r="Z132" s="402"/>
    </x:row>
    <x:row r="133">
      <x:c r="A133" s="402"/>
      <x:c r="B133" s="402"/>
      <x:c r="C133" s="402"/>
      <x:c r="D133" s="402"/>
      <x:c r="E133" s="402"/>
      <x:c r="F133" s="402"/>
      <x:c r="G133" s="402"/>
      <x:c r="H133" s="402"/>
      <x:c r="I133" s="402"/>
      <x:c r="J133" s="402"/>
      <x:c r="K133" s="402"/>
      <x:c r="L133" s="402"/>
      <x:c r="M133" s="402"/>
      <x:c r="N133" s="402"/>
      <x:c r="O133" s="402"/>
      <x:c r="P133" s="402"/>
      <x:c r="Q133" s="402"/>
      <x:c r="R133" s="402"/>
      <x:c r="S133" s="402"/>
      <x:c r="T133" s="402"/>
      <x:c r="U133" s="402"/>
      <x:c r="V133" s="402"/>
      <x:c r="W133" s="402"/>
      <x:c r="X133" s="402"/>
      <x:c r="Y133" s="402"/>
      <x:c r="Z133" s="402"/>
    </x:row>
    <x:row r="134">
      <x:c r="A134" s="402"/>
      <x:c r="B134" s="402"/>
      <x:c r="C134" s="402"/>
      <x:c r="D134" s="402"/>
      <x:c r="E134" s="402"/>
      <x:c r="F134" s="402"/>
      <x:c r="G134" s="402"/>
      <x:c r="H134" s="402"/>
      <x:c r="I134" s="402"/>
      <x:c r="J134" s="402"/>
      <x:c r="K134" s="402"/>
      <x:c r="L134" s="402"/>
      <x:c r="M134" s="402"/>
      <x:c r="N134" s="402"/>
      <x:c r="O134" s="402"/>
      <x:c r="P134" s="402"/>
      <x:c r="Q134" s="402"/>
      <x:c r="R134" s="402"/>
      <x:c r="S134" s="402"/>
      <x:c r="T134" s="402"/>
      <x:c r="U134" s="402"/>
      <x:c r="V134" s="402"/>
      <x:c r="W134" s="402"/>
      <x:c r="X134" s="402"/>
      <x:c r="Y134" s="402"/>
      <x:c r="Z134" s="402"/>
    </x:row>
    <x:row r="135">
      <x:c r="A135" s="402"/>
      <x:c r="B135" s="402"/>
      <x:c r="C135" s="402"/>
      <x:c r="D135" s="402"/>
      <x:c r="E135" s="402"/>
      <x:c r="F135" s="402"/>
      <x:c r="G135" s="402"/>
      <x:c r="H135" s="402"/>
      <x:c r="I135" s="402"/>
      <x:c r="J135" s="402"/>
      <x:c r="K135" s="402"/>
      <x:c r="L135" s="402"/>
      <x:c r="M135" s="402"/>
      <x:c r="N135" s="402"/>
      <x:c r="O135" s="402"/>
      <x:c r="P135" s="402"/>
      <x:c r="Q135" s="402"/>
      <x:c r="R135" s="402"/>
      <x:c r="S135" s="402"/>
      <x:c r="T135" s="402"/>
      <x:c r="U135" s="402"/>
      <x:c r="V135" s="402"/>
      <x:c r="W135" s="402"/>
      <x:c r="X135" s="402"/>
      <x:c r="Y135" s="402"/>
      <x:c r="Z135" s="402"/>
    </x:row>
    <x:row r="136">
      <x:c r="A136" s="402"/>
      <x:c r="B136" s="402"/>
      <x:c r="C136" s="402"/>
      <x:c r="D136" s="402"/>
      <x:c r="E136" s="402"/>
      <x:c r="F136" s="402"/>
      <x:c r="G136" s="402"/>
      <x:c r="H136" s="402"/>
      <x:c r="I136" s="402"/>
      <x:c r="J136" s="402"/>
      <x:c r="K136" s="402"/>
      <x:c r="L136" s="402"/>
      <x:c r="M136" s="402"/>
      <x:c r="N136" s="402"/>
      <x:c r="O136" s="402"/>
      <x:c r="P136" s="402"/>
      <x:c r="Q136" s="402"/>
      <x:c r="R136" s="402"/>
      <x:c r="S136" s="402"/>
      <x:c r="T136" s="402"/>
      <x:c r="U136" s="402"/>
      <x:c r="V136" s="402"/>
      <x:c r="W136" s="402"/>
      <x:c r="X136" s="402"/>
      <x:c r="Y136" s="402"/>
      <x:c r="Z136" s="402"/>
    </x:row>
    <x:row r="137">
      <x:c r="A137" s="402"/>
      <x:c r="B137" s="402"/>
      <x:c r="C137" s="402"/>
      <x:c r="D137" s="402"/>
      <x:c r="E137" s="402"/>
      <x:c r="F137" s="402"/>
      <x:c r="G137" s="402"/>
      <x:c r="H137" s="402"/>
      <x:c r="I137" s="402"/>
      <x:c r="J137" s="402"/>
      <x:c r="K137" s="402"/>
      <x:c r="L137" s="402"/>
      <x:c r="M137" s="402"/>
      <x:c r="N137" s="402"/>
      <x:c r="O137" s="402"/>
      <x:c r="P137" s="402"/>
      <x:c r="Q137" s="402"/>
      <x:c r="R137" s="402"/>
      <x:c r="S137" s="402"/>
      <x:c r="T137" s="402"/>
      <x:c r="U137" s="402"/>
      <x:c r="V137" s="402"/>
      <x:c r="W137" s="402"/>
      <x:c r="X137" s="402"/>
      <x:c r="Y137" s="402"/>
      <x:c r="Z137" s="402"/>
    </x:row>
    <x:row r="138">
      <x:c r="A138" s="402"/>
      <x:c r="B138" s="402"/>
      <x:c r="C138" s="402"/>
      <x:c r="D138" s="402"/>
      <x:c r="E138" s="402"/>
      <x:c r="F138" s="402"/>
      <x:c r="G138" s="402"/>
      <x:c r="H138" s="402"/>
      <x:c r="I138" s="402"/>
      <x:c r="J138" s="402"/>
      <x:c r="K138" s="402"/>
      <x:c r="L138" s="402"/>
      <x:c r="M138" s="402"/>
      <x:c r="N138" s="402"/>
      <x:c r="O138" s="402"/>
      <x:c r="P138" s="402"/>
      <x:c r="Q138" s="402"/>
      <x:c r="R138" s="402"/>
      <x:c r="S138" s="402"/>
      <x:c r="T138" s="402"/>
      <x:c r="U138" s="402"/>
      <x:c r="V138" s="402"/>
      <x:c r="W138" s="402"/>
      <x:c r="X138" s="402"/>
      <x:c r="Y138" s="402"/>
      <x:c r="Z138" s="402"/>
    </x:row>
    <x:row r="139">
      <x:c r="A139" s="402"/>
      <x:c r="B139" s="402"/>
      <x:c r="C139" s="402"/>
      <x:c r="D139" s="402"/>
      <x:c r="E139" s="402"/>
      <x:c r="F139" s="402"/>
      <x:c r="G139" s="402"/>
      <x:c r="H139" s="402"/>
      <x:c r="I139" s="402"/>
      <x:c r="J139" s="402"/>
      <x:c r="K139" s="402"/>
      <x:c r="L139" s="402"/>
      <x:c r="M139" s="402"/>
      <x:c r="N139" s="402"/>
      <x:c r="O139" s="402"/>
      <x:c r="P139" s="402"/>
      <x:c r="Q139" s="402"/>
      <x:c r="R139" s="402"/>
      <x:c r="S139" s="402"/>
      <x:c r="T139" s="402"/>
      <x:c r="U139" s="402"/>
      <x:c r="V139" s="402"/>
      <x:c r="W139" s="402"/>
      <x:c r="X139" s="402"/>
      <x:c r="Y139" s="402"/>
      <x:c r="Z139" s="402"/>
    </x:row>
    <x:row r="140">
      <x:c r="A140" s="402"/>
      <x:c r="B140" s="402"/>
      <x:c r="C140" s="402"/>
      <x:c r="D140" s="402"/>
      <x:c r="E140" s="402"/>
      <x:c r="F140" s="402"/>
      <x:c r="G140" s="402"/>
      <x:c r="H140" s="402"/>
      <x:c r="I140" s="402"/>
      <x:c r="J140" s="402"/>
      <x:c r="K140" s="402"/>
      <x:c r="L140" s="402"/>
      <x:c r="M140" s="402"/>
      <x:c r="N140" s="402"/>
      <x:c r="O140" s="402"/>
      <x:c r="P140" s="402"/>
      <x:c r="Q140" s="402"/>
      <x:c r="R140" s="402"/>
      <x:c r="S140" s="402"/>
      <x:c r="T140" s="402"/>
      <x:c r="U140" s="402"/>
      <x:c r="V140" s="402"/>
      <x:c r="W140" s="402"/>
      <x:c r="X140" s="402"/>
      <x:c r="Y140" s="402"/>
      <x:c r="Z140" s="402"/>
    </x:row>
    <x:row r="141">
      <x:c r="A141" s="402"/>
      <x:c r="B141" s="402"/>
      <x:c r="C141" s="402"/>
      <x:c r="D141" s="402"/>
      <x:c r="E141" s="402"/>
      <x:c r="F141" s="402"/>
      <x:c r="G141" s="402"/>
      <x:c r="H141" s="402"/>
      <x:c r="I141" s="402"/>
      <x:c r="J141" s="402"/>
      <x:c r="K141" s="402"/>
      <x:c r="L141" s="402"/>
      <x:c r="M141" s="402"/>
      <x:c r="N141" s="402"/>
      <x:c r="O141" s="402"/>
      <x:c r="P141" s="402"/>
      <x:c r="Q141" s="402"/>
      <x:c r="R141" s="402"/>
      <x:c r="S141" s="402"/>
      <x:c r="T141" s="402"/>
      <x:c r="U141" s="402"/>
      <x:c r="V141" s="402"/>
      <x:c r="W141" s="402"/>
      <x:c r="X141" s="402"/>
      <x:c r="Y141" s="402"/>
      <x:c r="Z141" s="402"/>
    </x:row>
    <x:row r="142">
      <x:c r="A142" s="402"/>
      <x:c r="B142" s="402"/>
      <x:c r="C142" s="402"/>
      <x:c r="D142" s="402"/>
      <x:c r="E142" s="402"/>
      <x:c r="F142" s="402"/>
      <x:c r="G142" s="402"/>
      <x:c r="H142" s="402"/>
      <x:c r="I142" s="402"/>
      <x:c r="J142" s="402"/>
      <x:c r="K142" s="402"/>
      <x:c r="L142" s="402"/>
      <x:c r="M142" s="402"/>
      <x:c r="N142" s="402"/>
      <x:c r="O142" s="402"/>
      <x:c r="P142" s="402"/>
      <x:c r="Q142" s="402"/>
      <x:c r="R142" s="402"/>
      <x:c r="S142" s="402"/>
      <x:c r="T142" s="402"/>
      <x:c r="U142" s="402"/>
      <x:c r="V142" s="402"/>
      <x:c r="W142" s="402"/>
      <x:c r="X142" s="402"/>
      <x:c r="Y142" s="402"/>
      <x:c r="Z142" s="402"/>
    </x:row>
    <x:row r="143">
      <x:c r="A143" s="402"/>
      <x:c r="B143" s="402"/>
      <x:c r="C143" s="402"/>
      <x:c r="D143" s="402"/>
      <x:c r="E143" s="402"/>
      <x:c r="F143" s="402"/>
      <x:c r="G143" s="402"/>
      <x:c r="H143" s="402"/>
      <x:c r="I143" s="402"/>
      <x:c r="J143" s="402"/>
      <x:c r="K143" s="402"/>
      <x:c r="L143" s="402"/>
      <x:c r="M143" s="402"/>
      <x:c r="N143" s="402"/>
      <x:c r="O143" s="402"/>
      <x:c r="P143" s="402"/>
      <x:c r="Q143" s="402"/>
      <x:c r="R143" s="402"/>
      <x:c r="S143" s="402"/>
      <x:c r="T143" s="402"/>
      <x:c r="U143" s="402"/>
      <x:c r="V143" s="402"/>
      <x:c r="W143" s="402"/>
      <x:c r="X143" s="402"/>
      <x:c r="Y143" s="402"/>
      <x:c r="Z143" s="402"/>
    </x:row>
    <x:row r="144">
      <x:c r="A144" s="402"/>
      <x:c r="B144" s="402"/>
      <x:c r="C144" s="402"/>
      <x:c r="D144" s="402"/>
      <x:c r="E144" s="402"/>
      <x:c r="F144" s="402"/>
      <x:c r="G144" s="402"/>
      <x:c r="H144" s="402"/>
      <x:c r="I144" s="402"/>
      <x:c r="J144" s="402"/>
      <x:c r="K144" s="402"/>
      <x:c r="L144" s="402"/>
      <x:c r="M144" s="402"/>
      <x:c r="N144" s="402"/>
      <x:c r="O144" s="402"/>
      <x:c r="P144" s="402"/>
      <x:c r="Q144" s="402"/>
      <x:c r="R144" s="402"/>
      <x:c r="S144" s="402"/>
      <x:c r="T144" s="402"/>
      <x:c r="U144" s="402"/>
      <x:c r="V144" s="402"/>
      <x:c r="W144" s="402"/>
      <x:c r="X144" s="402"/>
      <x:c r="Y144" s="402"/>
      <x:c r="Z144" s="402"/>
    </x:row>
    <x:row r="145">
      <x:c r="A145" s="402"/>
      <x:c r="B145" s="402"/>
      <x:c r="C145" s="402"/>
      <x:c r="D145" s="402"/>
      <x:c r="E145" s="402"/>
      <x:c r="F145" s="402"/>
      <x:c r="G145" s="402"/>
      <x:c r="H145" s="402"/>
      <x:c r="I145" s="402"/>
      <x:c r="J145" s="402"/>
      <x:c r="K145" s="402"/>
      <x:c r="L145" s="402"/>
      <x:c r="M145" s="402"/>
      <x:c r="N145" s="402"/>
      <x:c r="O145" s="402"/>
      <x:c r="P145" s="402"/>
      <x:c r="Q145" s="402"/>
      <x:c r="R145" s="402"/>
      <x:c r="S145" s="402"/>
      <x:c r="T145" s="402"/>
      <x:c r="U145" s="402"/>
      <x:c r="V145" s="402"/>
      <x:c r="W145" s="402"/>
      <x:c r="X145" s="402"/>
      <x:c r="Y145" s="402"/>
      <x:c r="Z145" s="402"/>
    </x:row>
    <x:row r="146">
      <x:c r="A146" s="402"/>
      <x:c r="B146" s="402"/>
      <x:c r="C146" s="402"/>
      <x:c r="D146" s="402"/>
      <x:c r="E146" s="402"/>
      <x:c r="F146" s="402"/>
      <x:c r="G146" s="402"/>
      <x:c r="H146" s="402"/>
      <x:c r="I146" s="402"/>
      <x:c r="J146" s="402"/>
      <x:c r="K146" s="402"/>
      <x:c r="L146" s="402"/>
      <x:c r="M146" s="402"/>
      <x:c r="N146" s="402"/>
      <x:c r="O146" s="402"/>
      <x:c r="P146" s="402"/>
      <x:c r="Q146" s="402"/>
      <x:c r="R146" s="402"/>
      <x:c r="S146" s="402"/>
      <x:c r="T146" s="402"/>
      <x:c r="U146" s="402"/>
      <x:c r="V146" s="402"/>
      <x:c r="W146" s="402"/>
      <x:c r="X146" s="402"/>
      <x:c r="Y146" s="402"/>
      <x:c r="Z146" s="402"/>
    </x:row>
    <x:row r="147">
      <x:c r="A147" s="402"/>
      <x:c r="B147" s="402"/>
      <x:c r="C147" s="402"/>
      <x:c r="D147" s="402"/>
      <x:c r="E147" s="402"/>
      <x:c r="F147" s="402"/>
      <x:c r="G147" s="402"/>
      <x:c r="H147" s="402"/>
      <x:c r="I147" s="402"/>
      <x:c r="J147" s="402"/>
      <x:c r="K147" s="402"/>
      <x:c r="L147" s="402"/>
      <x:c r="M147" s="402"/>
      <x:c r="N147" s="402"/>
      <x:c r="O147" s="402"/>
      <x:c r="P147" s="402"/>
      <x:c r="Q147" s="402"/>
      <x:c r="R147" s="402"/>
      <x:c r="S147" s="402"/>
      <x:c r="T147" s="402"/>
      <x:c r="U147" s="402"/>
      <x:c r="V147" s="402"/>
      <x:c r="W147" s="402"/>
      <x:c r="X147" s="402"/>
      <x:c r="Y147" s="402"/>
      <x:c r="Z147" s="402"/>
    </x:row>
    <x:row r="148">
      <x:c r="A148" s="402"/>
      <x:c r="B148" s="402"/>
      <x:c r="C148" s="402"/>
      <x:c r="D148" s="402"/>
      <x:c r="E148" s="402"/>
      <x:c r="F148" s="402"/>
      <x:c r="G148" s="402"/>
      <x:c r="H148" s="402"/>
      <x:c r="I148" s="402"/>
      <x:c r="J148" s="402"/>
      <x:c r="K148" s="402"/>
      <x:c r="L148" s="402"/>
      <x:c r="M148" s="402"/>
      <x:c r="N148" s="402"/>
      <x:c r="O148" s="402"/>
      <x:c r="P148" s="402"/>
      <x:c r="Q148" s="402"/>
      <x:c r="R148" s="402"/>
      <x:c r="S148" s="402"/>
      <x:c r="T148" s="402"/>
      <x:c r="U148" s="402"/>
      <x:c r="V148" s="402"/>
      <x:c r="W148" s="402"/>
      <x:c r="X148" s="402"/>
      <x:c r="Y148" s="402"/>
      <x:c r="Z148" s="402"/>
    </x:row>
    <x:row r="149">
      <x:c r="A149" s="402"/>
      <x:c r="B149" s="402"/>
      <x:c r="C149" s="402"/>
      <x:c r="D149" s="402"/>
      <x:c r="E149" s="402"/>
      <x:c r="F149" s="402"/>
      <x:c r="G149" s="402"/>
      <x:c r="H149" s="402"/>
      <x:c r="I149" s="402"/>
      <x:c r="J149" s="402"/>
      <x:c r="K149" s="402"/>
      <x:c r="L149" s="402"/>
      <x:c r="M149" s="402"/>
      <x:c r="N149" s="402"/>
      <x:c r="O149" s="402"/>
      <x:c r="P149" s="402"/>
      <x:c r="Q149" s="402"/>
      <x:c r="R149" s="402"/>
      <x:c r="S149" s="402"/>
      <x:c r="T149" s="402"/>
      <x:c r="U149" s="402"/>
      <x:c r="V149" s="402"/>
      <x:c r="W149" s="402"/>
      <x:c r="X149" s="402"/>
      <x:c r="Y149" s="402"/>
      <x:c r="Z149" s="402"/>
    </x:row>
    <x:row r="150">
      <x:c r="A150" s="402"/>
      <x:c r="B150" s="402"/>
      <x:c r="C150" s="402"/>
      <x:c r="D150" s="402"/>
      <x:c r="E150" s="402"/>
      <x:c r="F150" s="402"/>
      <x:c r="G150" s="402"/>
      <x:c r="H150" s="402"/>
      <x:c r="I150" s="402"/>
      <x:c r="J150" s="402"/>
      <x:c r="K150" s="402"/>
      <x:c r="L150" s="402"/>
      <x:c r="M150" s="402"/>
      <x:c r="N150" s="402"/>
      <x:c r="O150" s="402"/>
      <x:c r="P150" s="402"/>
      <x:c r="Q150" s="402"/>
      <x:c r="R150" s="402"/>
      <x:c r="S150" s="402"/>
      <x:c r="T150" s="402"/>
      <x:c r="U150" s="402"/>
      <x:c r="V150" s="402"/>
      <x:c r="W150" s="402"/>
      <x:c r="X150" s="402"/>
      <x:c r="Y150" s="402"/>
      <x:c r="Z150" s="402"/>
    </x:row>
    <x:row r="151">
      <x:c r="A151" s="402"/>
      <x:c r="B151" s="402"/>
      <x:c r="C151" s="402"/>
      <x:c r="D151" s="402"/>
      <x:c r="E151" s="402"/>
      <x:c r="F151" s="402"/>
      <x:c r="G151" s="402"/>
      <x:c r="H151" s="402"/>
      <x:c r="I151" s="402"/>
      <x:c r="J151" s="402"/>
      <x:c r="K151" s="402"/>
      <x:c r="L151" s="402"/>
      <x:c r="M151" s="402"/>
      <x:c r="N151" s="402"/>
      <x:c r="O151" s="402"/>
      <x:c r="P151" s="402"/>
      <x:c r="Q151" s="402"/>
      <x:c r="R151" s="402"/>
      <x:c r="S151" s="402"/>
      <x:c r="T151" s="402"/>
      <x:c r="U151" s="402"/>
      <x:c r="V151" s="402"/>
      <x:c r="W151" s="402"/>
      <x:c r="X151" s="402"/>
      <x:c r="Y151" s="402"/>
      <x:c r="Z151" s="402"/>
    </x:row>
    <x:row r="152">
      <x:c r="A152" s="402"/>
      <x:c r="B152" s="402"/>
      <x:c r="C152" s="402"/>
      <x:c r="D152" s="402"/>
      <x:c r="E152" s="402"/>
      <x:c r="F152" s="402"/>
      <x:c r="G152" s="402"/>
      <x:c r="H152" s="402"/>
      <x:c r="I152" s="402"/>
      <x:c r="J152" s="402"/>
      <x:c r="K152" s="402"/>
      <x:c r="L152" s="402"/>
      <x:c r="M152" s="402"/>
      <x:c r="N152" s="402"/>
      <x:c r="O152" s="402"/>
      <x:c r="P152" s="402"/>
      <x:c r="Q152" s="402"/>
      <x:c r="R152" s="402"/>
      <x:c r="S152" s="402"/>
      <x:c r="T152" s="402"/>
      <x:c r="U152" s="402"/>
      <x:c r="V152" s="402"/>
      <x:c r="W152" s="402"/>
      <x:c r="X152" s="402"/>
      <x:c r="Y152" s="402"/>
      <x:c r="Z152" s="402"/>
    </x:row>
    <x:row r="153">
      <x:c r="A153" s="402"/>
      <x:c r="B153" s="402"/>
      <x:c r="C153" s="402"/>
      <x:c r="D153" s="402"/>
      <x:c r="E153" s="402"/>
      <x:c r="F153" s="402"/>
      <x:c r="G153" s="402"/>
      <x:c r="H153" s="402"/>
      <x:c r="I153" s="402"/>
      <x:c r="J153" s="402"/>
      <x:c r="K153" s="402"/>
      <x:c r="L153" s="402"/>
      <x:c r="M153" s="402"/>
      <x:c r="N153" s="402"/>
      <x:c r="O153" s="402"/>
      <x:c r="P153" s="402"/>
      <x:c r="Q153" s="402"/>
      <x:c r="R153" s="402"/>
      <x:c r="S153" s="402"/>
      <x:c r="T153" s="402"/>
      <x:c r="U153" s="402"/>
      <x:c r="V153" s="402"/>
      <x:c r="W153" s="402"/>
      <x:c r="X153" s="402"/>
      <x:c r="Y153" s="402"/>
      <x:c r="Z153" s="402"/>
    </x:row>
    <x:row r="154">
      <x:c r="A154" s="402"/>
      <x:c r="B154" s="402"/>
      <x:c r="C154" s="402"/>
      <x:c r="D154" s="402"/>
      <x:c r="E154" s="402"/>
      <x:c r="F154" s="402"/>
      <x:c r="G154" s="402"/>
      <x:c r="H154" s="402"/>
      <x:c r="I154" s="402"/>
      <x:c r="J154" s="402"/>
      <x:c r="K154" s="402"/>
      <x:c r="L154" s="402"/>
      <x:c r="M154" s="402"/>
      <x:c r="N154" s="402"/>
      <x:c r="O154" s="402"/>
      <x:c r="P154" s="402"/>
      <x:c r="Q154" s="402"/>
      <x:c r="R154" s="402"/>
      <x:c r="S154" s="402"/>
      <x:c r="T154" s="402"/>
      <x:c r="U154" s="402"/>
      <x:c r="V154" s="402"/>
      <x:c r="W154" s="402"/>
      <x:c r="X154" s="402"/>
      <x:c r="Y154" s="402"/>
      <x:c r="Z154" s="402"/>
    </x:row>
    <x:row r="155">
      <x:c r="A155" s="402"/>
      <x:c r="B155" s="402"/>
      <x:c r="C155" s="402"/>
      <x:c r="D155" s="402"/>
      <x:c r="E155" s="402"/>
      <x:c r="F155" s="402"/>
      <x:c r="G155" s="402"/>
      <x:c r="H155" s="402"/>
      <x:c r="I155" s="402"/>
      <x:c r="J155" s="402"/>
      <x:c r="K155" s="402"/>
      <x:c r="L155" s="402"/>
      <x:c r="M155" s="402"/>
      <x:c r="N155" s="402"/>
      <x:c r="O155" s="402"/>
      <x:c r="P155" s="402"/>
      <x:c r="Q155" s="402"/>
      <x:c r="R155" s="402"/>
      <x:c r="S155" s="402"/>
      <x:c r="T155" s="402"/>
      <x:c r="U155" s="402"/>
      <x:c r="V155" s="402"/>
      <x:c r="W155" s="402"/>
      <x:c r="X155" s="402"/>
      <x:c r="Y155" s="402"/>
      <x:c r="Z155" s="402"/>
    </x:row>
    <x:row r="156">
      <x:c r="A156" s="402"/>
      <x:c r="B156" s="402"/>
      <x:c r="C156" s="402"/>
      <x:c r="D156" s="402"/>
      <x:c r="E156" s="402"/>
      <x:c r="F156" s="402"/>
      <x:c r="G156" s="402"/>
      <x:c r="H156" s="402"/>
      <x:c r="I156" s="402"/>
      <x:c r="J156" s="402"/>
      <x:c r="K156" s="402"/>
      <x:c r="L156" s="402"/>
      <x:c r="M156" s="402"/>
      <x:c r="N156" s="402"/>
      <x:c r="O156" s="402"/>
      <x:c r="P156" s="402"/>
      <x:c r="Q156" s="402"/>
      <x:c r="R156" s="402"/>
      <x:c r="S156" s="402"/>
      <x:c r="T156" s="402"/>
      <x:c r="U156" s="402"/>
      <x:c r="V156" s="402"/>
      <x:c r="W156" s="402"/>
      <x:c r="X156" s="402"/>
      <x:c r="Y156" s="402"/>
      <x:c r="Z156" s="402"/>
    </x:row>
    <x:row r="157">
      <x:c r="A157" s="402"/>
      <x:c r="B157" s="402"/>
      <x:c r="C157" s="402"/>
      <x:c r="D157" s="402"/>
      <x:c r="E157" s="402"/>
      <x:c r="F157" s="402"/>
      <x:c r="G157" s="402"/>
      <x:c r="H157" s="402"/>
      <x:c r="I157" s="402"/>
      <x:c r="J157" s="402"/>
      <x:c r="K157" s="402"/>
      <x:c r="L157" s="402"/>
      <x:c r="M157" s="402"/>
      <x:c r="N157" s="402"/>
      <x:c r="O157" s="402"/>
      <x:c r="P157" s="402"/>
      <x:c r="Q157" s="402"/>
      <x:c r="R157" s="402"/>
      <x:c r="S157" s="402"/>
      <x:c r="T157" s="402"/>
      <x:c r="U157" s="402"/>
      <x:c r="V157" s="402"/>
      <x:c r="W157" s="402"/>
      <x:c r="X157" s="402"/>
      <x:c r="Y157" s="402"/>
      <x:c r="Z157" s="402"/>
    </x:row>
    <x:row r="158">
      <x:c r="A158" s="402"/>
      <x:c r="B158" s="402"/>
      <x:c r="C158" s="402"/>
      <x:c r="D158" s="402"/>
      <x:c r="E158" s="402"/>
      <x:c r="F158" s="402"/>
      <x:c r="G158" s="402"/>
      <x:c r="H158" s="402"/>
      <x:c r="I158" s="402"/>
      <x:c r="J158" s="402"/>
      <x:c r="K158" s="402"/>
      <x:c r="L158" s="402"/>
      <x:c r="M158" s="402"/>
      <x:c r="N158" s="402"/>
      <x:c r="O158" s="402"/>
      <x:c r="P158" s="402"/>
      <x:c r="Q158" s="402"/>
      <x:c r="R158" s="402"/>
      <x:c r="S158" s="402"/>
      <x:c r="T158" s="402"/>
      <x:c r="U158" s="402"/>
      <x:c r="V158" s="402"/>
      <x:c r="W158" s="402"/>
      <x:c r="X158" s="402"/>
      <x:c r="Y158" s="402"/>
      <x:c r="Z158" s="402"/>
    </x:row>
    <x:row r="159">
      <x:c r="A159" s="402"/>
      <x:c r="B159" s="402"/>
      <x:c r="C159" s="402"/>
      <x:c r="D159" s="402"/>
      <x:c r="E159" s="402"/>
      <x:c r="F159" s="402"/>
      <x:c r="G159" s="402"/>
      <x:c r="H159" s="402"/>
      <x:c r="I159" s="402"/>
      <x:c r="J159" s="402"/>
      <x:c r="K159" s="402"/>
      <x:c r="L159" s="402"/>
      <x:c r="M159" s="402"/>
      <x:c r="N159" s="402"/>
      <x:c r="O159" s="402"/>
      <x:c r="P159" s="402"/>
      <x:c r="Q159" s="402"/>
      <x:c r="R159" s="402"/>
      <x:c r="S159" s="402"/>
      <x:c r="T159" s="402"/>
      <x:c r="U159" s="402"/>
      <x:c r="V159" s="402"/>
      <x:c r="W159" s="402"/>
      <x:c r="X159" s="402"/>
      <x:c r="Y159" s="402"/>
      <x:c r="Z159" s="402"/>
    </x:row>
    <x:row r="160">
      <x:c r="A160" s="402"/>
      <x:c r="B160" s="402"/>
      <x:c r="C160" s="402"/>
      <x:c r="D160" s="402"/>
      <x:c r="E160" s="402"/>
      <x:c r="F160" s="402"/>
      <x:c r="G160" s="402"/>
      <x:c r="H160" s="402"/>
      <x:c r="I160" s="402"/>
      <x:c r="J160" s="402"/>
      <x:c r="K160" s="402"/>
      <x:c r="L160" s="402"/>
      <x:c r="M160" s="402"/>
      <x:c r="N160" s="402"/>
      <x:c r="O160" s="402"/>
      <x:c r="P160" s="402"/>
      <x:c r="Q160" s="402"/>
      <x:c r="R160" s="402"/>
      <x:c r="S160" s="402"/>
      <x:c r="T160" s="402"/>
      <x:c r="U160" s="402"/>
      <x:c r="V160" s="402"/>
      <x:c r="W160" s="402"/>
      <x:c r="X160" s="402"/>
      <x:c r="Y160" s="402"/>
      <x:c r="Z160" s="402"/>
    </x:row>
    <x:row r="161">
      <x:c r="A161" s="402"/>
      <x:c r="B161" s="402"/>
      <x:c r="C161" s="402"/>
      <x:c r="D161" s="402"/>
      <x:c r="E161" s="402"/>
      <x:c r="F161" s="402"/>
      <x:c r="G161" s="402"/>
      <x:c r="H161" s="402"/>
      <x:c r="I161" s="402"/>
      <x:c r="J161" s="402"/>
      <x:c r="K161" s="402"/>
      <x:c r="L161" s="402"/>
      <x:c r="M161" s="402"/>
      <x:c r="N161" s="402"/>
      <x:c r="O161" s="402"/>
      <x:c r="P161" s="402"/>
      <x:c r="Q161" s="402"/>
      <x:c r="R161" s="402"/>
      <x:c r="S161" s="402"/>
      <x:c r="T161" s="402"/>
      <x:c r="U161" s="402"/>
      <x:c r="V161" s="402"/>
      <x:c r="W161" s="402"/>
      <x:c r="X161" s="402"/>
      <x:c r="Y161" s="402"/>
      <x:c r="Z161" s="402"/>
    </x:row>
    <x:row r="162">
      <x:c r="A162" s="402"/>
      <x:c r="B162" s="402"/>
      <x:c r="C162" s="402"/>
      <x:c r="D162" s="402"/>
      <x:c r="E162" s="402"/>
      <x:c r="F162" s="402"/>
      <x:c r="G162" s="402"/>
      <x:c r="H162" s="402"/>
      <x:c r="I162" s="402"/>
      <x:c r="J162" s="402"/>
      <x:c r="K162" s="402"/>
      <x:c r="L162" s="402"/>
      <x:c r="M162" s="402"/>
      <x:c r="N162" s="402"/>
      <x:c r="O162" s="402"/>
      <x:c r="P162" s="402"/>
      <x:c r="Q162" s="402"/>
      <x:c r="R162" s="402"/>
      <x:c r="S162" s="402"/>
      <x:c r="T162" s="402"/>
      <x:c r="U162" s="402"/>
      <x:c r="V162" s="402"/>
      <x:c r="W162" s="402"/>
      <x:c r="X162" s="402"/>
      <x:c r="Y162" s="402"/>
      <x:c r="Z162" s="402"/>
    </x:row>
    <x:row r="163">
      <x:c r="A163" s="402"/>
      <x:c r="B163" s="402"/>
      <x:c r="C163" s="402"/>
      <x:c r="D163" s="402"/>
      <x:c r="E163" s="402"/>
      <x:c r="F163" s="402"/>
      <x:c r="G163" s="402"/>
      <x:c r="H163" s="402"/>
      <x:c r="I163" s="402"/>
      <x:c r="J163" s="402"/>
      <x:c r="K163" s="402"/>
      <x:c r="L163" s="402"/>
      <x:c r="M163" s="402"/>
      <x:c r="N163" s="402"/>
      <x:c r="O163" s="402"/>
      <x:c r="P163" s="402"/>
      <x:c r="Q163" s="402"/>
      <x:c r="R163" s="402"/>
      <x:c r="S163" s="402"/>
      <x:c r="T163" s="402"/>
      <x:c r="U163" s="402"/>
      <x:c r="V163" s="402"/>
      <x:c r="W163" s="402"/>
      <x:c r="X163" s="402"/>
      <x:c r="Y163" s="402"/>
      <x:c r="Z163" s="402"/>
    </x:row>
    <x:row r="164">
      <x:c r="A164" s="402"/>
      <x:c r="B164" s="402"/>
      <x:c r="C164" s="402"/>
      <x:c r="D164" s="402"/>
      <x:c r="E164" s="402"/>
      <x:c r="F164" s="402"/>
      <x:c r="G164" s="402"/>
      <x:c r="H164" s="402"/>
      <x:c r="I164" s="402"/>
      <x:c r="J164" s="402"/>
      <x:c r="K164" s="402"/>
      <x:c r="L164" s="402"/>
      <x:c r="M164" s="402"/>
      <x:c r="N164" s="402"/>
      <x:c r="O164" s="402"/>
      <x:c r="P164" s="402"/>
      <x:c r="Q164" s="402"/>
      <x:c r="R164" s="402"/>
      <x:c r="S164" s="402"/>
      <x:c r="T164" s="402"/>
      <x:c r="U164" s="402"/>
      <x:c r="V164" s="402"/>
      <x:c r="W164" s="402"/>
      <x:c r="X164" s="402"/>
      <x:c r="Y164" s="402"/>
      <x:c r="Z164" s="402"/>
    </x:row>
    <x:row r="165">
      <x:c r="A165" s="402"/>
      <x:c r="B165" s="402"/>
      <x:c r="C165" s="402"/>
      <x:c r="D165" s="402"/>
      <x:c r="E165" s="402"/>
      <x:c r="F165" s="402"/>
      <x:c r="G165" s="402"/>
      <x:c r="H165" s="402"/>
      <x:c r="I165" s="402"/>
      <x:c r="J165" s="402"/>
      <x:c r="K165" s="402"/>
      <x:c r="L165" s="402"/>
      <x:c r="M165" s="402"/>
      <x:c r="N165" s="402"/>
      <x:c r="O165" s="402"/>
      <x:c r="P165" s="402"/>
      <x:c r="Q165" s="402"/>
      <x:c r="R165" s="402"/>
      <x:c r="S165" s="402"/>
      <x:c r="T165" s="402"/>
      <x:c r="U165" s="402"/>
      <x:c r="V165" s="402"/>
      <x:c r="W165" s="402"/>
      <x:c r="X165" s="402"/>
      <x:c r="Y165" s="402"/>
      <x:c r="Z165" s="402"/>
    </x:row>
    <x:row r="166">
      <x:c r="A166" s="402"/>
      <x:c r="B166" s="402"/>
      <x:c r="C166" s="402"/>
      <x:c r="D166" s="402"/>
      <x:c r="E166" s="402"/>
      <x:c r="F166" s="402"/>
      <x:c r="G166" s="402"/>
      <x:c r="H166" s="402"/>
      <x:c r="I166" s="402"/>
      <x:c r="J166" s="402"/>
      <x:c r="K166" s="402"/>
      <x:c r="L166" s="402"/>
      <x:c r="M166" s="402"/>
      <x:c r="N166" s="402"/>
      <x:c r="O166" s="402"/>
      <x:c r="P166" s="402"/>
      <x:c r="Q166" s="402"/>
      <x:c r="R166" s="402"/>
      <x:c r="S166" s="402"/>
      <x:c r="T166" s="402"/>
      <x:c r="U166" s="402"/>
      <x:c r="V166" s="402"/>
      <x:c r="W166" s="402"/>
      <x:c r="X166" s="402"/>
      <x:c r="Y166" s="402"/>
      <x:c r="Z166" s="402"/>
    </x:row>
    <x:row r="167">
      <x:c r="A167" s="402"/>
      <x:c r="B167" s="402"/>
      <x:c r="C167" s="402"/>
      <x:c r="D167" s="402"/>
      <x:c r="E167" s="402"/>
      <x:c r="F167" s="402"/>
      <x:c r="G167" s="402"/>
      <x:c r="H167" s="402"/>
      <x:c r="I167" s="402"/>
      <x:c r="J167" s="402"/>
      <x:c r="K167" s="402"/>
      <x:c r="L167" s="402"/>
      <x:c r="M167" s="402"/>
      <x:c r="N167" s="402"/>
      <x:c r="O167" s="402"/>
      <x:c r="P167" s="402"/>
      <x:c r="Q167" s="402"/>
      <x:c r="R167" s="402"/>
      <x:c r="S167" s="402"/>
      <x:c r="T167" s="402"/>
      <x:c r="U167" s="402"/>
      <x:c r="V167" s="402"/>
      <x:c r="W167" s="402"/>
      <x:c r="X167" s="402"/>
      <x:c r="Y167" s="402"/>
      <x:c r="Z167" s="402"/>
    </x:row>
    <x:row r="168">
      <x:c r="A168" s="402"/>
      <x:c r="B168" s="402"/>
      <x:c r="C168" s="402"/>
      <x:c r="D168" s="402"/>
      <x:c r="E168" s="402"/>
      <x:c r="F168" s="402"/>
      <x:c r="G168" s="402"/>
      <x:c r="H168" s="402"/>
      <x:c r="I168" s="402"/>
      <x:c r="J168" s="402"/>
      <x:c r="K168" s="402"/>
      <x:c r="L168" s="402"/>
      <x:c r="M168" s="402"/>
      <x:c r="N168" s="402"/>
      <x:c r="O168" s="402"/>
      <x:c r="P168" s="402"/>
      <x:c r="Q168" s="402"/>
      <x:c r="R168" s="402"/>
      <x:c r="S168" s="402"/>
      <x:c r="T168" s="402"/>
      <x:c r="U168" s="402"/>
      <x:c r="V168" s="402"/>
      <x:c r="W168" s="402"/>
      <x:c r="X168" s="402"/>
      <x:c r="Y168" s="402"/>
      <x:c r="Z168" s="402"/>
    </x:row>
    <x:row r="169">
      <x:c r="A169" s="402"/>
      <x:c r="B169" s="402"/>
      <x:c r="C169" s="402"/>
      <x:c r="D169" s="402"/>
      <x:c r="E169" s="402"/>
      <x:c r="F169" s="402"/>
      <x:c r="G169" s="402"/>
      <x:c r="H169" s="402"/>
      <x:c r="I169" s="402"/>
      <x:c r="J169" s="402"/>
      <x:c r="K169" s="402"/>
      <x:c r="L169" s="402"/>
      <x:c r="M169" s="402"/>
      <x:c r="N169" s="402"/>
      <x:c r="O169" s="402"/>
      <x:c r="P169" s="402"/>
      <x:c r="Q169" s="402"/>
      <x:c r="R169" s="402"/>
      <x:c r="S169" s="402"/>
      <x:c r="T169" s="402"/>
      <x:c r="U169" s="402"/>
      <x:c r="V169" s="402"/>
      <x:c r="W169" s="402"/>
      <x:c r="X169" s="402"/>
      <x:c r="Y169" s="402"/>
      <x:c r="Z169" s="402"/>
    </x:row>
    <x:row r="170">
      <x:c r="A170" s="402"/>
      <x:c r="B170" s="402"/>
      <x:c r="C170" s="402"/>
      <x:c r="D170" s="402"/>
      <x:c r="E170" s="402"/>
      <x:c r="F170" s="402"/>
      <x:c r="G170" s="402"/>
      <x:c r="H170" s="402"/>
      <x:c r="I170" s="402"/>
      <x:c r="J170" s="402"/>
      <x:c r="K170" s="402"/>
      <x:c r="L170" s="402"/>
      <x:c r="M170" s="402"/>
      <x:c r="N170" s="402"/>
      <x:c r="O170" s="402"/>
      <x:c r="P170" s="402"/>
      <x:c r="Q170" s="402"/>
      <x:c r="R170" s="402"/>
      <x:c r="S170" s="402"/>
      <x:c r="T170" s="402"/>
      <x:c r="U170" s="402"/>
      <x:c r="V170" s="402"/>
      <x:c r="W170" s="402"/>
      <x:c r="X170" s="402"/>
      <x:c r="Y170" s="402"/>
      <x:c r="Z170" s="402"/>
    </x:row>
    <x:row r="171">
      <x:c r="A171" s="402"/>
      <x:c r="B171" s="402"/>
      <x:c r="C171" s="402"/>
      <x:c r="D171" s="402"/>
      <x:c r="E171" s="402"/>
      <x:c r="F171" s="402"/>
      <x:c r="G171" s="402"/>
      <x:c r="H171" s="402"/>
      <x:c r="I171" s="402"/>
      <x:c r="J171" s="402"/>
      <x:c r="K171" s="402"/>
      <x:c r="L171" s="402"/>
      <x:c r="M171" s="402"/>
      <x:c r="N171" s="402"/>
      <x:c r="O171" s="402"/>
      <x:c r="P171" s="402"/>
      <x:c r="Q171" s="402"/>
      <x:c r="R171" s="402"/>
      <x:c r="S171" s="402"/>
      <x:c r="T171" s="402"/>
      <x:c r="U171" s="402"/>
      <x:c r="V171" s="402"/>
      <x:c r="W171" s="402"/>
      <x:c r="X171" s="402"/>
      <x:c r="Y171" s="402"/>
      <x:c r="Z171" s="402"/>
    </x:row>
    <x:row r="172">
      <x:c r="A172" s="402"/>
      <x:c r="B172" s="402"/>
      <x:c r="C172" s="402"/>
      <x:c r="D172" s="402"/>
      <x:c r="E172" s="402"/>
      <x:c r="F172" s="402"/>
      <x:c r="G172" s="402"/>
      <x:c r="H172" s="402"/>
      <x:c r="I172" s="402"/>
      <x:c r="J172" s="402"/>
      <x:c r="K172" s="402"/>
      <x:c r="L172" s="402"/>
      <x:c r="M172" s="402"/>
      <x:c r="N172" s="402"/>
      <x:c r="O172" s="402"/>
      <x:c r="P172" s="402"/>
      <x:c r="Q172" s="402"/>
      <x:c r="R172" s="402"/>
      <x:c r="S172" s="402"/>
      <x:c r="T172" s="402"/>
      <x:c r="U172" s="402"/>
      <x:c r="V172" s="402"/>
      <x:c r="W172" s="402"/>
      <x:c r="X172" s="402"/>
      <x:c r="Y172" s="402"/>
      <x:c r="Z172" s="402"/>
    </x:row>
    <x:row r="173">
      <x:c r="A173" s="402"/>
      <x:c r="B173" s="402"/>
      <x:c r="C173" s="402"/>
      <x:c r="D173" s="402"/>
      <x:c r="E173" s="402"/>
      <x:c r="F173" s="402"/>
      <x:c r="G173" s="402"/>
      <x:c r="H173" s="402"/>
      <x:c r="I173" s="402"/>
      <x:c r="J173" s="402"/>
      <x:c r="K173" s="402"/>
      <x:c r="L173" s="402"/>
      <x:c r="M173" s="402"/>
      <x:c r="N173" s="402"/>
      <x:c r="O173" s="402"/>
      <x:c r="P173" s="402"/>
      <x:c r="Q173" s="402"/>
      <x:c r="R173" s="402"/>
      <x:c r="S173" s="402"/>
      <x:c r="T173" s="402"/>
      <x:c r="U173" s="402"/>
      <x:c r="V173" s="402"/>
      <x:c r="W173" s="402"/>
      <x:c r="X173" s="402"/>
      <x:c r="Y173" s="402"/>
      <x:c r="Z173" s="402"/>
    </x:row>
    <x:row r="174">
      <x:c r="A174" s="402"/>
      <x:c r="B174" s="402"/>
      <x:c r="C174" s="402"/>
      <x:c r="D174" s="402"/>
      <x:c r="E174" s="402"/>
      <x:c r="F174" s="402"/>
      <x:c r="G174" s="402"/>
      <x:c r="H174" s="402"/>
      <x:c r="I174" s="402"/>
      <x:c r="J174" s="402"/>
      <x:c r="K174" s="402"/>
      <x:c r="L174" s="402"/>
      <x:c r="M174" s="402"/>
      <x:c r="N174" s="402"/>
      <x:c r="O174" s="402"/>
      <x:c r="P174" s="402"/>
      <x:c r="Q174" s="402"/>
      <x:c r="R174" s="402"/>
      <x:c r="S174" s="402"/>
      <x:c r="T174" s="402"/>
      <x:c r="U174" s="402"/>
      <x:c r="V174" s="402"/>
      <x:c r="W174" s="402"/>
      <x:c r="X174" s="402"/>
      <x:c r="Y174" s="402"/>
      <x:c r="Z174" s="402"/>
    </x:row>
    <x:row r="175">
      <x:c r="A175" s="402"/>
      <x:c r="B175" s="402"/>
      <x:c r="C175" s="402"/>
      <x:c r="D175" s="402"/>
      <x:c r="E175" s="402"/>
      <x:c r="F175" s="402"/>
      <x:c r="G175" s="402"/>
      <x:c r="H175" s="402"/>
      <x:c r="I175" s="402"/>
      <x:c r="J175" s="402"/>
      <x:c r="K175" s="402"/>
      <x:c r="L175" s="402"/>
      <x:c r="M175" s="402"/>
      <x:c r="N175" s="402"/>
      <x:c r="O175" s="402"/>
      <x:c r="P175" s="402"/>
      <x:c r="Q175" s="402"/>
      <x:c r="R175" s="402"/>
      <x:c r="S175" s="402"/>
      <x:c r="T175" s="402"/>
      <x:c r="U175" s="402"/>
      <x:c r="V175" s="402"/>
      <x:c r="W175" s="402"/>
      <x:c r="X175" s="402"/>
      <x:c r="Y175" s="402"/>
      <x:c r="Z175" s="402"/>
    </x:row>
    <x:row r="176">
      <x:c r="A176" s="402"/>
      <x:c r="B176" s="402"/>
      <x:c r="C176" s="402"/>
      <x:c r="D176" s="402"/>
      <x:c r="E176" s="402"/>
      <x:c r="F176" s="402"/>
      <x:c r="G176" s="402"/>
      <x:c r="H176" s="402"/>
      <x:c r="I176" s="402"/>
      <x:c r="J176" s="402"/>
      <x:c r="K176" s="402"/>
      <x:c r="L176" s="402"/>
      <x:c r="M176" s="402"/>
      <x:c r="N176" s="402"/>
      <x:c r="O176" s="402"/>
      <x:c r="P176" s="402"/>
      <x:c r="Q176" s="402"/>
      <x:c r="R176" s="402"/>
      <x:c r="S176" s="402"/>
      <x:c r="T176" s="402"/>
      <x:c r="U176" s="402"/>
      <x:c r="V176" s="402"/>
      <x:c r="W176" s="402"/>
      <x:c r="X176" s="402"/>
      <x:c r="Y176" s="402"/>
      <x:c r="Z176" s="402"/>
    </x:row>
    <x:row r="177">
      <x:c r="A177" s="402"/>
      <x:c r="B177" s="402"/>
      <x:c r="C177" s="402"/>
      <x:c r="D177" s="402"/>
      <x:c r="E177" s="402"/>
      <x:c r="F177" s="402"/>
      <x:c r="G177" s="402"/>
      <x:c r="H177" s="402"/>
      <x:c r="I177" s="402"/>
      <x:c r="J177" s="402"/>
      <x:c r="K177" s="402"/>
      <x:c r="L177" s="402"/>
      <x:c r="M177" s="402"/>
      <x:c r="N177" s="402"/>
      <x:c r="O177" s="402"/>
      <x:c r="P177" s="402"/>
      <x:c r="Q177" s="402"/>
      <x:c r="R177" s="402"/>
      <x:c r="S177" s="402"/>
      <x:c r="T177" s="402"/>
      <x:c r="U177" s="402"/>
      <x:c r="V177" s="402"/>
      <x:c r="W177" s="402"/>
      <x:c r="X177" s="402"/>
      <x:c r="Y177" s="402"/>
      <x:c r="Z177" s="402"/>
    </x:row>
    <x:row r="178">
      <x:c r="A178" s="402"/>
      <x:c r="B178" s="402"/>
      <x:c r="C178" s="402"/>
      <x:c r="D178" s="402"/>
      <x:c r="E178" s="402"/>
      <x:c r="F178" s="402"/>
      <x:c r="G178" s="402"/>
      <x:c r="H178" s="402"/>
      <x:c r="I178" s="402"/>
      <x:c r="J178" s="402"/>
      <x:c r="K178" s="402"/>
      <x:c r="L178" s="402"/>
      <x:c r="M178" s="402"/>
      <x:c r="N178" s="402"/>
      <x:c r="O178" s="402"/>
      <x:c r="P178" s="402"/>
      <x:c r="Q178" s="402"/>
      <x:c r="R178" s="402"/>
      <x:c r="S178" s="402"/>
      <x:c r="T178" s="402"/>
      <x:c r="U178" s="402"/>
      <x:c r="V178" s="402"/>
      <x:c r="W178" s="402"/>
      <x:c r="X178" s="402"/>
      <x:c r="Y178" s="402"/>
      <x:c r="Z178" s="402"/>
    </x:row>
    <x:row r="179">
      <x:c r="A179" s="402"/>
      <x:c r="B179" s="402"/>
      <x:c r="C179" s="402"/>
      <x:c r="D179" s="402"/>
      <x:c r="E179" s="402"/>
      <x:c r="F179" s="402"/>
      <x:c r="G179" s="402"/>
      <x:c r="H179" s="402"/>
      <x:c r="I179" s="402"/>
      <x:c r="J179" s="402"/>
      <x:c r="K179" s="402"/>
      <x:c r="L179" s="402"/>
      <x:c r="M179" s="402"/>
      <x:c r="N179" s="402"/>
      <x:c r="O179" s="402"/>
      <x:c r="P179" s="402"/>
      <x:c r="Q179" s="402"/>
      <x:c r="R179" s="402"/>
      <x:c r="S179" s="402"/>
      <x:c r="T179" s="402"/>
      <x:c r="U179" s="402"/>
      <x:c r="V179" s="402"/>
      <x:c r="W179" s="402"/>
      <x:c r="X179" s="402"/>
      <x:c r="Y179" s="402"/>
      <x:c r="Z179" s="402"/>
    </x:row>
    <x:row r="180">
      <x:c r="A180" s="402"/>
      <x:c r="B180" s="402"/>
      <x:c r="C180" s="402"/>
      <x:c r="D180" s="402"/>
      <x:c r="E180" s="402"/>
      <x:c r="F180" s="402"/>
      <x:c r="G180" s="402"/>
      <x:c r="H180" s="402"/>
      <x:c r="I180" s="402"/>
      <x:c r="J180" s="402"/>
      <x:c r="K180" s="402"/>
      <x:c r="L180" s="402"/>
      <x:c r="M180" s="402"/>
      <x:c r="N180" s="402"/>
      <x:c r="O180" s="402"/>
      <x:c r="P180" s="402"/>
      <x:c r="Q180" s="402"/>
      <x:c r="R180" s="402"/>
      <x:c r="S180" s="402"/>
      <x:c r="T180" s="402"/>
      <x:c r="U180" s="402"/>
      <x:c r="V180" s="402"/>
      <x:c r="W180" s="402"/>
      <x:c r="X180" s="402"/>
      <x:c r="Y180" s="402"/>
      <x:c r="Z180" s="402"/>
    </x:row>
    <x:row r="181">
      <x:c r="A181" s="402"/>
      <x:c r="B181" s="402"/>
      <x:c r="C181" s="402"/>
      <x:c r="D181" s="402"/>
      <x:c r="E181" s="402"/>
      <x:c r="F181" s="402"/>
      <x:c r="G181" s="402"/>
      <x:c r="H181" s="402"/>
      <x:c r="I181" s="402"/>
      <x:c r="J181" s="402"/>
      <x:c r="K181" s="402"/>
      <x:c r="L181" s="402"/>
      <x:c r="M181" s="402"/>
      <x:c r="N181" s="402"/>
      <x:c r="O181" s="402"/>
      <x:c r="P181" s="402"/>
      <x:c r="Q181" s="402"/>
      <x:c r="R181" s="402"/>
      <x:c r="S181" s="402"/>
      <x:c r="T181" s="402"/>
      <x:c r="U181" s="402"/>
      <x:c r="V181" s="402"/>
      <x:c r="W181" s="402"/>
      <x:c r="X181" s="402"/>
      <x:c r="Y181" s="402"/>
      <x:c r="Z181" s="402"/>
    </x:row>
    <x:row r="182">
      <x:c r="A182" s="402"/>
      <x:c r="B182" s="402"/>
      <x:c r="C182" s="402"/>
      <x:c r="D182" s="402"/>
      <x:c r="E182" s="402"/>
      <x:c r="F182" s="402"/>
      <x:c r="G182" s="402"/>
      <x:c r="H182" s="402"/>
      <x:c r="I182" s="402"/>
      <x:c r="J182" s="402"/>
      <x:c r="K182" s="402"/>
      <x:c r="L182" s="402"/>
      <x:c r="M182" s="402"/>
      <x:c r="N182" s="402"/>
      <x:c r="O182" s="402"/>
      <x:c r="P182" s="402"/>
      <x:c r="Q182" s="402"/>
      <x:c r="R182" s="402"/>
      <x:c r="S182" s="402"/>
      <x:c r="T182" s="402"/>
      <x:c r="U182" s="402"/>
      <x:c r="V182" s="402"/>
      <x:c r="W182" s="402"/>
      <x:c r="X182" s="402"/>
      <x:c r="Y182" s="402"/>
      <x:c r="Z182" s="402"/>
    </x:row>
    <x:row r="183">
      <x:c r="A183" s="402"/>
      <x:c r="B183" s="402"/>
      <x:c r="C183" s="402"/>
      <x:c r="D183" s="402"/>
      <x:c r="E183" s="402"/>
      <x:c r="F183" s="402"/>
      <x:c r="G183" s="402"/>
      <x:c r="H183" s="402"/>
      <x:c r="I183" s="402"/>
      <x:c r="J183" s="402"/>
      <x:c r="K183" s="402"/>
      <x:c r="L183" s="402"/>
      <x:c r="M183" s="402"/>
      <x:c r="N183" s="402"/>
      <x:c r="O183" s="402"/>
      <x:c r="P183" s="402"/>
      <x:c r="Q183" s="402"/>
      <x:c r="R183" s="402"/>
      <x:c r="S183" s="402"/>
      <x:c r="T183" s="402"/>
      <x:c r="U183" s="402"/>
      <x:c r="V183" s="402"/>
      <x:c r="W183" s="402"/>
      <x:c r="X183" s="402"/>
      <x:c r="Y183" s="402"/>
      <x:c r="Z183" s="402"/>
    </x:row>
    <x:row r="184">
      <x:c r="A184" s="402"/>
      <x:c r="B184" s="402"/>
      <x:c r="C184" s="402"/>
      <x:c r="D184" s="402"/>
      <x:c r="E184" s="402"/>
      <x:c r="F184" s="402"/>
      <x:c r="G184" s="402"/>
      <x:c r="H184" s="402"/>
      <x:c r="I184" s="402"/>
      <x:c r="J184" s="402"/>
      <x:c r="K184" s="402"/>
      <x:c r="L184" s="402"/>
      <x:c r="M184" s="402"/>
      <x:c r="N184" s="402"/>
      <x:c r="O184" s="402"/>
      <x:c r="P184" s="402"/>
      <x:c r="Q184" s="402"/>
      <x:c r="R184" s="402"/>
      <x:c r="S184" s="402"/>
      <x:c r="T184" s="402"/>
      <x:c r="U184" s="402"/>
      <x:c r="V184" s="402"/>
      <x:c r="W184" s="402"/>
      <x:c r="X184" s="402"/>
      <x:c r="Y184" s="402"/>
      <x:c r="Z184" s="402"/>
    </x:row>
    <x:row r="185">
      <x:c r="A185" s="402"/>
      <x:c r="B185" s="402"/>
      <x:c r="C185" s="402"/>
      <x:c r="D185" s="402"/>
      <x:c r="E185" s="402"/>
      <x:c r="F185" s="402"/>
      <x:c r="G185" s="402"/>
      <x:c r="H185" s="402"/>
      <x:c r="I185" s="402"/>
      <x:c r="J185" s="402"/>
      <x:c r="K185" s="402"/>
      <x:c r="L185" s="402"/>
      <x:c r="M185" s="402"/>
      <x:c r="N185" s="402"/>
      <x:c r="O185" s="402"/>
      <x:c r="P185" s="402"/>
      <x:c r="Q185" s="402"/>
      <x:c r="R185" s="402"/>
      <x:c r="S185" s="402"/>
      <x:c r="T185" s="402"/>
      <x:c r="U185" s="402"/>
      <x:c r="V185" s="402"/>
      <x:c r="W185" s="402"/>
      <x:c r="X185" s="402"/>
      <x:c r="Y185" s="402"/>
      <x:c r="Z185" s="402"/>
    </x:row>
    <x:row r="186">
      <x:c r="A186" s="402"/>
      <x:c r="B186" s="402"/>
      <x:c r="C186" s="402"/>
      <x:c r="D186" s="402"/>
      <x:c r="E186" s="402"/>
      <x:c r="F186" s="402"/>
      <x:c r="G186" s="402"/>
      <x:c r="H186" s="402"/>
      <x:c r="I186" s="402"/>
      <x:c r="J186" s="402"/>
      <x:c r="K186" s="402"/>
      <x:c r="L186" s="402"/>
      <x:c r="M186" s="402"/>
      <x:c r="N186" s="402"/>
      <x:c r="O186" s="402"/>
      <x:c r="P186" s="402"/>
      <x:c r="Q186" s="402"/>
      <x:c r="R186" s="402"/>
      <x:c r="S186" s="402"/>
      <x:c r="T186" s="402"/>
      <x:c r="U186" s="402"/>
      <x:c r="V186" s="402"/>
      <x:c r="W186" s="402"/>
      <x:c r="X186" s="402"/>
      <x:c r="Y186" s="402"/>
      <x:c r="Z186" s="402"/>
    </x:row>
    <x:row r="187">
      <x:c r="A187" s="402"/>
      <x:c r="B187" s="402"/>
      <x:c r="C187" s="402"/>
      <x:c r="D187" s="402"/>
      <x:c r="E187" s="402"/>
      <x:c r="F187" s="402"/>
      <x:c r="G187" s="402"/>
      <x:c r="H187" s="402"/>
      <x:c r="I187" s="402"/>
      <x:c r="J187" s="402"/>
      <x:c r="K187" s="402"/>
      <x:c r="L187" s="402"/>
      <x:c r="M187" s="402"/>
      <x:c r="N187" s="402"/>
      <x:c r="O187" s="402"/>
      <x:c r="P187" s="402"/>
      <x:c r="Q187" s="402"/>
      <x:c r="R187" s="402"/>
      <x:c r="S187" s="402"/>
      <x:c r="T187" s="402"/>
      <x:c r="U187" s="402"/>
      <x:c r="V187" s="402"/>
      <x:c r="W187" s="402"/>
      <x:c r="X187" s="402"/>
      <x:c r="Y187" s="402"/>
      <x:c r="Z187" s="402"/>
    </x:row>
    <x:row r="188">
      <x:c r="A188" s="402"/>
      <x:c r="B188" s="402"/>
      <x:c r="C188" s="402"/>
      <x:c r="D188" s="402"/>
      <x:c r="E188" s="402"/>
      <x:c r="F188" s="402"/>
      <x:c r="G188" s="402"/>
      <x:c r="H188" s="402"/>
      <x:c r="I188" s="402"/>
      <x:c r="J188" s="402"/>
      <x:c r="K188" s="402"/>
      <x:c r="L188" s="402"/>
      <x:c r="M188" s="402"/>
      <x:c r="N188" s="402"/>
      <x:c r="O188" s="402"/>
      <x:c r="P188" s="402"/>
      <x:c r="Q188" s="402"/>
      <x:c r="R188" s="402"/>
      <x:c r="S188" s="402"/>
      <x:c r="T188" s="402"/>
      <x:c r="U188" s="402"/>
      <x:c r="V188" s="402"/>
      <x:c r="W188" s="402"/>
      <x:c r="X188" s="402"/>
      <x:c r="Y188" s="402"/>
      <x:c r="Z188" s="402"/>
    </x:row>
    <x:row r="189">
      <x:c r="A189" s="402"/>
      <x:c r="B189" s="402"/>
      <x:c r="C189" s="402"/>
      <x:c r="D189" s="402"/>
      <x:c r="E189" s="402"/>
      <x:c r="F189" s="402"/>
      <x:c r="G189" s="402"/>
      <x:c r="H189" s="402"/>
      <x:c r="I189" s="402"/>
      <x:c r="J189" s="402"/>
      <x:c r="K189" s="402"/>
      <x:c r="L189" s="402"/>
      <x:c r="M189" s="402"/>
      <x:c r="N189" s="402"/>
      <x:c r="O189" s="402"/>
      <x:c r="P189" s="402"/>
      <x:c r="Q189" s="402"/>
      <x:c r="R189" s="402"/>
      <x:c r="S189" s="402"/>
      <x:c r="T189" s="402"/>
      <x:c r="U189" s="402"/>
      <x:c r="V189" s="402"/>
      <x:c r="W189" s="402"/>
      <x:c r="X189" s="402"/>
      <x:c r="Y189" s="402"/>
      <x:c r="Z189" s="402"/>
    </x:row>
    <x:row r="190">
      <x:c r="A190" s="402"/>
      <x:c r="B190" s="402"/>
      <x:c r="C190" s="402"/>
      <x:c r="D190" s="402"/>
      <x:c r="E190" s="402"/>
      <x:c r="F190" s="402"/>
      <x:c r="G190" s="402"/>
      <x:c r="H190" s="402"/>
      <x:c r="I190" s="402"/>
      <x:c r="J190" s="402"/>
      <x:c r="K190" s="402"/>
      <x:c r="L190" s="402"/>
      <x:c r="M190" s="402"/>
      <x:c r="N190" s="402"/>
      <x:c r="O190" s="402"/>
      <x:c r="P190" s="402"/>
      <x:c r="Q190" s="402"/>
      <x:c r="R190" s="402"/>
      <x:c r="S190" s="402"/>
      <x:c r="T190" s="402"/>
      <x:c r="U190" s="402"/>
      <x:c r="V190" s="402"/>
      <x:c r="W190" s="402"/>
      <x:c r="X190" s="402"/>
      <x:c r="Y190" s="402"/>
      <x:c r="Z190" s="402"/>
    </x:row>
    <x:row r="191">
      <x:c r="A191" s="402"/>
      <x:c r="B191" s="402"/>
      <x:c r="C191" s="402"/>
      <x:c r="D191" s="402"/>
      <x:c r="E191" s="402"/>
      <x:c r="F191" s="402"/>
      <x:c r="G191" s="402"/>
      <x:c r="H191" s="402"/>
      <x:c r="I191" s="402"/>
      <x:c r="J191" s="402"/>
      <x:c r="K191" s="402"/>
      <x:c r="L191" s="402"/>
      <x:c r="M191" s="402"/>
      <x:c r="N191" s="402"/>
      <x:c r="O191" s="402"/>
      <x:c r="P191" s="402"/>
      <x:c r="Q191" s="402"/>
      <x:c r="R191" s="402"/>
      <x:c r="S191" s="402"/>
      <x:c r="T191" s="402"/>
      <x:c r="U191" s="402"/>
      <x:c r="V191" s="402"/>
      <x:c r="W191" s="402"/>
      <x:c r="X191" s="402"/>
      <x:c r="Y191" s="402"/>
      <x:c r="Z191" s="402"/>
    </x:row>
    <x:row r="192">
      <x:c r="A192" s="402"/>
      <x:c r="B192" s="402"/>
      <x:c r="C192" s="402"/>
      <x:c r="D192" s="402"/>
      <x:c r="E192" s="402"/>
      <x:c r="F192" s="402"/>
      <x:c r="G192" s="402"/>
      <x:c r="H192" s="402"/>
      <x:c r="I192" s="402"/>
      <x:c r="J192" s="402"/>
      <x:c r="K192" s="402"/>
      <x:c r="L192" s="402"/>
      <x:c r="M192" s="402"/>
      <x:c r="N192" s="402"/>
      <x:c r="O192" s="402"/>
      <x:c r="P192" s="402"/>
      <x:c r="Q192" s="402"/>
      <x:c r="R192" s="402"/>
      <x:c r="S192" s="402"/>
      <x:c r="T192" s="402"/>
      <x:c r="U192" s="402"/>
      <x:c r="V192" s="402"/>
      <x:c r="W192" s="402"/>
      <x:c r="X192" s="402"/>
      <x:c r="Y192" s="402"/>
      <x:c r="Z192" s="402"/>
    </x:row>
    <x:row r="193">
      <x:c r="A193" s="402"/>
      <x:c r="B193" s="402"/>
      <x:c r="C193" s="402"/>
      <x:c r="D193" s="402"/>
      <x:c r="E193" s="402"/>
      <x:c r="F193" s="402"/>
      <x:c r="G193" s="402"/>
      <x:c r="H193" s="402"/>
      <x:c r="I193" s="402"/>
      <x:c r="J193" s="402"/>
      <x:c r="K193" s="402"/>
      <x:c r="L193" s="402"/>
      <x:c r="M193" s="402"/>
      <x:c r="N193" s="402"/>
      <x:c r="O193" s="402"/>
      <x:c r="P193" s="402"/>
      <x:c r="Q193" s="402"/>
      <x:c r="R193" s="402"/>
      <x:c r="S193" s="402"/>
      <x:c r="T193" s="402"/>
      <x:c r="U193" s="402"/>
      <x:c r="V193" s="402"/>
      <x:c r="W193" s="402"/>
      <x:c r="X193" s="402"/>
      <x:c r="Y193" s="402"/>
      <x:c r="Z193" s="402"/>
    </x:row>
    <x:row r="194">
      <x:c r="A194" s="402"/>
      <x:c r="B194" s="402"/>
      <x:c r="C194" s="402"/>
      <x:c r="D194" s="402"/>
      <x:c r="E194" s="402"/>
      <x:c r="F194" s="402"/>
      <x:c r="G194" s="402"/>
      <x:c r="H194" s="402"/>
      <x:c r="I194" s="402"/>
      <x:c r="J194" s="402"/>
      <x:c r="K194" s="402"/>
      <x:c r="L194" s="402"/>
      <x:c r="M194" s="402"/>
      <x:c r="N194" s="402"/>
      <x:c r="O194" s="402"/>
      <x:c r="P194" s="402"/>
      <x:c r="Q194" s="402"/>
      <x:c r="R194" s="402"/>
      <x:c r="S194" s="402"/>
      <x:c r="T194" s="402"/>
      <x:c r="U194" s="402"/>
      <x:c r="V194" s="402"/>
      <x:c r="W194" s="402"/>
      <x:c r="X194" s="402"/>
      <x:c r="Y194" s="402"/>
      <x:c r="Z194" s="402"/>
    </x:row>
    <x:row r="195">
      <x:c r="A195" s="402"/>
      <x:c r="B195" s="402"/>
      <x:c r="C195" s="402"/>
      <x:c r="D195" s="402"/>
      <x:c r="E195" s="402"/>
      <x:c r="F195" s="402"/>
      <x:c r="G195" s="402"/>
      <x:c r="H195" s="402"/>
      <x:c r="I195" s="402"/>
      <x:c r="J195" s="402"/>
      <x:c r="K195" s="402"/>
      <x:c r="L195" s="402"/>
      <x:c r="M195" s="402"/>
      <x:c r="N195" s="402"/>
      <x:c r="O195" s="402"/>
      <x:c r="P195" s="402"/>
      <x:c r="Q195" s="402"/>
      <x:c r="R195" s="402"/>
      <x:c r="S195" s="402"/>
      <x:c r="T195" s="402"/>
      <x:c r="U195" s="402"/>
      <x:c r="V195" s="402"/>
      <x:c r="W195" s="402"/>
      <x:c r="X195" s="402"/>
      <x:c r="Y195" s="402"/>
      <x:c r="Z195" s="402"/>
    </x:row>
    <x:row r="196">
      <x:c r="A196" s="402"/>
      <x:c r="B196" s="402"/>
      <x:c r="C196" s="402"/>
      <x:c r="D196" s="402"/>
      <x:c r="E196" s="402"/>
      <x:c r="F196" s="402"/>
      <x:c r="G196" s="402"/>
      <x:c r="H196" s="402"/>
      <x:c r="I196" s="402"/>
      <x:c r="J196" s="402"/>
      <x:c r="K196" s="402"/>
      <x:c r="L196" s="402"/>
      <x:c r="M196" s="402"/>
      <x:c r="N196" s="402"/>
      <x:c r="O196" s="402"/>
      <x:c r="P196" s="402"/>
      <x:c r="Q196" s="402"/>
      <x:c r="R196" s="402"/>
      <x:c r="S196" s="402"/>
      <x:c r="T196" s="402"/>
      <x:c r="U196" s="402"/>
      <x:c r="V196" s="402"/>
      <x:c r="W196" s="402"/>
      <x:c r="X196" s="402"/>
      <x:c r="Y196" s="402"/>
      <x:c r="Z196" s="402"/>
    </x:row>
    <x:row r="197">
      <x:c r="A197" s="402"/>
      <x:c r="B197" s="402"/>
      <x:c r="C197" s="402"/>
      <x:c r="D197" s="402"/>
      <x:c r="E197" s="402"/>
      <x:c r="F197" s="402"/>
      <x:c r="G197" s="402"/>
      <x:c r="H197" s="402"/>
      <x:c r="I197" s="402"/>
      <x:c r="J197" s="402"/>
      <x:c r="K197" s="402"/>
      <x:c r="L197" s="402"/>
      <x:c r="M197" s="402"/>
      <x:c r="N197" s="402"/>
      <x:c r="O197" s="402"/>
      <x:c r="P197" s="402"/>
      <x:c r="Q197" s="402"/>
      <x:c r="R197" s="402"/>
      <x:c r="S197" s="402"/>
      <x:c r="T197" s="402"/>
      <x:c r="U197" s="402"/>
      <x:c r="V197" s="402"/>
      <x:c r="W197" s="402"/>
      <x:c r="X197" s="402"/>
      <x:c r="Y197" s="402"/>
      <x:c r="Z197" s="402"/>
    </x:row>
    <x:row r="198">
      <x:c r="A198" s="402"/>
      <x:c r="B198" s="402"/>
      <x:c r="C198" s="402"/>
      <x:c r="D198" s="402"/>
      <x:c r="E198" s="402"/>
      <x:c r="F198" s="402"/>
      <x:c r="G198" s="402"/>
      <x:c r="H198" s="402"/>
      <x:c r="I198" s="402"/>
      <x:c r="J198" s="402"/>
      <x:c r="K198" s="402"/>
      <x:c r="L198" s="402"/>
      <x:c r="M198" s="402"/>
      <x:c r="N198" s="402"/>
      <x:c r="O198" s="402"/>
      <x:c r="P198" s="402"/>
      <x:c r="Q198" s="402"/>
      <x:c r="R198" s="402"/>
      <x:c r="S198" s="402"/>
      <x:c r="T198" s="402"/>
      <x:c r="U198" s="402"/>
      <x:c r="V198" s="402"/>
      <x:c r="W198" s="402"/>
      <x:c r="X198" s="402"/>
      <x:c r="Y198" s="402"/>
      <x:c r="Z198" s="402"/>
    </x:row>
    <x:row r="199">
      <x:c r="A199" s="402"/>
      <x:c r="B199" s="402"/>
      <x:c r="C199" s="402"/>
      <x:c r="D199" s="402"/>
      <x:c r="E199" s="402"/>
      <x:c r="F199" s="402"/>
      <x:c r="G199" s="402"/>
      <x:c r="H199" s="402"/>
      <x:c r="I199" s="402"/>
      <x:c r="J199" s="402"/>
      <x:c r="K199" s="402"/>
      <x:c r="L199" s="402"/>
      <x:c r="M199" s="402"/>
      <x:c r="N199" s="402"/>
      <x:c r="O199" s="402"/>
      <x:c r="P199" s="402"/>
      <x:c r="Q199" s="402"/>
      <x:c r="R199" s="402"/>
      <x:c r="S199" s="402"/>
      <x:c r="T199" s="402"/>
      <x:c r="U199" s="402"/>
      <x:c r="V199" s="402"/>
      <x:c r="W199" s="402"/>
      <x:c r="X199" s="402"/>
      <x:c r="Y199" s="402"/>
      <x:c r="Z199" s="402"/>
    </x:row>
    <x:row r="200">
      <x:c r="A200" s="402"/>
      <x:c r="B200" s="402"/>
      <x:c r="C200" s="402"/>
      <x:c r="D200" s="402"/>
      <x:c r="E200" s="402"/>
      <x:c r="F200" s="402"/>
      <x:c r="G200" s="402"/>
      <x:c r="H200" s="402"/>
      <x:c r="I200" s="402"/>
      <x:c r="J200" s="402"/>
      <x:c r="K200" s="402"/>
      <x:c r="L200" s="402"/>
      <x:c r="M200" s="402"/>
      <x:c r="N200" s="402"/>
      <x:c r="O200" s="402"/>
      <x:c r="P200" s="402"/>
      <x:c r="Q200" s="402"/>
      <x:c r="R200" s="402"/>
      <x:c r="S200" s="402"/>
      <x:c r="T200" s="402"/>
      <x:c r="U200" s="402"/>
      <x:c r="V200" s="402"/>
      <x:c r="W200" s="402"/>
      <x:c r="X200" s="402"/>
      <x:c r="Y200" s="402"/>
      <x:c r="Z200" s="402"/>
    </x:row>
  </x:sheetData>
  <x:mergeCells>
    <x:mergeCell ref="A1:H2"/>
  </x:mergeCells>
  <x:dataValidations count="1">
    <x:dataValidation type="list" sqref="C5">
      <x:formula1>Lists!$A$2:$A$4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4" hidden="0" customWidth="1"/>
    <x:col min="3" max="3" width="17" hidden="0" customWidth="1"/>
    <x:col min="4" max="4" width="17" hidden="0" customWidth="1"/>
    <x:col min="5" max="5" width="13" hidden="0" customWidth="1"/>
    <x:col min="6" max="6" width="14" hidden="0" customWidth="1"/>
    <x:col min="7" max="7" width="16" hidden="0" customWidth="1"/>
    <x:col min="8" max="8" width="15" hidden="0" customWidth="1"/>
    <x:col min="9" max="9" width="17" hidden="0" customWidth="1"/>
    <x:col min="10" max="10" width="17" hidden="0" customWidth="1"/>
    <x:col min="11" max="11" width="15" hidden="0" customWidth="1"/>
    <x:col min="12" max="12" width="17" hidden="0" customWidth="1"/>
    <x:col min="13" max="13" width="12" hidden="0" customWidth="1"/>
    <x:col min="14" max="14" width="16" hidden="0" customWidth="1"/>
    <x:col min="15" max="15" width="16" hidden="0" customWidth="1"/>
    <x:col min="16" max="16" width="19" hidden="0" customWidth="1"/>
    <x:col min="17" max="17" width="15" hidden="0" customWidth="1"/>
    <x:col min="18" max="18" width="17" hidden="0" customWidth="1"/>
    <x:col min="19" max="19" width="18" hidden="0" customWidth="1"/>
    <x:col min="20" max="20" width="14" hidden="0" customWidth="1"/>
  </x:cols>
  <x:sheetData>
    <x:row r="1">
      <x:c r="A1" s="596" t="str">
        <x:v>GoalOS 36-Month Operating Scenario - Formula Driven</x:v>
      </x:c>
      <x:c r="B1" s="596"/>
      <x:c r="C1" s="596"/>
      <x:c r="D1" s="596"/>
      <x:c r="E1" s="596"/>
      <x:c r="F1" s="596"/>
      <x:c r="G1" s="596"/>
      <x:c r="H1" s="596"/>
      <x:c r="I1" s="596"/>
      <x:c r="J1" s="596"/>
      <x:c r="K1" s="596"/>
      <x:c r="L1" s="596"/>
      <x:c r="M1" s="596"/>
      <x:c r="N1" s="596"/>
      <x:c r="O1" s="596"/>
      <x:c r="P1" s="596"/>
      <x:c r="Q1" s="596"/>
      <x:c r="R1" s="596"/>
      <x:c r="S1" s="596"/>
      <x:c r="T1" s="596"/>
      <x:c r="U1" s="402"/>
      <x:c r="V1" s="402"/>
      <x:c r="W1" s="402"/>
      <x:c r="X1" s="402"/>
      <x:c r="Y1" s="402"/>
      <x:c r="Z1" s="402"/>
    </x:row>
    <x:row r="2">
      <x:c r="A2" s="596"/>
      <x:c r="B2" s="596"/>
      <x:c r="C2" s="596"/>
      <x:c r="D2" s="596"/>
      <x:c r="E2" s="596"/>
      <x:c r="F2" s="596"/>
      <x:c r="G2" s="596"/>
      <x:c r="H2" s="596"/>
      <x:c r="I2" s="596"/>
      <x:c r="J2" s="596"/>
      <x:c r="K2" s="596"/>
      <x:c r="L2" s="596"/>
      <x:c r="M2" s="596"/>
      <x:c r="N2" s="596"/>
      <x:c r="O2" s="596"/>
      <x:c r="P2" s="596"/>
      <x:c r="Q2" s="596"/>
      <x:c r="R2" s="596"/>
      <x:c r="S2" s="596"/>
      <x:c r="T2" s="596"/>
      <x:c r="U2" s="402"/>
      <x:c r="V2" s="402"/>
      <x:c r="W2" s="402"/>
      <x:c r="X2" s="402"/>
      <x:c r="Y2" s="402"/>
      <x:c r="Z2" s="402"/>
    </x:row>
    <x:row r="3">
      <x:c r="A3" s="402"/>
      <x:c r="B3" s="402"/>
      <x:c r="C3" s="402"/>
      <x:c r="D3" s="402"/>
      <x:c r="E3" s="402"/>
      <x:c r="F3" s="402"/>
      <x:c r="G3" s="402"/>
      <x:c r="H3" s="402"/>
      <x:c r="I3" s="402"/>
      <x:c r="J3" s="402"/>
      <x:c r="K3" s="402"/>
      <x:c r="L3" s="402"/>
      <x:c r="M3" s="402"/>
      <x:c r="N3" s="402"/>
      <x:c r="O3" s="402"/>
      <x:c r="P3" s="402"/>
      <x:c r="Q3" s="402"/>
      <x:c r="R3" s="402"/>
      <x:c r="S3" s="402"/>
      <x:c r="T3" s="402"/>
      <x:c r="U3" s="402"/>
      <x:c r="V3" s="402"/>
      <x:c r="W3" s="402"/>
      <x:c r="X3" s="402"/>
      <x:c r="Y3" s="402"/>
      <x:c r="Z3" s="402"/>
    </x:row>
    <x:row r="4">
      <x:c r="A4" s="305" t="str">
        <x:v>Month</x:v>
      </x:c>
      <x:c r="B4" s="305" t="str">
        <x:v>Proof Missions</x:v>
      </x:c>
      <x:c r="C4" s="305" t="str">
        <x:v>Avg Mission Price</x:v>
      </x:c>
      <x:c r="D4" s="305" t="str">
        <x:v>Mission Revenue</x:v>
      </x:c>
      <x:c r="E4" s="305" t="str">
        <x:v>Proof Offices</x:v>
      </x:c>
      <x:c r="F4" s="305" t="str">
        <x:v>Office MRR</x:v>
      </x:c>
      <x:c r="G4" s="305" t="str">
        <x:v>Platform Accounts</x:v>
      </x:c>
      <x:c r="H4" s="305" t="str">
        <x:v>Platform MRR</x:v>
      </x:c>
      <x:c r="I4" s="305" t="str">
        <x:v>Licensing / Usage</x:v>
      </x:c>
      <x:c r="J4" s="305" t="str">
        <x:v>Total Revenue</x:v>
      </x:c>
      <x:c r="K4" s="305" t="str">
        <x:v>COGS</x:v>
      </x:c>
      <x:c r="L4" s="305" t="str">
        <x:v>Gross Profit</x:v>
      </x:c>
      <x:c r="M4" s="305" t="str">
        <x:v>Headcount</x:v>
      </x:c>
      <x:c r="N4" s="305" t="str">
        <x:v>Payroll</x:v>
      </x:c>
      <x:c r="O4" s="305" t="str">
        <x:v>Other Opex</x:v>
      </x:c>
      <x:c r="P4" s="305" t="str">
        <x:v>Operating Cash Flow</x:v>
      </x:c>
      <x:c r="Q4" s="305" t="str">
        <x:v>Financing</x:v>
      </x:c>
      <x:c r="R4" s="305" t="str">
        <x:v>Ending Cash</x:v>
      </x:c>
      <x:c r="S4" s="305" t="str">
        <x:v>Annualized Revenue</x:v>
      </x:c>
      <x:c r="T4" s="305" t="str">
        <x:v>Claim Status</x:v>
      </x:c>
      <x:c r="U4" s="402"/>
      <x:c r="V4" s="402"/>
      <x:c r="W4" s="402"/>
      <x:c r="X4" s="402"/>
      <x:c r="Y4" s="402"/>
      <x:c r="Z4" s="402"/>
    </x:row>
    <x:row r="5">
      <x:c r="A5" s="402" t="n">
        <x:v>1</x:v>
      </x:c>
      <x:c r="B5" s="534" t="n">
        <x:f>ROUND('Assumptions'!$H$5*(1+'Assumptions'!$H$6)^(A5-1),1)</x:f>
        <x:v>2</x:v>
      </x:c>
      <x:c r="C5" s="535" t="n">
        <x:f>'Assumptions'!$H$7*(1+'Assumptions'!$H$8)^INT((A5-1)/12)</x:f>
        <x:v>25000</x:v>
      </x:c>
      <x:c r="D5" s="535" t="n">
        <x:f>B5*C5</x:f>
        <x:v>50000</x:v>
      </x:c>
      <x:c r="E5" s="535" t="n">
        <x:f>MAX(0,'Assumptions'!$H$9+INT((A5-1)/'Assumptions'!$H$11)-INT((A5-1)/12)*ROUND('Assumptions'!$H$9*'Assumptions'!$H$12,0))</x:f>
        <x:v>1</x:v>
      </x:c>
      <x:c r="F5" s="535" t="n">
        <x:f>'Assumptions'!$H$10</x:f>
        <x:v>15000</x:v>
      </x:c>
      <x:c r="G5" s="535" t="n">
        <x:f>IF(A5&lt;'Assumptions'!$H$13,0,1+INT((A5-'Assumptions'!$H$13)/'Assumptions'!$H$15))</x:f>
        <x:v>0</x:v>
      </x:c>
      <x:c r="H5" s="535" t="n">
        <x:f>'Assumptions'!$H$14/12</x:f>
        <x:v>25000</x:v>
      </x:c>
      <x:c r="I5" s="535" t="n">
        <x:f>IF(A5&lt;'Assumptions'!$H$17,0,10000*(1+'Assumptions'!$H$18)^(A5-'Assumptions'!$H$17))</x:f>
        <x:v>0</x:v>
      </x:c>
      <x:c r="J5" s="535" t="n">
        <x:f>D5+E5*F5+G5*H5+I5</x:f>
        <x:v>65000</x:v>
      </x:c>
      <x:c r="K5" s="535" t="n">
        <x:f>D5*'Assumptions'!$H$19+(E5*F5+G5*H5+I5)*'Assumptions'!$H$20</x:f>
        <x:v>24600</x:v>
      </x:c>
      <x:c r="L5" s="535" t="n">
        <x:f>J5-K5</x:f>
        <x:v>40400</x:v>
      </x:c>
      <x:c r="M5" s="402" t="n">
        <x:f>IF(A5&lt;=12,ROUND('Assumptions'!$H$21+('Assumptions'!$H$22-'Assumptions'!$H$21)*(A5-1)/11,0),IF(A5&lt;=24,ROUND('Assumptions'!$H$22+('Assumptions'!$H$23-'Assumptions'!$H$22)*(A5-12)/12,0),ROUND('Assumptions'!$H$23+('Assumptions'!$H$24-'Assumptions'!$H$23)*(A5-24)/12,0)))</x:f>
        <x:v>5</x:v>
      </x:c>
      <x:c r="N5" s="535" t="n">
        <x:f>M5*'Assumptions'!$H$25/12</x:f>
        <x:v>79166.66666666667</x:v>
      </x:c>
      <x:c r="O5" s="535" t="n">
        <x:f>'Assumptions'!$H$26*(1+'Assumptions'!$H$27)^(A5-1)</x:f>
        <x:v>50000</x:v>
      </x:c>
      <x:c r="P5" s="535" t="n">
        <x:f>L5-N5-O5</x:f>
        <x:v>-88766.66666666667</x:v>
      </x:c>
      <x:c r="Q5" s="535" t="n">
        <x:f>IF(A5=1,'Assumptions'!$H$28,0)+IF(A5=12,'Assumptions'!$H$29,0)+IF(A5=24,'Assumptions'!$H$30,0)</x:f>
        <x:v>2000000</x:v>
      </x:c>
      <x:c r="R5" s="535" t="n">
        <x:f>IF(A5=1,Q5+P5,R4+Q5+P5)</x:f>
        <x:v>1911233.3333333333</x:v>
      </x:c>
      <x:c r="S5" s="535" t="n">
        <x:f>J5*12</x:f>
        <x:v>780000</x:v>
      </x:c>
      <x:c r="T5" s="402" t="str">
        <x:v>Scenario</x:v>
      </x:c>
      <x:c r="U5" s="402"/>
      <x:c r="V5" s="402"/>
      <x:c r="W5" s="402"/>
      <x:c r="X5" s="402"/>
      <x:c r="Y5" s="402"/>
      <x:c r="Z5" s="402"/>
    </x:row>
    <x:row r="6">
      <x:c r="A6" s="402" t="n">
        <x:v>2</x:v>
      </x:c>
      <x:c r="B6" s="534" t="n">
        <x:f>ROUND('Assumptions'!$H$5*(1+'Assumptions'!$H$6)^(A6-1),1)</x:f>
        <x:v>2.2</x:v>
      </x:c>
      <x:c r="C6" s="535" t="n">
        <x:f>'Assumptions'!$H$7*(1+'Assumptions'!$H$8)^INT((A6-1)/12)</x:f>
        <x:v>25000</x:v>
      </x:c>
      <x:c r="D6" s="535" t="n">
        <x:f>B6*C6</x:f>
        <x:v>55000.00000000001</x:v>
      </x:c>
      <x:c r="E6" s="535" t="n">
        <x:f>MAX(0,'Assumptions'!$H$9+INT((A6-1)/'Assumptions'!$H$11)-INT((A6-1)/12)*ROUND('Assumptions'!$H$9*'Assumptions'!$H$12,0))</x:f>
        <x:v>1</x:v>
      </x:c>
      <x:c r="F6" s="535" t="n">
        <x:f>'Assumptions'!$H$10</x:f>
        <x:v>15000</x:v>
      </x:c>
      <x:c r="G6" s="535" t="n">
        <x:f>IF(A6&lt;'Assumptions'!$H$13,0,1+INT((A6-'Assumptions'!$H$13)/'Assumptions'!$H$15))</x:f>
        <x:v>0</x:v>
      </x:c>
      <x:c r="H6" s="535" t="n">
        <x:f>'Assumptions'!$H$14/12</x:f>
        <x:v>25000</x:v>
      </x:c>
      <x:c r="I6" s="535" t="n">
        <x:f>IF(A6&lt;'Assumptions'!$H$17,0,10000*(1+'Assumptions'!$H$18)^(A6-'Assumptions'!$H$17))</x:f>
        <x:v>0</x:v>
      </x:c>
      <x:c r="J6" s="535" t="n">
        <x:f>D6+E6*F6+G6*H6+I6</x:f>
        <x:v>70000</x:v>
      </x:c>
      <x:c r="K6" s="535" t="n">
        <x:f>D6*'Assumptions'!$H$19+(E6*F6+G6*H6+I6)*'Assumptions'!$H$20</x:f>
        <x:v>26700.000000000004</x:v>
      </x:c>
      <x:c r="L6" s="535" t="n">
        <x:f>J6-K6</x:f>
        <x:v>43300</x:v>
      </x:c>
      <x:c r="M6" s="402" t="n">
        <x:f>IF(A6&lt;=12,ROUND('Assumptions'!$H$21+('Assumptions'!$H$22-'Assumptions'!$H$21)*(A6-1)/11,0),IF(A6&lt;=24,ROUND('Assumptions'!$H$22+('Assumptions'!$H$23-'Assumptions'!$H$22)*(A6-12)/12,0),ROUND('Assumptions'!$H$23+('Assumptions'!$H$24-'Assumptions'!$H$23)*(A6-24)/12,0)))</x:f>
        <x:v>5</x:v>
      </x:c>
      <x:c r="N6" s="535" t="n">
        <x:f>M6*'Assumptions'!$H$25/12</x:f>
        <x:v>79166.66666666667</x:v>
      </x:c>
      <x:c r="O6" s="535" t="n">
        <x:f>'Assumptions'!$H$26*(1+'Assumptions'!$H$27)^(A6-1)</x:f>
        <x:v>51749.99999999999</x:v>
      </x:c>
      <x:c r="P6" s="535" t="n">
        <x:f>L6-N6-O6</x:f>
        <x:v>-87616.66666666666</x:v>
      </x:c>
      <x:c r="Q6" s="535" t="n">
        <x:f>IF(A6=1,'Assumptions'!$H$28,0)+IF(A6=12,'Assumptions'!$H$29,0)+IF(A6=24,'Assumptions'!$H$30,0)</x:f>
        <x:v>0</x:v>
      </x:c>
      <x:c r="R6" s="535" t="n">
        <x:f>IF(A6=1,Q6+P6,R5+Q6+P6)</x:f>
        <x:v>1823616.6666666665</x:v>
      </x:c>
      <x:c r="S6" s="535" t="n">
        <x:f>J6*12</x:f>
        <x:v>840000</x:v>
      </x:c>
      <x:c r="T6" s="402" t="str">
        <x:v>Scenario</x:v>
      </x:c>
      <x:c r="U6" s="402"/>
      <x:c r="V6" s="402"/>
      <x:c r="W6" s="402"/>
      <x:c r="X6" s="402"/>
      <x:c r="Y6" s="402"/>
      <x:c r="Z6" s="402"/>
    </x:row>
    <x:row r="7">
      <x:c r="A7" s="402" t="n">
        <x:v>3</x:v>
      </x:c>
      <x:c r="B7" s="534" t="n">
        <x:f>ROUND('Assumptions'!$H$5*(1+'Assumptions'!$H$6)^(A7-1),1)</x:f>
        <x:v>2.3</x:v>
      </x:c>
      <x:c r="C7" s="535" t="n">
        <x:f>'Assumptions'!$H$7*(1+'Assumptions'!$H$8)^INT((A7-1)/12)</x:f>
        <x:v>25000</x:v>
      </x:c>
      <x:c r="D7" s="535" t="n">
        <x:f>B7*C7</x:f>
        <x:v>57499.99999999999</x:v>
      </x:c>
      <x:c r="E7" s="535" t="n">
        <x:f>MAX(0,'Assumptions'!$H$9+INT((A7-1)/'Assumptions'!$H$11)-INT((A7-1)/12)*ROUND('Assumptions'!$H$9*'Assumptions'!$H$12,0))</x:f>
        <x:v>1</x:v>
      </x:c>
      <x:c r="F7" s="535" t="n">
        <x:f>'Assumptions'!$H$10</x:f>
        <x:v>15000</x:v>
      </x:c>
      <x:c r="G7" s="535" t="n">
        <x:f>IF(A7&lt;'Assumptions'!$H$13,0,1+INT((A7-'Assumptions'!$H$13)/'Assumptions'!$H$15))</x:f>
        <x:v>0</x:v>
      </x:c>
      <x:c r="H7" s="535" t="n">
        <x:f>'Assumptions'!$H$14/12</x:f>
        <x:v>25000</x:v>
      </x:c>
      <x:c r="I7" s="535" t="n">
        <x:f>IF(A7&lt;'Assumptions'!$H$17,0,10000*(1+'Assumptions'!$H$18)^(A7-'Assumptions'!$H$17))</x:f>
        <x:v>0</x:v>
      </x:c>
      <x:c r="J7" s="535" t="n">
        <x:f>D7+E7*F7+G7*H7+I7</x:f>
        <x:v>72500</x:v>
      </x:c>
      <x:c r="K7" s="535" t="n">
        <x:f>D7*'Assumptions'!$H$19+(E7*F7+G7*H7+I7)*'Assumptions'!$H$20</x:f>
        <x:v>27749.999999999996</x:v>
      </x:c>
      <x:c r="L7" s="535" t="n">
        <x:f>J7-K7</x:f>
        <x:v>44750</x:v>
      </x:c>
      <x:c r="M7" s="402" t="n">
        <x:f>IF(A7&lt;=12,ROUND('Assumptions'!$H$21+('Assumptions'!$H$22-'Assumptions'!$H$21)*(A7-1)/11,0),IF(A7&lt;=24,ROUND('Assumptions'!$H$22+('Assumptions'!$H$23-'Assumptions'!$H$22)*(A7-12)/12,0),ROUND('Assumptions'!$H$23+('Assumptions'!$H$24-'Assumptions'!$H$23)*(A7-24)/12,0)))</x:f>
        <x:v>6</x:v>
      </x:c>
      <x:c r="N7" s="535" t="n">
        <x:f>M7*'Assumptions'!$H$25/12</x:f>
        <x:v>95000</x:v>
      </x:c>
      <x:c r="O7" s="535" t="n">
        <x:f>'Assumptions'!$H$26*(1+'Assumptions'!$H$27)^(A7-1)</x:f>
        <x:v>53561.24999999999</x:v>
      </x:c>
      <x:c r="P7" s="535" t="n">
        <x:f>L7-N7-O7</x:f>
        <x:v>-103811.25</x:v>
      </x:c>
      <x:c r="Q7" s="535" t="n">
        <x:f>IF(A7=1,'Assumptions'!$H$28,0)+IF(A7=12,'Assumptions'!$H$29,0)+IF(A7=24,'Assumptions'!$H$30,0)</x:f>
        <x:v>0</x:v>
      </x:c>
      <x:c r="R7" s="535" t="n">
        <x:f>IF(A7=1,Q7+P7,R6+Q7+P7)</x:f>
        <x:v>1719805.4166666665</x:v>
      </x:c>
      <x:c r="S7" s="535" t="n">
        <x:f>J7*12</x:f>
        <x:v>870000</x:v>
      </x:c>
      <x:c r="T7" s="402" t="str">
        <x:v>Scenario</x:v>
      </x:c>
      <x:c r="U7" s="402"/>
      <x:c r="V7" s="402"/>
      <x:c r="W7" s="402"/>
      <x:c r="X7" s="402"/>
      <x:c r="Y7" s="402"/>
      <x:c r="Z7" s="402"/>
    </x:row>
    <x:row r="8">
      <x:c r="A8" s="402" t="n">
        <x:v>4</x:v>
      </x:c>
      <x:c r="B8" s="534" t="n">
        <x:f>ROUND('Assumptions'!$H$5*(1+'Assumptions'!$H$6)^(A8-1),1)</x:f>
        <x:v>2.5</x:v>
      </x:c>
      <x:c r="C8" s="535" t="n">
        <x:f>'Assumptions'!$H$7*(1+'Assumptions'!$H$8)^INT((A8-1)/12)</x:f>
        <x:v>25000</x:v>
      </x:c>
      <x:c r="D8" s="535" t="n">
        <x:f>B8*C8</x:f>
        <x:v>62500</x:v>
      </x:c>
      <x:c r="E8" s="535" t="n">
        <x:f>MAX(0,'Assumptions'!$H$9+INT((A8-1)/'Assumptions'!$H$11)-INT((A8-1)/12)*ROUND('Assumptions'!$H$9*'Assumptions'!$H$12,0))</x:f>
        <x:v>1</x:v>
      </x:c>
      <x:c r="F8" s="535" t="n">
        <x:f>'Assumptions'!$H$10</x:f>
        <x:v>15000</x:v>
      </x:c>
      <x:c r="G8" s="535" t="n">
        <x:f>IF(A8&lt;'Assumptions'!$H$13,0,1+INT((A8-'Assumptions'!$H$13)/'Assumptions'!$H$15))</x:f>
        <x:v>0</x:v>
      </x:c>
      <x:c r="H8" s="535" t="n">
        <x:f>'Assumptions'!$H$14/12</x:f>
        <x:v>25000</x:v>
      </x:c>
      <x:c r="I8" s="535" t="n">
        <x:f>IF(A8&lt;'Assumptions'!$H$17,0,10000*(1+'Assumptions'!$H$18)^(A8-'Assumptions'!$H$17))</x:f>
        <x:v>0</x:v>
      </x:c>
      <x:c r="J8" s="535" t="n">
        <x:f>D8+E8*F8+G8*H8+I8</x:f>
        <x:v>77500</x:v>
      </x:c>
      <x:c r="K8" s="535" t="n">
        <x:f>D8*'Assumptions'!$H$19+(E8*F8+G8*H8+I8)*'Assumptions'!$H$20</x:f>
        <x:v>29850</x:v>
      </x:c>
      <x:c r="L8" s="535" t="n">
        <x:f>J8-K8</x:f>
        <x:v>47650</x:v>
      </x:c>
      <x:c r="M8" s="402" t="n">
        <x:f>IF(A8&lt;=12,ROUND('Assumptions'!$H$21+('Assumptions'!$H$22-'Assumptions'!$H$21)*(A8-1)/11,0),IF(A8&lt;=24,ROUND('Assumptions'!$H$22+('Assumptions'!$H$23-'Assumptions'!$H$22)*(A8-12)/12,0),ROUND('Assumptions'!$H$23+('Assumptions'!$H$24-'Assumptions'!$H$23)*(A8-24)/12,0)))</x:f>
        <x:v>6</x:v>
      </x:c>
      <x:c r="N8" s="535" t="n">
        <x:f>M8*'Assumptions'!$H$25/12</x:f>
        <x:v>95000</x:v>
      </x:c>
      <x:c r="O8" s="535" t="n">
        <x:f>'Assumptions'!$H$26*(1+'Assumptions'!$H$27)^(A8-1)</x:f>
        <x:v>55435.89374999999</x:v>
      </x:c>
      <x:c r="P8" s="535" t="n">
        <x:f>L8-N8-O8</x:f>
        <x:v>-102785.89374999999</x:v>
      </x:c>
      <x:c r="Q8" s="535" t="n">
        <x:f>IF(A8=1,'Assumptions'!$H$28,0)+IF(A8=12,'Assumptions'!$H$29,0)+IF(A8=24,'Assumptions'!$H$30,0)</x:f>
        <x:v>0</x:v>
      </x:c>
      <x:c r="R8" s="535" t="n">
        <x:f>IF(A8=1,Q8+P8,R7+Q8+P8)</x:f>
        <x:v>1617019.5229166665</x:v>
      </x:c>
      <x:c r="S8" s="535" t="n">
        <x:f>J8*12</x:f>
        <x:v>930000</x:v>
      </x:c>
      <x:c r="T8" s="402" t="str">
        <x:v>Scenario</x:v>
      </x:c>
      <x:c r="U8" s="402"/>
      <x:c r="V8" s="402"/>
      <x:c r="W8" s="402"/>
      <x:c r="X8" s="402"/>
      <x:c r="Y8" s="402"/>
      <x:c r="Z8" s="402"/>
    </x:row>
    <x:row r="9">
      <x:c r="A9" s="402" t="n">
        <x:v>5</x:v>
      </x:c>
      <x:c r="B9" s="534" t="n">
        <x:f>ROUND('Assumptions'!$H$5*(1+'Assumptions'!$H$6)^(A9-1),1)</x:f>
        <x:v>2.7</x:v>
      </x:c>
      <x:c r="C9" s="535" t="n">
        <x:f>'Assumptions'!$H$7*(1+'Assumptions'!$H$8)^INT((A9-1)/12)</x:f>
        <x:v>25000</x:v>
      </x:c>
      <x:c r="D9" s="535" t="n">
        <x:f>B9*C9</x:f>
        <x:v>67500</x:v>
      </x:c>
      <x:c r="E9" s="535" t="n">
        <x:f>MAX(0,'Assumptions'!$H$9+INT((A9-1)/'Assumptions'!$H$11)-INT((A9-1)/12)*ROUND('Assumptions'!$H$9*'Assumptions'!$H$12,0))</x:f>
        <x:v>2</x:v>
      </x:c>
      <x:c r="F9" s="535" t="n">
        <x:f>'Assumptions'!$H$10</x:f>
        <x:v>15000</x:v>
      </x:c>
      <x:c r="G9" s="535" t="n">
        <x:f>IF(A9&lt;'Assumptions'!$H$13,0,1+INT((A9-'Assumptions'!$H$13)/'Assumptions'!$H$15))</x:f>
        <x:v>0</x:v>
      </x:c>
      <x:c r="H9" s="535" t="n">
        <x:f>'Assumptions'!$H$14/12</x:f>
        <x:v>25000</x:v>
      </x:c>
      <x:c r="I9" s="535" t="n">
        <x:f>IF(A9&lt;'Assumptions'!$H$17,0,10000*(1+'Assumptions'!$H$18)^(A9-'Assumptions'!$H$17))</x:f>
        <x:v>0</x:v>
      </x:c>
      <x:c r="J9" s="535" t="n">
        <x:f>D9+E9*F9+G9*H9+I9</x:f>
        <x:v>97500</x:v>
      </x:c>
      <x:c r="K9" s="535" t="n">
        <x:f>D9*'Assumptions'!$H$19+(E9*F9+G9*H9+I9)*'Assumptions'!$H$20</x:f>
        <x:v>35550</x:v>
      </x:c>
      <x:c r="L9" s="535" t="n">
        <x:f>J9-K9</x:f>
        <x:v>61950</x:v>
      </x:c>
      <x:c r="M9" s="402" t="n">
        <x:f>IF(A9&lt;=12,ROUND('Assumptions'!$H$21+('Assumptions'!$H$22-'Assumptions'!$H$21)*(A9-1)/11,0),IF(A9&lt;=24,ROUND('Assumptions'!$H$22+('Assumptions'!$H$23-'Assumptions'!$H$22)*(A9-12)/12,0),ROUND('Assumptions'!$H$23+('Assumptions'!$H$24-'Assumptions'!$H$23)*(A9-24)/12,0)))</x:f>
        <x:v>6</x:v>
      </x:c>
      <x:c r="N9" s="535" t="n">
        <x:f>M9*'Assumptions'!$H$25/12</x:f>
        <x:v>95000</x:v>
      </x:c>
      <x:c r="O9" s="535" t="n">
        <x:f>'Assumptions'!$H$26*(1+'Assumptions'!$H$27)^(A9-1)</x:f>
        <x:v>57376.150031249985</x:v>
      </x:c>
      <x:c r="P9" s="535" t="n">
        <x:f>L9-N9-O9</x:f>
        <x:v>-90426.15003124998</x:v>
      </x:c>
      <x:c r="Q9" s="535" t="n">
        <x:f>IF(A9=1,'Assumptions'!$H$28,0)+IF(A9=12,'Assumptions'!$H$29,0)+IF(A9=24,'Assumptions'!$H$30,0)</x:f>
        <x:v>0</x:v>
      </x:c>
      <x:c r="R9" s="535" t="n">
        <x:f>IF(A9=1,Q9+P9,R8+Q9+P9)</x:f>
        <x:v>1526593.3728854165</x:v>
      </x:c>
      <x:c r="S9" s="535" t="n">
        <x:f>J9*12</x:f>
        <x:v>1170000</x:v>
      </x:c>
      <x:c r="T9" s="402" t="str">
        <x:v>Scenario</x:v>
      </x:c>
      <x:c r="U9" s="402"/>
      <x:c r="V9" s="402"/>
      <x:c r="W9" s="402"/>
      <x:c r="X9" s="402"/>
      <x:c r="Y9" s="402"/>
      <x:c r="Z9" s="402"/>
    </x:row>
    <x:row r="10">
      <x:c r="A10" s="402" t="n">
        <x:v>6</x:v>
      </x:c>
      <x:c r="B10" s="534" t="n">
        <x:f>ROUND('Assumptions'!$H$5*(1+'Assumptions'!$H$6)^(A10-1),1)</x:f>
        <x:v>2.9</x:v>
      </x:c>
      <x:c r="C10" s="535" t="n">
        <x:f>'Assumptions'!$H$7*(1+'Assumptions'!$H$8)^INT((A10-1)/12)</x:f>
        <x:v>25000</x:v>
      </x:c>
      <x:c r="D10" s="535" t="n">
        <x:f>B10*C10</x:f>
        <x:v>72500</x:v>
      </x:c>
      <x:c r="E10" s="535" t="n">
        <x:f>MAX(0,'Assumptions'!$H$9+INT((A10-1)/'Assumptions'!$H$11)-INT((A10-1)/12)*ROUND('Assumptions'!$H$9*'Assumptions'!$H$12,0))</x:f>
        <x:v>2</x:v>
      </x:c>
      <x:c r="F10" s="535" t="n">
        <x:f>'Assumptions'!$H$10</x:f>
        <x:v>15000</x:v>
      </x:c>
      <x:c r="G10" s="535" t="n">
        <x:f>IF(A10&lt;'Assumptions'!$H$13,0,1+INT((A10-'Assumptions'!$H$13)/'Assumptions'!$H$15))</x:f>
        <x:v>0</x:v>
      </x:c>
      <x:c r="H10" s="535" t="n">
        <x:f>'Assumptions'!$H$14/12</x:f>
        <x:v>25000</x:v>
      </x:c>
      <x:c r="I10" s="535" t="n">
        <x:f>IF(A10&lt;'Assumptions'!$H$17,0,10000*(1+'Assumptions'!$H$18)^(A10-'Assumptions'!$H$17))</x:f>
        <x:v>0</x:v>
      </x:c>
      <x:c r="J10" s="535" t="n">
        <x:f>D10+E10*F10+G10*H10+I10</x:f>
        <x:v>102500</x:v>
      </x:c>
      <x:c r="K10" s="535" t="n">
        <x:f>D10*'Assumptions'!$H$19+(E10*F10+G10*H10+I10)*'Assumptions'!$H$20</x:f>
        <x:v>37650</x:v>
      </x:c>
      <x:c r="L10" s="535" t="n">
        <x:f>J10-K10</x:f>
        <x:v>64850</x:v>
      </x:c>
      <x:c r="M10" s="402" t="n">
        <x:f>IF(A10&lt;=12,ROUND('Assumptions'!$H$21+('Assumptions'!$H$22-'Assumptions'!$H$21)*(A10-1)/11,0),IF(A10&lt;=24,ROUND('Assumptions'!$H$22+('Assumptions'!$H$23-'Assumptions'!$H$22)*(A10-12)/12,0),ROUND('Assumptions'!$H$23+('Assumptions'!$H$24-'Assumptions'!$H$23)*(A10-24)/12,0)))</x:f>
        <x:v>6</x:v>
      </x:c>
      <x:c r="N10" s="535" t="n">
        <x:f>M10*'Assumptions'!$H$25/12</x:f>
        <x:v>95000</x:v>
      </x:c>
      <x:c r="O10" s="535" t="n">
        <x:f>'Assumptions'!$H$26*(1+'Assumptions'!$H$27)^(A10-1)</x:f>
        <x:v>59384.31528234373</x:v>
      </x:c>
      <x:c r="P10" s="535" t="n">
        <x:f>L10-N10-O10</x:f>
        <x:v>-89534.31528234373</x:v>
      </x:c>
      <x:c r="Q10" s="535" t="n">
        <x:f>IF(A10=1,'Assumptions'!$H$28,0)+IF(A10=12,'Assumptions'!$H$29,0)+IF(A10=24,'Assumptions'!$H$30,0)</x:f>
        <x:v>0</x:v>
      </x:c>
      <x:c r="R10" s="535" t="n">
        <x:f>IF(A10=1,Q10+P10,R9+Q10+P10)</x:f>
        <x:v>1437059.0576030728</x:v>
      </x:c>
      <x:c r="S10" s="535" t="n">
        <x:f>J10*12</x:f>
        <x:v>1230000</x:v>
      </x:c>
      <x:c r="T10" s="402" t="str">
        <x:v>Scenario</x:v>
      </x:c>
      <x:c r="U10" s="402"/>
      <x:c r="V10" s="402"/>
      <x:c r="W10" s="402"/>
      <x:c r="X10" s="402"/>
      <x:c r="Y10" s="402"/>
      <x:c r="Z10" s="402"/>
    </x:row>
    <x:row r="11">
      <x:c r="A11" s="402" t="n">
        <x:v>7</x:v>
      </x:c>
      <x:c r="B11" s="534" t="n">
        <x:f>ROUND('Assumptions'!$H$5*(1+'Assumptions'!$H$6)^(A11-1),1)</x:f>
        <x:v>3.2</x:v>
      </x:c>
      <x:c r="C11" s="535" t="n">
        <x:f>'Assumptions'!$H$7*(1+'Assumptions'!$H$8)^INT((A11-1)/12)</x:f>
        <x:v>25000</x:v>
      </x:c>
      <x:c r="D11" s="535" t="n">
        <x:f>B11*C11</x:f>
        <x:v>80000</x:v>
      </x:c>
      <x:c r="E11" s="535" t="n">
        <x:f>MAX(0,'Assumptions'!$H$9+INT((A11-1)/'Assumptions'!$H$11)-INT((A11-1)/12)*ROUND('Assumptions'!$H$9*'Assumptions'!$H$12,0))</x:f>
        <x:v>2</x:v>
      </x:c>
      <x:c r="F11" s="535" t="n">
        <x:f>'Assumptions'!$H$10</x:f>
        <x:v>15000</x:v>
      </x:c>
      <x:c r="G11" s="535" t="n">
        <x:f>IF(A11&lt;'Assumptions'!$H$13,0,1+INT((A11-'Assumptions'!$H$13)/'Assumptions'!$H$15))</x:f>
        <x:v>0</x:v>
      </x:c>
      <x:c r="H11" s="535" t="n">
        <x:f>'Assumptions'!$H$14/12</x:f>
        <x:v>25000</x:v>
      </x:c>
      <x:c r="I11" s="535" t="n">
        <x:f>IF(A11&lt;'Assumptions'!$H$17,0,10000*(1+'Assumptions'!$H$18)^(A11-'Assumptions'!$H$17))</x:f>
        <x:v>0</x:v>
      </x:c>
      <x:c r="J11" s="535" t="n">
        <x:f>D11+E11*F11+G11*H11+I11</x:f>
        <x:v>110000</x:v>
      </x:c>
      <x:c r="K11" s="535" t="n">
        <x:f>D11*'Assumptions'!$H$19+(E11*F11+G11*H11+I11)*'Assumptions'!$H$20</x:f>
        <x:v>40800</x:v>
      </x:c>
      <x:c r="L11" s="535" t="n">
        <x:f>J11-K11</x:f>
        <x:v>69200</x:v>
      </x:c>
      <x:c r="M11" s="402" t="n">
        <x:f>IF(A11&lt;=12,ROUND('Assumptions'!$H$21+('Assumptions'!$H$22-'Assumptions'!$H$21)*(A11-1)/11,0),IF(A11&lt;=24,ROUND('Assumptions'!$H$22+('Assumptions'!$H$23-'Assumptions'!$H$22)*(A11-12)/12,0),ROUND('Assumptions'!$H$23+('Assumptions'!$H$24-'Assumptions'!$H$23)*(A11-24)/12,0)))</x:f>
        <x:v>7</x:v>
      </x:c>
      <x:c r="N11" s="535" t="n">
        <x:f>M11*'Assumptions'!$H$25/12</x:f>
        <x:v>110833.33333333333</x:v>
      </x:c>
      <x:c r="O11" s="535" t="n">
        <x:f>'Assumptions'!$H$26*(1+'Assumptions'!$H$27)^(A11-1)</x:f>
        <x:v>61462.76631722576</x:v>
      </x:c>
      <x:c r="P11" s="535" t="n">
        <x:f>L11-N11-O11</x:f>
        <x:v>-103096.09965055909</x:v>
      </x:c>
      <x:c r="Q11" s="535" t="n">
        <x:f>IF(A11=1,'Assumptions'!$H$28,0)+IF(A11=12,'Assumptions'!$H$29,0)+IF(A11=24,'Assumptions'!$H$30,0)</x:f>
        <x:v>0</x:v>
      </x:c>
      <x:c r="R11" s="535" t="n">
        <x:f>IF(A11=1,Q11+P11,R10+Q11+P11)</x:f>
        <x:v>1333962.9579525138</x:v>
      </x:c>
      <x:c r="S11" s="535" t="n">
        <x:f>J11*12</x:f>
        <x:v>1320000</x:v>
      </x:c>
      <x:c r="T11" s="402" t="str">
        <x:v>Scenario</x:v>
      </x:c>
      <x:c r="U11" s="402"/>
      <x:c r="V11" s="402"/>
      <x:c r="W11" s="402"/>
      <x:c r="X11" s="402"/>
      <x:c r="Y11" s="402"/>
      <x:c r="Z11" s="402"/>
    </x:row>
    <x:row r="12">
      <x:c r="A12" s="402" t="n">
        <x:v>8</x:v>
      </x:c>
      <x:c r="B12" s="534" t="n">
        <x:f>ROUND('Assumptions'!$H$5*(1+'Assumptions'!$H$6)^(A12-1),1)</x:f>
        <x:v>3.4</x:v>
      </x:c>
      <x:c r="C12" s="535" t="n">
        <x:f>'Assumptions'!$H$7*(1+'Assumptions'!$H$8)^INT((A12-1)/12)</x:f>
        <x:v>25000</x:v>
      </x:c>
      <x:c r="D12" s="535" t="n">
        <x:f>B12*C12</x:f>
        <x:v>85000</x:v>
      </x:c>
      <x:c r="E12" s="535" t="n">
        <x:f>MAX(0,'Assumptions'!$H$9+INT((A12-1)/'Assumptions'!$H$11)-INT((A12-1)/12)*ROUND('Assumptions'!$H$9*'Assumptions'!$H$12,0))</x:f>
        <x:v>2</x:v>
      </x:c>
      <x:c r="F12" s="535" t="n">
        <x:f>'Assumptions'!$H$10</x:f>
        <x:v>15000</x:v>
      </x:c>
      <x:c r="G12" s="535" t="n">
        <x:f>IF(A12&lt;'Assumptions'!$H$13,0,1+INT((A12-'Assumptions'!$H$13)/'Assumptions'!$H$15))</x:f>
        <x:v>0</x:v>
      </x:c>
      <x:c r="H12" s="535" t="n">
        <x:f>'Assumptions'!$H$14/12</x:f>
        <x:v>25000</x:v>
      </x:c>
      <x:c r="I12" s="535" t="n">
        <x:f>IF(A12&lt;'Assumptions'!$H$17,0,10000*(1+'Assumptions'!$H$18)^(A12-'Assumptions'!$H$17))</x:f>
        <x:v>0</x:v>
      </x:c>
      <x:c r="J12" s="535" t="n">
        <x:f>D12+E12*F12+G12*H12+I12</x:f>
        <x:v>115000</x:v>
      </x:c>
      <x:c r="K12" s="535" t="n">
        <x:f>D12*'Assumptions'!$H$19+(E12*F12+G12*H12+I12)*'Assumptions'!$H$20</x:f>
        <x:v>42900</x:v>
      </x:c>
      <x:c r="L12" s="535" t="n">
        <x:f>J12-K12</x:f>
        <x:v>72100</x:v>
      </x:c>
      <x:c r="M12" s="402" t="n">
        <x:f>IF(A12&lt;=12,ROUND('Assumptions'!$H$21+('Assumptions'!$H$22-'Assumptions'!$H$21)*(A12-1)/11,0),IF(A12&lt;=24,ROUND('Assumptions'!$H$22+('Assumptions'!$H$23-'Assumptions'!$H$22)*(A12-12)/12,0),ROUND('Assumptions'!$H$23+('Assumptions'!$H$24-'Assumptions'!$H$23)*(A12-24)/12,0)))</x:f>
        <x:v>7</x:v>
      </x:c>
      <x:c r="N12" s="535" t="n">
        <x:f>M12*'Assumptions'!$H$25/12</x:f>
        <x:v>110833.33333333333</x:v>
      </x:c>
      <x:c r="O12" s="535" t="n">
        <x:f>'Assumptions'!$H$26*(1+'Assumptions'!$H$27)^(A12-1)</x:f>
        <x:v>63613.963138328654</x:v>
      </x:c>
      <x:c r="P12" s="535" t="n">
        <x:f>L12-N12-O12</x:f>
        <x:v>-102347.29647166198</x:v>
      </x:c>
      <x:c r="Q12" s="535" t="n">
        <x:f>IF(A12=1,'Assumptions'!$H$28,0)+IF(A12=12,'Assumptions'!$H$29,0)+IF(A12=24,'Assumptions'!$H$30,0)</x:f>
        <x:v>0</x:v>
      </x:c>
      <x:c r="R12" s="535" t="n">
        <x:f>IF(A12=1,Q12+P12,R11+Q12+P12)</x:f>
        <x:v>1231615.661480852</x:v>
      </x:c>
      <x:c r="S12" s="535" t="n">
        <x:f>J12*12</x:f>
        <x:v>1380000</x:v>
      </x:c>
      <x:c r="T12" s="402" t="str">
        <x:v>Scenario</x:v>
      </x:c>
      <x:c r="U12" s="402"/>
      <x:c r="V12" s="402"/>
      <x:c r="W12" s="402"/>
      <x:c r="X12" s="402"/>
      <x:c r="Y12" s="402"/>
      <x:c r="Z12" s="402"/>
    </x:row>
    <x:row r="13">
      <x:c r="A13" s="402" t="n">
        <x:v>9</x:v>
      </x:c>
      <x:c r="B13" s="534" t="n">
        <x:f>ROUND('Assumptions'!$H$5*(1+'Assumptions'!$H$6)^(A13-1),1)</x:f>
        <x:v>3.7</x:v>
      </x:c>
      <x:c r="C13" s="535" t="n">
        <x:f>'Assumptions'!$H$7*(1+'Assumptions'!$H$8)^INT((A13-1)/12)</x:f>
        <x:v>25000</x:v>
      </x:c>
      <x:c r="D13" s="535" t="n">
        <x:f>B13*C13</x:f>
        <x:v>92500</x:v>
      </x:c>
      <x:c r="E13" s="535" t="n">
        <x:f>MAX(0,'Assumptions'!$H$9+INT((A13-1)/'Assumptions'!$H$11)-INT((A13-1)/12)*ROUND('Assumptions'!$H$9*'Assumptions'!$H$12,0))</x:f>
        <x:v>3</x:v>
      </x:c>
      <x:c r="F13" s="535" t="n">
        <x:f>'Assumptions'!$H$10</x:f>
        <x:v>15000</x:v>
      </x:c>
      <x:c r="G13" s="535" t="n">
        <x:f>IF(A13&lt;'Assumptions'!$H$13,0,1+INT((A13-'Assumptions'!$H$13)/'Assumptions'!$H$15))</x:f>
        <x:v>0</x:v>
      </x:c>
      <x:c r="H13" s="535" t="n">
        <x:f>'Assumptions'!$H$14/12</x:f>
        <x:v>25000</x:v>
      </x:c>
      <x:c r="I13" s="535" t="n">
        <x:f>IF(A13&lt;'Assumptions'!$H$17,0,10000*(1+'Assumptions'!$H$18)^(A13-'Assumptions'!$H$17))</x:f>
        <x:v>0</x:v>
      </x:c>
      <x:c r="J13" s="535" t="n">
        <x:f>D13+E13*F13+G13*H13+I13</x:f>
        <x:v>137500</x:v>
      </x:c>
      <x:c r="K13" s="535" t="n">
        <x:f>D13*'Assumptions'!$H$19+(E13*F13+G13*H13+I13)*'Assumptions'!$H$20</x:f>
        <x:v>49650</x:v>
      </x:c>
      <x:c r="L13" s="535" t="n">
        <x:f>J13-K13</x:f>
        <x:v>87850</x:v>
      </x:c>
      <x:c r="M13" s="402" t="n">
        <x:f>IF(A13&lt;=12,ROUND('Assumptions'!$H$21+('Assumptions'!$H$22-'Assumptions'!$H$21)*(A13-1)/11,0),IF(A13&lt;=24,ROUND('Assumptions'!$H$22+('Assumptions'!$H$23-'Assumptions'!$H$22)*(A13-12)/12,0),ROUND('Assumptions'!$H$23+('Assumptions'!$H$24-'Assumptions'!$H$23)*(A13-24)/12,0)))</x:f>
        <x:v>7</x:v>
      </x:c>
      <x:c r="N13" s="535" t="n">
        <x:f>M13*'Assumptions'!$H$25/12</x:f>
        <x:v>110833.33333333333</x:v>
      </x:c>
      <x:c r="O13" s="535" t="n">
        <x:f>'Assumptions'!$H$26*(1+'Assumptions'!$H$27)^(A13-1)</x:f>
        <x:v>65840.45184817014</x:v>
      </x:c>
      <x:c r="P13" s="535" t="n">
        <x:f>L13-N13-O13</x:f>
        <x:v>-88823.78518150347</x:v>
      </x:c>
      <x:c r="Q13" s="535" t="n">
        <x:f>IF(A13=1,'Assumptions'!$H$28,0)+IF(A13=12,'Assumptions'!$H$29,0)+IF(A13=24,'Assumptions'!$H$30,0)</x:f>
        <x:v>0</x:v>
      </x:c>
      <x:c r="R13" s="535" t="n">
        <x:f>IF(A13=1,Q13+P13,R12+Q13+P13)</x:f>
        <x:v>1142791.8762993484</x:v>
      </x:c>
      <x:c r="S13" s="535" t="n">
        <x:f>J13*12</x:f>
        <x:v>1650000</x:v>
      </x:c>
      <x:c r="T13" s="402" t="str">
        <x:v>Scenario</x:v>
      </x:c>
      <x:c r="U13" s="402"/>
      <x:c r="V13" s="402"/>
      <x:c r="W13" s="402"/>
      <x:c r="X13" s="402"/>
      <x:c r="Y13" s="402"/>
      <x:c r="Z13" s="402"/>
    </x:row>
    <x:row r="14">
      <x:c r="A14" s="402" t="n">
        <x:v>10</x:v>
      </x:c>
      <x:c r="B14" s="534" t="n">
        <x:f>ROUND('Assumptions'!$H$5*(1+'Assumptions'!$H$6)^(A14-1),1)</x:f>
        <x:v>4</x:v>
      </x:c>
      <x:c r="C14" s="535" t="n">
        <x:f>'Assumptions'!$H$7*(1+'Assumptions'!$H$8)^INT((A14-1)/12)</x:f>
        <x:v>25000</x:v>
      </x:c>
      <x:c r="D14" s="535" t="n">
        <x:f>B14*C14</x:f>
        <x:v>100000</x:v>
      </x:c>
      <x:c r="E14" s="535" t="n">
        <x:f>MAX(0,'Assumptions'!$H$9+INT((A14-1)/'Assumptions'!$H$11)-INT((A14-1)/12)*ROUND('Assumptions'!$H$9*'Assumptions'!$H$12,0))</x:f>
        <x:v>3</x:v>
      </x:c>
      <x:c r="F14" s="535" t="n">
        <x:f>'Assumptions'!$H$10</x:f>
        <x:v>15000</x:v>
      </x:c>
      <x:c r="G14" s="535" t="n">
        <x:f>IF(A14&lt;'Assumptions'!$H$13,0,1+INT((A14-'Assumptions'!$H$13)/'Assumptions'!$H$15))</x:f>
        <x:v>0</x:v>
      </x:c>
      <x:c r="H14" s="535" t="n">
        <x:f>'Assumptions'!$H$14/12</x:f>
        <x:v>25000</x:v>
      </x:c>
      <x:c r="I14" s="535" t="n">
        <x:f>IF(A14&lt;'Assumptions'!$H$17,0,10000*(1+'Assumptions'!$H$18)^(A14-'Assumptions'!$H$17))</x:f>
        <x:v>0</x:v>
      </x:c>
      <x:c r="J14" s="535" t="n">
        <x:f>D14+E14*F14+G14*H14+I14</x:f>
        <x:v>145000</x:v>
      </x:c>
      <x:c r="K14" s="535" t="n">
        <x:f>D14*'Assumptions'!$H$19+(E14*F14+G14*H14+I14)*'Assumptions'!$H$20</x:f>
        <x:v>52800</x:v>
      </x:c>
      <x:c r="L14" s="535" t="n">
        <x:f>J14-K14</x:f>
        <x:v>92200</x:v>
      </x:c>
      <x:c r="M14" s="402" t="n">
        <x:f>IF(A14&lt;=12,ROUND('Assumptions'!$H$21+('Assumptions'!$H$22-'Assumptions'!$H$21)*(A14-1)/11,0),IF(A14&lt;=24,ROUND('Assumptions'!$H$22+('Assumptions'!$H$23-'Assumptions'!$H$22)*(A14-12)/12,0),ROUND('Assumptions'!$H$23+('Assumptions'!$H$24-'Assumptions'!$H$23)*(A14-24)/12,0)))</x:f>
        <x:v>7</x:v>
      </x:c>
      <x:c r="N14" s="535" t="n">
        <x:f>M14*'Assumptions'!$H$25/12</x:f>
        <x:v>110833.33333333333</x:v>
      </x:c>
      <x:c r="O14" s="535" t="n">
        <x:f>'Assumptions'!$H$26*(1+'Assumptions'!$H$27)^(A14-1)</x:f>
        <x:v>68144.8676628561</x:v>
      </x:c>
      <x:c r="P14" s="535" t="n">
        <x:f>L14-N14-O14</x:f>
        <x:v>-86778.20099618942</x:v>
      </x:c>
      <x:c r="Q14" s="535" t="n">
        <x:f>IF(A14=1,'Assumptions'!$H$28,0)+IF(A14=12,'Assumptions'!$H$29,0)+IF(A14=24,'Assumptions'!$H$30,0)</x:f>
        <x:v>0</x:v>
      </x:c>
      <x:c r="R14" s="535" t="n">
        <x:f>IF(A14=1,Q14+P14,R13+Q14+P14)</x:f>
        <x:v>1056013.675303159</x:v>
      </x:c>
      <x:c r="S14" s="535" t="n">
        <x:f>J14*12</x:f>
        <x:v>1740000</x:v>
      </x:c>
      <x:c r="T14" s="402" t="str">
        <x:v>Scenario</x:v>
      </x:c>
      <x:c r="U14" s="402"/>
      <x:c r="V14" s="402"/>
      <x:c r="W14" s="402"/>
      <x:c r="X14" s="402"/>
      <x:c r="Y14" s="402"/>
      <x:c r="Z14" s="402"/>
    </x:row>
    <x:row r="15">
      <x:c r="A15" s="402" t="n">
        <x:v>11</x:v>
      </x:c>
      <x:c r="B15" s="534" t="n">
        <x:f>ROUND('Assumptions'!$H$5*(1+'Assumptions'!$H$6)^(A15-1),1)</x:f>
        <x:v>4.3</x:v>
      </x:c>
      <x:c r="C15" s="535" t="n">
        <x:f>'Assumptions'!$H$7*(1+'Assumptions'!$H$8)^INT((A15-1)/12)</x:f>
        <x:v>25000</x:v>
      </x:c>
      <x:c r="D15" s="535" t="n">
        <x:f>B15*C15</x:f>
        <x:v>107500</x:v>
      </x:c>
      <x:c r="E15" s="535" t="n">
        <x:f>MAX(0,'Assumptions'!$H$9+INT((A15-1)/'Assumptions'!$H$11)-INT((A15-1)/12)*ROUND('Assumptions'!$H$9*'Assumptions'!$H$12,0))</x:f>
        <x:v>3</x:v>
      </x:c>
      <x:c r="F15" s="535" t="n">
        <x:f>'Assumptions'!$H$10</x:f>
        <x:v>15000</x:v>
      </x:c>
      <x:c r="G15" s="535" t="n">
        <x:f>IF(A15&lt;'Assumptions'!$H$13,0,1+INT((A15-'Assumptions'!$H$13)/'Assumptions'!$H$15))</x:f>
        <x:v>0</x:v>
      </x:c>
      <x:c r="H15" s="535" t="n">
        <x:f>'Assumptions'!$H$14/12</x:f>
        <x:v>25000</x:v>
      </x:c>
      <x:c r="I15" s="535" t="n">
        <x:f>IF(A15&lt;'Assumptions'!$H$17,0,10000*(1+'Assumptions'!$H$18)^(A15-'Assumptions'!$H$17))</x:f>
        <x:v>0</x:v>
      </x:c>
      <x:c r="J15" s="535" t="n">
        <x:f>D15+E15*F15+G15*H15+I15</x:f>
        <x:v>152500</x:v>
      </x:c>
      <x:c r="K15" s="535" t="n">
        <x:f>D15*'Assumptions'!$H$19+(E15*F15+G15*H15+I15)*'Assumptions'!$H$20</x:f>
        <x:v>55950</x:v>
      </x:c>
      <x:c r="L15" s="535" t="n">
        <x:f>J15-K15</x:f>
        <x:v>96550</x:v>
      </x:c>
      <x:c r="M15" s="402" t="n">
        <x:f>IF(A15&lt;=12,ROUND('Assumptions'!$H$21+('Assumptions'!$H$22-'Assumptions'!$H$21)*(A15-1)/11,0),IF(A15&lt;=24,ROUND('Assumptions'!$H$22+('Assumptions'!$H$23-'Assumptions'!$H$22)*(A15-12)/12,0),ROUND('Assumptions'!$H$23+('Assumptions'!$H$24-'Assumptions'!$H$23)*(A15-24)/12,0)))</x:f>
        <x:v>8</x:v>
      </x:c>
      <x:c r="N15" s="535" t="n">
        <x:f>M15*'Assumptions'!$H$25/12</x:f>
        <x:v>126666.66666666667</x:v>
      </x:c>
      <x:c r="O15" s="535" t="n">
        <x:f>'Assumptions'!$H$26*(1+'Assumptions'!$H$27)^(A15-1)</x:f>
        <x:v>70529.93803105605</x:v>
      </x:c>
      <x:c r="P15" s="535" t="n">
        <x:f>L15-N15-O15</x:f>
        <x:v>-100646.60469772272</x:v>
      </x:c>
      <x:c r="Q15" s="535" t="n">
        <x:f>IF(A15=1,'Assumptions'!$H$28,0)+IF(A15=12,'Assumptions'!$H$29,0)+IF(A15=24,'Assumptions'!$H$30,0)</x:f>
        <x:v>0</x:v>
      </x:c>
      <x:c r="R15" s="535" t="n">
        <x:f>IF(A15=1,Q15+P15,R14+Q15+P15)</x:f>
        <x:v>955367.0706054363</x:v>
      </x:c>
      <x:c r="S15" s="535" t="n">
        <x:f>J15*12</x:f>
        <x:v>1830000</x:v>
      </x:c>
      <x:c r="T15" s="402" t="str">
        <x:v>Scenario</x:v>
      </x:c>
      <x:c r="U15" s="402"/>
      <x:c r="V15" s="402"/>
      <x:c r="W15" s="402"/>
      <x:c r="X15" s="402"/>
      <x:c r="Y15" s="402"/>
      <x:c r="Z15" s="402"/>
    </x:row>
    <x:row r="16">
      <x:c r="A16" s="402" t="n">
        <x:v>12</x:v>
      </x:c>
      <x:c r="B16" s="534" t="n">
        <x:f>ROUND('Assumptions'!$H$5*(1+'Assumptions'!$H$6)^(A16-1),1)</x:f>
        <x:v>4.7</x:v>
      </x:c>
      <x:c r="C16" s="535" t="n">
        <x:f>'Assumptions'!$H$7*(1+'Assumptions'!$H$8)^INT((A16-1)/12)</x:f>
        <x:v>25000</x:v>
      </x:c>
      <x:c r="D16" s="535" t="n">
        <x:f>B16*C16</x:f>
        <x:v>117500</x:v>
      </x:c>
      <x:c r="E16" s="535" t="n">
        <x:f>MAX(0,'Assumptions'!$H$9+INT((A16-1)/'Assumptions'!$H$11)-INT((A16-1)/12)*ROUND('Assumptions'!$H$9*'Assumptions'!$H$12,0))</x:f>
        <x:v>3</x:v>
      </x:c>
      <x:c r="F16" s="535" t="n">
        <x:f>'Assumptions'!$H$10</x:f>
        <x:v>15000</x:v>
      </x:c>
      <x:c r="G16" s="535" t="n">
        <x:f>IF(A16&lt;'Assumptions'!$H$13,0,1+INT((A16-'Assumptions'!$H$13)/'Assumptions'!$H$15))</x:f>
        <x:v>0</x:v>
      </x:c>
      <x:c r="H16" s="535" t="n">
        <x:f>'Assumptions'!$H$14/12</x:f>
        <x:v>25000</x:v>
      </x:c>
      <x:c r="I16" s="535" t="n">
        <x:f>IF(A16&lt;'Assumptions'!$H$17,0,10000*(1+'Assumptions'!$H$18)^(A16-'Assumptions'!$H$17))</x:f>
        <x:v>0</x:v>
      </x:c>
      <x:c r="J16" s="535" t="n">
        <x:f>D16+E16*F16+G16*H16+I16</x:f>
        <x:v>162500</x:v>
      </x:c>
      <x:c r="K16" s="535" t="n">
        <x:f>D16*'Assumptions'!$H$19+(E16*F16+G16*H16+I16)*'Assumptions'!$H$20</x:f>
        <x:v>60150</x:v>
      </x:c>
      <x:c r="L16" s="535" t="n">
        <x:f>J16-K16</x:f>
        <x:v>102350</x:v>
      </x:c>
      <x:c r="M16" s="402" t="n">
        <x:f>IF(A16&lt;=12,ROUND('Assumptions'!$H$21+('Assumptions'!$H$22-'Assumptions'!$H$21)*(A16-1)/11,0),IF(A16&lt;=24,ROUND('Assumptions'!$H$22+('Assumptions'!$H$23-'Assumptions'!$H$22)*(A16-12)/12,0),ROUND('Assumptions'!$H$23+('Assumptions'!$H$24-'Assumptions'!$H$23)*(A16-24)/12,0)))</x:f>
        <x:v>8</x:v>
      </x:c>
      <x:c r="N16" s="535" t="n">
        <x:f>M16*'Assumptions'!$H$25/12</x:f>
        <x:v>126666.66666666667</x:v>
      </x:c>
      <x:c r="O16" s="535" t="n">
        <x:f>'Assumptions'!$H$26*(1+'Assumptions'!$H$27)^(A16-1)</x:f>
        <x:v>72998.48586214302</x:v>
      </x:c>
      <x:c r="P16" s="535" t="n">
        <x:f>L16-N16-O16</x:f>
        <x:v>-97315.15252880969</x:v>
      </x:c>
      <x:c r="Q16" s="535" t="n">
        <x:f>IF(A16=1,'Assumptions'!$H$28,0)+IF(A16=12,'Assumptions'!$H$29,0)+IF(A16=24,'Assumptions'!$H$30,0)</x:f>
        <x:v>8000000</x:v>
      </x:c>
      <x:c r="R16" s="535" t="n">
        <x:f>IF(A16=1,Q16+P16,R15+Q16+P16)</x:f>
        <x:v>8858051.918076627</x:v>
      </x:c>
      <x:c r="S16" s="535" t="n">
        <x:f>J16*12</x:f>
        <x:v>1950000</x:v>
      </x:c>
      <x:c r="T16" s="402" t="str">
        <x:v>Scenario</x:v>
      </x:c>
      <x:c r="U16" s="402"/>
      <x:c r="V16" s="402"/>
      <x:c r="W16" s="402"/>
      <x:c r="X16" s="402"/>
      <x:c r="Y16" s="402"/>
      <x:c r="Z16" s="402"/>
    </x:row>
    <x:row r="17">
      <x:c r="A17" s="402" t="n">
        <x:v>13</x:v>
      </x:c>
      <x:c r="B17" s="534" t="n">
        <x:f>ROUND('Assumptions'!$H$5*(1+'Assumptions'!$H$6)^(A17-1),1)</x:f>
        <x:v>5</x:v>
      </x:c>
      <x:c r="C17" s="535" t="n">
        <x:f>'Assumptions'!$H$7*(1+'Assumptions'!$H$8)^INT((A17-1)/12)</x:f>
        <x:v>26250</x:v>
      </x:c>
      <x:c r="D17" s="535" t="n">
        <x:f>B17*C17</x:f>
        <x:v>131250</x:v>
      </x:c>
      <x:c r="E17" s="535" t="n">
        <x:f>MAX(0,'Assumptions'!$H$9+INT((A17-1)/'Assumptions'!$H$11)-INT((A17-1)/12)*ROUND('Assumptions'!$H$9*'Assumptions'!$H$12,0))</x:f>
        <x:v>4</x:v>
      </x:c>
      <x:c r="F17" s="535" t="n">
        <x:f>'Assumptions'!$H$10</x:f>
        <x:v>15000</x:v>
      </x:c>
      <x:c r="G17" s="535" t="n">
        <x:f>IF(A17&lt;'Assumptions'!$H$13,0,1+INT((A17-'Assumptions'!$H$13)/'Assumptions'!$H$15))</x:f>
        <x:v>0</x:v>
      </x:c>
      <x:c r="H17" s="535" t="n">
        <x:f>'Assumptions'!$H$14/12</x:f>
        <x:v>25000</x:v>
      </x:c>
      <x:c r="I17" s="535" t="n">
        <x:f>IF(A17&lt;'Assumptions'!$H$17,0,10000*(1+'Assumptions'!$H$18)^(A17-'Assumptions'!$H$17))</x:f>
        <x:v>0</x:v>
      </x:c>
      <x:c r="J17" s="535" t="n">
        <x:f>D17+E17*F17+G17*H17+I17</x:f>
        <x:v>191250</x:v>
      </x:c>
      <x:c r="K17" s="535" t="n">
        <x:f>D17*'Assumptions'!$H$19+(E17*F17+G17*H17+I17)*'Assumptions'!$H$20</x:f>
        <x:v>69525</x:v>
      </x:c>
      <x:c r="L17" s="535" t="n">
        <x:f>J17-K17</x:f>
        <x:v>121725</x:v>
      </x:c>
      <x:c r="M17" s="402" t="n">
        <x:f>IF(A17&lt;=12,ROUND('Assumptions'!$H$21+('Assumptions'!$H$22-'Assumptions'!$H$21)*(A17-1)/11,0),IF(A17&lt;=24,ROUND('Assumptions'!$H$22+('Assumptions'!$H$23-'Assumptions'!$H$22)*(A17-12)/12,0),ROUND('Assumptions'!$H$23+('Assumptions'!$H$24-'Assumptions'!$H$23)*(A17-24)/12,0)))</x:f>
        <x:v>9</x:v>
      </x:c>
      <x:c r="N17" s="535" t="n">
        <x:f>M17*'Assumptions'!$H$25/12</x:f>
        <x:v>142500</x:v>
      </x:c>
      <x:c r="O17" s="535" t="n">
        <x:f>'Assumptions'!$H$26*(1+'Assumptions'!$H$27)^(A17-1)</x:f>
        <x:v>75553.43286731801</x:v>
      </x:c>
      <x:c r="P17" s="535" t="n">
        <x:f>L17-N17-O17</x:f>
        <x:v>-96328.43286731801</x:v>
      </x:c>
      <x:c r="Q17" s="535" t="n">
        <x:f>IF(A17=1,'Assumptions'!$H$28,0)+IF(A17=12,'Assumptions'!$H$29,0)+IF(A17=24,'Assumptions'!$H$30,0)</x:f>
        <x:v>0</x:v>
      </x:c>
      <x:c r="R17" s="535" t="n">
        <x:f>IF(A17=1,Q17+P17,R16+Q17+P17)</x:f>
        <x:v>8761723.485209309</x:v>
      </x:c>
      <x:c r="S17" s="535" t="n">
        <x:f>J17*12</x:f>
        <x:v>2295000</x:v>
      </x:c>
      <x:c r="T17" s="402" t="str">
        <x:v>Scenario</x:v>
      </x:c>
      <x:c r="U17" s="402"/>
      <x:c r="V17" s="402"/>
      <x:c r="W17" s="402"/>
      <x:c r="X17" s="402"/>
      <x:c r="Y17" s="402"/>
      <x:c r="Z17" s="402"/>
    </x:row>
    <x:row r="18">
      <x:c r="A18" s="402" t="n">
        <x:v>14</x:v>
      </x:c>
      <x:c r="B18" s="534" t="n">
        <x:f>ROUND('Assumptions'!$H$5*(1+'Assumptions'!$H$6)^(A18-1),1)</x:f>
        <x:v>5.4</x:v>
      </x:c>
      <x:c r="C18" s="535" t="n">
        <x:f>'Assumptions'!$H$7*(1+'Assumptions'!$H$8)^INT((A18-1)/12)</x:f>
        <x:v>26250</x:v>
      </x:c>
      <x:c r="D18" s="535" t="n">
        <x:f>B18*C18</x:f>
        <x:v>141750</x:v>
      </x:c>
      <x:c r="E18" s="535" t="n">
        <x:f>MAX(0,'Assumptions'!$H$9+INT((A18-1)/'Assumptions'!$H$11)-INT((A18-1)/12)*ROUND('Assumptions'!$H$9*'Assumptions'!$H$12,0))</x:f>
        <x:v>4</x:v>
      </x:c>
      <x:c r="F18" s="535" t="n">
        <x:f>'Assumptions'!$H$10</x:f>
        <x:v>15000</x:v>
      </x:c>
      <x:c r="G18" s="535" t="n">
        <x:f>IF(A18&lt;'Assumptions'!$H$13,0,1+INT((A18-'Assumptions'!$H$13)/'Assumptions'!$H$15))</x:f>
        <x:v>0</x:v>
      </x:c>
      <x:c r="H18" s="535" t="n">
        <x:f>'Assumptions'!$H$14/12</x:f>
        <x:v>25000</x:v>
      </x:c>
      <x:c r="I18" s="535" t="n">
        <x:f>IF(A18&lt;'Assumptions'!$H$17,0,10000*(1+'Assumptions'!$H$18)^(A18-'Assumptions'!$H$17))</x:f>
        <x:v>0</x:v>
      </x:c>
      <x:c r="J18" s="535" t="n">
        <x:f>D18+E18*F18+G18*H18+I18</x:f>
        <x:v>201750</x:v>
      </x:c>
      <x:c r="K18" s="535" t="n">
        <x:f>D18*'Assumptions'!$H$19+(E18*F18+G18*H18+I18)*'Assumptions'!$H$20</x:f>
        <x:v>73935</x:v>
      </x:c>
      <x:c r="L18" s="535" t="n">
        <x:f>J18-K18</x:f>
        <x:v>127815</x:v>
      </x:c>
      <x:c r="M18" s="402" t="n">
        <x:f>IF(A18&lt;=12,ROUND('Assumptions'!$H$21+('Assumptions'!$H$22-'Assumptions'!$H$21)*(A18-1)/11,0),IF(A18&lt;=24,ROUND('Assumptions'!$H$22+('Assumptions'!$H$23-'Assumptions'!$H$22)*(A18-12)/12,0),ROUND('Assumptions'!$H$23+('Assumptions'!$H$24-'Assumptions'!$H$23)*(A18-24)/12,0)))</x:f>
        <x:v>9</x:v>
      </x:c>
      <x:c r="N18" s="535" t="n">
        <x:f>M18*'Assumptions'!$H$25/12</x:f>
        <x:v>142500</x:v>
      </x:c>
      <x:c r="O18" s="535" t="n">
        <x:f>'Assumptions'!$H$26*(1+'Assumptions'!$H$27)^(A18-1)</x:f>
        <x:v>78197.80301767413</x:v>
      </x:c>
      <x:c r="P18" s="535" t="n">
        <x:f>L18-N18-O18</x:f>
        <x:v>-92882.80301767413</x:v>
      </x:c>
      <x:c r="Q18" s="535" t="n">
        <x:f>IF(A18=1,'Assumptions'!$H$28,0)+IF(A18=12,'Assumptions'!$H$29,0)+IF(A18=24,'Assumptions'!$H$30,0)</x:f>
        <x:v>0</x:v>
      </x:c>
      <x:c r="R18" s="535" t="n">
        <x:f>IF(A18=1,Q18+P18,R17+Q18+P18)</x:f>
        <x:v>8668840.682191635</x:v>
      </x:c>
      <x:c r="S18" s="535" t="n">
        <x:f>J18*12</x:f>
        <x:v>2421000</x:v>
      </x:c>
      <x:c r="T18" s="402" t="str">
        <x:v>Scenario</x:v>
      </x:c>
      <x:c r="U18" s="402"/>
      <x:c r="V18" s="402"/>
      <x:c r="W18" s="402"/>
      <x:c r="X18" s="402"/>
      <x:c r="Y18" s="402"/>
      <x:c r="Z18" s="402"/>
    </x:row>
    <x:row r="19">
      <x:c r="A19" s="402" t="n">
        <x:v>15</x:v>
      </x:c>
      <x:c r="B19" s="534" t="n">
        <x:f>ROUND('Assumptions'!$H$5*(1+'Assumptions'!$H$6)^(A19-1),1)</x:f>
        <x:v>5.9</x:v>
      </x:c>
      <x:c r="C19" s="535" t="n">
        <x:f>'Assumptions'!$H$7*(1+'Assumptions'!$H$8)^INT((A19-1)/12)</x:f>
        <x:v>26250</x:v>
      </x:c>
      <x:c r="D19" s="535" t="n">
        <x:f>B19*C19</x:f>
        <x:v>154875</x:v>
      </x:c>
      <x:c r="E19" s="535" t="n">
        <x:f>MAX(0,'Assumptions'!$H$9+INT((A19-1)/'Assumptions'!$H$11)-INT((A19-1)/12)*ROUND('Assumptions'!$H$9*'Assumptions'!$H$12,0))</x:f>
        <x:v>4</x:v>
      </x:c>
      <x:c r="F19" s="535" t="n">
        <x:f>'Assumptions'!$H$10</x:f>
        <x:v>15000</x:v>
      </x:c>
      <x:c r="G19" s="535" t="n">
        <x:f>IF(A19&lt;'Assumptions'!$H$13,0,1+INT((A19-'Assumptions'!$H$13)/'Assumptions'!$H$15))</x:f>
        <x:v>0</x:v>
      </x:c>
      <x:c r="H19" s="535" t="n">
        <x:f>'Assumptions'!$H$14/12</x:f>
        <x:v>25000</x:v>
      </x:c>
      <x:c r="I19" s="535" t="n">
        <x:f>IF(A19&lt;'Assumptions'!$H$17,0,10000*(1+'Assumptions'!$H$18)^(A19-'Assumptions'!$H$17))</x:f>
        <x:v>0</x:v>
      </x:c>
      <x:c r="J19" s="535" t="n">
        <x:f>D19+E19*F19+G19*H19+I19</x:f>
        <x:v>214875</x:v>
      </x:c>
      <x:c r="K19" s="535" t="n">
        <x:f>D19*'Assumptions'!$H$19+(E19*F19+G19*H19+I19)*'Assumptions'!$H$20</x:f>
        <x:v>79447.5</x:v>
      </x:c>
      <x:c r="L19" s="535" t="n">
        <x:f>J19-K19</x:f>
        <x:v>135427.5</x:v>
      </x:c>
      <x:c r="M19" s="402" t="n">
        <x:f>IF(A19&lt;=12,ROUND('Assumptions'!$H$21+('Assumptions'!$H$22-'Assumptions'!$H$21)*(A19-1)/11,0),IF(A19&lt;=24,ROUND('Assumptions'!$H$22+('Assumptions'!$H$23-'Assumptions'!$H$22)*(A19-12)/12,0),ROUND('Assumptions'!$H$23+('Assumptions'!$H$24-'Assumptions'!$H$23)*(A19-24)/12,0)))</x:f>
        <x:v>10</x:v>
      </x:c>
      <x:c r="N19" s="535" t="n">
        <x:f>M19*'Assumptions'!$H$25/12</x:f>
        <x:v>158333.33333333334</x:v>
      </x:c>
      <x:c r="O19" s="535" t="n">
        <x:f>'Assumptions'!$H$26*(1+'Assumptions'!$H$27)^(A19-1)</x:f>
        <x:v>80934.72612329273</x:v>
      </x:c>
      <x:c r="P19" s="535" t="n">
        <x:f>L19-N19-O19</x:f>
        <x:v>-103840.55945662607</x:v>
      </x:c>
      <x:c r="Q19" s="535" t="n">
        <x:f>IF(A19=1,'Assumptions'!$H$28,0)+IF(A19=12,'Assumptions'!$H$29,0)+IF(A19=24,'Assumptions'!$H$30,0)</x:f>
        <x:v>0</x:v>
      </x:c>
      <x:c r="R19" s="535" t="n">
        <x:f>IF(A19=1,Q19+P19,R18+Q19+P19)</x:f>
        <x:v>8565000.122735009</x:v>
      </x:c>
      <x:c r="S19" s="535" t="n">
        <x:f>J19*12</x:f>
        <x:v>2578500</x:v>
      </x:c>
      <x:c r="T19" s="402" t="str">
        <x:v>Scenario</x:v>
      </x:c>
      <x:c r="U19" s="402"/>
      <x:c r="V19" s="402"/>
      <x:c r="W19" s="402"/>
      <x:c r="X19" s="402"/>
      <x:c r="Y19" s="402"/>
      <x:c r="Z19" s="402"/>
    </x:row>
    <x:row r="20">
      <x:c r="A20" s="402" t="n">
        <x:v>16</x:v>
      </x:c>
      <x:c r="B20" s="534" t="n">
        <x:f>ROUND('Assumptions'!$H$5*(1+'Assumptions'!$H$6)^(A20-1),1)</x:f>
        <x:v>6.3</x:v>
      </x:c>
      <x:c r="C20" s="535" t="n">
        <x:f>'Assumptions'!$H$7*(1+'Assumptions'!$H$8)^INT((A20-1)/12)</x:f>
        <x:v>26250</x:v>
      </x:c>
      <x:c r="D20" s="535" t="n">
        <x:f>B20*C20</x:f>
        <x:v>165375</x:v>
      </x:c>
      <x:c r="E20" s="535" t="n">
        <x:f>MAX(0,'Assumptions'!$H$9+INT((A20-1)/'Assumptions'!$H$11)-INT((A20-1)/12)*ROUND('Assumptions'!$H$9*'Assumptions'!$H$12,0))</x:f>
        <x:v>4</x:v>
      </x:c>
      <x:c r="F20" s="535" t="n">
        <x:f>'Assumptions'!$H$10</x:f>
        <x:v>15000</x:v>
      </x:c>
      <x:c r="G20" s="535" t="n">
        <x:f>IF(A20&lt;'Assumptions'!$H$13,0,1+INT((A20-'Assumptions'!$H$13)/'Assumptions'!$H$15))</x:f>
        <x:v>0</x:v>
      </x:c>
      <x:c r="H20" s="535" t="n">
        <x:f>'Assumptions'!$H$14/12</x:f>
        <x:v>25000</x:v>
      </x:c>
      <x:c r="I20" s="535" t="n">
        <x:f>IF(A20&lt;'Assumptions'!$H$17,0,10000*(1+'Assumptions'!$H$18)^(A20-'Assumptions'!$H$17))</x:f>
        <x:v>0</x:v>
      </x:c>
      <x:c r="J20" s="535" t="n">
        <x:f>D20+E20*F20+G20*H20+I20</x:f>
        <x:v>225375</x:v>
      </x:c>
      <x:c r="K20" s="535" t="n">
        <x:f>D20*'Assumptions'!$H$19+(E20*F20+G20*H20+I20)*'Assumptions'!$H$20</x:f>
        <x:v>83857.5</x:v>
      </x:c>
      <x:c r="L20" s="535" t="n">
        <x:f>J20-K20</x:f>
        <x:v>141517.5</x:v>
      </x:c>
      <x:c r="M20" s="402" t="n">
        <x:f>IF(A20&lt;=12,ROUND('Assumptions'!$H$21+('Assumptions'!$H$22-'Assumptions'!$H$21)*(A20-1)/11,0),IF(A20&lt;=24,ROUND('Assumptions'!$H$22+('Assumptions'!$H$23-'Assumptions'!$H$22)*(A20-12)/12,0),ROUND('Assumptions'!$H$23+('Assumptions'!$H$24-'Assumptions'!$H$23)*(A20-24)/12,0)))</x:f>
        <x:v>10</x:v>
      </x:c>
      <x:c r="N20" s="535" t="n">
        <x:f>M20*'Assumptions'!$H$25/12</x:f>
        <x:v>158333.33333333334</x:v>
      </x:c>
      <x:c r="O20" s="535" t="n">
        <x:f>'Assumptions'!$H$26*(1+'Assumptions'!$H$27)^(A20-1)</x:f>
        <x:v>83767.44153760797</x:v>
      </x:c>
      <x:c r="P20" s="535" t="n">
        <x:f>L20-N20-O20</x:f>
        <x:v>-100583.27487094131</x:v>
      </x:c>
      <x:c r="Q20" s="535" t="n">
        <x:f>IF(A20=1,'Assumptions'!$H$28,0)+IF(A20=12,'Assumptions'!$H$29,0)+IF(A20=24,'Assumptions'!$H$30,0)</x:f>
        <x:v>0</x:v>
      </x:c>
      <x:c r="R20" s="535" t="n">
        <x:f>IF(A20=1,Q20+P20,R19+Q20+P20)</x:f>
        <x:v>8464416.847864067</x:v>
      </x:c>
      <x:c r="S20" s="535" t="n">
        <x:f>J20*12</x:f>
        <x:v>2704500</x:v>
      </x:c>
      <x:c r="T20" s="402" t="str">
        <x:v>Scenario</x:v>
      </x:c>
      <x:c r="U20" s="402"/>
      <x:c r="V20" s="402"/>
      <x:c r="W20" s="402"/>
      <x:c r="X20" s="402"/>
      <x:c r="Y20" s="402"/>
      <x:c r="Z20" s="402"/>
    </x:row>
    <x:row r="21">
      <x:c r="A21" s="402" t="n">
        <x:v>17</x:v>
      </x:c>
      <x:c r="B21" s="534" t="n">
        <x:f>ROUND('Assumptions'!$H$5*(1+'Assumptions'!$H$6)^(A21-1),1)</x:f>
        <x:v>6.9</x:v>
      </x:c>
      <x:c r="C21" s="535" t="n">
        <x:f>'Assumptions'!$H$7*(1+'Assumptions'!$H$8)^INT((A21-1)/12)</x:f>
        <x:v>26250</x:v>
      </x:c>
      <x:c r="D21" s="535" t="n">
        <x:f>B21*C21</x:f>
        <x:v>181125</x:v>
      </x:c>
      <x:c r="E21" s="535" t="n">
        <x:f>MAX(0,'Assumptions'!$H$9+INT((A21-1)/'Assumptions'!$H$11)-INT((A21-1)/12)*ROUND('Assumptions'!$H$9*'Assumptions'!$H$12,0))</x:f>
        <x:v>5</x:v>
      </x:c>
      <x:c r="F21" s="535" t="n">
        <x:f>'Assumptions'!$H$10</x:f>
        <x:v>15000</x:v>
      </x:c>
      <x:c r="G21" s="535" t="n">
        <x:f>IF(A21&lt;'Assumptions'!$H$13,0,1+INT((A21-'Assumptions'!$H$13)/'Assumptions'!$H$15))</x:f>
        <x:v>0</x:v>
      </x:c>
      <x:c r="H21" s="535" t="n">
        <x:f>'Assumptions'!$H$14/12</x:f>
        <x:v>25000</x:v>
      </x:c>
      <x:c r="I21" s="535" t="n">
        <x:f>IF(A21&lt;'Assumptions'!$H$17,0,10000*(1+'Assumptions'!$H$18)^(A21-'Assumptions'!$H$17))</x:f>
        <x:v>0</x:v>
      </x:c>
      <x:c r="J21" s="535" t="n">
        <x:f>D21+E21*F21+G21*H21+I21</x:f>
        <x:v>256125</x:v>
      </x:c>
      <x:c r="K21" s="535" t="n">
        <x:f>D21*'Assumptions'!$H$19+(E21*F21+G21*H21+I21)*'Assumptions'!$H$20</x:f>
        <x:v>94072.5</x:v>
      </x:c>
      <x:c r="L21" s="535" t="n">
        <x:f>J21-K21</x:f>
        <x:v>162052.5</x:v>
      </x:c>
      <x:c r="M21" s="402" t="n">
        <x:f>IF(A21&lt;=12,ROUND('Assumptions'!$H$21+('Assumptions'!$H$22-'Assumptions'!$H$21)*(A21-1)/11,0),IF(A21&lt;=24,ROUND('Assumptions'!$H$22+('Assumptions'!$H$23-'Assumptions'!$H$22)*(A21-12)/12,0),ROUND('Assumptions'!$H$23+('Assumptions'!$H$24-'Assumptions'!$H$23)*(A21-24)/12,0)))</x:f>
        <x:v>11</x:v>
      </x:c>
      <x:c r="N21" s="535" t="n">
        <x:f>M21*'Assumptions'!$H$25/12</x:f>
        <x:v>174166.66666666666</x:v>
      </x:c>
      <x:c r="O21" s="535" t="n">
        <x:f>'Assumptions'!$H$26*(1+'Assumptions'!$H$27)^(A21-1)</x:f>
        <x:v>86699.30199142423</x:v>
      </x:c>
      <x:c r="P21" s="535" t="n">
        <x:f>L21-N21-O21</x:f>
        <x:v>-98813.46865809089</x:v>
      </x:c>
      <x:c r="Q21" s="535" t="n">
        <x:f>IF(A21=1,'Assumptions'!$H$28,0)+IF(A21=12,'Assumptions'!$H$29,0)+IF(A21=24,'Assumptions'!$H$30,0)</x:f>
        <x:v>0</x:v>
      </x:c>
      <x:c r="R21" s="535" t="n">
        <x:f>IF(A21=1,Q21+P21,R20+Q21+P21)</x:f>
        <x:v>8365603.379205977</x:v>
      </x:c>
      <x:c r="S21" s="535" t="n">
        <x:f>J21*12</x:f>
        <x:v>3073500</x:v>
      </x:c>
      <x:c r="T21" s="402" t="str">
        <x:v>Scenario</x:v>
      </x:c>
      <x:c r="U21" s="402"/>
      <x:c r="V21" s="402"/>
      <x:c r="W21" s="402"/>
      <x:c r="X21" s="402"/>
      <x:c r="Y21" s="402"/>
      <x:c r="Z21" s="402"/>
    </x:row>
    <x:row r="22">
      <x:c r="A22" s="402" t="n">
        <x:v>18</x:v>
      </x:c>
      <x:c r="B22" s="534" t="n">
        <x:f>ROUND('Assumptions'!$H$5*(1+'Assumptions'!$H$6)^(A22-1),1)</x:f>
        <x:v>7.4</x:v>
      </x:c>
      <x:c r="C22" s="535" t="n">
        <x:f>'Assumptions'!$H$7*(1+'Assumptions'!$H$8)^INT((A22-1)/12)</x:f>
        <x:v>26250</x:v>
      </x:c>
      <x:c r="D22" s="535" t="n">
        <x:f>B22*C22</x:f>
        <x:v>194250</x:v>
      </x:c>
      <x:c r="E22" s="535" t="n">
        <x:f>MAX(0,'Assumptions'!$H$9+INT((A22-1)/'Assumptions'!$H$11)-INT((A22-1)/12)*ROUND('Assumptions'!$H$9*'Assumptions'!$H$12,0))</x:f>
        <x:v>5</x:v>
      </x:c>
      <x:c r="F22" s="535" t="n">
        <x:f>'Assumptions'!$H$10</x:f>
        <x:v>15000</x:v>
      </x:c>
      <x:c r="G22" s="535" t="n">
        <x:f>IF(A22&lt;'Assumptions'!$H$13,0,1+INT((A22-'Assumptions'!$H$13)/'Assumptions'!$H$15))</x:f>
        <x:v>1</x:v>
      </x:c>
      <x:c r="H22" s="535" t="n">
        <x:f>'Assumptions'!$H$14/12</x:f>
        <x:v>25000</x:v>
      </x:c>
      <x:c r="I22" s="535" t="n">
        <x:f>IF(A22&lt;'Assumptions'!$H$17,0,10000*(1+'Assumptions'!$H$18)^(A22-'Assumptions'!$H$17))</x:f>
        <x:v>0</x:v>
      </x:c>
      <x:c r="J22" s="535" t="n">
        <x:f>D22+E22*F22+G22*H22+I22</x:f>
        <x:v>294250</x:v>
      </x:c>
      <x:c r="K22" s="535" t="n">
        <x:f>D22*'Assumptions'!$H$19+(E22*F22+G22*H22+I22)*'Assumptions'!$H$20</x:f>
        <x:v>105585</x:v>
      </x:c>
      <x:c r="L22" s="535" t="n">
        <x:f>J22-K22</x:f>
        <x:v>188665</x:v>
      </x:c>
      <x:c r="M22" s="402" t="n">
        <x:f>IF(A22&lt;=12,ROUND('Assumptions'!$H$21+('Assumptions'!$H$22-'Assumptions'!$H$21)*(A22-1)/11,0),IF(A22&lt;=24,ROUND('Assumptions'!$H$22+('Assumptions'!$H$23-'Assumptions'!$H$22)*(A22-12)/12,0),ROUND('Assumptions'!$H$23+('Assumptions'!$H$24-'Assumptions'!$H$23)*(A22-24)/12,0)))</x:f>
        <x:v>11</x:v>
      </x:c>
      <x:c r="N22" s="535" t="n">
        <x:f>M22*'Assumptions'!$H$25/12</x:f>
        <x:v>174166.66666666666</x:v>
      </x:c>
      <x:c r="O22" s="535" t="n">
        <x:f>'Assumptions'!$H$26*(1+'Assumptions'!$H$27)^(A22-1)</x:f>
        <x:v>89733.77756112408</x:v>
      </x:c>
      <x:c r="P22" s="535" t="n">
        <x:f>L22-N22-O22</x:f>
        <x:v>-75235.44422779074</x:v>
      </x:c>
      <x:c r="Q22" s="535" t="n">
        <x:f>IF(A22=1,'Assumptions'!$H$28,0)+IF(A22=12,'Assumptions'!$H$29,0)+IF(A22=24,'Assumptions'!$H$30,0)</x:f>
        <x:v>0</x:v>
      </x:c>
      <x:c r="R22" s="535" t="n">
        <x:f>IF(A22=1,Q22+P22,R21+Q22+P22)</x:f>
        <x:v>8290367.934978186</x:v>
      </x:c>
      <x:c r="S22" s="535" t="n">
        <x:f>J22*12</x:f>
        <x:v>3531000</x:v>
      </x:c>
      <x:c r="T22" s="402" t="str">
        <x:v>Scenario</x:v>
      </x:c>
      <x:c r="U22" s="402"/>
      <x:c r="V22" s="402"/>
      <x:c r="W22" s="402"/>
      <x:c r="X22" s="402"/>
      <x:c r="Y22" s="402"/>
      <x:c r="Z22" s="402"/>
    </x:row>
    <x:row r="23">
      <x:c r="A23" s="402" t="n">
        <x:v>19</x:v>
      </x:c>
      <x:c r="B23" s="534" t="n">
        <x:f>ROUND('Assumptions'!$H$5*(1+'Assumptions'!$H$6)^(A23-1),1)</x:f>
        <x:v>8</x:v>
      </x:c>
      <x:c r="C23" s="535" t="n">
        <x:f>'Assumptions'!$H$7*(1+'Assumptions'!$H$8)^INT((A23-1)/12)</x:f>
        <x:v>26250</x:v>
      </x:c>
      <x:c r="D23" s="535" t="n">
        <x:f>B23*C23</x:f>
        <x:v>210000</x:v>
      </x:c>
      <x:c r="E23" s="535" t="n">
        <x:f>MAX(0,'Assumptions'!$H$9+INT((A23-1)/'Assumptions'!$H$11)-INT((A23-1)/12)*ROUND('Assumptions'!$H$9*'Assumptions'!$H$12,0))</x:f>
        <x:v>5</x:v>
      </x:c>
      <x:c r="F23" s="535" t="n">
        <x:f>'Assumptions'!$H$10</x:f>
        <x:v>15000</x:v>
      </x:c>
      <x:c r="G23" s="535" t="n">
        <x:f>IF(A23&lt;'Assumptions'!$H$13,0,1+INT((A23-'Assumptions'!$H$13)/'Assumptions'!$H$15))</x:f>
        <x:v>1</x:v>
      </x:c>
      <x:c r="H23" s="535" t="n">
        <x:f>'Assumptions'!$H$14/12</x:f>
        <x:v>25000</x:v>
      </x:c>
      <x:c r="I23" s="535" t="n">
        <x:f>IF(A23&lt;'Assumptions'!$H$17,0,10000*(1+'Assumptions'!$H$18)^(A23-'Assumptions'!$H$17))</x:f>
        <x:v>0</x:v>
      </x:c>
      <x:c r="J23" s="535" t="n">
        <x:f>D23+E23*F23+G23*H23+I23</x:f>
        <x:v>310000</x:v>
      </x:c>
      <x:c r="K23" s="535" t="n">
        <x:f>D23*'Assumptions'!$H$19+(E23*F23+G23*H23+I23)*'Assumptions'!$H$20</x:f>
        <x:v>112200</x:v>
      </x:c>
      <x:c r="L23" s="535" t="n">
        <x:f>J23-K23</x:f>
        <x:v>197800</x:v>
      </x:c>
      <x:c r="M23" s="402" t="n">
        <x:f>IF(A23&lt;=12,ROUND('Assumptions'!$H$21+('Assumptions'!$H$22-'Assumptions'!$H$21)*(A23-1)/11,0),IF(A23&lt;=24,ROUND('Assumptions'!$H$22+('Assumptions'!$H$23-'Assumptions'!$H$22)*(A23-12)/12,0),ROUND('Assumptions'!$H$23+('Assumptions'!$H$24-'Assumptions'!$H$23)*(A23-24)/12,0)))</x:f>
        <x:v>12</x:v>
      </x:c>
      <x:c r="N23" s="535" t="n">
        <x:f>M23*'Assumptions'!$H$25/12</x:f>
        <x:v>190000</x:v>
      </x:c>
      <x:c r="O23" s="535" t="n">
        <x:f>'Assumptions'!$H$26*(1+'Assumptions'!$H$27)^(A23-1)</x:f>
        <x:v>92874.4597757634</x:v>
      </x:c>
      <x:c r="P23" s="535" t="n">
        <x:f>L23-N23-O23</x:f>
        <x:v>-85074.4597757634</x:v>
      </x:c>
      <x:c r="Q23" s="535" t="n">
        <x:f>IF(A23=1,'Assumptions'!$H$28,0)+IF(A23=12,'Assumptions'!$H$29,0)+IF(A23=24,'Assumptions'!$H$30,0)</x:f>
        <x:v>0</x:v>
      </x:c>
      <x:c r="R23" s="535" t="n">
        <x:f>IF(A23=1,Q23+P23,R22+Q23+P23)</x:f>
        <x:v>8205293.475202423</x:v>
      </x:c>
      <x:c r="S23" s="535" t="n">
        <x:f>J23*12</x:f>
        <x:v>3720000</x:v>
      </x:c>
      <x:c r="T23" s="402" t="str">
        <x:v>Scenario</x:v>
      </x:c>
      <x:c r="U23" s="402"/>
      <x:c r="V23" s="402"/>
      <x:c r="W23" s="402"/>
      <x:c r="X23" s="402"/>
      <x:c r="Y23" s="402"/>
      <x:c r="Z23" s="402"/>
    </x:row>
    <x:row r="24">
      <x:c r="A24" s="402" t="n">
        <x:v>20</x:v>
      </x:c>
      <x:c r="B24" s="534" t="n">
        <x:f>ROUND('Assumptions'!$H$5*(1+'Assumptions'!$H$6)^(A24-1),1)</x:f>
        <x:v>8.6</x:v>
      </x:c>
      <x:c r="C24" s="535" t="n">
        <x:f>'Assumptions'!$H$7*(1+'Assumptions'!$H$8)^INT((A24-1)/12)</x:f>
        <x:v>26250</x:v>
      </x:c>
      <x:c r="D24" s="535" t="n">
        <x:f>B24*C24</x:f>
        <x:v>225750</x:v>
      </x:c>
      <x:c r="E24" s="535" t="n">
        <x:f>MAX(0,'Assumptions'!$H$9+INT((A24-1)/'Assumptions'!$H$11)-INT((A24-1)/12)*ROUND('Assumptions'!$H$9*'Assumptions'!$H$12,0))</x:f>
        <x:v>5</x:v>
      </x:c>
      <x:c r="F24" s="535" t="n">
        <x:f>'Assumptions'!$H$10</x:f>
        <x:v>15000</x:v>
      </x:c>
      <x:c r="G24" s="535" t="n">
        <x:f>IF(A24&lt;'Assumptions'!$H$13,0,1+INT((A24-'Assumptions'!$H$13)/'Assumptions'!$H$15))</x:f>
        <x:v>1</x:v>
      </x:c>
      <x:c r="H24" s="535" t="n">
        <x:f>'Assumptions'!$H$14/12</x:f>
        <x:v>25000</x:v>
      </x:c>
      <x:c r="I24" s="535" t="n">
        <x:f>IF(A24&lt;'Assumptions'!$H$17,0,10000*(1+'Assumptions'!$H$18)^(A24-'Assumptions'!$H$17))</x:f>
        <x:v>0</x:v>
      </x:c>
      <x:c r="J24" s="535" t="n">
        <x:f>D24+E24*F24+G24*H24+I24</x:f>
        <x:v>325750</x:v>
      </x:c>
      <x:c r="K24" s="535" t="n">
        <x:f>D24*'Assumptions'!$H$19+(E24*F24+G24*H24+I24)*'Assumptions'!$H$20</x:f>
        <x:v>118815</x:v>
      </x:c>
      <x:c r="L24" s="535" t="n">
        <x:f>J24-K24</x:f>
        <x:v>206935</x:v>
      </x:c>
      <x:c r="M24" s="402" t="n">
        <x:f>IF(A24&lt;=12,ROUND('Assumptions'!$H$21+('Assumptions'!$H$22-'Assumptions'!$H$21)*(A24-1)/11,0),IF(A24&lt;=24,ROUND('Assumptions'!$H$22+('Assumptions'!$H$23-'Assumptions'!$H$22)*(A24-12)/12,0),ROUND('Assumptions'!$H$23+('Assumptions'!$H$24-'Assumptions'!$H$23)*(A24-24)/12,0)))</x:f>
        <x:v>12</x:v>
      </x:c>
      <x:c r="N24" s="535" t="n">
        <x:f>M24*'Assumptions'!$H$25/12</x:f>
        <x:v>190000</x:v>
      </x:c>
      <x:c r="O24" s="535" t="n">
        <x:f>'Assumptions'!$H$26*(1+'Assumptions'!$H$27)^(A24-1)</x:f>
        <x:v>96125.06586791511</x:v>
      </x:c>
      <x:c r="P24" s="535" t="n">
        <x:f>L24-N24-O24</x:f>
        <x:v>-79190.06586791511</x:v>
      </x:c>
      <x:c r="Q24" s="535" t="n">
        <x:f>IF(A24=1,'Assumptions'!$H$28,0)+IF(A24=12,'Assumptions'!$H$29,0)+IF(A24=24,'Assumptions'!$H$30,0)</x:f>
        <x:v>0</x:v>
      </x:c>
      <x:c r="R24" s="535" t="n">
        <x:f>IF(A24=1,Q24+P24,R23+Q24+P24)</x:f>
        <x:v>8126103.409334508</x:v>
      </x:c>
      <x:c r="S24" s="535" t="n">
        <x:f>J24*12</x:f>
        <x:v>3909000</x:v>
      </x:c>
      <x:c r="T24" s="402" t="str">
        <x:v>Scenario</x:v>
      </x:c>
      <x:c r="U24" s="402"/>
      <x:c r="V24" s="402"/>
      <x:c r="W24" s="402"/>
      <x:c r="X24" s="402"/>
      <x:c r="Y24" s="402"/>
      <x:c r="Z24" s="402"/>
    </x:row>
    <x:row r="25">
      <x:c r="A25" s="402" t="n">
        <x:v>21</x:v>
      </x:c>
      <x:c r="B25" s="534" t="n">
        <x:f>ROUND('Assumptions'!$H$5*(1+'Assumptions'!$H$6)^(A25-1),1)</x:f>
        <x:v>9.3</x:v>
      </x:c>
      <x:c r="C25" s="535" t="n">
        <x:f>'Assumptions'!$H$7*(1+'Assumptions'!$H$8)^INT((A25-1)/12)</x:f>
        <x:v>26250</x:v>
      </x:c>
      <x:c r="D25" s="535" t="n">
        <x:f>B25*C25</x:f>
        <x:v>244125.00000000003</x:v>
      </x:c>
      <x:c r="E25" s="535" t="n">
        <x:f>MAX(0,'Assumptions'!$H$9+INT((A25-1)/'Assumptions'!$H$11)-INT((A25-1)/12)*ROUND('Assumptions'!$H$9*'Assumptions'!$H$12,0))</x:f>
        <x:v>6</x:v>
      </x:c>
      <x:c r="F25" s="535" t="n">
        <x:f>'Assumptions'!$H$10</x:f>
        <x:v>15000</x:v>
      </x:c>
      <x:c r="G25" s="535" t="n">
        <x:f>IF(A25&lt;'Assumptions'!$H$13,0,1+INT((A25-'Assumptions'!$H$13)/'Assumptions'!$H$15))</x:f>
        <x:v>1</x:v>
      </x:c>
      <x:c r="H25" s="535" t="n">
        <x:f>'Assumptions'!$H$14/12</x:f>
        <x:v>25000</x:v>
      </x:c>
      <x:c r="I25" s="535" t="n">
        <x:f>IF(A25&lt;'Assumptions'!$H$17,0,10000*(1+'Assumptions'!$H$18)^(A25-'Assumptions'!$H$17))</x:f>
        <x:v>0</x:v>
      </x:c>
      <x:c r="J25" s="535" t="n">
        <x:f>D25+E25*F25+G25*H25+I25</x:f>
        <x:v>359125</x:v>
      </x:c>
      <x:c r="K25" s="535" t="n">
        <x:f>D25*'Assumptions'!$H$19+(E25*F25+G25*H25+I25)*'Assumptions'!$H$20</x:f>
        <x:v>130132.50000000001</x:v>
      </x:c>
      <x:c r="L25" s="535" t="n">
        <x:f>J25-K25</x:f>
        <x:v>228992.5</x:v>
      </x:c>
      <x:c r="M25" s="402" t="n">
        <x:f>IF(A25&lt;=12,ROUND('Assumptions'!$H$21+('Assumptions'!$H$22-'Assumptions'!$H$21)*(A25-1)/11,0),IF(A25&lt;=24,ROUND('Assumptions'!$H$22+('Assumptions'!$H$23-'Assumptions'!$H$22)*(A25-12)/12,0),ROUND('Assumptions'!$H$23+('Assumptions'!$H$24-'Assumptions'!$H$23)*(A25-24)/12,0)))</x:f>
        <x:v>13</x:v>
      </x:c>
      <x:c r="N25" s="535" t="n">
        <x:f>M25*'Assumptions'!$H$25/12</x:f>
        <x:v>205833.33333333334</x:v>
      </x:c>
      <x:c r="O25" s="535" t="n">
        <x:f>'Assumptions'!$H$26*(1+'Assumptions'!$H$27)^(A25-1)</x:f>
        <x:v>99489.44317329214</x:v>
      </x:c>
      <x:c r="P25" s="535" t="n">
        <x:f>L25-N25-O25</x:f>
        <x:v>-76330.27650662548</x:v>
      </x:c>
      <x:c r="Q25" s="535" t="n">
        <x:f>IF(A25=1,'Assumptions'!$H$28,0)+IF(A25=12,'Assumptions'!$H$29,0)+IF(A25=24,'Assumptions'!$H$30,0)</x:f>
        <x:v>0</x:v>
      </x:c>
      <x:c r="R25" s="535" t="n">
        <x:f>IF(A25=1,Q25+P25,R24+Q25+P25)</x:f>
        <x:v>8049773.132827883</x:v>
      </x:c>
      <x:c r="S25" s="535" t="n">
        <x:f>J25*12</x:f>
        <x:v>4309500</x:v>
      </x:c>
      <x:c r="T25" s="402" t="str">
        <x:v>Scenario</x:v>
      </x:c>
      <x:c r="U25" s="402"/>
      <x:c r="V25" s="402"/>
      <x:c r="W25" s="402"/>
      <x:c r="X25" s="402"/>
      <x:c r="Y25" s="402"/>
      <x:c r="Z25" s="402"/>
    </x:row>
    <x:row r="26">
      <x:c r="A26" s="402" t="n">
        <x:v>22</x:v>
      </x:c>
      <x:c r="B26" s="534" t="n">
        <x:f>ROUND('Assumptions'!$H$5*(1+'Assumptions'!$H$6)^(A26-1),1)</x:f>
        <x:v>10.1</x:v>
      </x:c>
      <x:c r="C26" s="535" t="n">
        <x:f>'Assumptions'!$H$7*(1+'Assumptions'!$H$8)^INT((A26-1)/12)</x:f>
        <x:v>26250</x:v>
      </x:c>
      <x:c r="D26" s="535" t="n">
        <x:f>B26*C26</x:f>
        <x:v>265125</x:v>
      </x:c>
      <x:c r="E26" s="535" t="n">
        <x:f>MAX(0,'Assumptions'!$H$9+INT((A26-1)/'Assumptions'!$H$11)-INT((A26-1)/12)*ROUND('Assumptions'!$H$9*'Assumptions'!$H$12,0))</x:f>
        <x:v>6</x:v>
      </x:c>
      <x:c r="F26" s="535" t="n">
        <x:f>'Assumptions'!$H$10</x:f>
        <x:v>15000</x:v>
      </x:c>
      <x:c r="G26" s="535" t="n">
        <x:f>IF(A26&lt;'Assumptions'!$H$13,0,1+INT((A26-'Assumptions'!$H$13)/'Assumptions'!$H$15))</x:f>
        <x:v>1</x:v>
      </x:c>
      <x:c r="H26" s="535" t="n">
        <x:f>'Assumptions'!$H$14/12</x:f>
        <x:v>25000</x:v>
      </x:c>
      <x:c r="I26" s="535" t="n">
        <x:f>IF(A26&lt;'Assumptions'!$H$17,0,10000*(1+'Assumptions'!$H$18)^(A26-'Assumptions'!$H$17))</x:f>
        <x:v>0</x:v>
      </x:c>
      <x:c r="J26" s="535" t="n">
        <x:f>D26+E26*F26+G26*H26+I26</x:f>
        <x:v>380125</x:v>
      </x:c>
      <x:c r="K26" s="535" t="n">
        <x:f>D26*'Assumptions'!$H$19+(E26*F26+G26*H26+I26)*'Assumptions'!$H$20</x:f>
        <x:v>138952.5</x:v>
      </x:c>
      <x:c r="L26" s="535" t="n">
        <x:f>J26-K26</x:f>
        <x:v>241172.5</x:v>
      </x:c>
      <x:c r="M26" s="402" t="n">
        <x:f>IF(A26&lt;=12,ROUND('Assumptions'!$H$21+('Assumptions'!$H$22-'Assumptions'!$H$21)*(A26-1)/11,0),IF(A26&lt;=24,ROUND('Assumptions'!$H$22+('Assumptions'!$H$23-'Assumptions'!$H$22)*(A26-12)/12,0),ROUND('Assumptions'!$H$23+('Assumptions'!$H$24-'Assumptions'!$H$23)*(A26-24)/12,0)))</x:f>
        <x:v>13</x:v>
      </x:c>
      <x:c r="N26" s="535" t="n">
        <x:f>M26*'Assumptions'!$H$25/12</x:f>
        <x:v>205833.33333333334</x:v>
      </x:c>
      <x:c r="O26" s="535" t="n">
        <x:f>'Assumptions'!$H$26*(1+'Assumptions'!$H$27)^(A26-1)</x:f>
        <x:v>102971.57368435734</x:v>
      </x:c>
      <x:c r="P26" s="535" t="n">
        <x:f>L26-N26-O26</x:f>
        <x:v>-67632.40701769068</x:v>
      </x:c>
      <x:c r="Q26" s="535" t="n">
        <x:f>IF(A26=1,'Assumptions'!$H$28,0)+IF(A26=12,'Assumptions'!$H$29,0)+IF(A26=24,'Assumptions'!$H$30,0)</x:f>
        <x:v>0</x:v>
      </x:c>
      <x:c r="R26" s="535" t="n">
        <x:f>IF(A26=1,Q26+P26,R25+Q26+P26)</x:f>
        <x:v>7982140.725810192</x:v>
      </x:c>
      <x:c r="S26" s="535" t="n">
        <x:f>J26*12</x:f>
        <x:v>4561500</x:v>
      </x:c>
      <x:c r="T26" s="402" t="str">
        <x:v>Scenario</x:v>
      </x:c>
      <x:c r="U26" s="402"/>
      <x:c r="V26" s="402"/>
      <x:c r="W26" s="402"/>
      <x:c r="X26" s="402"/>
      <x:c r="Y26" s="402"/>
      <x:c r="Z26" s="402"/>
    </x:row>
    <x:row r="27">
      <x:c r="A27" s="402" t="n">
        <x:v>23</x:v>
      </x:c>
      <x:c r="B27" s="534" t="n">
        <x:f>ROUND('Assumptions'!$H$5*(1+'Assumptions'!$H$6)^(A27-1),1)</x:f>
        <x:v>10.9</x:v>
      </x:c>
      <x:c r="C27" s="535" t="n">
        <x:f>'Assumptions'!$H$7*(1+'Assumptions'!$H$8)^INT((A27-1)/12)</x:f>
        <x:v>26250</x:v>
      </x:c>
      <x:c r="D27" s="535" t="n">
        <x:f>B27*C27</x:f>
        <x:v>286125</x:v>
      </x:c>
      <x:c r="E27" s="535" t="n">
        <x:f>MAX(0,'Assumptions'!$H$9+INT((A27-1)/'Assumptions'!$H$11)-INT((A27-1)/12)*ROUND('Assumptions'!$H$9*'Assumptions'!$H$12,0))</x:f>
        <x:v>6</x:v>
      </x:c>
      <x:c r="F27" s="535" t="n">
        <x:f>'Assumptions'!$H$10</x:f>
        <x:v>15000</x:v>
      </x:c>
      <x:c r="G27" s="535" t="n">
        <x:f>IF(A27&lt;'Assumptions'!$H$13,0,1+INT((A27-'Assumptions'!$H$13)/'Assumptions'!$H$15))</x:f>
        <x:v>1</x:v>
      </x:c>
      <x:c r="H27" s="535" t="n">
        <x:f>'Assumptions'!$H$14/12</x:f>
        <x:v>25000</x:v>
      </x:c>
      <x:c r="I27" s="535" t="n">
        <x:f>IF(A27&lt;'Assumptions'!$H$17,0,10000*(1+'Assumptions'!$H$18)^(A27-'Assumptions'!$H$17))</x:f>
        <x:v>0</x:v>
      </x:c>
      <x:c r="J27" s="535" t="n">
        <x:f>D27+E27*F27+G27*H27+I27</x:f>
        <x:v>401125</x:v>
      </x:c>
      <x:c r="K27" s="535" t="n">
        <x:f>D27*'Assumptions'!$H$19+(E27*F27+G27*H27+I27)*'Assumptions'!$H$20</x:f>
        <x:v>147772.5</x:v>
      </x:c>
      <x:c r="L27" s="535" t="n">
        <x:f>J27-K27</x:f>
        <x:v>253352.5</x:v>
      </x:c>
      <x:c r="M27" s="402" t="n">
        <x:f>IF(A27&lt;=12,ROUND('Assumptions'!$H$21+('Assumptions'!$H$22-'Assumptions'!$H$21)*(A27-1)/11,0),IF(A27&lt;=24,ROUND('Assumptions'!$H$22+('Assumptions'!$H$23-'Assumptions'!$H$22)*(A27-12)/12,0),ROUND('Assumptions'!$H$23+('Assumptions'!$H$24-'Assumptions'!$H$23)*(A27-24)/12,0)))</x:f>
        <x:v>14</x:v>
      </x:c>
      <x:c r="N27" s="535" t="n">
        <x:f>M27*'Assumptions'!$H$25/12</x:f>
        <x:v>221666.66666666666</x:v>
      </x:c>
      <x:c r="O27" s="535" t="n">
        <x:f>'Assumptions'!$H$26*(1+'Assumptions'!$H$27)^(A27-1)</x:f>
        <x:v>106575.57876330985</x:v>
      </x:c>
      <x:c r="P27" s="535" t="n">
        <x:f>L27-N27-O27</x:f>
        <x:v>-74889.74542997651</x:v>
      </x:c>
      <x:c r="Q27" s="535" t="n">
        <x:f>IF(A27=1,'Assumptions'!$H$28,0)+IF(A27=12,'Assumptions'!$H$29,0)+IF(A27=24,'Assumptions'!$H$30,0)</x:f>
        <x:v>0</x:v>
      </x:c>
      <x:c r="R27" s="535" t="n">
        <x:f>IF(A27=1,Q27+P27,R26+Q27+P27)</x:f>
        <x:v>7907250.980380215</x:v>
      </x:c>
      <x:c r="S27" s="535" t="n">
        <x:f>J27*12</x:f>
        <x:v>4813500</x:v>
      </x:c>
      <x:c r="T27" s="402" t="str">
        <x:v>Scenario</x:v>
      </x:c>
      <x:c r="U27" s="402"/>
      <x:c r="V27" s="402"/>
      <x:c r="W27" s="402"/>
      <x:c r="X27" s="402"/>
      <x:c r="Y27" s="402"/>
      <x:c r="Z27" s="402"/>
    </x:row>
    <x:row r="28">
      <x:c r="A28" s="402" t="n">
        <x:v>24</x:v>
      </x:c>
      <x:c r="B28" s="534" t="n">
        <x:f>ROUND('Assumptions'!$H$5*(1+'Assumptions'!$H$6)^(A28-1),1)</x:f>
        <x:v>11.7</x:v>
      </x:c>
      <x:c r="C28" s="535" t="n">
        <x:f>'Assumptions'!$H$7*(1+'Assumptions'!$H$8)^INT((A28-1)/12)</x:f>
        <x:v>26250</x:v>
      </x:c>
      <x:c r="D28" s="535" t="n">
        <x:f>B28*C28</x:f>
        <x:v>307125</x:v>
      </x:c>
      <x:c r="E28" s="535" t="n">
        <x:f>MAX(0,'Assumptions'!$H$9+INT((A28-1)/'Assumptions'!$H$11)-INT((A28-1)/12)*ROUND('Assumptions'!$H$9*'Assumptions'!$H$12,0))</x:f>
        <x:v>6</x:v>
      </x:c>
      <x:c r="F28" s="535" t="n">
        <x:f>'Assumptions'!$H$10</x:f>
        <x:v>15000</x:v>
      </x:c>
      <x:c r="G28" s="535" t="n">
        <x:f>IF(A28&lt;'Assumptions'!$H$13,0,1+INT((A28-'Assumptions'!$H$13)/'Assumptions'!$H$15))</x:f>
        <x:v>2</x:v>
      </x:c>
      <x:c r="H28" s="535" t="n">
        <x:f>'Assumptions'!$H$14/12</x:f>
        <x:v>25000</x:v>
      </x:c>
      <x:c r="I28" s="535" t="n">
        <x:f>IF(A28&lt;'Assumptions'!$H$17,0,10000*(1+'Assumptions'!$H$18)^(A28-'Assumptions'!$H$17))</x:f>
        <x:v>10000</x:v>
      </x:c>
      <x:c r="J28" s="535" t="n">
        <x:f>D28+E28*F28+G28*H28+I28</x:f>
        <x:v>457125</x:v>
      </x:c>
      <x:c r="K28" s="535" t="n">
        <x:f>D28*'Assumptions'!$H$19+(E28*F28+G28*H28+I28)*'Assumptions'!$H$20</x:f>
        <x:v>164992.5</x:v>
      </x:c>
      <x:c r="L28" s="535" t="n">
        <x:f>J28-K28</x:f>
        <x:v>292132.5</x:v>
      </x:c>
      <x:c r="M28" s="402" t="n">
        <x:f>IF(A28&lt;=12,ROUND('Assumptions'!$H$21+('Assumptions'!$H$22-'Assumptions'!$H$21)*(A28-1)/11,0),IF(A28&lt;=24,ROUND('Assumptions'!$H$22+('Assumptions'!$H$23-'Assumptions'!$H$22)*(A28-12)/12,0),ROUND('Assumptions'!$H$23+('Assumptions'!$H$24-'Assumptions'!$H$23)*(A28-24)/12,0)))</x:f>
        <x:v>14</x:v>
      </x:c>
      <x:c r="N28" s="535" t="n">
        <x:f>M28*'Assumptions'!$H$25/12</x:f>
        <x:v>221666.66666666666</x:v>
      </x:c>
      <x:c r="O28" s="535" t="n">
        <x:f>'Assumptions'!$H$26*(1+'Assumptions'!$H$27)^(A28-1)</x:f>
        <x:v>110305.7240200257</x:v>
      </x:c>
      <x:c r="P28" s="535" t="n">
        <x:f>L28-N28-O28</x:f>
        <x:v>-39839.89068669235</x:v>
      </x:c>
      <x:c r="Q28" s="535" t="n">
        <x:f>IF(A28=1,'Assumptions'!$H$28,0)+IF(A28=12,'Assumptions'!$H$29,0)+IF(A28=24,'Assumptions'!$H$30,0)</x:f>
        <x:v>25000000</x:v>
      </x:c>
      <x:c r="R28" s="535" t="n">
        <x:f>IF(A28=1,Q28+P28,R27+Q28+P28)</x:f>
        <x:v>32867411.089693524</x:v>
      </x:c>
      <x:c r="S28" s="535" t="n">
        <x:f>J28*12</x:f>
        <x:v>5485500</x:v>
      </x:c>
      <x:c r="T28" s="402" t="str">
        <x:v>Scenario</x:v>
      </x:c>
      <x:c r="U28" s="402"/>
      <x:c r="V28" s="402"/>
      <x:c r="W28" s="402"/>
      <x:c r="X28" s="402"/>
      <x:c r="Y28" s="402"/>
      <x:c r="Z28" s="402"/>
    </x:row>
    <x:row r="29">
      <x:c r="A29" s="402" t="n">
        <x:v>25</x:v>
      </x:c>
      <x:c r="B29" s="534" t="n">
        <x:f>ROUND('Assumptions'!$H$5*(1+'Assumptions'!$H$6)^(A29-1),1)</x:f>
        <x:v>12.7</x:v>
      </x:c>
      <x:c r="C29" s="535" t="n">
        <x:f>'Assumptions'!$H$7*(1+'Assumptions'!$H$8)^INT((A29-1)/12)</x:f>
        <x:v>27562.5</x:v>
      </x:c>
      <x:c r="D29" s="535" t="n">
        <x:f>B29*C29</x:f>
        <x:v>350043.75</x:v>
      </x:c>
      <x:c r="E29" s="535" t="n">
        <x:f>MAX(0,'Assumptions'!$H$9+INT((A29-1)/'Assumptions'!$H$11)-INT((A29-1)/12)*ROUND('Assumptions'!$H$9*'Assumptions'!$H$12,0))</x:f>
        <x:v>7</x:v>
      </x:c>
      <x:c r="F29" s="535" t="n">
        <x:f>'Assumptions'!$H$10</x:f>
        <x:v>15000</x:v>
      </x:c>
      <x:c r="G29" s="535" t="n">
        <x:f>IF(A29&lt;'Assumptions'!$H$13,0,1+INT((A29-'Assumptions'!$H$13)/'Assumptions'!$H$15))</x:f>
        <x:v>2</x:v>
      </x:c>
      <x:c r="H29" s="535" t="n">
        <x:f>'Assumptions'!$H$14/12</x:f>
        <x:v>25000</x:v>
      </x:c>
      <x:c r="I29" s="535" t="n">
        <x:f>IF(A29&lt;'Assumptions'!$H$17,0,10000*(1+'Assumptions'!$H$18)^(A29-'Assumptions'!$H$17))</x:f>
        <x:v>11500</x:v>
      </x:c>
      <x:c r="J29" s="535" t="n">
        <x:f>D29+E29*F29+G29*H29+I29</x:f>
        <x:v>516543.75</x:v>
      </x:c>
      <x:c r="K29" s="535" t="n">
        <x:f>D29*'Assumptions'!$H$19+(E29*F29+G29*H29+I29)*'Assumptions'!$H$20</x:f>
        <x:v>186978.375</x:v>
      </x:c>
      <x:c r="L29" s="535" t="n">
        <x:f>J29-K29</x:f>
        <x:v>329565.375</x:v>
      </x:c>
      <x:c r="M29" s="402" t="n">
        <x:f>IF(A29&lt;=12,ROUND('Assumptions'!$H$21+('Assumptions'!$H$22-'Assumptions'!$H$21)*(A29-1)/11,0),IF(A29&lt;=24,ROUND('Assumptions'!$H$22+('Assumptions'!$H$23-'Assumptions'!$H$22)*(A29-12)/12,0),ROUND('Assumptions'!$H$23+('Assumptions'!$H$24-'Assumptions'!$H$23)*(A29-24)/12,0)))</x:f>
        <x:v>15</x:v>
      </x:c>
      <x:c r="N29" s="535" t="n">
        <x:f>M29*'Assumptions'!$H$25/12</x:f>
        <x:v>237500</x:v>
      </x:c>
      <x:c r="O29" s="535" t="n">
        <x:f>'Assumptions'!$H$26*(1+'Assumptions'!$H$27)^(A29-1)</x:f>
        <x:v>114166.42436072657</x:v>
      </x:c>
      <x:c r="P29" s="535" t="n">
        <x:f>L29-N29-O29</x:f>
        <x:v>-22101.049360726567</x:v>
      </x:c>
      <x:c r="Q29" s="535" t="n">
        <x:f>IF(A29=1,'Assumptions'!$H$28,0)+IF(A29=12,'Assumptions'!$H$29,0)+IF(A29=24,'Assumptions'!$H$30,0)</x:f>
        <x:v>0</x:v>
      </x:c>
      <x:c r="R29" s="535" t="n">
        <x:f>IF(A29=1,Q29+P29,R28+Q29+P29)</x:f>
        <x:v>32845310.040332798</x:v>
      </x:c>
      <x:c r="S29" s="535" t="n">
        <x:f>J29*12</x:f>
        <x:v>6198525</x:v>
      </x:c>
      <x:c r="T29" s="402" t="str">
        <x:v>Scenario</x:v>
      </x:c>
      <x:c r="U29" s="402"/>
      <x:c r="V29" s="402"/>
      <x:c r="W29" s="402"/>
      <x:c r="X29" s="402"/>
      <x:c r="Y29" s="402"/>
      <x:c r="Z29" s="402"/>
    </x:row>
    <x:row r="30">
      <x:c r="A30" s="402" t="n">
        <x:v>26</x:v>
      </x:c>
      <x:c r="B30" s="534" t="n">
        <x:f>ROUND('Assumptions'!$H$5*(1+'Assumptions'!$H$6)^(A30-1),1)</x:f>
        <x:v>13.7</x:v>
      </x:c>
      <x:c r="C30" s="535" t="n">
        <x:f>'Assumptions'!$H$7*(1+'Assumptions'!$H$8)^INT((A30-1)/12)</x:f>
        <x:v>27562.5</x:v>
      </x:c>
      <x:c r="D30" s="535" t="n">
        <x:f>B30*C30</x:f>
        <x:v>377606.25</x:v>
      </x:c>
      <x:c r="E30" s="535" t="n">
        <x:f>MAX(0,'Assumptions'!$H$9+INT((A30-1)/'Assumptions'!$H$11)-INT((A30-1)/12)*ROUND('Assumptions'!$H$9*'Assumptions'!$H$12,0))</x:f>
        <x:v>7</x:v>
      </x:c>
      <x:c r="F30" s="535" t="n">
        <x:f>'Assumptions'!$H$10</x:f>
        <x:v>15000</x:v>
      </x:c>
      <x:c r="G30" s="535" t="n">
        <x:f>IF(A30&lt;'Assumptions'!$H$13,0,1+INT((A30-'Assumptions'!$H$13)/'Assumptions'!$H$15))</x:f>
        <x:v>2</x:v>
      </x:c>
      <x:c r="H30" s="535" t="n">
        <x:f>'Assumptions'!$H$14/12</x:f>
        <x:v>25000</x:v>
      </x:c>
      <x:c r="I30" s="535" t="n">
        <x:f>IF(A30&lt;'Assumptions'!$H$17,0,10000*(1+'Assumptions'!$H$18)^(A30-'Assumptions'!$H$17))</x:f>
        <x:v>13224.999999999998</x:v>
      </x:c>
      <x:c r="J30" s="535" t="n">
        <x:f>D30+E30*F30+G30*H30+I30</x:f>
        <x:v>545831.25</x:v>
      </x:c>
      <x:c r="K30" s="535" t="n">
        <x:f>D30*'Assumptions'!$H$19+(E30*F30+G30*H30+I30)*'Assumptions'!$H$20</x:f>
        <x:v>198968.625</x:v>
      </x:c>
      <x:c r="L30" s="535" t="n">
        <x:f>J30-K30</x:f>
        <x:v>346862.625</x:v>
      </x:c>
      <x:c r="M30" s="402" t="n">
        <x:f>IF(A30&lt;=12,ROUND('Assumptions'!$H$21+('Assumptions'!$H$22-'Assumptions'!$H$21)*(A30-1)/11,0),IF(A30&lt;=24,ROUND('Assumptions'!$H$22+('Assumptions'!$H$23-'Assumptions'!$H$22)*(A30-12)/12,0),ROUND('Assumptions'!$H$23+('Assumptions'!$H$24-'Assumptions'!$H$23)*(A30-24)/12,0)))</x:f>
        <x:v>15</x:v>
      </x:c>
      <x:c r="N30" s="535" t="n">
        <x:f>M30*'Assumptions'!$H$25/12</x:f>
        <x:v>237500</x:v>
      </x:c>
      <x:c r="O30" s="535" t="n">
        <x:f>'Assumptions'!$H$26*(1+'Assumptions'!$H$27)^(A30-1)</x:f>
        <x:v>118162.24921335198</x:v>
      </x:c>
      <x:c r="P30" s="535" t="n">
        <x:f>L30-N30-O30</x:f>
        <x:v>-8799.624213351985</x:v>
      </x:c>
      <x:c r="Q30" s="535" t="n">
        <x:f>IF(A30=1,'Assumptions'!$H$28,0)+IF(A30=12,'Assumptions'!$H$29,0)+IF(A30=24,'Assumptions'!$H$30,0)</x:f>
        <x:v>0</x:v>
      </x:c>
      <x:c r="R30" s="535" t="n">
        <x:f>IF(A30=1,Q30+P30,R29+Q30+P30)</x:f>
        <x:v>32836510.416119445</x:v>
      </x:c>
      <x:c r="S30" s="535" t="n">
        <x:f>J30*12</x:f>
        <x:v>6549975</x:v>
      </x:c>
      <x:c r="T30" s="402" t="str">
        <x:v>Scenario</x:v>
      </x:c>
      <x:c r="U30" s="402"/>
      <x:c r="V30" s="402"/>
      <x:c r="W30" s="402"/>
      <x:c r="X30" s="402"/>
      <x:c r="Y30" s="402"/>
      <x:c r="Z30" s="402"/>
    </x:row>
    <x:row r="31">
      <x:c r="A31" s="402" t="n">
        <x:v>27</x:v>
      </x:c>
      <x:c r="B31" s="534" t="n">
        <x:f>ROUND('Assumptions'!$H$5*(1+'Assumptions'!$H$6)^(A31-1),1)</x:f>
        <x:v>14.8</x:v>
      </x:c>
      <x:c r="C31" s="535" t="n">
        <x:f>'Assumptions'!$H$7*(1+'Assumptions'!$H$8)^INT((A31-1)/12)</x:f>
        <x:v>27562.5</x:v>
      </x:c>
      <x:c r="D31" s="535" t="n">
        <x:f>B31*C31</x:f>
        <x:v>407925</x:v>
      </x:c>
      <x:c r="E31" s="535" t="n">
        <x:f>MAX(0,'Assumptions'!$H$9+INT((A31-1)/'Assumptions'!$H$11)-INT((A31-1)/12)*ROUND('Assumptions'!$H$9*'Assumptions'!$H$12,0))</x:f>
        <x:v>7</x:v>
      </x:c>
      <x:c r="F31" s="535" t="n">
        <x:f>'Assumptions'!$H$10</x:f>
        <x:v>15000</x:v>
      </x:c>
      <x:c r="G31" s="535" t="n">
        <x:f>IF(A31&lt;'Assumptions'!$H$13,0,1+INT((A31-'Assumptions'!$H$13)/'Assumptions'!$H$15))</x:f>
        <x:v>2</x:v>
      </x:c>
      <x:c r="H31" s="535" t="n">
        <x:f>'Assumptions'!$H$14/12</x:f>
        <x:v>25000</x:v>
      </x:c>
      <x:c r="I31" s="535" t="n">
        <x:f>IF(A31&lt;'Assumptions'!$H$17,0,10000*(1+'Assumptions'!$H$18)^(A31-'Assumptions'!$H$17))</x:f>
        <x:v>15208.749999999995</x:v>
      </x:c>
      <x:c r="J31" s="535" t="n">
        <x:f>D31+E31*F31+G31*H31+I31</x:f>
        <x:v>578133.75</x:v>
      </x:c>
      <x:c r="K31" s="535" t="n">
        <x:f>D31*'Assumptions'!$H$19+(E31*F31+G31*H31+I31)*'Assumptions'!$H$20</x:f>
        <x:v>212178.6</x:v>
      </x:c>
      <x:c r="L31" s="535" t="n">
        <x:f>J31-K31</x:f>
        <x:v>365955.15</x:v>
      </x:c>
      <x:c r="M31" s="402" t="n">
        <x:f>IF(A31&lt;=12,ROUND('Assumptions'!$H$21+('Assumptions'!$H$22-'Assumptions'!$H$21)*(A31-1)/11,0),IF(A31&lt;=24,ROUND('Assumptions'!$H$22+('Assumptions'!$H$23-'Assumptions'!$H$22)*(A31-12)/12,0),ROUND('Assumptions'!$H$23+('Assumptions'!$H$24-'Assumptions'!$H$23)*(A31-24)/12,0)))</x:f>
        <x:v>16</x:v>
      </x:c>
      <x:c r="N31" s="535" t="n">
        <x:f>M31*'Assumptions'!$H$25/12</x:f>
        <x:v>253333.33333333334</x:v>
      </x:c>
      <x:c r="O31" s="535" t="n">
        <x:f>'Assumptions'!$H$26*(1+'Assumptions'!$H$27)^(A31-1)</x:f>
        <x:v>122297.9279358193</x:v>
      </x:c>
      <x:c r="P31" s="535" t="n">
        <x:f>L31-N31-O31</x:f>
        <x:v>-9676.111269152621</x:v>
      </x:c>
      <x:c r="Q31" s="535" t="n">
        <x:f>IF(A31=1,'Assumptions'!$H$28,0)+IF(A31=12,'Assumptions'!$H$29,0)+IF(A31=24,'Assumptions'!$H$30,0)</x:f>
        <x:v>0</x:v>
      </x:c>
      <x:c r="R31" s="535" t="n">
        <x:f>IF(A31=1,Q31+P31,R30+Q31+P31)</x:f>
        <x:v>32826834.30485029</x:v>
      </x:c>
      <x:c r="S31" s="535" t="n">
        <x:f>J31*12</x:f>
        <x:v>6937605</x:v>
      </x:c>
      <x:c r="T31" s="402" t="str">
        <x:v>Scenario</x:v>
      </x:c>
      <x:c r="U31" s="402"/>
      <x:c r="V31" s="402"/>
      <x:c r="W31" s="402"/>
      <x:c r="X31" s="402"/>
      <x:c r="Y31" s="402"/>
      <x:c r="Z31" s="402"/>
    </x:row>
    <x:row r="32">
      <x:c r="A32" s="402" t="n">
        <x:v>28</x:v>
      </x:c>
      <x:c r="B32" s="534" t="n">
        <x:f>ROUND('Assumptions'!$H$5*(1+'Assumptions'!$H$6)^(A32-1),1)</x:f>
        <x:v>16</x:v>
      </x:c>
      <x:c r="C32" s="535" t="n">
        <x:f>'Assumptions'!$H$7*(1+'Assumptions'!$H$8)^INT((A32-1)/12)</x:f>
        <x:v>27562.5</x:v>
      </x:c>
      <x:c r="D32" s="535" t="n">
        <x:f>B32*C32</x:f>
        <x:v>441000</x:v>
      </x:c>
      <x:c r="E32" s="535" t="n">
        <x:f>MAX(0,'Assumptions'!$H$9+INT((A32-1)/'Assumptions'!$H$11)-INT((A32-1)/12)*ROUND('Assumptions'!$H$9*'Assumptions'!$H$12,0))</x:f>
        <x:v>7</x:v>
      </x:c>
      <x:c r="F32" s="535" t="n">
        <x:f>'Assumptions'!$H$10</x:f>
        <x:v>15000</x:v>
      </x:c>
      <x:c r="G32" s="535" t="n">
        <x:f>IF(A32&lt;'Assumptions'!$H$13,0,1+INT((A32-'Assumptions'!$H$13)/'Assumptions'!$H$15))</x:f>
        <x:v>2</x:v>
      </x:c>
      <x:c r="H32" s="535" t="n">
        <x:f>'Assumptions'!$H$14/12</x:f>
        <x:v>25000</x:v>
      </x:c>
      <x:c r="I32" s="535" t="n">
        <x:f>IF(A32&lt;'Assumptions'!$H$17,0,10000*(1+'Assumptions'!$H$18)^(A32-'Assumptions'!$H$17))</x:f>
        <x:v>17490.062499999993</x:v>
      </x:c>
      <x:c r="J32" s="535" t="n">
        <x:f>D32+E32*F32+G32*H32+I32</x:f>
        <x:v>613490.0625</x:v>
      </x:c>
      <x:c r="K32" s="535" t="n">
        <x:f>D32*'Assumptions'!$H$19+(E32*F32+G32*H32+I32)*'Assumptions'!$H$20</x:f>
        <x:v>226617.615</x:v>
      </x:c>
      <x:c r="L32" s="535" t="n">
        <x:f>J32-K32</x:f>
        <x:v>386872.4475</x:v>
      </x:c>
      <x:c r="M32" s="402" t="n">
        <x:f>IF(A32&lt;=12,ROUND('Assumptions'!$H$21+('Assumptions'!$H$22-'Assumptions'!$H$21)*(A32-1)/11,0),IF(A32&lt;=24,ROUND('Assumptions'!$H$22+('Assumptions'!$H$23-'Assumptions'!$H$22)*(A32-12)/12,0),ROUND('Assumptions'!$H$23+('Assumptions'!$H$24-'Assumptions'!$H$23)*(A32-24)/12,0)))</x:f>
        <x:v>17</x:v>
      </x:c>
      <x:c r="N32" s="535" t="n">
        <x:f>M32*'Assumptions'!$H$25/12</x:f>
        <x:v>269166.6666666667</x:v>
      </x:c>
      <x:c r="O32" s="535" t="n">
        <x:f>'Assumptions'!$H$26*(1+'Assumptions'!$H$27)^(A32-1)</x:f>
        <x:v>126578.35541357298</x:v>
      </x:c>
      <x:c r="P32" s="535" t="n">
        <x:f>L32-N32-O32</x:f>
        <x:v>-8872.574580239656</x:v>
      </x:c>
      <x:c r="Q32" s="535" t="n">
        <x:f>IF(A32=1,'Assumptions'!$H$28,0)+IF(A32=12,'Assumptions'!$H$29,0)+IF(A32=24,'Assumptions'!$H$30,0)</x:f>
        <x:v>0</x:v>
      </x:c>
      <x:c r="R32" s="535" t="n">
        <x:f>IF(A32=1,Q32+P32,R31+Q32+P32)</x:f>
        <x:v>32817961.73027005</x:v>
      </x:c>
      <x:c r="S32" s="535" t="n">
        <x:f>J32*12</x:f>
        <x:v>7361880.75</x:v>
      </x:c>
      <x:c r="T32" s="402" t="str">
        <x:v>Scenario</x:v>
      </x:c>
      <x:c r="U32" s="402"/>
      <x:c r="V32" s="402"/>
      <x:c r="W32" s="402"/>
      <x:c r="X32" s="402"/>
      <x:c r="Y32" s="402"/>
      <x:c r="Z32" s="402"/>
    </x:row>
    <x:row r="33">
      <x:c r="A33" s="402" t="n">
        <x:v>29</x:v>
      </x:c>
      <x:c r="B33" s="534" t="n">
        <x:f>ROUND('Assumptions'!$H$5*(1+'Assumptions'!$H$6)^(A33-1),1)</x:f>
        <x:v>17.3</x:v>
      </x:c>
      <x:c r="C33" s="535" t="n">
        <x:f>'Assumptions'!$H$7*(1+'Assumptions'!$H$8)^INT((A33-1)/12)</x:f>
        <x:v>27562.5</x:v>
      </x:c>
      <x:c r="D33" s="535" t="n">
        <x:f>B33*C33</x:f>
        <x:v>476831.25</x:v>
      </x:c>
      <x:c r="E33" s="535" t="n">
        <x:f>MAX(0,'Assumptions'!$H$9+INT((A33-1)/'Assumptions'!$H$11)-INT((A33-1)/12)*ROUND('Assumptions'!$H$9*'Assumptions'!$H$12,0))</x:f>
        <x:v>8</x:v>
      </x:c>
      <x:c r="F33" s="535" t="n">
        <x:f>'Assumptions'!$H$10</x:f>
        <x:v>15000</x:v>
      </x:c>
      <x:c r="G33" s="535" t="n">
        <x:f>IF(A33&lt;'Assumptions'!$H$13,0,1+INT((A33-'Assumptions'!$H$13)/'Assumptions'!$H$15))</x:f>
        <x:v>2</x:v>
      </x:c>
      <x:c r="H33" s="535" t="n">
        <x:f>'Assumptions'!$H$14/12</x:f>
        <x:v>25000</x:v>
      </x:c>
      <x:c r="I33" s="535" t="n">
        <x:f>IF(A33&lt;'Assumptions'!$H$17,0,10000*(1+'Assumptions'!$H$18)^(A33-'Assumptions'!$H$17))</x:f>
        <x:v>20113.571874999994</x:v>
      </x:c>
      <x:c r="J33" s="535" t="n">
        <x:f>D33+E33*F33+G33*H33+I33</x:f>
        <x:v>666944.821875</x:v>
      </x:c>
      <x:c r="K33" s="535" t="n">
        <x:f>D33*'Assumptions'!$H$19+(E33*F33+G33*H33+I33)*'Assumptions'!$H$20</x:f>
        <x:v>245896.38225</x:v>
      </x:c>
      <x:c r="L33" s="535" t="n">
        <x:f>J33-K33</x:f>
        <x:v>421048.439625</x:v>
      </x:c>
      <x:c r="M33" s="402" t="n">
        <x:f>IF(A33&lt;=12,ROUND('Assumptions'!$H$21+('Assumptions'!$H$22-'Assumptions'!$H$21)*(A33-1)/11,0),IF(A33&lt;=24,ROUND('Assumptions'!$H$22+('Assumptions'!$H$23-'Assumptions'!$H$22)*(A33-12)/12,0),ROUND('Assumptions'!$H$23+('Assumptions'!$H$24-'Assumptions'!$H$23)*(A33-24)/12,0)))</x:f>
        <x:v>17</x:v>
      </x:c>
      <x:c r="N33" s="535" t="n">
        <x:f>M33*'Assumptions'!$H$25/12</x:f>
        <x:v>269166.6666666667</x:v>
      </x:c>
      <x:c r="O33" s="535" t="n">
        <x:f>'Assumptions'!$H$26*(1+'Assumptions'!$H$27)^(A33-1)</x:f>
        <x:v>131008.59785304804</x:v>
      </x:c>
      <x:c r="P33" s="535" t="n">
        <x:f>L33-N33-O33</x:f>
        <x:v>20873.175105285278</x:v>
      </x:c>
      <x:c r="Q33" s="535" t="n">
        <x:f>IF(A33=1,'Assumptions'!$H$28,0)+IF(A33=12,'Assumptions'!$H$29,0)+IF(A33=24,'Assumptions'!$H$30,0)</x:f>
        <x:v>0</x:v>
      </x:c>
      <x:c r="R33" s="535" t="n">
        <x:f>IF(A33=1,Q33+P33,R32+Q33+P33)</x:f>
        <x:v>32838834.905375335</x:v>
      </x:c>
      <x:c r="S33" s="535" t="n">
        <x:f>J33*12</x:f>
        <x:v>8003337.862500001</x:v>
      </x:c>
      <x:c r="T33" s="402" t="str">
        <x:v>Scenario</x:v>
      </x:c>
      <x:c r="U33" s="402"/>
      <x:c r="V33" s="402"/>
      <x:c r="W33" s="402"/>
      <x:c r="X33" s="402"/>
      <x:c r="Y33" s="402"/>
      <x:c r="Z33" s="402"/>
    </x:row>
    <x:row r="34">
      <x:c r="A34" s="402" t="n">
        <x:v>30</x:v>
      </x:c>
      <x:c r="B34" s="534" t="n">
        <x:f>ROUND('Assumptions'!$H$5*(1+'Assumptions'!$H$6)^(A34-1),1)</x:f>
        <x:v>18.6</x:v>
      </x:c>
      <x:c r="C34" s="535" t="n">
        <x:f>'Assumptions'!$H$7*(1+'Assumptions'!$H$8)^INT((A34-1)/12)</x:f>
        <x:v>27562.5</x:v>
      </x:c>
      <x:c r="D34" s="535" t="n">
        <x:f>B34*C34</x:f>
        <x:v>512662.50000000006</x:v>
      </x:c>
      <x:c r="E34" s="535" t="n">
        <x:f>MAX(0,'Assumptions'!$H$9+INT((A34-1)/'Assumptions'!$H$11)-INT((A34-1)/12)*ROUND('Assumptions'!$H$9*'Assumptions'!$H$12,0))</x:f>
        <x:v>8</x:v>
      </x:c>
      <x:c r="F34" s="535" t="n">
        <x:f>'Assumptions'!$H$10</x:f>
        <x:v>15000</x:v>
      </x:c>
      <x:c r="G34" s="535" t="n">
        <x:f>IF(A34&lt;'Assumptions'!$H$13,0,1+INT((A34-'Assumptions'!$H$13)/'Assumptions'!$H$15))</x:f>
        <x:v>3</x:v>
      </x:c>
      <x:c r="H34" s="535" t="n">
        <x:f>'Assumptions'!$H$14/12</x:f>
        <x:v>25000</x:v>
      </x:c>
      <x:c r="I34" s="535" t="n">
        <x:f>IF(A34&lt;'Assumptions'!$H$17,0,10000*(1+'Assumptions'!$H$18)^(A34-'Assumptions'!$H$17))</x:f>
        <x:v>23130.60765624999</x:v>
      </x:c>
      <x:c r="J34" s="535" t="n">
        <x:f>D34+E34*F34+G34*H34+I34</x:f>
        <x:v>730793.10765625</x:v>
      </x:c>
      <x:c r="K34" s="535" t="n">
        <x:f>D34*'Assumptions'!$H$19+(E34*F34+G34*H34+I34)*'Assumptions'!$H$20</x:f>
        <x:v>267669.5958375</x:v>
      </x:c>
      <x:c r="L34" s="535" t="n">
        <x:f>J34-K34</x:f>
        <x:v>463123.51181875</x:v>
      </x:c>
      <x:c r="M34" s="402" t="n">
        <x:f>IF(A34&lt;=12,ROUND('Assumptions'!$H$21+('Assumptions'!$H$22-'Assumptions'!$H$21)*(A34-1)/11,0),IF(A34&lt;=24,ROUND('Assumptions'!$H$22+('Assumptions'!$H$23-'Assumptions'!$H$22)*(A34-12)/12,0),ROUND('Assumptions'!$H$23+('Assumptions'!$H$24-'Assumptions'!$H$23)*(A34-24)/12,0)))</x:f>
        <x:v>18</x:v>
      </x:c>
      <x:c r="N34" s="535" t="n">
        <x:f>M34*'Assumptions'!$H$25/12</x:f>
        <x:v>285000</x:v>
      </x:c>
      <x:c r="O34" s="535" t="n">
        <x:f>'Assumptions'!$H$26*(1+'Assumptions'!$H$27)^(A34-1)</x:f>
        <x:v>135593.8987779047</x:v>
      </x:c>
      <x:c r="P34" s="535" t="n">
        <x:f>L34-N34-O34</x:f>
        <x:v>42529.61304084532</x:v>
      </x:c>
      <x:c r="Q34" s="535" t="n">
        <x:f>IF(A34=1,'Assumptions'!$H$28,0)+IF(A34=12,'Assumptions'!$H$29,0)+IF(A34=24,'Assumptions'!$H$30,0)</x:f>
        <x:v>0</x:v>
      </x:c>
      <x:c r="R34" s="535" t="n">
        <x:f>IF(A34=1,Q34+P34,R33+Q34+P34)</x:f>
        <x:v>32881364.51841618</x:v>
      </x:c>
      <x:c r="S34" s="535" t="n">
        <x:f>J34*12</x:f>
        <x:v>8769517.291875001</x:v>
      </x:c>
      <x:c r="T34" s="402" t="str">
        <x:v>Scenario</x:v>
      </x:c>
      <x:c r="U34" s="402"/>
      <x:c r="V34" s="402"/>
      <x:c r="W34" s="402"/>
      <x:c r="X34" s="402"/>
      <x:c r="Y34" s="402"/>
      <x:c r="Z34" s="402"/>
    </x:row>
    <x:row r="35">
      <x:c r="A35" s="402" t="n">
        <x:v>31</x:v>
      </x:c>
      <x:c r="B35" s="534" t="n">
        <x:f>ROUND('Assumptions'!$H$5*(1+'Assumptions'!$H$6)^(A35-1),1)</x:f>
        <x:v>20.1</x:v>
      </x:c>
      <x:c r="C35" s="535" t="n">
        <x:f>'Assumptions'!$H$7*(1+'Assumptions'!$H$8)^INT((A35-1)/12)</x:f>
        <x:v>27562.5</x:v>
      </x:c>
      <x:c r="D35" s="535" t="n">
        <x:f>B35*C35</x:f>
        <x:v>554006.25</x:v>
      </x:c>
      <x:c r="E35" s="535" t="n">
        <x:f>MAX(0,'Assumptions'!$H$9+INT((A35-1)/'Assumptions'!$H$11)-INT((A35-1)/12)*ROUND('Assumptions'!$H$9*'Assumptions'!$H$12,0))</x:f>
        <x:v>8</x:v>
      </x:c>
      <x:c r="F35" s="535" t="n">
        <x:f>'Assumptions'!$H$10</x:f>
        <x:v>15000</x:v>
      </x:c>
      <x:c r="G35" s="535" t="n">
        <x:f>IF(A35&lt;'Assumptions'!$H$13,0,1+INT((A35-'Assumptions'!$H$13)/'Assumptions'!$H$15))</x:f>
        <x:v>3</x:v>
      </x:c>
      <x:c r="H35" s="535" t="n">
        <x:f>'Assumptions'!$H$14/12</x:f>
        <x:v>25000</x:v>
      </x:c>
      <x:c r="I35" s="535" t="n">
        <x:f>IF(A35&lt;'Assumptions'!$H$17,0,10000*(1+'Assumptions'!$H$18)^(A35-'Assumptions'!$H$17))</x:f>
        <x:v>26600.198804687483</x:v>
      </x:c>
      <x:c r="J35" s="535" t="n">
        <x:f>D35+E35*F35+G35*H35+I35</x:f>
        <x:v>775606.4488046875</x:v>
      </x:c>
      <x:c r="K35" s="535" t="n">
        <x:f>D35*'Assumptions'!$H$19+(E35*F35+G35*H35+I35)*'Assumptions'!$H$20</x:f>
        <x:v>285866.672713125</x:v>
      </x:c>
      <x:c r="L35" s="535" t="n">
        <x:f>J35-K35</x:f>
        <x:v>489739.77609156247</x:v>
      </x:c>
      <x:c r="M35" s="402" t="n">
        <x:f>IF(A35&lt;=12,ROUND('Assumptions'!$H$21+('Assumptions'!$H$22-'Assumptions'!$H$21)*(A35-1)/11,0),IF(A35&lt;=24,ROUND('Assumptions'!$H$22+('Assumptions'!$H$23-'Assumptions'!$H$22)*(A35-12)/12,0),ROUND('Assumptions'!$H$23+('Assumptions'!$H$24-'Assumptions'!$H$23)*(A35-24)/12,0)))</x:f>
        <x:v>19</x:v>
      </x:c>
      <x:c r="N35" s="535" t="n">
        <x:f>M35*'Assumptions'!$H$25/12</x:f>
        <x:v>300833.3333333333</x:v>
      </x:c>
      <x:c r="O35" s="535" t="n">
        <x:f>'Assumptions'!$H$26*(1+'Assumptions'!$H$27)^(A35-1)</x:f>
        <x:v>140339.68523513136</x:v>
      </x:c>
      <x:c r="P35" s="535" t="n">
        <x:f>L35-N35-O35</x:f>
        <x:v>48566.7575230978</x:v>
      </x:c>
      <x:c r="Q35" s="535" t="n">
        <x:f>IF(A35=1,'Assumptions'!$H$28,0)+IF(A35=12,'Assumptions'!$H$29,0)+IF(A35=24,'Assumptions'!$H$30,0)</x:f>
        <x:v>0</x:v>
      </x:c>
      <x:c r="R35" s="535" t="n">
        <x:f>IF(A35=1,Q35+P35,R34+Q35+P35)</x:f>
        <x:v>32929931.27593928</x:v>
      </x:c>
      <x:c r="S35" s="535" t="n">
        <x:f>J35*12</x:f>
        <x:v>9307277.385656249</x:v>
      </x:c>
      <x:c r="T35" s="402" t="str">
        <x:v>Scenario</x:v>
      </x:c>
      <x:c r="U35" s="402"/>
      <x:c r="V35" s="402"/>
      <x:c r="W35" s="402"/>
      <x:c r="X35" s="402"/>
      <x:c r="Y35" s="402"/>
      <x:c r="Z35" s="402"/>
    </x:row>
    <x:row r="36">
      <x:c r="A36" s="402" t="n">
        <x:v>32</x:v>
      </x:c>
      <x:c r="B36" s="534" t="n">
        <x:f>ROUND('Assumptions'!$H$5*(1+'Assumptions'!$H$6)^(A36-1),1)</x:f>
        <x:v>21.7</x:v>
      </x:c>
      <x:c r="C36" s="535" t="n">
        <x:f>'Assumptions'!$H$7*(1+'Assumptions'!$H$8)^INT((A36-1)/12)</x:f>
        <x:v>27562.5</x:v>
      </x:c>
      <x:c r="D36" s="535" t="n">
        <x:f>B36*C36</x:f>
        <x:v>598106.25</x:v>
      </x:c>
      <x:c r="E36" s="535" t="n">
        <x:f>MAX(0,'Assumptions'!$H$9+INT((A36-1)/'Assumptions'!$H$11)-INT((A36-1)/12)*ROUND('Assumptions'!$H$9*'Assumptions'!$H$12,0))</x:f>
        <x:v>8</x:v>
      </x:c>
      <x:c r="F36" s="535" t="n">
        <x:f>'Assumptions'!$H$10</x:f>
        <x:v>15000</x:v>
      </x:c>
      <x:c r="G36" s="535" t="n">
        <x:f>IF(A36&lt;'Assumptions'!$H$13,0,1+INT((A36-'Assumptions'!$H$13)/'Assumptions'!$H$15))</x:f>
        <x:v>3</x:v>
      </x:c>
      <x:c r="H36" s="535" t="n">
        <x:f>'Assumptions'!$H$14/12</x:f>
        <x:v>25000</x:v>
      </x:c>
      <x:c r="I36" s="535" t="n">
        <x:f>IF(A36&lt;'Assumptions'!$H$17,0,10000*(1+'Assumptions'!$H$18)^(A36-'Assumptions'!$H$17))</x:f>
        <x:v>30590.228625390602</x:v>
      </x:c>
      <x:c r="J36" s="535" t="n">
        <x:f>D36+E36*F36+G36*H36+I36</x:f>
        <x:v>823696.4786253906</x:v>
      </x:c>
      <x:c r="K36" s="535" t="n">
        <x:f>D36*'Assumptions'!$H$19+(E36*F36+G36*H36+I36)*'Assumptions'!$H$20</x:f>
        <x:v>305346.27987009374</x:v>
      </x:c>
      <x:c r="L36" s="535" t="n">
        <x:f>J36-K36</x:f>
        <x:v>518350.1987552968</x:v>
      </x:c>
      <x:c r="M36" s="402" t="n">
        <x:f>IF(A36&lt;=12,ROUND('Assumptions'!$H$21+('Assumptions'!$H$22-'Assumptions'!$H$21)*(A36-1)/11,0),IF(A36&lt;=24,ROUND('Assumptions'!$H$22+('Assumptions'!$H$23-'Assumptions'!$H$22)*(A36-12)/12,0),ROUND('Assumptions'!$H$23+('Assumptions'!$H$24-'Assumptions'!$H$23)*(A36-24)/12,0)))</x:f>
        <x:v>19</x:v>
      </x:c>
      <x:c r="N36" s="535" t="n">
        <x:f>M36*'Assumptions'!$H$25/12</x:f>
        <x:v>300833.3333333333</x:v>
      </x:c>
      <x:c r="O36" s="535" t="n">
        <x:f>'Assumptions'!$H$26*(1+'Assumptions'!$H$27)^(A36-1)</x:f>
        <x:v>145251.57421836094</x:v>
      </x:c>
      <x:c r="P36" s="535" t="n">
        <x:f>L36-N36-O36</x:f>
        <x:v>72265.29120360257</x:v>
      </x:c>
      <x:c r="Q36" s="535" t="n">
        <x:f>IF(A36=1,'Assumptions'!$H$28,0)+IF(A36=12,'Assumptions'!$H$29,0)+IF(A36=24,'Assumptions'!$H$30,0)</x:f>
        <x:v>0</x:v>
      </x:c>
      <x:c r="R36" s="535" t="n">
        <x:f>IF(A36=1,Q36+P36,R35+Q36+P36)</x:f>
        <x:v>33002196.56714288</x:v>
      </x:c>
      <x:c r="S36" s="535" t="n">
        <x:f>J36*12</x:f>
        <x:v>9884357.743504686</x:v>
      </x:c>
      <x:c r="T36" s="402" t="str">
        <x:v>Scenario</x:v>
      </x:c>
      <x:c r="U36" s="402"/>
      <x:c r="V36" s="402"/>
      <x:c r="W36" s="402"/>
      <x:c r="X36" s="402"/>
      <x:c r="Y36" s="402"/>
      <x:c r="Z36" s="402"/>
    </x:row>
    <x:row r="37">
      <x:c r="A37" s="402" t="n">
        <x:v>33</x:v>
      </x:c>
      <x:c r="B37" s="534" t="n">
        <x:f>ROUND('Assumptions'!$H$5*(1+'Assumptions'!$H$6)^(A37-1),1)</x:f>
        <x:v>23.5</x:v>
      </x:c>
      <x:c r="C37" s="535" t="n">
        <x:f>'Assumptions'!$H$7*(1+'Assumptions'!$H$8)^INT((A37-1)/12)</x:f>
        <x:v>27562.5</x:v>
      </x:c>
      <x:c r="D37" s="535" t="n">
        <x:f>B37*C37</x:f>
        <x:v>647718.75</x:v>
      </x:c>
      <x:c r="E37" s="535" t="n">
        <x:f>MAX(0,'Assumptions'!$H$9+INT((A37-1)/'Assumptions'!$H$11)-INT((A37-1)/12)*ROUND('Assumptions'!$H$9*'Assumptions'!$H$12,0))</x:f>
        <x:v>9</x:v>
      </x:c>
      <x:c r="F37" s="535" t="n">
        <x:f>'Assumptions'!$H$10</x:f>
        <x:v>15000</x:v>
      </x:c>
      <x:c r="G37" s="535" t="n">
        <x:f>IF(A37&lt;'Assumptions'!$H$13,0,1+INT((A37-'Assumptions'!$H$13)/'Assumptions'!$H$15))</x:f>
        <x:v>3</x:v>
      </x:c>
      <x:c r="H37" s="535" t="n">
        <x:f>'Assumptions'!$H$14/12</x:f>
        <x:v>25000</x:v>
      </x:c>
      <x:c r="I37" s="535" t="n">
        <x:f>IF(A37&lt;'Assumptions'!$H$17,0,10000*(1+'Assumptions'!$H$18)^(A37-'Assumptions'!$H$17))</x:f>
        <x:v>35178.762919199195</x:v>
      </x:c>
      <x:c r="J37" s="535" t="n">
        <x:f>D37+E37*F37+G37*H37+I37</x:f>
        <x:v>892897.5129191992</x:v>
      </x:c>
      <x:c r="K37" s="535" t="n">
        <x:f>D37*'Assumptions'!$H$19+(E37*F37+G37*H37+I37)*'Assumptions'!$H$20</x:f>
        <x:v>330884.7781006078</x:v>
      </x:c>
      <x:c r="L37" s="535" t="n">
        <x:f>J37-K37</x:f>
        <x:v>562012.7348185914</x:v>
      </x:c>
      <x:c r="M37" s="402" t="n">
        <x:f>IF(A37&lt;=12,ROUND('Assumptions'!$H$21+('Assumptions'!$H$22-'Assumptions'!$H$21)*(A37-1)/11,0),IF(A37&lt;=24,ROUND('Assumptions'!$H$22+('Assumptions'!$H$23-'Assumptions'!$H$22)*(A37-12)/12,0),ROUND('Assumptions'!$H$23+('Assumptions'!$H$24-'Assumptions'!$H$23)*(A37-24)/12,0)))</x:f>
        <x:v>20</x:v>
      </x:c>
      <x:c r="N37" s="535" t="n">
        <x:f>M37*'Assumptions'!$H$25/12</x:f>
        <x:v>316666.6666666667</x:v>
      </x:c>
      <x:c r="O37" s="535" t="n">
        <x:f>'Assumptions'!$H$26*(1+'Assumptions'!$H$27)^(A37-1)</x:f>
        <x:v>150335.37931600353</x:v>
      </x:c>
      <x:c r="P37" s="535" t="n">
        <x:f>L37-N37-O37</x:f>
        <x:v>95010.68883592117</x:v>
      </x:c>
      <x:c r="Q37" s="535" t="n">
        <x:f>IF(A37=1,'Assumptions'!$H$28,0)+IF(A37=12,'Assumptions'!$H$29,0)+IF(A37=24,'Assumptions'!$H$30,0)</x:f>
        <x:v>0</x:v>
      </x:c>
      <x:c r="R37" s="535" t="n">
        <x:f>IF(A37=1,Q37+P37,R36+Q37+P37)</x:f>
        <x:v>33097207.255978804</x:v>
      </x:c>
      <x:c r="S37" s="535" t="n">
        <x:f>J37*12</x:f>
        <x:v>10714770.15503039</x:v>
      </x:c>
      <x:c r="T37" s="402" t="str">
        <x:v>Scenario</x:v>
      </x:c>
      <x:c r="U37" s="402"/>
      <x:c r="V37" s="402"/>
      <x:c r="W37" s="402"/>
      <x:c r="X37" s="402"/>
      <x:c r="Y37" s="402"/>
      <x:c r="Z37" s="402"/>
    </x:row>
    <x:row r="38">
      <x:c r="A38" s="402" t="n">
        <x:v>34</x:v>
      </x:c>
      <x:c r="B38" s="534" t="n">
        <x:f>ROUND('Assumptions'!$H$5*(1+'Assumptions'!$H$6)^(A38-1),1)</x:f>
        <x:v>25.4</x:v>
      </x:c>
      <x:c r="C38" s="535" t="n">
        <x:f>'Assumptions'!$H$7*(1+'Assumptions'!$H$8)^INT((A38-1)/12)</x:f>
        <x:v>27562.5</x:v>
      </x:c>
      <x:c r="D38" s="535" t="n">
        <x:f>B38*C38</x:f>
        <x:v>700087.5</x:v>
      </x:c>
      <x:c r="E38" s="535" t="n">
        <x:f>MAX(0,'Assumptions'!$H$9+INT((A38-1)/'Assumptions'!$H$11)-INT((A38-1)/12)*ROUND('Assumptions'!$H$9*'Assumptions'!$H$12,0))</x:f>
        <x:v>9</x:v>
      </x:c>
      <x:c r="F38" s="535" t="n">
        <x:f>'Assumptions'!$H$10</x:f>
        <x:v>15000</x:v>
      </x:c>
      <x:c r="G38" s="535" t="n">
        <x:f>IF(A38&lt;'Assumptions'!$H$13,0,1+INT((A38-'Assumptions'!$H$13)/'Assumptions'!$H$15))</x:f>
        <x:v>3</x:v>
      </x:c>
      <x:c r="H38" s="535" t="n">
        <x:f>'Assumptions'!$H$14/12</x:f>
        <x:v>25000</x:v>
      </x:c>
      <x:c r="I38" s="535" t="n">
        <x:f>IF(A38&lt;'Assumptions'!$H$17,0,10000*(1+'Assumptions'!$H$18)^(A38-'Assumptions'!$H$17))</x:f>
        <x:v>40455.57735707907</x:v>
      </x:c>
      <x:c r="J38" s="535" t="n">
        <x:f>D38+E38*F38+G38*H38+I38</x:f>
        <x:v>950543.077357079</x:v>
      </x:c>
      <x:c r="K38" s="535" t="n">
        <x:f>D38*'Assumptions'!$H$19+(E38*F38+G38*H38+I38)*'Assumptions'!$H$20</x:f>
        <x:v>354146.088565699</x:v>
      </x:c>
      <x:c r="L38" s="535" t="n">
        <x:f>J38-K38</x:f>
        <x:v>596396.9887913801</x:v>
      </x:c>
      <x:c r="M38" s="402" t="n">
        <x:f>IF(A38&lt;=12,ROUND('Assumptions'!$H$21+('Assumptions'!$H$22-'Assumptions'!$H$21)*(A38-1)/11,0),IF(A38&lt;=24,ROUND('Assumptions'!$H$22+('Assumptions'!$H$23-'Assumptions'!$H$22)*(A38-12)/12,0),ROUND('Assumptions'!$H$23+('Assumptions'!$H$24-'Assumptions'!$H$23)*(A38-24)/12,0)))</x:f>
        <x:v>21</x:v>
      </x:c>
      <x:c r="N38" s="535" t="n">
        <x:f>M38*'Assumptions'!$H$25/12</x:f>
        <x:v>332500</x:v>
      </x:c>
      <x:c r="O38" s="535" t="n">
        <x:f>'Assumptions'!$H$26*(1+'Assumptions'!$H$27)^(A38-1)</x:f>
        <x:v>155597.11759206365</x:v>
      </x:c>
      <x:c r="P38" s="535" t="n">
        <x:f>L38-N38-O38</x:f>
        <x:v>108299.87119931643</x:v>
      </x:c>
      <x:c r="Q38" s="535" t="n">
        <x:f>IF(A38=1,'Assumptions'!$H$28,0)+IF(A38=12,'Assumptions'!$H$29,0)+IF(A38=24,'Assumptions'!$H$30,0)</x:f>
        <x:v>0</x:v>
      </x:c>
      <x:c r="R38" s="535" t="n">
        <x:f>IF(A38=1,Q38+P38,R37+Q38+P38)</x:f>
        <x:v>33205507.12717812</x:v>
      </x:c>
      <x:c r="S38" s="535" t="n">
        <x:f>J38*12</x:f>
        <x:v>11406516.928284949</x:v>
      </x:c>
      <x:c r="T38" s="402" t="str">
        <x:v>Scenario</x:v>
      </x:c>
      <x:c r="U38" s="402"/>
      <x:c r="V38" s="402"/>
      <x:c r="W38" s="402"/>
      <x:c r="X38" s="402"/>
      <x:c r="Y38" s="402"/>
      <x:c r="Z38" s="402"/>
    </x:row>
    <x:row r="39">
      <x:c r="A39" s="402" t="n">
        <x:v>35</x:v>
      </x:c>
      <x:c r="B39" s="534" t="n">
        <x:f>ROUND('Assumptions'!$H$5*(1+'Assumptions'!$H$6)^(A39-1),1)</x:f>
        <x:v>27.4</x:v>
      </x:c>
      <x:c r="C39" s="535" t="n">
        <x:f>'Assumptions'!$H$7*(1+'Assumptions'!$H$8)^INT((A39-1)/12)</x:f>
        <x:v>27562.5</x:v>
      </x:c>
      <x:c r="D39" s="535" t="n">
        <x:f>B39*C39</x:f>
        <x:v>755212.5</x:v>
      </x:c>
      <x:c r="E39" s="535" t="n">
        <x:f>MAX(0,'Assumptions'!$H$9+INT((A39-1)/'Assumptions'!$H$11)-INT((A39-1)/12)*ROUND('Assumptions'!$H$9*'Assumptions'!$H$12,0))</x:f>
        <x:v>9</x:v>
      </x:c>
      <x:c r="F39" s="535" t="n">
        <x:f>'Assumptions'!$H$10</x:f>
        <x:v>15000</x:v>
      </x:c>
      <x:c r="G39" s="535" t="n">
        <x:f>IF(A39&lt;'Assumptions'!$H$13,0,1+INT((A39-'Assumptions'!$H$13)/'Assumptions'!$H$15))</x:f>
        <x:v>3</x:v>
      </x:c>
      <x:c r="H39" s="535" t="n">
        <x:f>'Assumptions'!$H$14/12</x:f>
        <x:v>25000</x:v>
      </x:c>
      <x:c r="I39" s="535" t="n">
        <x:f>IF(A39&lt;'Assumptions'!$H$17,0,10000*(1+'Assumptions'!$H$18)^(A39-'Assumptions'!$H$17))</x:f>
        <x:v>46523.91396064092</x:v>
      </x:c>
      <x:c r="J39" s="535" t="n">
        <x:f>D39+E39*F39+G39*H39+I39</x:f>
        <x:v>1011736.4139606409</x:v>
      </x:c>
      <x:c r="K39" s="535" t="n">
        <x:f>D39*'Assumptions'!$H$19+(E39*F39+G39*H39+I39)*'Assumptions'!$H$20</x:f>
        <x:v>378754.98935055383</x:v>
      </x:c>
      <x:c r="L39" s="535" t="n">
        <x:f>J39-K39</x:f>
        <x:v>632981.4246100871</x:v>
      </x:c>
      <x:c r="M39" s="402" t="n">
        <x:f>IF(A39&lt;=12,ROUND('Assumptions'!$H$21+('Assumptions'!$H$22-'Assumptions'!$H$21)*(A39-1)/11,0),IF(A39&lt;=24,ROUND('Assumptions'!$H$22+('Assumptions'!$H$23-'Assumptions'!$H$22)*(A39-12)/12,0),ROUND('Assumptions'!$H$23+('Assumptions'!$H$24-'Assumptions'!$H$23)*(A39-24)/12,0)))</x:f>
        <x:v>21</x:v>
      </x:c>
      <x:c r="N39" s="535" t="n">
        <x:f>M39*'Assumptions'!$H$25/12</x:f>
        <x:v>332500</x:v>
      </x:c>
      <x:c r="O39" s="535" t="n">
        <x:f>'Assumptions'!$H$26*(1+'Assumptions'!$H$27)^(A39-1)</x:f>
        <x:v>161043.01670778586</x:v>
      </x:c>
      <x:c r="P39" s="535" t="n">
        <x:f>L39-N39-O39</x:f>
        <x:v>139438.4079023012</x:v>
      </x:c>
      <x:c r="Q39" s="535" t="n">
        <x:f>IF(A39=1,'Assumptions'!$H$28,0)+IF(A39=12,'Assumptions'!$H$29,0)+IF(A39=24,'Assumptions'!$H$30,0)</x:f>
        <x:v>0</x:v>
      </x:c>
      <x:c r="R39" s="535" t="n">
        <x:f>IF(A39=1,Q39+P39,R38+Q39+P39)</x:f>
        <x:v>33344945.53508042</x:v>
      </x:c>
      <x:c r="S39" s="535" t="n">
        <x:f>J39*12</x:f>
        <x:v>12140836.967527691</x:v>
      </x:c>
      <x:c r="T39" s="402" t="str">
        <x:v>Scenario</x:v>
      </x:c>
      <x:c r="U39" s="402"/>
      <x:c r="V39" s="402"/>
      <x:c r="W39" s="402"/>
      <x:c r="X39" s="402"/>
      <x:c r="Y39" s="402"/>
      <x:c r="Z39" s="402"/>
    </x:row>
    <x:row r="40">
      <x:c r="A40" s="402" t="n">
        <x:v>36</x:v>
      </x:c>
      <x:c r="B40" s="534" t="n">
        <x:f>ROUND('Assumptions'!$H$5*(1+'Assumptions'!$H$6)^(A40-1),1)</x:f>
        <x:v>29.6</x:v>
      </x:c>
      <x:c r="C40" s="535" t="n">
        <x:f>'Assumptions'!$H$7*(1+'Assumptions'!$H$8)^INT((A40-1)/12)</x:f>
        <x:v>27562.5</x:v>
      </x:c>
      <x:c r="D40" s="535" t="n">
        <x:f>B40*C40</x:f>
        <x:v>815850</x:v>
      </x:c>
      <x:c r="E40" s="535" t="n">
        <x:f>MAX(0,'Assumptions'!$H$9+INT((A40-1)/'Assumptions'!$H$11)-INT((A40-1)/12)*ROUND('Assumptions'!$H$9*'Assumptions'!$H$12,0))</x:f>
        <x:v>9</x:v>
      </x:c>
      <x:c r="F40" s="535" t="n">
        <x:f>'Assumptions'!$H$10</x:f>
        <x:v>15000</x:v>
      </x:c>
      <x:c r="G40" s="535" t="n">
        <x:f>IF(A40&lt;'Assumptions'!$H$13,0,1+INT((A40-'Assumptions'!$H$13)/'Assumptions'!$H$15))</x:f>
        <x:v>4</x:v>
      </x:c>
      <x:c r="H40" s="535" t="n">
        <x:f>'Assumptions'!$H$14/12</x:f>
        <x:v>25000</x:v>
      </x:c>
      <x:c r="I40" s="535" t="n">
        <x:f>IF(A40&lt;'Assumptions'!$H$17,0,10000*(1+'Assumptions'!$H$18)^(A40-'Assumptions'!$H$17))</x:f>
        <x:v>53502.501054737055</x:v>
      </x:c>
      <x:c r="J40" s="535" t="n">
        <x:f>D40+E40*F40+G40*H40+I40</x:f>
        <x:v>1104352.501054737</x:v>
      </x:c>
      <x:c r="K40" s="535" t="n">
        <x:f>D40*'Assumptions'!$H$19+(E40*F40+G40*H40+I40)*'Assumptions'!$H$20</x:f>
        <x:v>411897.6002531369</x:v>
      </x:c>
      <x:c r="L40" s="535" t="n">
        <x:f>J40-K40</x:f>
        <x:v>692454.9008016002</x:v>
      </x:c>
      <x:c r="M40" s="402" t="n">
        <x:f>IF(A40&lt;=12,ROUND('Assumptions'!$H$21+('Assumptions'!$H$22-'Assumptions'!$H$21)*(A40-1)/11,0),IF(A40&lt;=24,ROUND('Assumptions'!$H$22+('Assumptions'!$H$23-'Assumptions'!$H$22)*(A40-12)/12,0),ROUND('Assumptions'!$H$23+('Assumptions'!$H$24-'Assumptions'!$H$23)*(A40-24)/12,0)))</x:f>
        <x:v>22</x:v>
      </x:c>
      <x:c r="N40" s="535" t="n">
        <x:f>M40*'Assumptions'!$H$25/12</x:f>
        <x:v>348333.3333333333</x:v>
      </x:c>
      <x:c r="O40" s="535" t="n">
        <x:f>'Assumptions'!$H$26*(1+'Assumptions'!$H$27)^(A40-1)</x:f>
        <x:v>166679.52229255837</x:v>
      </x:c>
      <x:c r="P40" s="535" t="n">
        <x:f>L40-N40-O40</x:f>
        <x:v>177442.0451757085</x:v>
      </x:c>
      <x:c r="Q40" s="535" t="n">
        <x:f>IF(A40=1,'Assumptions'!$H$28,0)+IF(A40=12,'Assumptions'!$H$29,0)+IF(A40=24,'Assumptions'!$H$30,0)</x:f>
        <x:v>0</x:v>
      </x:c>
      <x:c r="R40" s="535" t="n">
        <x:f>IF(A40=1,Q40+P40,R39+Q40+P40)</x:f>
        <x:v>33522387.58025613</x:v>
      </x:c>
      <x:c r="S40" s="535" t="n">
        <x:f>J40*12</x:f>
        <x:v>13252230.012656845</x:v>
      </x:c>
      <x:c r="T40" s="402" t="str">
        <x:v>Scenario</x:v>
      </x:c>
      <x:c r="U40" s="402"/>
      <x:c r="V40" s="402"/>
      <x:c r="W40" s="402"/>
      <x:c r="X40" s="402"/>
      <x:c r="Y40" s="402"/>
      <x:c r="Z40" s="402"/>
    </x:row>
    <x:row r="41">
      <x:c r="A41" s="402"/>
      <x:c r="B41" s="402"/>
      <x:c r="C41" s="402"/>
      <x:c r="D41" s="402"/>
      <x:c r="E41" s="402"/>
      <x:c r="F41" s="402"/>
      <x:c r="G41" s="402"/>
      <x:c r="H41" s="402"/>
      <x:c r="I41" s="402"/>
      <x:c r="J41" s="402"/>
      <x:c r="K41" s="402"/>
      <x:c r="L41" s="402"/>
      <x:c r="M41" s="402"/>
      <x:c r="N41" s="402"/>
      <x:c r="O41" s="402"/>
      <x:c r="P41" s="402"/>
      <x:c r="Q41" s="402"/>
      <x:c r="R41" s="402"/>
      <x:c r="S41" s="402"/>
      <x:c r="T41" s="402"/>
      <x:c r="U41" s="402"/>
      <x:c r="V41" s="402"/>
      <x:c r="W41" s="402"/>
      <x:c r="X41" s="402"/>
      <x:c r="Y41" s="402"/>
      <x:c r="Z41" s="402"/>
    </x:row>
    <x:row r="42">
      <x:c r="A42" s="402"/>
      <x:c r="B42" s="402"/>
      <x:c r="C42" s="402"/>
      <x:c r="D42" s="402"/>
      <x:c r="E42" s="402"/>
      <x:c r="F42" s="402"/>
      <x:c r="G42" s="402"/>
      <x:c r="H42" s="402"/>
      <x:c r="I42" s="402"/>
      <x:c r="J42" s="402"/>
      <x:c r="K42" s="402"/>
      <x:c r="L42" s="402"/>
      <x:c r="M42" s="402"/>
      <x:c r="N42" s="402"/>
      <x:c r="O42" s="402"/>
      <x:c r="P42" s="402"/>
      <x:c r="Q42" s="402"/>
      <x:c r="R42" s="402"/>
      <x:c r="S42" s="402"/>
      <x:c r="T42" s="402"/>
      <x:c r="U42" s="402"/>
      <x:c r="V42" s="402"/>
      <x:c r="W42" s="402"/>
      <x:c r="X42" s="402"/>
      <x:c r="Y42" s="402"/>
      <x:c r="Z42" s="402"/>
    </x:row>
    <x:row r="43">
      <x:c r="A43" s="402"/>
      <x:c r="B43" s="402"/>
      <x:c r="C43" s="402"/>
      <x:c r="D43" s="402"/>
      <x:c r="E43" s="402"/>
      <x:c r="F43" s="402"/>
      <x:c r="G43" s="402"/>
      <x:c r="H43" s="402"/>
      <x:c r="I43" s="402"/>
      <x:c r="J43" s="402"/>
      <x:c r="K43" s="402"/>
      <x:c r="L43" s="402"/>
      <x:c r="M43" s="402"/>
      <x:c r="N43" s="402"/>
      <x:c r="O43" s="402"/>
      <x:c r="P43" s="402"/>
      <x:c r="Q43" s="402"/>
      <x:c r="R43" s="402"/>
      <x:c r="S43" s="402"/>
      <x:c r="T43" s="402"/>
      <x:c r="U43" s="402"/>
      <x:c r="V43" s="402"/>
      <x:c r="W43" s="402"/>
      <x:c r="X43" s="402"/>
      <x:c r="Y43" s="402"/>
      <x:c r="Z43" s="402"/>
    </x:row>
    <x:row r="44">
      <x:c r="A44" s="402"/>
      <x:c r="B44" s="402"/>
      <x:c r="C44" s="402"/>
      <x:c r="D44" s="402"/>
      <x:c r="E44" s="402"/>
      <x:c r="F44" s="402"/>
      <x:c r="G44" s="402"/>
      <x:c r="H44" s="402"/>
      <x:c r="I44" s="402"/>
      <x:c r="J44" s="402"/>
      <x:c r="K44" s="402"/>
      <x:c r="L44" s="402"/>
      <x:c r="M44" s="402"/>
      <x:c r="N44" s="402"/>
      <x:c r="O44" s="402"/>
      <x:c r="P44" s="402"/>
      <x:c r="Q44" s="402"/>
      <x:c r="R44" s="402"/>
      <x:c r="S44" s="402"/>
      <x:c r="T44" s="402"/>
      <x:c r="U44" s="402"/>
      <x:c r="V44" s="402"/>
      <x:c r="W44" s="402"/>
      <x:c r="X44" s="402"/>
      <x:c r="Y44" s="402"/>
      <x:c r="Z44" s="402"/>
    </x:row>
    <x:row r="45">
      <x:c r="A45" s="402"/>
      <x:c r="B45" s="402"/>
      <x:c r="C45" s="402"/>
      <x:c r="D45" s="402"/>
      <x:c r="E45" s="402"/>
      <x:c r="F45" s="402"/>
      <x:c r="G45" s="402"/>
      <x:c r="H45" s="402"/>
      <x:c r="I45" s="402"/>
      <x:c r="J45" s="402"/>
      <x:c r="K45" s="402"/>
      <x:c r="L45" s="402"/>
      <x:c r="M45" s="402"/>
      <x:c r="N45" s="402"/>
      <x:c r="O45" s="402"/>
      <x:c r="P45" s="402"/>
      <x:c r="Q45" s="402"/>
      <x:c r="R45" s="402"/>
      <x:c r="S45" s="402"/>
      <x:c r="T45" s="402"/>
      <x:c r="U45" s="402"/>
      <x:c r="V45" s="402"/>
      <x:c r="W45" s="402"/>
      <x:c r="X45" s="402"/>
      <x:c r="Y45" s="402"/>
      <x:c r="Z45" s="402"/>
    </x:row>
    <x:row r="46">
      <x:c r="A46" s="402"/>
      <x:c r="B46" s="402"/>
      <x:c r="C46" s="402"/>
      <x:c r="D46" s="402"/>
      <x:c r="E46" s="402"/>
      <x:c r="F46" s="402"/>
      <x:c r="G46" s="402"/>
      <x:c r="H46" s="402"/>
      <x:c r="I46" s="402"/>
      <x:c r="J46" s="402"/>
      <x:c r="K46" s="402"/>
      <x:c r="L46" s="402"/>
      <x:c r="M46" s="402"/>
      <x:c r="N46" s="402"/>
      <x:c r="O46" s="402"/>
      <x:c r="P46" s="402"/>
      <x:c r="Q46" s="402"/>
      <x:c r="R46" s="402"/>
      <x:c r="S46" s="402"/>
      <x:c r="T46" s="402"/>
      <x:c r="U46" s="402"/>
      <x:c r="V46" s="402"/>
      <x:c r="W46" s="402"/>
      <x:c r="X46" s="402"/>
      <x:c r="Y46" s="402"/>
      <x:c r="Z46" s="402"/>
    </x:row>
    <x:row r="47">
      <x:c r="A47" s="402"/>
      <x:c r="B47" s="402"/>
      <x:c r="C47" s="402"/>
      <x:c r="D47" s="402"/>
      <x:c r="E47" s="402"/>
      <x:c r="F47" s="402"/>
      <x:c r="G47" s="402"/>
      <x:c r="H47" s="402"/>
      <x:c r="I47" s="402"/>
      <x:c r="J47" s="402"/>
      <x:c r="K47" s="402"/>
      <x:c r="L47" s="402"/>
      <x:c r="M47" s="402"/>
      <x:c r="N47" s="402"/>
      <x:c r="O47" s="402"/>
      <x:c r="P47" s="402"/>
      <x:c r="Q47" s="402"/>
      <x:c r="R47" s="402"/>
      <x:c r="S47" s="402"/>
      <x:c r="T47" s="402"/>
      <x:c r="U47" s="402"/>
      <x:c r="V47" s="402"/>
      <x:c r="W47" s="402"/>
      <x:c r="X47" s="402"/>
      <x:c r="Y47" s="402"/>
      <x:c r="Z47" s="402"/>
    </x:row>
    <x:row r="48">
      <x:c r="A48" s="402"/>
      <x:c r="B48" s="402"/>
      <x:c r="C48" s="402"/>
      <x:c r="D48" s="402"/>
      <x:c r="E48" s="402"/>
      <x:c r="F48" s="402"/>
      <x:c r="G48" s="402"/>
      <x:c r="H48" s="402"/>
      <x:c r="I48" s="402"/>
      <x:c r="J48" s="402"/>
      <x:c r="K48" s="402"/>
      <x:c r="L48" s="402"/>
      <x:c r="M48" s="402"/>
      <x:c r="N48" s="402"/>
      <x:c r="O48" s="402"/>
      <x:c r="P48" s="402"/>
      <x:c r="Q48" s="402"/>
      <x:c r="R48" s="402"/>
      <x:c r="S48" s="402"/>
      <x:c r="T48" s="402"/>
      <x:c r="U48" s="402"/>
      <x:c r="V48" s="402"/>
      <x:c r="W48" s="402"/>
      <x:c r="X48" s="402"/>
      <x:c r="Y48" s="402"/>
      <x:c r="Z48" s="402"/>
    </x:row>
    <x:row r="49">
      <x:c r="A49" s="402"/>
      <x:c r="B49" s="402"/>
      <x:c r="C49" s="402"/>
      <x:c r="D49" s="402"/>
      <x:c r="E49" s="402"/>
      <x:c r="F49" s="402"/>
      <x:c r="G49" s="402"/>
      <x:c r="H49" s="402"/>
      <x:c r="I49" s="402"/>
      <x:c r="J49" s="402"/>
      <x:c r="K49" s="402"/>
      <x:c r="L49" s="402"/>
      <x:c r="M49" s="402"/>
      <x:c r="N49" s="402"/>
      <x:c r="O49" s="402"/>
      <x:c r="P49" s="402"/>
      <x:c r="Q49" s="402"/>
      <x:c r="R49" s="402"/>
      <x:c r="S49" s="402"/>
      <x:c r="T49" s="402"/>
      <x:c r="U49" s="402"/>
      <x:c r="V49" s="402"/>
      <x:c r="W49" s="402"/>
      <x:c r="X49" s="402"/>
      <x:c r="Y49" s="402"/>
      <x:c r="Z49" s="402"/>
    </x:row>
    <x:row r="50">
      <x:c r="A50" s="402"/>
      <x:c r="B50" s="402"/>
      <x:c r="C50" s="402"/>
      <x:c r="D50" s="402"/>
      <x:c r="E50" s="402"/>
      <x:c r="F50" s="402"/>
      <x:c r="G50" s="402"/>
      <x:c r="H50" s="402"/>
      <x:c r="I50" s="402"/>
      <x:c r="J50" s="402"/>
      <x:c r="K50" s="402"/>
      <x:c r="L50" s="402"/>
      <x:c r="M50" s="402"/>
      <x:c r="N50" s="402"/>
      <x:c r="O50" s="402"/>
      <x:c r="P50" s="402"/>
      <x:c r="Q50" s="402"/>
      <x:c r="R50" s="402"/>
      <x:c r="S50" s="402"/>
      <x:c r="T50" s="402"/>
      <x:c r="U50" s="402"/>
      <x:c r="V50" s="402"/>
      <x:c r="W50" s="402"/>
      <x:c r="X50" s="402"/>
      <x:c r="Y50" s="402"/>
      <x:c r="Z50" s="402"/>
    </x:row>
    <x:row r="51">
      <x:c r="A51" s="402"/>
      <x:c r="B51" s="402"/>
      <x:c r="C51" s="402"/>
      <x:c r="D51" s="402"/>
      <x:c r="E51" s="402"/>
      <x:c r="F51" s="402"/>
      <x:c r="G51" s="402"/>
      <x:c r="H51" s="402"/>
      <x:c r="I51" s="402"/>
      <x:c r="J51" s="402"/>
      <x:c r="K51" s="402"/>
      <x:c r="L51" s="402"/>
      <x:c r="M51" s="402"/>
      <x:c r="N51" s="402"/>
      <x:c r="O51" s="402"/>
      <x:c r="P51" s="402"/>
      <x:c r="Q51" s="402"/>
      <x:c r="R51" s="402"/>
      <x:c r="S51" s="402"/>
      <x:c r="T51" s="402"/>
      <x:c r="U51" s="402"/>
      <x:c r="V51" s="402"/>
      <x:c r="W51" s="402"/>
      <x:c r="X51" s="402"/>
      <x:c r="Y51" s="402"/>
      <x:c r="Z51" s="402"/>
    </x:row>
    <x:row r="52">
      <x:c r="A52" s="402"/>
      <x:c r="B52" s="402"/>
      <x:c r="C52" s="402"/>
      <x:c r="D52" s="402"/>
      <x:c r="E52" s="402"/>
      <x:c r="F52" s="402"/>
      <x:c r="G52" s="402"/>
      <x:c r="H52" s="402"/>
      <x:c r="I52" s="402"/>
      <x:c r="J52" s="402"/>
      <x:c r="K52" s="402"/>
      <x:c r="L52" s="402"/>
      <x:c r="M52" s="402"/>
      <x:c r="N52" s="402"/>
      <x:c r="O52" s="402"/>
      <x:c r="P52" s="402"/>
      <x:c r="Q52" s="402"/>
      <x:c r="R52" s="402"/>
      <x:c r="S52" s="402"/>
      <x:c r="T52" s="402"/>
      <x:c r="U52" s="402"/>
      <x:c r="V52" s="402"/>
      <x:c r="W52" s="402"/>
      <x:c r="X52" s="402"/>
      <x:c r="Y52" s="402"/>
      <x:c r="Z52" s="402"/>
    </x:row>
    <x:row r="53">
      <x:c r="A53" s="402"/>
      <x:c r="B53" s="402"/>
      <x:c r="C53" s="402"/>
      <x:c r="D53" s="402"/>
      <x:c r="E53" s="402"/>
      <x:c r="F53" s="402"/>
      <x:c r="G53" s="402"/>
      <x:c r="H53" s="402"/>
      <x:c r="I53" s="402"/>
      <x:c r="J53" s="402"/>
      <x:c r="K53" s="402"/>
      <x:c r="L53" s="402"/>
      <x:c r="M53" s="402"/>
      <x:c r="N53" s="402"/>
      <x:c r="O53" s="402"/>
      <x:c r="P53" s="402"/>
      <x:c r="Q53" s="402"/>
      <x:c r="R53" s="402"/>
      <x:c r="S53" s="402"/>
      <x:c r="T53" s="402"/>
      <x:c r="U53" s="402"/>
      <x:c r="V53" s="402"/>
      <x:c r="W53" s="402"/>
      <x:c r="X53" s="402"/>
      <x:c r="Y53" s="402"/>
      <x:c r="Z53" s="402"/>
    </x:row>
    <x:row r="54">
      <x:c r="A54" s="402"/>
      <x:c r="B54" s="402"/>
      <x:c r="C54" s="402"/>
      <x:c r="D54" s="402"/>
      <x:c r="E54" s="402"/>
      <x:c r="F54" s="402"/>
      <x:c r="G54" s="402"/>
      <x:c r="H54" s="402"/>
      <x:c r="I54" s="402"/>
      <x:c r="J54" s="402"/>
      <x:c r="K54" s="402"/>
      <x:c r="L54" s="402"/>
      <x:c r="M54" s="402"/>
      <x:c r="N54" s="402"/>
      <x:c r="O54" s="402"/>
      <x:c r="P54" s="402"/>
      <x:c r="Q54" s="402"/>
      <x:c r="R54" s="402"/>
      <x:c r="S54" s="402"/>
      <x:c r="T54" s="402"/>
      <x:c r="U54" s="402"/>
      <x:c r="V54" s="402"/>
      <x:c r="W54" s="402"/>
      <x:c r="X54" s="402"/>
      <x:c r="Y54" s="402"/>
      <x:c r="Z54" s="402"/>
    </x:row>
    <x:row r="55">
      <x:c r="A55" s="402"/>
      <x:c r="B55" s="402"/>
      <x:c r="C55" s="402"/>
      <x:c r="D55" s="402"/>
      <x:c r="E55" s="402"/>
      <x:c r="F55" s="402"/>
      <x:c r="G55" s="402"/>
      <x:c r="H55" s="402"/>
      <x:c r="I55" s="402"/>
      <x:c r="J55" s="402"/>
      <x:c r="K55" s="402"/>
      <x:c r="L55" s="402"/>
      <x:c r="M55" s="402"/>
      <x:c r="N55" s="402"/>
      <x:c r="O55" s="402"/>
      <x:c r="P55" s="402"/>
      <x:c r="Q55" s="402"/>
      <x:c r="R55" s="402"/>
      <x:c r="S55" s="402"/>
      <x:c r="T55" s="402"/>
      <x:c r="U55" s="402"/>
      <x:c r="V55" s="402"/>
      <x:c r="W55" s="402"/>
      <x:c r="X55" s="402"/>
      <x:c r="Y55" s="402"/>
      <x:c r="Z55" s="402"/>
    </x:row>
    <x:row r="56">
      <x:c r="A56" s="402"/>
      <x:c r="B56" s="402"/>
      <x:c r="C56" s="402"/>
      <x:c r="D56" s="402"/>
      <x:c r="E56" s="402"/>
      <x:c r="F56" s="402"/>
      <x:c r="G56" s="402"/>
      <x:c r="H56" s="402"/>
      <x:c r="I56" s="402"/>
      <x:c r="J56" s="402"/>
      <x:c r="K56" s="402"/>
      <x:c r="L56" s="402"/>
      <x:c r="M56" s="402"/>
      <x:c r="N56" s="402"/>
      <x:c r="O56" s="402"/>
      <x:c r="P56" s="402"/>
      <x:c r="Q56" s="402"/>
      <x:c r="R56" s="402"/>
      <x:c r="S56" s="402"/>
      <x:c r="T56" s="402"/>
      <x:c r="U56" s="402"/>
      <x:c r="V56" s="402"/>
      <x:c r="W56" s="402"/>
      <x:c r="X56" s="402"/>
      <x:c r="Y56" s="402"/>
      <x:c r="Z56" s="402"/>
    </x:row>
    <x:row r="57">
      <x:c r="A57" s="402"/>
      <x:c r="B57" s="402"/>
      <x:c r="C57" s="402"/>
      <x:c r="D57" s="402"/>
      <x:c r="E57" s="402"/>
      <x:c r="F57" s="402"/>
      <x:c r="G57" s="402"/>
      <x:c r="H57" s="402"/>
      <x:c r="I57" s="402"/>
      <x:c r="J57" s="402"/>
      <x:c r="K57" s="402"/>
      <x:c r="L57" s="402"/>
      <x:c r="M57" s="402"/>
      <x:c r="N57" s="402"/>
      <x:c r="O57" s="402"/>
      <x:c r="P57" s="402"/>
      <x:c r="Q57" s="402"/>
      <x:c r="R57" s="402"/>
      <x:c r="S57" s="402"/>
      <x:c r="T57" s="402"/>
      <x:c r="U57" s="402"/>
      <x:c r="V57" s="402"/>
      <x:c r="W57" s="402"/>
      <x:c r="X57" s="402"/>
      <x:c r="Y57" s="402"/>
      <x:c r="Z57" s="402"/>
    </x:row>
    <x:row r="58">
      <x:c r="A58" s="402"/>
      <x:c r="B58" s="402"/>
      <x:c r="C58" s="402"/>
      <x:c r="D58" s="402"/>
      <x:c r="E58" s="402"/>
      <x:c r="F58" s="402"/>
      <x:c r="G58" s="402"/>
      <x:c r="H58" s="402"/>
      <x:c r="I58" s="402"/>
      <x:c r="J58" s="402"/>
      <x:c r="K58" s="402"/>
      <x:c r="L58" s="402"/>
      <x:c r="M58" s="402"/>
      <x:c r="N58" s="402"/>
      <x:c r="O58" s="402"/>
      <x:c r="P58" s="402"/>
      <x:c r="Q58" s="402"/>
      <x:c r="R58" s="402"/>
      <x:c r="S58" s="402"/>
      <x:c r="T58" s="402"/>
      <x:c r="U58" s="402"/>
      <x:c r="V58" s="402"/>
      <x:c r="W58" s="402"/>
      <x:c r="X58" s="402"/>
      <x:c r="Y58" s="402"/>
      <x:c r="Z58" s="402"/>
    </x:row>
    <x:row r="59">
      <x:c r="A59" s="402"/>
      <x:c r="B59" s="402"/>
      <x:c r="C59" s="402"/>
      <x:c r="D59" s="402"/>
      <x:c r="E59" s="402"/>
      <x:c r="F59" s="402"/>
      <x:c r="G59" s="402"/>
      <x:c r="H59" s="402"/>
      <x:c r="I59" s="402"/>
      <x:c r="J59" s="402"/>
      <x:c r="K59" s="402"/>
      <x:c r="L59" s="402"/>
      <x:c r="M59" s="402"/>
      <x:c r="N59" s="402"/>
      <x:c r="O59" s="402"/>
      <x:c r="P59" s="402"/>
      <x:c r="Q59" s="402"/>
      <x:c r="R59" s="402"/>
      <x:c r="S59" s="402"/>
      <x:c r="T59" s="402"/>
      <x:c r="U59" s="402"/>
      <x:c r="V59" s="402"/>
      <x:c r="W59" s="402"/>
      <x:c r="X59" s="402"/>
      <x:c r="Y59" s="402"/>
      <x:c r="Z59" s="402"/>
    </x:row>
    <x:row r="60">
      <x:c r="A60" s="402"/>
      <x:c r="B60" s="402"/>
      <x:c r="C60" s="402"/>
      <x:c r="D60" s="402"/>
      <x:c r="E60" s="402"/>
      <x:c r="F60" s="402"/>
      <x:c r="G60" s="402"/>
      <x:c r="H60" s="402"/>
      <x:c r="I60" s="402"/>
      <x:c r="J60" s="402"/>
      <x:c r="K60" s="402"/>
      <x:c r="L60" s="402"/>
      <x:c r="M60" s="402"/>
      <x:c r="N60" s="402"/>
      <x:c r="O60" s="402"/>
      <x:c r="P60" s="402"/>
      <x:c r="Q60" s="402"/>
      <x:c r="R60" s="402"/>
      <x:c r="S60" s="402"/>
      <x:c r="T60" s="402"/>
      <x:c r="U60" s="402"/>
      <x:c r="V60" s="402"/>
      <x:c r="W60" s="402"/>
      <x:c r="X60" s="402"/>
      <x:c r="Y60" s="402"/>
      <x:c r="Z60" s="402"/>
    </x:row>
    <x:row r="61">
      <x:c r="A61" s="402"/>
      <x:c r="B61" s="402"/>
      <x:c r="C61" s="402"/>
      <x:c r="D61" s="402"/>
      <x:c r="E61" s="402"/>
      <x:c r="F61" s="402"/>
      <x:c r="G61" s="402"/>
      <x:c r="H61" s="402"/>
      <x:c r="I61" s="402"/>
      <x:c r="J61" s="402"/>
      <x:c r="K61" s="402"/>
      <x:c r="L61" s="402"/>
      <x:c r="M61" s="402"/>
      <x:c r="N61" s="402"/>
      <x:c r="O61" s="402"/>
      <x:c r="P61" s="402"/>
      <x:c r="Q61" s="402"/>
      <x:c r="R61" s="402"/>
      <x:c r="S61" s="402"/>
      <x:c r="T61" s="402"/>
      <x:c r="U61" s="402"/>
      <x:c r="V61" s="402"/>
      <x:c r="W61" s="402"/>
      <x:c r="X61" s="402"/>
      <x:c r="Y61" s="402"/>
      <x:c r="Z61" s="402"/>
    </x:row>
    <x:row r="62">
      <x:c r="A62" s="402"/>
      <x:c r="B62" s="402"/>
      <x:c r="C62" s="402"/>
      <x:c r="D62" s="402"/>
      <x:c r="E62" s="402"/>
      <x:c r="F62" s="402"/>
      <x:c r="G62" s="402"/>
      <x:c r="H62" s="402"/>
      <x:c r="I62" s="402"/>
      <x:c r="J62" s="402"/>
      <x:c r="K62" s="402"/>
      <x:c r="L62" s="402"/>
      <x:c r="M62" s="402"/>
      <x:c r="N62" s="402"/>
      <x:c r="O62" s="402"/>
      <x:c r="P62" s="402"/>
      <x:c r="Q62" s="402"/>
      <x:c r="R62" s="402"/>
      <x:c r="S62" s="402"/>
      <x:c r="T62" s="402"/>
      <x:c r="U62" s="402"/>
      <x:c r="V62" s="402"/>
      <x:c r="W62" s="402"/>
      <x:c r="X62" s="402"/>
      <x:c r="Y62" s="402"/>
      <x:c r="Z62" s="402"/>
    </x:row>
    <x:row r="63">
      <x:c r="A63" s="402"/>
      <x:c r="B63" s="402"/>
      <x:c r="C63" s="402"/>
      <x:c r="D63" s="402"/>
      <x:c r="E63" s="402"/>
      <x:c r="F63" s="402"/>
      <x:c r="G63" s="402"/>
      <x:c r="H63" s="402"/>
      <x:c r="I63" s="402"/>
      <x:c r="J63" s="402"/>
      <x:c r="K63" s="402"/>
      <x:c r="L63" s="402"/>
      <x:c r="M63" s="402"/>
      <x:c r="N63" s="402"/>
      <x:c r="O63" s="402"/>
      <x:c r="P63" s="402"/>
      <x:c r="Q63" s="402"/>
      <x:c r="R63" s="402"/>
      <x:c r="S63" s="402"/>
      <x:c r="T63" s="402"/>
      <x:c r="U63" s="402"/>
      <x:c r="V63" s="402"/>
      <x:c r="W63" s="402"/>
      <x:c r="X63" s="402"/>
      <x:c r="Y63" s="402"/>
      <x:c r="Z63" s="402"/>
    </x:row>
    <x:row r="64">
      <x:c r="A64" s="402"/>
      <x:c r="B64" s="402"/>
      <x:c r="C64" s="402"/>
      <x:c r="D64" s="402"/>
      <x:c r="E64" s="402"/>
      <x:c r="F64" s="402"/>
      <x:c r="G64" s="402"/>
      <x:c r="H64" s="402"/>
      <x:c r="I64" s="402"/>
      <x:c r="J64" s="402"/>
      <x:c r="K64" s="402"/>
      <x:c r="L64" s="402"/>
      <x:c r="M64" s="402"/>
      <x:c r="N64" s="402"/>
      <x:c r="O64" s="402"/>
      <x:c r="P64" s="402"/>
      <x:c r="Q64" s="402"/>
      <x:c r="R64" s="402"/>
      <x:c r="S64" s="402"/>
      <x:c r="T64" s="402"/>
      <x:c r="U64" s="402"/>
      <x:c r="V64" s="402"/>
      <x:c r="W64" s="402"/>
      <x:c r="X64" s="402"/>
      <x:c r="Y64" s="402"/>
      <x:c r="Z64" s="402"/>
    </x:row>
    <x:row r="65">
      <x:c r="A65" s="402"/>
      <x:c r="B65" s="402"/>
      <x:c r="C65" s="402"/>
      <x:c r="D65" s="402"/>
      <x:c r="E65" s="402"/>
      <x:c r="F65" s="402"/>
      <x:c r="G65" s="402"/>
      <x:c r="H65" s="402"/>
      <x:c r="I65" s="402"/>
      <x:c r="J65" s="402"/>
      <x:c r="K65" s="402"/>
      <x:c r="L65" s="402"/>
      <x:c r="M65" s="402"/>
      <x:c r="N65" s="402"/>
      <x:c r="O65" s="402"/>
      <x:c r="P65" s="402"/>
      <x:c r="Q65" s="402"/>
      <x:c r="R65" s="402"/>
      <x:c r="S65" s="402"/>
      <x:c r="T65" s="402"/>
      <x:c r="U65" s="402"/>
      <x:c r="V65" s="402"/>
      <x:c r="W65" s="402"/>
      <x:c r="X65" s="402"/>
      <x:c r="Y65" s="402"/>
      <x:c r="Z65" s="402"/>
    </x:row>
    <x:row r="66">
      <x:c r="A66" s="402"/>
      <x:c r="B66" s="402"/>
      <x:c r="C66" s="402"/>
      <x:c r="D66" s="402"/>
      <x:c r="E66" s="402"/>
      <x:c r="F66" s="402"/>
      <x:c r="G66" s="402"/>
      <x:c r="H66" s="402"/>
      <x:c r="I66" s="402"/>
      <x:c r="J66" s="402"/>
      <x:c r="K66" s="402"/>
      <x:c r="L66" s="402"/>
      <x:c r="M66" s="402"/>
      <x:c r="N66" s="402"/>
      <x:c r="O66" s="402"/>
      <x:c r="P66" s="402"/>
      <x:c r="Q66" s="402"/>
      <x:c r="R66" s="402"/>
      <x:c r="S66" s="402"/>
      <x:c r="T66" s="402"/>
      <x:c r="U66" s="402"/>
      <x:c r="V66" s="402"/>
      <x:c r="W66" s="402"/>
      <x:c r="X66" s="402"/>
      <x:c r="Y66" s="402"/>
      <x:c r="Z66" s="402"/>
    </x:row>
    <x:row r="67">
      <x:c r="A67" s="402"/>
      <x:c r="B67" s="402"/>
      <x:c r="C67" s="402"/>
      <x:c r="D67" s="402"/>
      <x:c r="E67" s="402"/>
      <x:c r="F67" s="402"/>
      <x:c r="G67" s="402"/>
      <x:c r="H67" s="402"/>
      <x:c r="I67" s="402"/>
      <x:c r="J67" s="402"/>
      <x:c r="K67" s="402"/>
      <x:c r="L67" s="402"/>
      <x:c r="M67" s="402"/>
      <x:c r="N67" s="402"/>
      <x:c r="O67" s="402"/>
      <x:c r="P67" s="402"/>
      <x:c r="Q67" s="402"/>
      <x:c r="R67" s="402"/>
      <x:c r="S67" s="402"/>
      <x:c r="T67" s="402"/>
      <x:c r="U67" s="402"/>
      <x:c r="V67" s="402"/>
      <x:c r="W67" s="402"/>
      <x:c r="X67" s="402"/>
      <x:c r="Y67" s="402"/>
      <x:c r="Z67" s="402"/>
    </x:row>
    <x:row r="68">
      <x:c r="A68" s="402"/>
      <x:c r="B68" s="402"/>
      <x:c r="C68" s="402"/>
      <x:c r="D68" s="402"/>
      <x:c r="E68" s="402"/>
      <x:c r="F68" s="402"/>
      <x:c r="G68" s="402"/>
      <x:c r="H68" s="402"/>
      <x:c r="I68" s="402"/>
      <x:c r="J68" s="402"/>
      <x:c r="K68" s="402"/>
      <x:c r="L68" s="402"/>
      <x:c r="M68" s="402"/>
      <x:c r="N68" s="402"/>
      <x:c r="O68" s="402"/>
      <x:c r="P68" s="402"/>
      <x:c r="Q68" s="402"/>
      <x:c r="R68" s="402"/>
      <x:c r="S68" s="402"/>
      <x:c r="T68" s="402"/>
      <x:c r="U68" s="402"/>
      <x:c r="V68" s="402"/>
      <x:c r="W68" s="402"/>
      <x:c r="X68" s="402"/>
      <x:c r="Y68" s="402"/>
      <x:c r="Z68" s="402"/>
    </x:row>
    <x:row r="69">
      <x:c r="A69" s="402"/>
      <x:c r="B69" s="402"/>
      <x:c r="C69" s="402"/>
      <x:c r="D69" s="402"/>
      <x:c r="E69" s="402"/>
      <x:c r="F69" s="402"/>
      <x:c r="G69" s="402"/>
      <x:c r="H69" s="402"/>
      <x:c r="I69" s="402"/>
      <x:c r="J69" s="402"/>
      <x:c r="K69" s="402"/>
      <x:c r="L69" s="402"/>
      <x:c r="M69" s="402"/>
      <x:c r="N69" s="402"/>
      <x:c r="O69" s="402"/>
      <x:c r="P69" s="402"/>
      <x:c r="Q69" s="402"/>
      <x:c r="R69" s="402"/>
      <x:c r="S69" s="402"/>
      <x:c r="T69" s="402"/>
      <x:c r="U69" s="402"/>
      <x:c r="V69" s="402"/>
      <x:c r="W69" s="402"/>
      <x:c r="X69" s="402"/>
      <x:c r="Y69" s="402"/>
      <x:c r="Z69" s="402"/>
    </x:row>
    <x:row r="70">
      <x:c r="A70" s="402"/>
      <x:c r="B70" s="402"/>
      <x:c r="C70" s="402"/>
      <x:c r="D70" s="402"/>
      <x:c r="E70" s="402"/>
      <x:c r="F70" s="402"/>
      <x:c r="G70" s="402"/>
      <x:c r="H70" s="402"/>
      <x:c r="I70" s="402"/>
      <x:c r="J70" s="402"/>
      <x:c r="K70" s="402"/>
      <x:c r="L70" s="402"/>
      <x:c r="M70" s="402"/>
      <x:c r="N70" s="402"/>
      <x:c r="O70" s="402"/>
      <x:c r="P70" s="402"/>
      <x:c r="Q70" s="402"/>
      <x:c r="R70" s="402"/>
      <x:c r="S70" s="402"/>
      <x:c r="T70" s="402"/>
      <x:c r="U70" s="402"/>
      <x:c r="V70" s="402"/>
      <x:c r="W70" s="402"/>
      <x:c r="X70" s="402"/>
      <x:c r="Y70" s="402"/>
      <x:c r="Z70" s="402"/>
    </x:row>
    <x:row r="71">
      <x:c r="A71" s="402"/>
      <x:c r="B71" s="402"/>
      <x:c r="C71" s="402"/>
      <x:c r="D71" s="402"/>
      <x:c r="E71" s="402"/>
      <x:c r="F71" s="402"/>
      <x:c r="G71" s="402"/>
      <x:c r="H71" s="402"/>
      <x:c r="I71" s="402"/>
      <x:c r="J71" s="402"/>
      <x:c r="K71" s="402"/>
      <x:c r="L71" s="402"/>
      <x:c r="M71" s="402"/>
      <x:c r="N71" s="402"/>
      <x:c r="O71" s="402"/>
      <x:c r="P71" s="402"/>
      <x:c r="Q71" s="402"/>
      <x:c r="R71" s="402"/>
      <x:c r="S71" s="402"/>
      <x:c r="T71" s="402"/>
      <x:c r="U71" s="402"/>
      <x:c r="V71" s="402"/>
      <x:c r="W71" s="402"/>
      <x:c r="X71" s="402"/>
      <x:c r="Y71" s="402"/>
      <x:c r="Z71" s="402"/>
    </x:row>
    <x:row r="72">
      <x:c r="A72" s="402"/>
      <x:c r="B72" s="402"/>
      <x:c r="C72" s="402"/>
      <x:c r="D72" s="402"/>
      <x:c r="E72" s="402"/>
      <x:c r="F72" s="402"/>
      <x:c r="G72" s="402"/>
      <x:c r="H72" s="402"/>
      <x:c r="I72" s="402"/>
      <x:c r="J72" s="402"/>
      <x:c r="K72" s="402"/>
      <x:c r="L72" s="402"/>
      <x:c r="M72" s="402"/>
      <x:c r="N72" s="402"/>
      <x:c r="O72" s="402"/>
      <x:c r="P72" s="402"/>
      <x:c r="Q72" s="402"/>
      <x:c r="R72" s="402"/>
      <x:c r="S72" s="402"/>
      <x:c r="T72" s="402"/>
      <x:c r="U72" s="402"/>
      <x:c r="V72" s="402"/>
      <x:c r="W72" s="402"/>
      <x:c r="X72" s="402"/>
      <x:c r="Y72" s="402"/>
      <x:c r="Z72" s="402"/>
    </x:row>
    <x:row r="73">
      <x:c r="A73" s="402"/>
      <x:c r="B73" s="402"/>
      <x:c r="C73" s="402"/>
      <x:c r="D73" s="402"/>
      <x:c r="E73" s="402"/>
      <x:c r="F73" s="402"/>
      <x:c r="G73" s="402"/>
      <x:c r="H73" s="402"/>
      <x:c r="I73" s="402"/>
      <x:c r="J73" s="402"/>
      <x:c r="K73" s="402"/>
      <x:c r="L73" s="402"/>
      <x:c r="M73" s="402"/>
      <x:c r="N73" s="402"/>
      <x:c r="O73" s="402"/>
      <x:c r="P73" s="402"/>
      <x:c r="Q73" s="402"/>
      <x:c r="R73" s="402"/>
      <x:c r="S73" s="402"/>
      <x:c r="T73" s="402"/>
      <x:c r="U73" s="402"/>
      <x:c r="V73" s="402"/>
      <x:c r="W73" s="402"/>
      <x:c r="X73" s="402"/>
      <x:c r="Y73" s="402"/>
      <x:c r="Z73" s="402"/>
    </x:row>
    <x:row r="74">
      <x:c r="A74" s="402"/>
      <x:c r="B74" s="402"/>
      <x:c r="C74" s="402"/>
      <x:c r="D74" s="402"/>
      <x:c r="E74" s="402"/>
      <x:c r="F74" s="402"/>
      <x:c r="G74" s="402"/>
      <x:c r="H74" s="402"/>
      <x:c r="I74" s="402"/>
      <x:c r="J74" s="402"/>
      <x:c r="K74" s="402"/>
      <x:c r="L74" s="402"/>
      <x:c r="M74" s="402"/>
      <x:c r="N74" s="402"/>
      <x:c r="O74" s="402"/>
      <x:c r="P74" s="402"/>
      <x:c r="Q74" s="402"/>
      <x:c r="R74" s="402"/>
      <x:c r="S74" s="402"/>
      <x:c r="T74" s="402"/>
      <x:c r="U74" s="402"/>
      <x:c r="V74" s="402"/>
      <x:c r="W74" s="402"/>
      <x:c r="X74" s="402"/>
      <x:c r="Y74" s="402"/>
      <x:c r="Z74" s="402"/>
    </x:row>
    <x:row r="75">
      <x:c r="A75" s="402"/>
      <x:c r="B75" s="402"/>
      <x:c r="C75" s="402"/>
      <x:c r="D75" s="402"/>
      <x:c r="E75" s="402"/>
      <x:c r="F75" s="402"/>
      <x:c r="G75" s="402"/>
      <x:c r="H75" s="402"/>
      <x:c r="I75" s="402"/>
      <x:c r="J75" s="402"/>
      <x:c r="K75" s="402"/>
      <x:c r="L75" s="402"/>
      <x:c r="M75" s="402"/>
      <x:c r="N75" s="402"/>
      <x:c r="O75" s="402"/>
      <x:c r="P75" s="402"/>
      <x:c r="Q75" s="402"/>
      <x:c r="R75" s="402"/>
      <x:c r="S75" s="402"/>
      <x:c r="T75" s="402"/>
      <x:c r="U75" s="402"/>
      <x:c r="V75" s="402"/>
      <x:c r="W75" s="402"/>
      <x:c r="X75" s="402"/>
      <x:c r="Y75" s="402"/>
      <x:c r="Z75" s="402"/>
    </x:row>
    <x:row r="76">
      <x:c r="A76" s="402"/>
      <x:c r="B76" s="402"/>
      <x:c r="C76" s="402"/>
      <x:c r="D76" s="402"/>
      <x:c r="E76" s="402"/>
      <x:c r="F76" s="402"/>
      <x:c r="G76" s="402"/>
      <x:c r="H76" s="402"/>
      <x:c r="I76" s="402"/>
      <x:c r="J76" s="402"/>
      <x:c r="K76" s="402"/>
      <x:c r="L76" s="402"/>
      <x:c r="M76" s="402"/>
      <x:c r="N76" s="402"/>
      <x:c r="O76" s="402"/>
      <x:c r="P76" s="402"/>
      <x:c r="Q76" s="402"/>
      <x:c r="R76" s="402"/>
      <x:c r="S76" s="402"/>
      <x:c r="T76" s="402"/>
      <x:c r="U76" s="402"/>
      <x:c r="V76" s="402"/>
      <x:c r="W76" s="402"/>
      <x:c r="X76" s="402"/>
      <x:c r="Y76" s="402"/>
      <x:c r="Z76" s="402"/>
    </x:row>
    <x:row r="77">
      <x:c r="A77" s="402"/>
      <x:c r="B77" s="402"/>
      <x:c r="C77" s="402"/>
      <x:c r="D77" s="402"/>
      <x:c r="E77" s="402"/>
      <x:c r="F77" s="402"/>
      <x:c r="G77" s="402"/>
      <x:c r="H77" s="402"/>
      <x:c r="I77" s="402"/>
      <x:c r="J77" s="402"/>
      <x:c r="K77" s="402"/>
      <x:c r="L77" s="402"/>
      <x:c r="M77" s="402"/>
      <x:c r="N77" s="402"/>
      <x:c r="O77" s="402"/>
      <x:c r="P77" s="402"/>
      <x:c r="Q77" s="402"/>
      <x:c r="R77" s="402"/>
      <x:c r="S77" s="402"/>
      <x:c r="T77" s="402"/>
      <x:c r="U77" s="402"/>
      <x:c r="V77" s="402"/>
      <x:c r="W77" s="402"/>
      <x:c r="X77" s="402"/>
      <x:c r="Y77" s="402"/>
      <x:c r="Z77" s="402"/>
    </x:row>
    <x:row r="78">
      <x:c r="A78" s="402"/>
      <x:c r="B78" s="402"/>
      <x:c r="C78" s="402"/>
      <x:c r="D78" s="402"/>
      <x:c r="E78" s="402"/>
      <x:c r="F78" s="402"/>
      <x:c r="G78" s="402"/>
      <x:c r="H78" s="402"/>
      <x:c r="I78" s="402"/>
      <x:c r="J78" s="402"/>
      <x:c r="K78" s="402"/>
      <x:c r="L78" s="402"/>
      <x:c r="M78" s="402"/>
      <x:c r="N78" s="402"/>
      <x:c r="O78" s="402"/>
      <x:c r="P78" s="402"/>
      <x:c r="Q78" s="402"/>
      <x:c r="R78" s="402"/>
      <x:c r="S78" s="402"/>
      <x:c r="T78" s="402"/>
      <x:c r="U78" s="402"/>
      <x:c r="V78" s="402"/>
      <x:c r="W78" s="402"/>
      <x:c r="X78" s="402"/>
      <x:c r="Y78" s="402"/>
      <x:c r="Z78" s="402"/>
    </x:row>
    <x:row r="79">
      <x:c r="A79" s="402"/>
      <x:c r="B79" s="402"/>
      <x:c r="C79" s="402"/>
      <x:c r="D79" s="402"/>
      <x:c r="E79" s="402"/>
      <x:c r="F79" s="402"/>
      <x:c r="G79" s="402"/>
      <x:c r="H79" s="402"/>
      <x:c r="I79" s="402"/>
      <x:c r="J79" s="402"/>
      <x:c r="K79" s="402"/>
      <x:c r="L79" s="402"/>
      <x:c r="M79" s="402"/>
      <x:c r="N79" s="402"/>
      <x:c r="O79" s="402"/>
      <x:c r="P79" s="402"/>
      <x:c r="Q79" s="402"/>
      <x:c r="R79" s="402"/>
      <x:c r="S79" s="402"/>
      <x:c r="T79" s="402"/>
      <x:c r="U79" s="402"/>
      <x:c r="V79" s="402"/>
      <x:c r="W79" s="402"/>
      <x:c r="X79" s="402"/>
      <x:c r="Y79" s="402"/>
      <x:c r="Z79" s="402"/>
    </x:row>
    <x:row r="80">
      <x:c r="A80" s="402"/>
      <x:c r="B80" s="402"/>
      <x:c r="C80" s="402"/>
      <x:c r="D80" s="402"/>
      <x:c r="E80" s="402"/>
      <x:c r="F80" s="402"/>
      <x:c r="G80" s="402"/>
      <x:c r="H80" s="402"/>
      <x:c r="I80" s="402"/>
      <x:c r="J80" s="402"/>
      <x:c r="K80" s="402"/>
      <x:c r="L80" s="402"/>
      <x:c r="M80" s="402"/>
      <x:c r="N80" s="402"/>
      <x:c r="O80" s="402"/>
      <x:c r="P80" s="402"/>
      <x:c r="Q80" s="402"/>
      <x:c r="R80" s="402"/>
      <x:c r="S80" s="402"/>
      <x:c r="T80" s="402"/>
      <x:c r="U80" s="402"/>
      <x:c r="V80" s="402"/>
      <x:c r="W80" s="402"/>
      <x:c r="X80" s="402"/>
      <x:c r="Y80" s="402"/>
      <x:c r="Z80" s="402"/>
    </x:row>
    <x:row r="81">
      <x:c r="A81" s="402"/>
      <x:c r="B81" s="402"/>
      <x:c r="C81" s="402"/>
      <x:c r="D81" s="402"/>
      <x:c r="E81" s="402"/>
      <x:c r="F81" s="402"/>
      <x:c r="G81" s="402"/>
      <x:c r="H81" s="402"/>
      <x:c r="I81" s="402"/>
      <x:c r="J81" s="402"/>
      <x:c r="K81" s="402"/>
      <x:c r="L81" s="402"/>
      <x:c r="M81" s="402"/>
      <x:c r="N81" s="402"/>
      <x:c r="O81" s="402"/>
      <x:c r="P81" s="402"/>
      <x:c r="Q81" s="402"/>
      <x:c r="R81" s="402"/>
      <x:c r="S81" s="402"/>
      <x:c r="T81" s="402"/>
      <x:c r="U81" s="402"/>
      <x:c r="V81" s="402"/>
      <x:c r="W81" s="402"/>
      <x:c r="X81" s="402"/>
      <x:c r="Y81" s="402"/>
      <x:c r="Z81" s="402"/>
    </x:row>
    <x:row r="82">
      <x:c r="A82" s="402"/>
      <x:c r="B82" s="402"/>
      <x:c r="C82" s="402"/>
      <x:c r="D82" s="402"/>
      <x:c r="E82" s="402"/>
      <x:c r="F82" s="402"/>
      <x:c r="G82" s="402"/>
      <x:c r="H82" s="402"/>
      <x:c r="I82" s="402"/>
      <x:c r="J82" s="402"/>
      <x:c r="K82" s="402"/>
      <x:c r="L82" s="402"/>
      <x:c r="M82" s="402"/>
      <x:c r="N82" s="402"/>
      <x:c r="O82" s="402"/>
      <x:c r="P82" s="402"/>
      <x:c r="Q82" s="402"/>
      <x:c r="R82" s="402"/>
      <x:c r="S82" s="402"/>
      <x:c r="T82" s="402"/>
      <x:c r="U82" s="402"/>
      <x:c r="V82" s="402"/>
      <x:c r="W82" s="402"/>
      <x:c r="X82" s="402"/>
      <x:c r="Y82" s="402"/>
      <x:c r="Z82" s="402"/>
    </x:row>
    <x:row r="83">
      <x:c r="A83" s="402"/>
      <x:c r="B83" s="402"/>
      <x:c r="C83" s="402"/>
      <x:c r="D83" s="402"/>
      <x:c r="E83" s="402"/>
      <x:c r="F83" s="402"/>
      <x:c r="G83" s="402"/>
      <x:c r="H83" s="402"/>
      <x:c r="I83" s="402"/>
      <x:c r="J83" s="402"/>
      <x:c r="K83" s="402"/>
      <x:c r="L83" s="402"/>
      <x:c r="M83" s="402"/>
      <x:c r="N83" s="402"/>
      <x:c r="O83" s="402"/>
      <x:c r="P83" s="402"/>
      <x:c r="Q83" s="402"/>
      <x:c r="R83" s="402"/>
      <x:c r="S83" s="402"/>
      <x:c r="T83" s="402"/>
      <x:c r="U83" s="402"/>
      <x:c r="V83" s="402"/>
      <x:c r="W83" s="402"/>
      <x:c r="X83" s="402"/>
      <x:c r="Y83" s="402"/>
      <x:c r="Z83" s="402"/>
    </x:row>
    <x:row r="84">
      <x:c r="A84" s="402"/>
      <x:c r="B84" s="402"/>
      <x:c r="C84" s="402"/>
      <x:c r="D84" s="402"/>
      <x:c r="E84" s="402"/>
      <x:c r="F84" s="402"/>
      <x:c r="G84" s="402"/>
      <x:c r="H84" s="402"/>
      <x:c r="I84" s="402"/>
      <x:c r="J84" s="402"/>
      <x:c r="K84" s="402"/>
      <x:c r="L84" s="402"/>
      <x:c r="M84" s="402"/>
      <x:c r="N84" s="402"/>
      <x:c r="O84" s="402"/>
      <x:c r="P84" s="402"/>
      <x:c r="Q84" s="402"/>
      <x:c r="R84" s="402"/>
      <x:c r="S84" s="402"/>
      <x:c r="T84" s="402"/>
      <x:c r="U84" s="402"/>
      <x:c r="V84" s="402"/>
      <x:c r="W84" s="402"/>
      <x:c r="X84" s="402"/>
      <x:c r="Y84" s="402"/>
      <x:c r="Z84" s="402"/>
    </x:row>
    <x:row r="85">
      <x:c r="A85" s="402"/>
      <x:c r="B85" s="402"/>
      <x:c r="C85" s="402"/>
      <x:c r="D85" s="402"/>
      <x:c r="E85" s="402"/>
      <x:c r="F85" s="402"/>
      <x:c r="G85" s="402"/>
      <x:c r="H85" s="402"/>
      <x:c r="I85" s="402"/>
      <x:c r="J85" s="402"/>
      <x:c r="K85" s="402"/>
      <x:c r="L85" s="402"/>
      <x:c r="M85" s="402"/>
      <x:c r="N85" s="402"/>
      <x:c r="O85" s="402"/>
      <x:c r="P85" s="402"/>
      <x:c r="Q85" s="402"/>
      <x:c r="R85" s="402"/>
      <x:c r="S85" s="402"/>
      <x:c r="T85" s="402"/>
      <x:c r="U85" s="402"/>
      <x:c r="V85" s="402"/>
      <x:c r="W85" s="402"/>
      <x:c r="X85" s="402"/>
      <x:c r="Y85" s="402"/>
      <x:c r="Z85" s="402"/>
    </x:row>
    <x:row r="86">
      <x:c r="A86" s="402"/>
      <x:c r="B86" s="402"/>
      <x:c r="C86" s="402"/>
      <x:c r="D86" s="402"/>
      <x:c r="E86" s="402"/>
      <x:c r="F86" s="402"/>
      <x:c r="G86" s="402"/>
      <x:c r="H86" s="402"/>
      <x:c r="I86" s="402"/>
      <x:c r="J86" s="402"/>
      <x:c r="K86" s="402"/>
      <x:c r="L86" s="402"/>
      <x:c r="M86" s="402"/>
      <x:c r="N86" s="402"/>
      <x:c r="O86" s="402"/>
      <x:c r="P86" s="402"/>
      <x:c r="Q86" s="402"/>
      <x:c r="R86" s="402"/>
      <x:c r="S86" s="402"/>
      <x:c r="T86" s="402"/>
      <x:c r="U86" s="402"/>
      <x:c r="V86" s="402"/>
      <x:c r="W86" s="402"/>
      <x:c r="X86" s="402"/>
      <x:c r="Y86" s="402"/>
      <x:c r="Z86" s="402"/>
    </x:row>
    <x:row r="87">
      <x:c r="A87" s="402"/>
      <x:c r="B87" s="402"/>
      <x:c r="C87" s="402"/>
      <x:c r="D87" s="402"/>
      <x:c r="E87" s="402"/>
      <x:c r="F87" s="402"/>
      <x:c r="G87" s="402"/>
      <x:c r="H87" s="402"/>
      <x:c r="I87" s="402"/>
      <x:c r="J87" s="402"/>
      <x:c r="K87" s="402"/>
      <x:c r="L87" s="402"/>
      <x:c r="M87" s="402"/>
      <x:c r="N87" s="402"/>
      <x:c r="O87" s="402"/>
      <x:c r="P87" s="402"/>
      <x:c r="Q87" s="402"/>
      <x:c r="R87" s="402"/>
      <x:c r="S87" s="402"/>
      <x:c r="T87" s="402"/>
      <x:c r="U87" s="402"/>
      <x:c r="V87" s="402"/>
      <x:c r="W87" s="402"/>
      <x:c r="X87" s="402"/>
      <x:c r="Y87" s="402"/>
      <x:c r="Z87" s="402"/>
    </x:row>
    <x:row r="88">
      <x:c r="A88" s="402"/>
      <x:c r="B88" s="402"/>
      <x:c r="C88" s="402"/>
      <x:c r="D88" s="402"/>
      <x:c r="E88" s="402"/>
      <x:c r="F88" s="402"/>
      <x:c r="G88" s="402"/>
      <x:c r="H88" s="402"/>
      <x:c r="I88" s="402"/>
      <x:c r="J88" s="402"/>
      <x:c r="K88" s="402"/>
      <x:c r="L88" s="402"/>
      <x:c r="M88" s="402"/>
      <x:c r="N88" s="402"/>
      <x:c r="O88" s="402"/>
      <x:c r="P88" s="402"/>
      <x:c r="Q88" s="402"/>
      <x:c r="R88" s="402"/>
      <x:c r="S88" s="402"/>
      <x:c r="T88" s="402"/>
      <x:c r="U88" s="402"/>
      <x:c r="V88" s="402"/>
      <x:c r="W88" s="402"/>
      <x:c r="X88" s="402"/>
      <x:c r="Y88" s="402"/>
      <x:c r="Z88" s="402"/>
    </x:row>
    <x:row r="89">
      <x:c r="A89" s="402"/>
      <x:c r="B89" s="402"/>
      <x:c r="C89" s="402"/>
      <x:c r="D89" s="402"/>
      <x:c r="E89" s="402"/>
      <x:c r="F89" s="402"/>
      <x:c r="G89" s="402"/>
      <x:c r="H89" s="402"/>
      <x:c r="I89" s="402"/>
      <x:c r="J89" s="402"/>
      <x:c r="K89" s="402"/>
      <x:c r="L89" s="402"/>
      <x:c r="M89" s="402"/>
      <x:c r="N89" s="402"/>
      <x:c r="O89" s="402"/>
      <x:c r="P89" s="402"/>
      <x:c r="Q89" s="402"/>
      <x:c r="R89" s="402"/>
      <x:c r="S89" s="402"/>
      <x:c r="T89" s="402"/>
      <x:c r="U89" s="402"/>
      <x:c r="V89" s="402"/>
      <x:c r="W89" s="402"/>
      <x:c r="X89" s="402"/>
      <x:c r="Y89" s="402"/>
      <x:c r="Z89" s="402"/>
    </x:row>
    <x:row r="90">
      <x:c r="A90" s="402"/>
      <x:c r="B90" s="402"/>
      <x:c r="C90" s="402"/>
      <x:c r="D90" s="402"/>
      <x:c r="E90" s="402"/>
      <x:c r="F90" s="402"/>
      <x:c r="G90" s="402"/>
      <x:c r="H90" s="402"/>
      <x:c r="I90" s="402"/>
      <x:c r="J90" s="402"/>
      <x:c r="K90" s="402"/>
      <x:c r="L90" s="402"/>
      <x:c r="M90" s="402"/>
      <x:c r="N90" s="402"/>
      <x:c r="O90" s="402"/>
      <x:c r="P90" s="402"/>
      <x:c r="Q90" s="402"/>
      <x:c r="R90" s="402"/>
      <x:c r="S90" s="402"/>
      <x:c r="T90" s="402"/>
      <x:c r="U90" s="402"/>
      <x:c r="V90" s="402"/>
      <x:c r="W90" s="402"/>
      <x:c r="X90" s="402"/>
      <x:c r="Y90" s="402"/>
      <x:c r="Z90" s="402"/>
    </x:row>
    <x:row r="91">
      <x:c r="A91" s="402"/>
      <x:c r="B91" s="402"/>
      <x:c r="C91" s="402"/>
      <x:c r="D91" s="402"/>
      <x:c r="E91" s="402"/>
      <x:c r="F91" s="402"/>
      <x:c r="G91" s="402"/>
      <x:c r="H91" s="402"/>
      <x:c r="I91" s="402"/>
      <x:c r="J91" s="402"/>
      <x:c r="K91" s="402"/>
      <x:c r="L91" s="402"/>
      <x:c r="M91" s="402"/>
      <x:c r="N91" s="402"/>
      <x:c r="O91" s="402"/>
      <x:c r="P91" s="402"/>
      <x:c r="Q91" s="402"/>
      <x:c r="R91" s="402"/>
      <x:c r="S91" s="402"/>
      <x:c r="T91" s="402"/>
      <x:c r="U91" s="402"/>
      <x:c r="V91" s="402"/>
      <x:c r="W91" s="402"/>
      <x:c r="X91" s="402"/>
      <x:c r="Y91" s="402"/>
      <x:c r="Z91" s="402"/>
    </x:row>
    <x:row r="92">
      <x:c r="A92" s="402"/>
      <x:c r="B92" s="402"/>
      <x:c r="C92" s="402"/>
      <x:c r="D92" s="402"/>
      <x:c r="E92" s="402"/>
      <x:c r="F92" s="402"/>
      <x:c r="G92" s="402"/>
      <x:c r="H92" s="402"/>
      <x:c r="I92" s="402"/>
      <x:c r="J92" s="402"/>
      <x:c r="K92" s="402"/>
      <x:c r="L92" s="402"/>
      <x:c r="M92" s="402"/>
      <x:c r="N92" s="402"/>
      <x:c r="O92" s="402"/>
      <x:c r="P92" s="402"/>
      <x:c r="Q92" s="402"/>
      <x:c r="R92" s="402"/>
      <x:c r="S92" s="402"/>
      <x:c r="T92" s="402"/>
      <x:c r="U92" s="402"/>
      <x:c r="V92" s="402"/>
      <x:c r="W92" s="402"/>
      <x:c r="X92" s="402"/>
      <x:c r="Y92" s="402"/>
      <x:c r="Z92" s="402"/>
    </x:row>
    <x:row r="93">
      <x:c r="A93" s="402"/>
      <x:c r="B93" s="402"/>
      <x:c r="C93" s="402"/>
      <x:c r="D93" s="402"/>
      <x:c r="E93" s="402"/>
      <x:c r="F93" s="402"/>
      <x:c r="G93" s="402"/>
      <x:c r="H93" s="402"/>
      <x:c r="I93" s="402"/>
      <x:c r="J93" s="402"/>
      <x:c r="K93" s="402"/>
      <x:c r="L93" s="402"/>
      <x:c r="M93" s="402"/>
      <x:c r="N93" s="402"/>
      <x:c r="O93" s="402"/>
      <x:c r="P93" s="402"/>
      <x:c r="Q93" s="402"/>
      <x:c r="R93" s="402"/>
      <x:c r="S93" s="402"/>
      <x:c r="T93" s="402"/>
      <x:c r="U93" s="402"/>
      <x:c r="V93" s="402"/>
      <x:c r="W93" s="402"/>
      <x:c r="X93" s="402"/>
      <x:c r="Y93" s="402"/>
      <x:c r="Z93" s="402"/>
    </x:row>
    <x:row r="94">
      <x:c r="A94" s="402"/>
      <x:c r="B94" s="402"/>
      <x:c r="C94" s="402"/>
      <x:c r="D94" s="402"/>
      <x:c r="E94" s="402"/>
      <x:c r="F94" s="402"/>
      <x:c r="G94" s="402"/>
      <x:c r="H94" s="402"/>
      <x:c r="I94" s="402"/>
      <x:c r="J94" s="402"/>
      <x:c r="K94" s="402"/>
      <x:c r="L94" s="402"/>
      <x:c r="M94" s="402"/>
      <x:c r="N94" s="402"/>
      <x:c r="O94" s="402"/>
      <x:c r="P94" s="402"/>
      <x:c r="Q94" s="402"/>
      <x:c r="R94" s="402"/>
      <x:c r="S94" s="402"/>
      <x:c r="T94" s="402"/>
      <x:c r="U94" s="402"/>
      <x:c r="V94" s="402"/>
      <x:c r="W94" s="402"/>
      <x:c r="X94" s="402"/>
      <x:c r="Y94" s="402"/>
      <x:c r="Z94" s="402"/>
    </x:row>
    <x:row r="95">
      <x:c r="A95" s="402"/>
      <x:c r="B95" s="402"/>
      <x:c r="C95" s="402"/>
      <x:c r="D95" s="402"/>
      <x:c r="E95" s="402"/>
      <x:c r="F95" s="402"/>
      <x:c r="G95" s="402"/>
      <x:c r="H95" s="402"/>
      <x:c r="I95" s="402"/>
      <x:c r="J95" s="402"/>
      <x:c r="K95" s="402"/>
      <x:c r="L95" s="402"/>
      <x:c r="M95" s="402"/>
      <x:c r="N95" s="402"/>
      <x:c r="O95" s="402"/>
      <x:c r="P95" s="402"/>
      <x:c r="Q95" s="402"/>
      <x:c r="R95" s="402"/>
      <x:c r="S95" s="402"/>
      <x:c r="T95" s="402"/>
      <x:c r="U95" s="402"/>
      <x:c r="V95" s="402"/>
      <x:c r="W95" s="402"/>
      <x:c r="X95" s="402"/>
      <x:c r="Y95" s="402"/>
      <x:c r="Z95" s="402"/>
    </x:row>
    <x:row r="96">
      <x:c r="A96" s="402"/>
      <x:c r="B96" s="402"/>
      <x:c r="C96" s="402"/>
      <x:c r="D96" s="402"/>
      <x:c r="E96" s="402"/>
      <x:c r="F96" s="402"/>
      <x:c r="G96" s="402"/>
      <x:c r="H96" s="402"/>
      <x:c r="I96" s="402"/>
      <x:c r="J96" s="402"/>
      <x:c r="K96" s="402"/>
      <x:c r="L96" s="402"/>
      <x:c r="M96" s="402"/>
      <x:c r="N96" s="402"/>
      <x:c r="O96" s="402"/>
      <x:c r="P96" s="402"/>
      <x:c r="Q96" s="402"/>
      <x:c r="R96" s="402"/>
      <x:c r="S96" s="402"/>
      <x:c r="T96" s="402"/>
      <x:c r="U96" s="402"/>
      <x:c r="V96" s="402"/>
      <x:c r="W96" s="402"/>
      <x:c r="X96" s="402"/>
      <x:c r="Y96" s="402"/>
      <x:c r="Z96" s="402"/>
    </x:row>
    <x:row r="97">
      <x:c r="A97" s="402"/>
      <x:c r="B97" s="402"/>
      <x:c r="C97" s="402"/>
      <x:c r="D97" s="402"/>
      <x:c r="E97" s="402"/>
      <x:c r="F97" s="402"/>
      <x:c r="G97" s="402"/>
      <x:c r="H97" s="402"/>
      <x:c r="I97" s="402"/>
      <x:c r="J97" s="402"/>
      <x:c r="K97" s="402"/>
      <x:c r="L97" s="402"/>
      <x:c r="M97" s="402"/>
      <x:c r="N97" s="402"/>
      <x:c r="O97" s="402"/>
      <x:c r="P97" s="402"/>
      <x:c r="Q97" s="402"/>
      <x:c r="R97" s="402"/>
      <x:c r="S97" s="402"/>
      <x:c r="T97" s="402"/>
      <x:c r="U97" s="402"/>
      <x:c r="V97" s="402"/>
      <x:c r="W97" s="402"/>
      <x:c r="X97" s="402"/>
      <x:c r="Y97" s="402"/>
      <x:c r="Z97" s="402"/>
    </x:row>
    <x:row r="98">
      <x:c r="A98" s="402"/>
      <x:c r="B98" s="402"/>
      <x:c r="C98" s="402"/>
      <x:c r="D98" s="402"/>
      <x:c r="E98" s="402"/>
      <x:c r="F98" s="402"/>
      <x:c r="G98" s="402"/>
      <x:c r="H98" s="402"/>
      <x:c r="I98" s="402"/>
      <x:c r="J98" s="402"/>
      <x:c r="K98" s="402"/>
      <x:c r="L98" s="402"/>
      <x:c r="M98" s="402"/>
      <x:c r="N98" s="402"/>
      <x:c r="O98" s="402"/>
      <x:c r="P98" s="402"/>
      <x:c r="Q98" s="402"/>
      <x:c r="R98" s="402"/>
      <x:c r="S98" s="402"/>
      <x:c r="T98" s="402"/>
      <x:c r="U98" s="402"/>
      <x:c r="V98" s="402"/>
      <x:c r="W98" s="402"/>
      <x:c r="X98" s="402"/>
      <x:c r="Y98" s="402"/>
      <x:c r="Z98" s="402"/>
    </x:row>
    <x:row r="99">
      <x:c r="A99" s="402"/>
      <x:c r="B99" s="402"/>
      <x:c r="C99" s="402"/>
      <x:c r="D99" s="402"/>
      <x:c r="E99" s="402"/>
      <x:c r="F99" s="402"/>
      <x:c r="G99" s="402"/>
      <x:c r="H99" s="402"/>
      <x:c r="I99" s="402"/>
      <x:c r="J99" s="402"/>
      <x:c r="K99" s="402"/>
      <x:c r="L99" s="402"/>
      <x:c r="M99" s="402"/>
      <x:c r="N99" s="402"/>
      <x:c r="O99" s="402"/>
      <x:c r="P99" s="402"/>
      <x:c r="Q99" s="402"/>
      <x:c r="R99" s="402"/>
      <x:c r="S99" s="402"/>
      <x:c r="T99" s="402"/>
      <x:c r="U99" s="402"/>
      <x:c r="V99" s="402"/>
      <x:c r="W99" s="402"/>
      <x:c r="X99" s="402"/>
      <x:c r="Y99" s="402"/>
      <x:c r="Z99" s="402"/>
    </x:row>
    <x:row r="100">
      <x:c r="A100" s="402"/>
      <x:c r="B100" s="402"/>
      <x:c r="C100" s="402"/>
      <x:c r="D100" s="402"/>
      <x:c r="E100" s="402"/>
      <x:c r="F100" s="402"/>
      <x:c r="G100" s="402"/>
      <x:c r="H100" s="402"/>
      <x:c r="I100" s="402"/>
      <x:c r="J100" s="402"/>
      <x:c r="K100" s="402"/>
      <x:c r="L100" s="402"/>
      <x:c r="M100" s="402"/>
      <x:c r="N100" s="402"/>
      <x:c r="O100" s="402"/>
      <x:c r="P100" s="402"/>
      <x:c r="Q100" s="402"/>
      <x:c r="R100" s="402"/>
      <x:c r="S100" s="402"/>
      <x:c r="T100" s="402"/>
      <x:c r="U100" s="402"/>
      <x:c r="V100" s="402"/>
      <x:c r="W100" s="402"/>
      <x:c r="X100" s="402"/>
      <x:c r="Y100" s="402"/>
      <x:c r="Z100" s="402"/>
    </x:row>
    <x:row r="101">
      <x:c r="A101" s="402"/>
      <x:c r="B101" s="402"/>
      <x:c r="C101" s="402"/>
      <x:c r="D101" s="402"/>
      <x:c r="E101" s="402"/>
      <x:c r="F101" s="402"/>
      <x:c r="G101" s="402"/>
      <x:c r="H101" s="402"/>
      <x:c r="I101" s="402"/>
      <x:c r="J101" s="402"/>
      <x:c r="K101" s="402"/>
      <x:c r="L101" s="402"/>
      <x:c r="M101" s="402"/>
      <x:c r="N101" s="402"/>
      <x:c r="O101" s="402"/>
      <x:c r="P101" s="402"/>
      <x:c r="Q101" s="402"/>
      <x:c r="R101" s="402"/>
      <x:c r="S101" s="402"/>
      <x:c r="T101" s="402"/>
      <x:c r="U101" s="402"/>
      <x:c r="V101" s="402"/>
      <x:c r="W101" s="402"/>
      <x:c r="X101" s="402"/>
      <x:c r="Y101" s="402"/>
      <x:c r="Z101" s="402"/>
    </x:row>
    <x:row r="102">
      <x:c r="A102" s="402"/>
      <x:c r="B102" s="402"/>
      <x:c r="C102" s="402"/>
      <x:c r="D102" s="402"/>
      <x:c r="E102" s="402"/>
      <x:c r="F102" s="402"/>
      <x:c r="G102" s="402"/>
      <x:c r="H102" s="402"/>
      <x:c r="I102" s="402"/>
      <x:c r="J102" s="402"/>
      <x:c r="K102" s="402"/>
      <x:c r="L102" s="402"/>
      <x:c r="M102" s="402"/>
      <x:c r="N102" s="402"/>
      <x:c r="O102" s="402"/>
      <x:c r="P102" s="402"/>
      <x:c r="Q102" s="402"/>
      <x:c r="R102" s="402"/>
      <x:c r="S102" s="402"/>
      <x:c r="T102" s="402"/>
      <x:c r="U102" s="402"/>
      <x:c r="V102" s="402"/>
      <x:c r="W102" s="402"/>
      <x:c r="X102" s="402"/>
      <x:c r="Y102" s="402"/>
      <x:c r="Z102" s="402"/>
    </x:row>
    <x:row r="103">
      <x:c r="A103" s="402"/>
      <x:c r="B103" s="402"/>
      <x:c r="C103" s="402"/>
      <x:c r="D103" s="402"/>
      <x:c r="E103" s="402"/>
      <x:c r="F103" s="402"/>
      <x:c r="G103" s="402"/>
      <x:c r="H103" s="402"/>
      <x:c r="I103" s="402"/>
      <x:c r="J103" s="402"/>
      <x:c r="K103" s="402"/>
      <x:c r="L103" s="402"/>
      <x:c r="M103" s="402"/>
      <x:c r="N103" s="402"/>
      <x:c r="O103" s="402"/>
      <x:c r="P103" s="402"/>
      <x:c r="Q103" s="402"/>
      <x:c r="R103" s="402"/>
      <x:c r="S103" s="402"/>
      <x:c r="T103" s="402"/>
      <x:c r="U103" s="402"/>
      <x:c r="V103" s="402"/>
      <x:c r="W103" s="402"/>
      <x:c r="X103" s="402"/>
      <x:c r="Y103" s="402"/>
      <x:c r="Z103" s="402"/>
    </x:row>
    <x:row r="104">
      <x:c r="A104" s="402"/>
      <x:c r="B104" s="402"/>
      <x:c r="C104" s="402"/>
      <x:c r="D104" s="402"/>
      <x:c r="E104" s="402"/>
      <x:c r="F104" s="402"/>
      <x:c r="G104" s="402"/>
      <x:c r="H104" s="402"/>
      <x:c r="I104" s="402"/>
      <x:c r="J104" s="402"/>
      <x:c r="K104" s="402"/>
      <x:c r="L104" s="402"/>
      <x:c r="M104" s="402"/>
      <x:c r="N104" s="402"/>
      <x:c r="O104" s="402"/>
      <x:c r="P104" s="402"/>
      <x:c r="Q104" s="402"/>
      <x:c r="R104" s="402"/>
      <x:c r="S104" s="402"/>
      <x:c r="T104" s="402"/>
      <x:c r="U104" s="402"/>
      <x:c r="V104" s="402"/>
      <x:c r="W104" s="402"/>
      <x:c r="X104" s="402"/>
      <x:c r="Y104" s="402"/>
      <x:c r="Z104" s="402"/>
    </x:row>
    <x:row r="105">
      <x:c r="A105" s="402"/>
      <x:c r="B105" s="402"/>
      <x:c r="C105" s="402"/>
      <x:c r="D105" s="402"/>
      <x:c r="E105" s="402"/>
      <x:c r="F105" s="402"/>
      <x:c r="G105" s="402"/>
      <x:c r="H105" s="402"/>
      <x:c r="I105" s="402"/>
      <x:c r="J105" s="402"/>
      <x:c r="K105" s="402"/>
      <x:c r="L105" s="402"/>
      <x:c r="M105" s="402"/>
      <x:c r="N105" s="402"/>
      <x:c r="O105" s="402"/>
      <x:c r="P105" s="402"/>
      <x:c r="Q105" s="402"/>
      <x:c r="R105" s="402"/>
      <x:c r="S105" s="402"/>
      <x:c r="T105" s="402"/>
      <x:c r="U105" s="402"/>
      <x:c r="V105" s="402"/>
      <x:c r="W105" s="402"/>
      <x:c r="X105" s="402"/>
      <x:c r="Y105" s="402"/>
      <x:c r="Z105" s="402"/>
    </x:row>
    <x:row r="106">
      <x:c r="A106" s="402"/>
      <x:c r="B106" s="402"/>
      <x:c r="C106" s="402"/>
      <x:c r="D106" s="402"/>
      <x:c r="E106" s="402"/>
      <x:c r="F106" s="402"/>
      <x:c r="G106" s="402"/>
      <x:c r="H106" s="402"/>
      <x:c r="I106" s="402"/>
      <x:c r="J106" s="402"/>
      <x:c r="K106" s="402"/>
      <x:c r="L106" s="402"/>
      <x:c r="M106" s="402"/>
      <x:c r="N106" s="402"/>
      <x:c r="O106" s="402"/>
      <x:c r="P106" s="402"/>
      <x:c r="Q106" s="402"/>
      <x:c r="R106" s="402"/>
      <x:c r="S106" s="402"/>
      <x:c r="T106" s="402"/>
      <x:c r="U106" s="402"/>
      <x:c r="V106" s="402"/>
      <x:c r="W106" s="402"/>
      <x:c r="X106" s="402"/>
      <x:c r="Y106" s="402"/>
      <x:c r="Z106" s="402"/>
    </x:row>
    <x:row r="107">
      <x:c r="A107" s="402"/>
      <x:c r="B107" s="402"/>
      <x:c r="C107" s="402"/>
      <x:c r="D107" s="402"/>
      <x:c r="E107" s="402"/>
      <x:c r="F107" s="402"/>
      <x:c r="G107" s="402"/>
      <x:c r="H107" s="402"/>
      <x:c r="I107" s="402"/>
      <x:c r="J107" s="402"/>
      <x:c r="K107" s="402"/>
      <x:c r="L107" s="402"/>
      <x:c r="M107" s="402"/>
      <x:c r="N107" s="402"/>
      <x:c r="O107" s="402"/>
      <x:c r="P107" s="402"/>
      <x:c r="Q107" s="402"/>
      <x:c r="R107" s="402"/>
      <x:c r="S107" s="402"/>
      <x:c r="T107" s="402"/>
      <x:c r="U107" s="402"/>
      <x:c r="V107" s="402"/>
      <x:c r="W107" s="402"/>
      <x:c r="X107" s="402"/>
      <x:c r="Y107" s="402"/>
      <x:c r="Z107" s="402"/>
    </x:row>
    <x:row r="108">
      <x:c r="A108" s="402"/>
      <x:c r="B108" s="402"/>
      <x:c r="C108" s="402"/>
      <x:c r="D108" s="402"/>
      <x:c r="E108" s="402"/>
      <x:c r="F108" s="402"/>
      <x:c r="G108" s="402"/>
      <x:c r="H108" s="402"/>
      <x:c r="I108" s="402"/>
      <x:c r="J108" s="402"/>
      <x:c r="K108" s="402"/>
      <x:c r="L108" s="402"/>
      <x:c r="M108" s="402"/>
      <x:c r="N108" s="402"/>
      <x:c r="O108" s="402"/>
      <x:c r="P108" s="402"/>
      <x:c r="Q108" s="402"/>
      <x:c r="R108" s="402"/>
      <x:c r="S108" s="402"/>
      <x:c r="T108" s="402"/>
      <x:c r="U108" s="402"/>
      <x:c r="V108" s="402"/>
      <x:c r="W108" s="402"/>
      <x:c r="X108" s="402"/>
      <x:c r="Y108" s="402"/>
      <x:c r="Z108" s="402"/>
    </x:row>
    <x:row r="109">
      <x:c r="A109" s="402"/>
      <x:c r="B109" s="402"/>
      <x:c r="C109" s="402"/>
      <x:c r="D109" s="402"/>
      <x:c r="E109" s="402"/>
      <x:c r="F109" s="402"/>
      <x:c r="G109" s="402"/>
      <x:c r="H109" s="402"/>
      <x:c r="I109" s="402"/>
      <x:c r="J109" s="402"/>
      <x:c r="K109" s="402"/>
      <x:c r="L109" s="402"/>
      <x:c r="M109" s="402"/>
      <x:c r="N109" s="402"/>
      <x:c r="O109" s="402"/>
      <x:c r="P109" s="402"/>
      <x:c r="Q109" s="402"/>
      <x:c r="R109" s="402"/>
      <x:c r="S109" s="402"/>
      <x:c r="T109" s="402"/>
      <x:c r="U109" s="402"/>
      <x:c r="V109" s="402"/>
      <x:c r="W109" s="402"/>
      <x:c r="X109" s="402"/>
      <x:c r="Y109" s="402"/>
      <x:c r="Z109" s="402"/>
    </x:row>
    <x:row r="110">
      <x:c r="A110" s="402"/>
      <x:c r="B110" s="402"/>
      <x:c r="C110" s="402"/>
      <x:c r="D110" s="402"/>
      <x:c r="E110" s="402"/>
      <x:c r="F110" s="402"/>
      <x:c r="G110" s="402"/>
      <x:c r="H110" s="402"/>
      <x:c r="I110" s="402"/>
      <x:c r="J110" s="402"/>
      <x:c r="K110" s="402"/>
      <x:c r="L110" s="402"/>
      <x:c r="M110" s="402"/>
      <x:c r="N110" s="402"/>
      <x:c r="O110" s="402"/>
      <x:c r="P110" s="402"/>
      <x:c r="Q110" s="402"/>
      <x:c r="R110" s="402"/>
      <x:c r="S110" s="402"/>
      <x:c r="T110" s="402"/>
      <x:c r="U110" s="402"/>
      <x:c r="V110" s="402"/>
      <x:c r="W110" s="402"/>
      <x:c r="X110" s="402"/>
      <x:c r="Y110" s="402"/>
      <x:c r="Z110" s="402"/>
    </x:row>
    <x:row r="111">
      <x:c r="A111" s="402"/>
      <x:c r="B111" s="402"/>
      <x:c r="C111" s="402"/>
      <x:c r="D111" s="402"/>
      <x:c r="E111" s="402"/>
      <x:c r="F111" s="402"/>
      <x:c r="G111" s="402"/>
      <x:c r="H111" s="402"/>
      <x:c r="I111" s="402"/>
      <x:c r="J111" s="402"/>
      <x:c r="K111" s="402"/>
      <x:c r="L111" s="402"/>
      <x:c r="M111" s="402"/>
      <x:c r="N111" s="402"/>
      <x:c r="O111" s="402"/>
      <x:c r="P111" s="402"/>
      <x:c r="Q111" s="402"/>
      <x:c r="R111" s="402"/>
      <x:c r="S111" s="402"/>
      <x:c r="T111" s="402"/>
      <x:c r="U111" s="402"/>
      <x:c r="V111" s="402"/>
      <x:c r="W111" s="402"/>
      <x:c r="X111" s="402"/>
      <x:c r="Y111" s="402"/>
      <x:c r="Z111" s="402"/>
    </x:row>
    <x:row r="112">
      <x:c r="A112" s="402"/>
      <x:c r="B112" s="402"/>
      <x:c r="C112" s="402"/>
      <x:c r="D112" s="402"/>
      <x:c r="E112" s="402"/>
      <x:c r="F112" s="402"/>
      <x:c r="G112" s="402"/>
      <x:c r="H112" s="402"/>
      <x:c r="I112" s="402"/>
      <x:c r="J112" s="402"/>
      <x:c r="K112" s="402"/>
      <x:c r="L112" s="402"/>
      <x:c r="M112" s="402"/>
      <x:c r="N112" s="402"/>
      <x:c r="O112" s="402"/>
      <x:c r="P112" s="402"/>
      <x:c r="Q112" s="402"/>
      <x:c r="R112" s="402"/>
      <x:c r="S112" s="402"/>
      <x:c r="T112" s="402"/>
      <x:c r="U112" s="402"/>
      <x:c r="V112" s="402"/>
      <x:c r="W112" s="402"/>
      <x:c r="X112" s="402"/>
      <x:c r="Y112" s="402"/>
      <x:c r="Z112" s="402"/>
    </x:row>
    <x:row r="113">
      <x:c r="A113" s="402"/>
      <x:c r="B113" s="402"/>
      <x:c r="C113" s="402"/>
      <x:c r="D113" s="402"/>
      <x:c r="E113" s="402"/>
      <x:c r="F113" s="402"/>
      <x:c r="G113" s="402"/>
      <x:c r="H113" s="402"/>
      <x:c r="I113" s="402"/>
      <x:c r="J113" s="402"/>
      <x:c r="K113" s="402"/>
      <x:c r="L113" s="402"/>
      <x:c r="M113" s="402"/>
      <x:c r="N113" s="402"/>
      <x:c r="O113" s="402"/>
      <x:c r="P113" s="402"/>
      <x:c r="Q113" s="402"/>
      <x:c r="R113" s="402"/>
      <x:c r="S113" s="402"/>
      <x:c r="T113" s="402"/>
      <x:c r="U113" s="402"/>
      <x:c r="V113" s="402"/>
      <x:c r="W113" s="402"/>
      <x:c r="X113" s="402"/>
      <x:c r="Y113" s="402"/>
      <x:c r="Z113" s="402"/>
    </x:row>
    <x:row r="114">
      <x:c r="A114" s="402"/>
      <x:c r="B114" s="402"/>
      <x:c r="C114" s="402"/>
      <x:c r="D114" s="402"/>
      <x:c r="E114" s="402"/>
      <x:c r="F114" s="402"/>
      <x:c r="G114" s="402"/>
      <x:c r="H114" s="402"/>
      <x:c r="I114" s="402"/>
      <x:c r="J114" s="402"/>
      <x:c r="K114" s="402"/>
      <x:c r="L114" s="402"/>
      <x:c r="M114" s="402"/>
      <x:c r="N114" s="402"/>
      <x:c r="O114" s="402"/>
      <x:c r="P114" s="402"/>
      <x:c r="Q114" s="402"/>
      <x:c r="R114" s="402"/>
      <x:c r="S114" s="402"/>
      <x:c r="T114" s="402"/>
      <x:c r="U114" s="402"/>
      <x:c r="V114" s="402"/>
      <x:c r="W114" s="402"/>
      <x:c r="X114" s="402"/>
      <x:c r="Y114" s="402"/>
      <x:c r="Z114" s="402"/>
    </x:row>
    <x:row r="115">
      <x:c r="A115" s="402"/>
      <x:c r="B115" s="402"/>
      <x:c r="C115" s="402"/>
      <x:c r="D115" s="402"/>
      <x:c r="E115" s="402"/>
      <x:c r="F115" s="402"/>
      <x:c r="G115" s="402"/>
      <x:c r="H115" s="402"/>
      <x:c r="I115" s="402"/>
      <x:c r="J115" s="402"/>
      <x:c r="K115" s="402"/>
      <x:c r="L115" s="402"/>
      <x:c r="M115" s="402"/>
      <x:c r="N115" s="402"/>
      <x:c r="O115" s="402"/>
      <x:c r="P115" s="402"/>
      <x:c r="Q115" s="402"/>
      <x:c r="R115" s="402"/>
      <x:c r="S115" s="402"/>
      <x:c r="T115" s="402"/>
      <x:c r="U115" s="402"/>
      <x:c r="V115" s="402"/>
      <x:c r="W115" s="402"/>
      <x:c r="X115" s="402"/>
      <x:c r="Y115" s="402"/>
      <x:c r="Z115" s="402"/>
    </x:row>
    <x:row r="116">
      <x:c r="A116" s="402"/>
      <x:c r="B116" s="402"/>
      <x:c r="C116" s="402"/>
      <x:c r="D116" s="402"/>
      <x:c r="E116" s="402"/>
      <x:c r="F116" s="402"/>
      <x:c r="G116" s="402"/>
      <x:c r="H116" s="402"/>
      <x:c r="I116" s="402"/>
      <x:c r="J116" s="402"/>
      <x:c r="K116" s="402"/>
      <x:c r="L116" s="402"/>
      <x:c r="M116" s="402"/>
      <x:c r="N116" s="402"/>
      <x:c r="O116" s="402"/>
      <x:c r="P116" s="402"/>
      <x:c r="Q116" s="402"/>
      <x:c r="R116" s="402"/>
      <x:c r="S116" s="402"/>
      <x:c r="T116" s="402"/>
      <x:c r="U116" s="402"/>
      <x:c r="V116" s="402"/>
      <x:c r="W116" s="402"/>
      <x:c r="X116" s="402"/>
      <x:c r="Y116" s="402"/>
      <x:c r="Z116" s="402"/>
    </x:row>
    <x:row r="117">
      <x:c r="A117" s="402"/>
      <x:c r="B117" s="402"/>
      <x:c r="C117" s="402"/>
      <x:c r="D117" s="402"/>
      <x:c r="E117" s="402"/>
      <x:c r="F117" s="402"/>
      <x:c r="G117" s="402"/>
      <x:c r="H117" s="402"/>
      <x:c r="I117" s="402"/>
      <x:c r="J117" s="402"/>
      <x:c r="K117" s="402"/>
      <x:c r="L117" s="402"/>
      <x:c r="M117" s="402"/>
      <x:c r="N117" s="402"/>
      <x:c r="O117" s="402"/>
      <x:c r="P117" s="402"/>
      <x:c r="Q117" s="402"/>
      <x:c r="R117" s="402"/>
      <x:c r="S117" s="402"/>
      <x:c r="T117" s="402"/>
      <x:c r="U117" s="402"/>
      <x:c r="V117" s="402"/>
      <x:c r="W117" s="402"/>
      <x:c r="X117" s="402"/>
      <x:c r="Y117" s="402"/>
      <x:c r="Z117" s="402"/>
    </x:row>
    <x:row r="118">
      <x:c r="A118" s="402"/>
      <x:c r="B118" s="402"/>
      <x:c r="C118" s="402"/>
      <x:c r="D118" s="402"/>
      <x:c r="E118" s="402"/>
      <x:c r="F118" s="402"/>
      <x:c r="G118" s="402"/>
      <x:c r="H118" s="402"/>
      <x:c r="I118" s="402"/>
      <x:c r="J118" s="402"/>
      <x:c r="K118" s="402"/>
      <x:c r="L118" s="402"/>
      <x:c r="M118" s="402"/>
      <x:c r="N118" s="402"/>
      <x:c r="O118" s="402"/>
      <x:c r="P118" s="402"/>
      <x:c r="Q118" s="402"/>
      <x:c r="R118" s="402"/>
      <x:c r="S118" s="402"/>
      <x:c r="T118" s="402"/>
      <x:c r="U118" s="402"/>
      <x:c r="V118" s="402"/>
      <x:c r="W118" s="402"/>
      <x:c r="X118" s="402"/>
      <x:c r="Y118" s="402"/>
      <x:c r="Z118" s="402"/>
    </x:row>
    <x:row r="119">
      <x:c r="A119" s="402"/>
      <x:c r="B119" s="402"/>
      <x:c r="C119" s="402"/>
      <x:c r="D119" s="402"/>
      <x:c r="E119" s="402"/>
      <x:c r="F119" s="402"/>
      <x:c r="G119" s="402"/>
      <x:c r="H119" s="402"/>
      <x:c r="I119" s="402"/>
      <x:c r="J119" s="402"/>
      <x:c r="K119" s="402"/>
      <x:c r="L119" s="402"/>
      <x:c r="M119" s="402"/>
      <x:c r="N119" s="402"/>
      <x:c r="O119" s="402"/>
      <x:c r="P119" s="402"/>
      <x:c r="Q119" s="402"/>
      <x:c r="R119" s="402"/>
      <x:c r="S119" s="402"/>
      <x:c r="T119" s="402"/>
      <x:c r="U119" s="402"/>
      <x:c r="V119" s="402"/>
      <x:c r="W119" s="402"/>
      <x:c r="X119" s="402"/>
      <x:c r="Y119" s="402"/>
      <x:c r="Z119" s="402"/>
    </x:row>
    <x:row r="120">
      <x:c r="A120" s="402"/>
      <x:c r="B120" s="402"/>
      <x:c r="C120" s="402"/>
      <x:c r="D120" s="402"/>
      <x:c r="E120" s="402"/>
      <x:c r="F120" s="402"/>
      <x:c r="G120" s="402"/>
      <x:c r="H120" s="402"/>
      <x:c r="I120" s="402"/>
      <x:c r="J120" s="402"/>
      <x:c r="K120" s="402"/>
      <x:c r="L120" s="402"/>
      <x:c r="M120" s="402"/>
      <x:c r="N120" s="402"/>
      <x:c r="O120" s="402"/>
      <x:c r="P120" s="402"/>
      <x:c r="Q120" s="402"/>
      <x:c r="R120" s="402"/>
      <x:c r="S120" s="402"/>
      <x:c r="T120" s="402"/>
      <x:c r="U120" s="402"/>
      <x:c r="V120" s="402"/>
      <x:c r="W120" s="402"/>
      <x:c r="X120" s="402"/>
      <x:c r="Y120" s="402"/>
      <x:c r="Z120" s="402"/>
    </x:row>
    <x:row r="121">
      <x:c r="A121" s="402"/>
      <x:c r="B121" s="402"/>
      <x:c r="C121" s="402"/>
      <x:c r="D121" s="402"/>
      <x:c r="E121" s="402"/>
      <x:c r="F121" s="402"/>
      <x:c r="G121" s="402"/>
      <x:c r="H121" s="402"/>
      <x:c r="I121" s="402"/>
      <x:c r="J121" s="402"/>
      <x:c r="K121" s="402"/>
      <x:c r="L121" s="402"/>
      <x:c r="M121" s="402"/>
      <x:c r="N121" s="402"/>
      <x:c r="O121" s="402"/>
      <x:c r="P121" s="402"/>
      <x:c r="Q121" s="402"/>
      <x:c r="R121" s="402"/>
      <x:c r="S121" s="402"/>
      <x:c r="T121" s="402"/>
      <x:c r="U121" s="402"/>
      <x:c r="V121" s="402"/>
      <x:c r="W121" s="402"/>
      <x:c r="X121" s="402"/>
      <x:c r="Y121" s="402"/>
      <x:c r="Z121" s="402"/>
    </x:row>
    <x:row r="122">
      <x:c r="A122" s="402"/>
      <x:c r="B122" s="402"/>
      <x:c r="C122" s="402"/>
      <x:c r="D122" s="402"/>
      <x:c r="E122" s="402"/>
      <x:c r="F122" s="402"/>
      <x:c r="G122" s="402"/>
      <x:c r="H122" s="402"/>
      <x:c r="I122" s="402"/>
      <x:c r="J122" s="402"/>
      <x:c r="K122" s="402"/>
      <x:c r="L122" s="402"/>
      <x:c r="M122" s="402"/>
      <x:c r="N122" s="402"/>
      <x:c r="O122" s="402"/>
      <x:c r="P122" s="402"/>
      <x:c r="Q122" s="402"/>
      <x:c r="R122" s="402"/>
      <x:c r="S122" s="402"/>
      <x:c r="T122" s="402"/>
      <x:c r="U122" s="402"/>
      <x:c r="V122" s="402"/>
      <x:c r="W122" s="402"/>
      <x:c r="X122" s="402"/>
      <x:c r="Y122" s="402"/>
      <x:c r="Z122" s="402"/>
    </x:row>
    <x:row r="123">
      <x:c r="A123" s="402"/>
      <x:c r="B123" s="402"/>
      <x:c r="C123" s="402"/>
      <x:c r="D123" s="402"/>
      <x:c r="E123" s="402"/>
      <x:c r="F123" s="402"/>
      <x:c r="G123" s="402"/>
      <x:c r="H123" s="402"/>
      <x:c r="I123" s="402"/>
      <x:c r="J123" s="402"/>
      <x:c r="K123" s="402"/>
      <x:c r="L123" s="402"/>
      <x:c r="M123" s="402"/>
      <x:c r="N123" s="402"/>
      <x:c r="O123" s="402"/>
      <x:c r="P123" s="402"/>
      <x:c r="Q123" s="402"/>
      <x:c r="R123" s="402"/>
      <x:c r="S123" s="402"/>
      <x:c r="T123" s="402"/>
      <x:c r="U123" s="402"/>
      <x:c r="V123" s="402"/>
      <x:c r="W123" s="402"/>
      <x:c r="X123" s="402"/>
      <x:c r="Y123" s="402"/>
      <x:c r="Z123" s="402"/>
    </x:row>
    <x:row r="124">
      <x:c r="A124" s="402"/>
      <x:c r="B124" s="402"/>
      <x:c r="C124" s="402"/>
      <x:c r="D124" s="402"/>
      <x:c r="E124" s="402"/>
      <x:c r="F124" s="402"/>
      <x:c r="G124" s="402"/>
      <x:c r="H124" s="402"/>
      <x:c r="I124" s="402"/>
      <x:c r="J124" s="402"/>
      <x:c r="K124" s="402"/>
      <x:c r="L124" s="402"/>
      <x:c r="M124" s="402"/>
      <x:c r="N124" s="402"/>
      <x:c r="O124" s="402"/>
      <x:c r="P124" s="402"/>
      <x:c r="Q124" s="402"/>
      <x:c r="R124" s="402"/>
      <x:c r="S124" s="402"/>
      <x:c r="T124" s="402"/>
      <x:c r="U124" s="402"/>
      <x:c r="V124" s="402"/>
      <x:c r="W124" s="402"/>
      <x:c r="X124" s="402"/>
      <x:c r="Y124" s="402"/>
      <x:c r="Z124" s="402"/>
    </x:row>
    <x:row r="125">
      <x:c r="A125" s="402"/>
      <x:c r="B125" s="402"/>
      <x:c r="C125" s="402"/>
      <x:c r="D125" s="402"/>
      <x:c r="E125" s="402"/>
      <x:c r="F125" s="402"/>
      <x:c r="G125" s="402"/>
      <x:c r="H125" s="402"/>
      <x:c r="I125" s="402"/>
      <x:c r="J125" s="402"/>
      <x:c r="K125" s="402"/>
      <x:c r="L125" s="402"/>
      <x:c r="M125" s="402"/>
      <x:c r="N125" s="402"/>
      <x:c r="O125" s="402"/>
      <x:c r="P125" s="402"/>
      <x:c r="Q125" s="402"/>
      <x:c r="R125" s="402"/>
      <x:c r="S125" s="402"/>
      <x:c r="T125" s="402"/>
      <x:c r="U125" s="402"/>
      <x:c r="V125" s="402"/>
      <x:c r="W125" s="402"/>
      <x:c r="X125" s="402"/>
      <x:c r="Y125" s="402"/>
      <x:c r="Z125" s="402"/>
    </x:row>
    <x:row r="126">
      <x:c r="A126" s="402"/>
      <x:c r="B126" s="402"/>
      <x:c r="C126" s="402"/>
      <x:c r="D126" s="402"/>
      <x:c r="E126" s="402"/>
      <x:c r="F126" s="402"/>
      <x:c r="G126" s="402"/>
      <x:c r="H126" s="402"/>
      <x:c r="I126" s="402"/>
      <x:c r="J126" s="402"/>
      <x:c r="K126" s="402"/>
      <x:c r="L126" s="402"/>
      <x:c r="M126" s="402"/>
      <x:c r="N126" s="402"/>
      <x:c r="O126" s="402"/>
      <x:c r="P126" s="402"/>
      <x:c r="Q126" s="402"/>
      <x:c r="R126" s="402"/>
      <x:c r="S126" s="402"/>
      <x:c r="T126" s="402"/>
      <x:c r="U126" s="402"/>
      <x:c r="V126" s="402"/>
      <x:c r="W126" s="402"/>
      <x:c r="X126" s="402"/>
      <x:c r="Y126" s="402"/>
      <x:c r="Z126" s="402"/>
    </x:row>
    <x:row r="127">
      <x:c r="A127" s="402"/>
      <x:c r="B127" s="402"/>
      <x:c r="C127" s="402"/>
      <x:c r="D127" s="402"/>
      <x:c r="E127" s="402"/>
      <x:c r="F127" s="402"/>
      <x:c r="G127" s="402"/>
      <x:c r="H127" s="402"/>
      <x:c r="I127" s="402"/>
      <x:c r="J127" s="402"/>
      <x:c r="K127" s="402"/>
      <x:c r="L127" s="402"/>
      <x:c r="M127" s="402"/>
      <x:c r="N127" s="402"/>
      <x:c r="O127" s="402"/>
      <x:c r="P127" s="402"/>
      <x:c r="Q127" s="402"/>
      <x:c r="R127" s="402"/>
      <x:c r="S127" s="402"/>
      <x:c r="T127" s="402"/>
      <x:c r="U127" s="402"/>
      <x:c r="V127" s="402"/>
      <x:c r="W127" s="402"/>
      <x:c r="X127" s="402"/>
      <x:c r="Y127" s="402"/>
      <x:c r="Z127" s="402"/>
    </x:row>
    <x:row r="128">
      <x:c r="A128" s="402"/>
      <x:c r="B128" s="402"/>
      <x:c r="C128" s="402"/>
      <x:c r="D128" s="402"/>
      <x:c r="E128" s="402"/>
      <x:c r="F128" s="402"/>
      <x:c r="G128" s="402"/>
      <x:c r="H128" s="402"/>
      <x:c r="I128" s="402"/>
      <x:c r="J128" s="402"/>
      <x:c r="K128" s="402"/>
      <x:c r="L128" s="402"/>
      <x:c r="M128" s="402"/>
      <x:c r="N128" s="402"/>
      <x:c r="O128" s="402"/>
      <x:c r="P128" s="402"/>
      <x:c r="Q128" s="402"/>
      <x:c r="R128" s="402"/>
      <x:c r="S128" s="402"/>
      <x:c r="T128" s="402"/>
      <x:c r="U128" s="402"/>
      <x:c r="V128" s="402"/>
      <x:c r="W128" s="402"/>
      <x:c r="X128" s="402"/>
      <x:c r="Y128" s="402"/>
      <x:c r="Z128" s="402"/>
    </x:row>
    <x:row r="129">
      <x:c r="A129" s="402"/>
      <x:c r="B129" s="402"/>
      <x:c r="C129" s="402"/>
      <x:c r="D129" s="402"/>
      <x:c r="E129" s="402"/>
      <x:c r="F129" s="402"/>
      <x:c r="G129" s="402"/>
      <x:c r="H129" s="402"/>
      <x:c r="I129" s="402"/>
      <x:c r="J129" s="402"/>
      <x:c r="K129" s="402"/>
      <x:c r="L129" s="402"/>
      <x:c r="M129" s="402"/>
      <x:c r="N129" s="402"/>
      <x:c r="O129" s="402"/>
      <x:c r="P129" s="402"/>
      <x:c r="Q129" s="402"/>
      <x:c r="R129" s="402"/>
      <x:c r="S129" s="402"/>
      <x:c r="T129" s="402"/>
      <x:c r="U129" s="402"/>
      <x:c r="V129" s="402"/>
      <x:c r="W129" s="402"/>
      <x:c r="X129" s="402"/>
      <x:c r="Y129" s="402"/>
      <x:c r="Z129" s="402"/>
    </x:row>
    <x:row r="130">
      <x:c r="A130" s="402"/>
      <x:c r="B130" s="402"/>
      <x:c r="C130" s="402"/>
      <x:c r="D130" s="402"/>
      <x:c r="E130" s="402"/>
      <x:c r="F130" s="402"/>
      <x:c r="G130" s="402"/>
      <x:c r="H130" s="402"/>
      <x:c r="I130" s="402"/>
      <x:c r="J130" s="402"/>
      <x:c r="K130" s="402"/>
      <x:c r="L130" s="402"/>
      <x:c r="M130" s="402"/>
      <x:c r="N130" s="402"/>
      <x:c r="O130" s="402"/>
      <x:c r="P130" s="402"/>
      <x:c r="Q130" s="402"/>
      <x:c r="R130" s="402"/>
      <x:c r="S130" s="402"/>
      <x:c r="T130" s="402"/>
      <x:c r="U130" s="402"/>
      <x:c r="V130" s="402"/>
      <x:c r="W130" s="402"/>
      <x:c r="X130" s="402"/>
      <x:c r="Y130" s="402"/>
      <x:c r="Z130" s="402"/>
    </x:row>
    <x:row r="131">
      <x:c r="A131" s="402"/>
      <x:c r="B131" s="402"/>
      <x:c r="C131" s="402"/>
      <x:c r="D131" s="402"/>
      <x:c r="E131" s="402"/>
      <x:c r="F131" s="402"/>
      <x:c r="G131" s="402"/>
      <x:c r="H131" s="402"/>
      <x:c r="I131" s="402"/>
      <x:c r="J131" s="402"/>
      <x:c r="K131" s="402"/>
      <x:c r="L131" s="402"/>
      <x:c r="M131" s="402"/>
      <x:c r="N131" s="402"/>
      <x:c r="O131" s="402"/>
      <x:c r="P131" s="402"/>
      <x:c r="Q131" s="402"/>
      <x:c r="R131" s="402"/>
      <x:c r="S131" s="402"/>
      <x:c r="T131" s="402"/>
      <x:c r="U131" s="402"/>
      <x:c r="V131" s="402"/>
      <x:c r="W131" s="402"/>
      <x:c r="X131" s="402"/>
      <x:c r="Y131" s="402"/>
      <x:c r="Z131" s="402"/>
    </x:row>
    <x:row r="132">
      <x:c r="A132" s="402"/>
      <x:c r="B132" s="402"/>
      <x:c r="C132" s="402"/>
      <x:c r="D132" s="402"/>
      <x:c r="E132" s="402"/>
      <x:c r="F132" s="402"/>
      <x:c r="G132" s="402"/>
      <x:c r="H132" s="402"/>
      <x:c r="I132" s="402"/>
      <x:c r="J132" s="402"/>
      <x:c r="K132" s="402"/>
      <x:c r="L132" s="402"/>
      <x:c r="M132" s="402"/>
      <x:c r="N132" s="402"/>
      <x:c r="O132" s="402"/>
      <x:c r="P132" s="402"/>
      <x:c r="Q132" s="402"/>
      <x:c r="R132" s="402"/>
      <x:c r="S132" s="402"/>
      <x:c r="T132" s="402"/>
      <x:c r="U132" s="402"/>
      <x:c r="V132" s="402"/>
      <x:c r="W132" s="402"/>
      <x:c r="X132" s="402"/>
      <x:c r="Y132" s="402"/>
      <x:c r="Z132" s="402"/>
    </x:row>
    <x:row r="133">
      <x:c r="A133" s="402"/>
      <x:c r="B133" s="402"/>
      <x:c r="C133" s="402"/>
      <x:c r="D133" s="402"/>
      <x:c r="E133" s="402"/>
      <x:c r="F133" s="402"/>
      <x:c r="G133" s="402"/>
      <x:c r="H133" s="402"/>
      <x:c r="I133" s="402"/>
      <x:c r="J133" s="402"/>
      <x:c r="K133" s="402"/>
      <x:c r="L133" s="402"/>
      <x:c r="M133" s="402"/>
      <x:c r="N133" s="402"/>
      <x:c r="O133" s="402"/>
      <x:c r="P133" s="402"/>
      <x:c r="Q133" s="402"/>
      <x:c r="R133" s="402"/>
      <x:c r="S133" s="402"/>
      <x:c r="T133" s="402"/>
      <x:c r="U133" s="402"/>
      <x:c r="V133" s="402"/>
      <x:c r="W133" s="402"/>
      <x:c r="X133" s="402"/>
      <x:c r="Y133" s="402"/>
      <x:c r="Z133" s="402"/>
    </x:row>
    <x:row r="134">
      <x:c r="A134" s="402"/>
      <x:c r="B134" s="402"/>
      <x:c r="C134" s="402"/>
      <x:c r="D134" s="402"/>
      <x:c r="E134" s="402"/>
      <x:c r="F134" s="402"/>
      <x:c r="G134" s="402"/>
      <x:c r="H134" s="402"/>
      <x:c r="I134" s="402"/>
      <x:c r="J134" s="402"/>
      <x:c r="K134" s="402"/>
      <x:c r="L134" s="402"/>
      <x:c r="M134" s="402"/>
      <x:c r="N134" s="402"/>
      <x:c r="O134" s="402"/>
      <x:c r="P134" s="402"/>
      <x:c r="Q134" s="402"/>
      <x:c r="R134" s="402"/>
      <x:c r="S134" s="402"/>
      <x:c r="T134" s="402"/>
      <x:c r="U134" s="402"/>
      <x:c r="V134" s="402"/>
      <x:c r="W134" s="402"/>
      <x:c r="X134" s="402"/>
      <x:c r="Y134" s="402"/>
      <x:c r="Z134" s="402"/>
    </x:row>
    <x:row r="135">
      <x:c r="A135" s="402"/>
      <x:c r="B135" s="402"/>
      <x:c r="C135" s="402"/>
      <x:c r="D135" s="402"/>
      <x:c r="E135" s="402"/>
      <x:c r="F135" s="402"/>
      <x:c r="G135" s="402"/>
      <x:c r="H135" s="402"/>
      <x:c r="I135" s="402"/>
      <x:c r="J135" s="402"/>
      <x:c r="K135" s="402"/>
      <x:c r="L135" s="402"/>
      <x:c r="M135" s="402"/>
      <x:c r="N135" s="402"/>
      <x:c r="O135" s="402"/>
      <x:c r="P135" s="402"/>
      <x:c r="Q135" s="402"/>
      <x:c r="R135" s="402"/>
      <x:c r="S135" s="402"/>
      <x:c r="T135" s="402"/>
      <x:c r="U135" s="402"/>
      <x:c r="V135" s="402"/>
      <x:c r="W135" s="402"/>
      <x:c r="X135" s="402"/>
      <x:c r="Y135" s="402"/>
      <x:c r="Z135" s="402"/>
    </x:row>
    <x:row r="136">
      <x:c r="A136" s="402"/>
      <x:c r="B136" s="402"/>
      <x:c r="C136" s="402"/>
      <x:c r="D136" s="402"/>
      <x:c r="E136" s="402"/>
      <x:c r="F136" s="402"/>
      <x:c r="G136" s="402"/>
      <x:c r="H136" s="402"/>
      <x:c r="I136" s="402"/>
      <x:c r="J136" s="402"/>
      <x:c r="K136" s="402"/>
      <x:c r="L136" s="402"/>
      <x:c r="M136" s="402"/>
      <x:c r="N136" s="402"/>
      <x:c r="O136" s="402"/>
      <x:c r="P136" s="402"/>
      <x:c r="Q136" s="402"/>
      <x:c r="R136" s="402"/>
      <x:c r="S136" s="402"/>
      <x:c r="T136" s="402"/>
      <x:c r="U136" s="402"/>
      <x:c r="V136" s="402"/>
      <x:c r="W136" s="402"/>
      <x:c r="X136" s="402"/>
      <x:c r="Y136" s="402"/>
      <x:c r="Z136" s="402"/>
    </x:row>
    <x:row r="137">
      <x:c r="A137" s="402"/>
      <x:c r="B137" s="402"/>
      <x:c r="C137" s="402"/>
      <x:c r="D137" s="402"/>
      <x:c r="E137" s="402"/>
      <x:c r="F137" s="402"/>
      <x:c r="G137" s="402"/>
      <x:c r="H137" s="402"/>
      <x:c r="I137" s="402"/>
      <x:c r="J137" s="402"/>
      <x:c r="K137" s="402"/>
      <x:c r="L137" s="402"/>
      <x:c r="M137" s="402"/>
      <x:c r="N137" s="402"/>
      <x:c r="O137" s="402"/>
      <x:c r="P137" s="402"/>
      <x:c r="Q137" s="402"/>
      <x:c r="R137" s="402"/>
      <x:c r="S137" s="402"/>
      <x:c r="T137" s="402"/>
      <x:c r="U137" s="402"/>
      <x:c r="V137" s="402"/>
      <x:c r="W137" s="402"/>
      <x:c r="X137" s="402"/>
      <x:c r="Y137" s="402"/>
      <x:c r="Z137" s="402"/>
    </x:row>
    <x:row r="138">
      <x:c r="A138" s="402"/>
      <x:c r="B138" s="402"/>
      <x:c r="C138" s="402"/>
      <x:c r="D138" s="402"/>
      <x:c r="E138" s="402"/>
      <x:c r="F138" s="402"/>
      <x:c r="G138" s="402"/>
      <x:c r="H138" s="402"/>
      <x:c r="I138" s="402"/>
      <x:c r="J138" s="402"/>
      <x:c r="K138" s="402"/>
      <x:c r="L138" s="402"/>
      <x:c r="M138" s="402"/>
      <x:c r="N138" s="402"/>
      <x:c r="O138" s="402"/>
      <x:c r="P138" s="402"/>
      <x:c r="Q138" s="402"/>
      <x:c r="R138" s="402"/>
      <x:c r="S138" s="402"/>
      <x:c r="T138" s="402"/>
      <x:c r="U138" s="402"/>
      <x:c r="V138" s="402"/>
      <x:c r="W138" s="402"/>
      <x:c r="X138" s="402"/>
      <x:c r="Y138" s="402"/>
      <x:c r="Z138" s="402"/>
    </x:row>
    <x:row r="139">
      <x:c r="A139" s="402"/>
      <x:c r="B139" s="402"/>
      <x:c r="C139" s="402"/>
      <x:c r="D139" s="402"/>
      <x:c r="E139" s="402"/>
      <x:c r="F139" s="402"/>
      <x:c r="G139" s="402"/>
      <x:c r="H139" s="402"/>
      <x:c r="I139" s="402"/>
      <x:c r="J139" s="402"/>
      <x:c r="K139" s="402"/>
      <x:c r="L139" s="402"/>
      <x:c r="M139" s="402"/>
      <x:c r="N139" s="402"/>
      <x:c r="O139" s="402"/>
      <x:c r="P139" s="402"/>
      <x:c r="Q139" s="402"/>
      <x:c r="R139" s="402"/>
      <x:c r="S139" s="402"/>
      <x:c r="T139" s="402"/>
      <x:c r="U139" s="402"/>
      <x:c r="V139" s="402"/>
      <x:c r="W139" s="402"/>
      <x:c r="X139" s="402"/>
      <x:c r="Y139" s="402"/>
      <x:c r="Z139" s="402"/>
    </x:row>
    <x:row r="140">
      <x:c r="A140" s="402"/>
      <x:c r="B140" s="402"/>
      <x:c r="C140" s="402"/>
      <x:c r="D140" s="402"/>
      <x:c r="E140" s="402"/>
      <x:c r="F140" s="402"/>
      <x:c r="G140" s="402"/>
      <x:c r="H140" s="402"/>
      <x:c r="I140" s="402"/>
      <x:c r="J140" s="402"/>
      <x:c r="K140" s="402"/>
      <x:c r="L140" s="402"/>
      <x:c r="M140" s="402"/>
      <x:c r="N140" s="402"/>
      <x:c r="O140" s="402"/>
      <x:c r="P140" s="402"/>
      <x:c r="Q140" s="402"/>
      <x:c r="R140" s="402"/>
      <x:c r="S140" s="402"/>
      <x:c r="T140" s="402"/>
      <x:c r="U140" s="402"/>
      <x:c r="V140" s="402"/>
      <x:c r="W140" s="402"/>
      <x:c r="X140" s="402"/>
      <x:c r="Y140" s="402"/>
      <x:c r="Z140" s="402"/>
    </x:row>
    <x:row r="141">
      <x:c r="A141" s="402"/>
      <x:c r="B141" s="402"/>
      <x:c r="C141" s="402"/>
      <x:c r="D141" s="402"/>
      <x:c r="E141" s="402"/>
      <x:c r="F141" s="402"/>
      <x:c r="G141" s="402"/>
      <x:c r="H141" s="402"/>
      <x:c r="I141" s="402"/>
      <x:c r="J141" s="402"/>
      <x:c r="K141" s="402"/>
      <x:c r="L141" s="402"/>
      <x:c r="M141" s="402"/>
      <x:c r="N141" s="402"/>
      <x:c r="O141" s="402"/>
      <x:c r="P141" s="402"/>
      <x:c r="Q141" s="402"/>
      <x:c r="R141" s="402"/>
      <x:c r="S141" s="402"/>
      <x:c r="T141" s="402"/>
      <x:c r="U141" s="402"/>
      <x:c r="V141" s="402"/>
      <x:c r="W141" s="402"/>
      <x:c r="X141" s="402"/>
      <x:c r="Y141" s="402"/>
      <x:c r="Z141" s="402"/>
    </x:row>
    <x:row r="142">
      <x:c r="A142" s="402"/>
      <x:c r="B142" s="402"/>
      <x:c r="C142" s="402"/>
      <x:c r="D142" s="402"/>
      <x:c r="E142" s="402"/>
      <x:c r="F142" s="402"/>
      <x:c r="G142" s="402"/>
      <x:c r="H142" s="402"/>
      <x:c r="I142" s="402"/>
      <x:c r="J142" s="402"/>
      <x:c r="K142" s="402"/>
      <x:c r="L142" s="402"/>
      <x:c r="M142" s="402"/>
      <x:c r="N142" s="402"/>
      <x:c r="O142" s="402"/>
      <x:c r="P142" s="402"/>
      <x:c r="Q142" s="402"/>
      <x:c r="R142" s="402"/>
      <x:c r="S142" s="402"/>
      <x:c r="T142" s="402"/>
      <x:c r="U142" s="402"/>
      <x:c r="V142" s="402"/>
      <x:c r="W142" s="402"/>
      <x:c r="X142" s="402"/>
      <x:c r="Y142" s="402"/>
      <x:c r="Z142" s="402"/>
    </x:row>
    <x:row r="143">
      <x:c r="A143" s="402"/>
      <x:c r="B143" s="402"/>
      <x:c r="C143" s="402"/>
      <x:c r="D143" s="402"/>
      <x:c r="E143" s="402"/>
      <x:c r="F143" s="402"/>
      <x:c r="G143" s="402"/>
      <x:c r="H143" s="402"/>
      <x:c r="I143" s="402"/>
      <x:c r="J143" s="402"/>
      <x:c r="K143" s="402"/>
      <x:c r="L143" s="402"/>
      <x:c r="M143" s="402"/>
      <x:c r="N143" s="402"/>
      <x:c r="O143" s="402"/>
      <x:c r="P143" s="402"/>
      <x:c r="Q143" s="402"/>
      <x:c r="R143" s="402"/>
      <x:c r="S143" s="402"/>
      <x:c r="T143" s="402"/>
      <x:c r="U143" s="402"/>
      <x:c r="V143" s="402"/>
      <x:c r="W143" s="402"/>
      <x:c r="X143" s="402"/>
      <x:c r="Y143" s="402"/>
      <x:c r="Z143" s="402"/>
    </x:row>
    <x:row r="144">
      <x:c r="A144" s="402"/>
      <x:c r="B144" s="402"/>
      <x:c r="C144" s="402"/>
      <x:c r="D144" s="402"/>
      <x:c r="E144" s="402"/>
      <x:c r="F144" s="402"/>
      <x:c r="G144" s="402"/>
      <x:c r="H144" s="402"/>
      <x:c r="I144" s="402"/>
      <x:c r="J144" s="402"/>
      <x:c r="K144" s="402"/>
      <x:c r="L144" s="402"/>
      <x:c r="M144" s="402"/>
      <x:c r="N144" s="402"/>
      <x:c r="O144" s="402"/>
      <x:c r="P144" s="402"/>
      <x:c r="Q144" s="402"/>
      <x:c r="R144" s="402"/>
      <x:c r="S144" s="402"/>
      <x:c r="T144" s="402"/>
      <x:c r="U144" s="402"/>
      <x:c r="V144" s="402"/>
      <x:c r="W144" s="402"/>
      <x:c r="X144" s="402"/>
      <x:c r="Y144" s="402"/>
      <x:c r="Z144" s="402"/>
    </x:row>
    <x:row r="145">
      <x:c r="A145" s="402"/>
      <x:c r="B145" s="402"/>
      <x:c r="C145" s="402"/>
      <x:c r="D145" s="402"/>
      <x:c r="E145" s="402"/>
      <x:c r="F145" s="402"/>
      <x:c r="G145" s="402"/>
      <x:c r="H145" s="402"/>
      <x:c r="I145" s="402"/>
      <x:c r="J145" s="402"/>
      <x:c r="K145" s="402"/>
      <x:c r="L145" s="402"/>
      <x:c r="M145" s="402"/>
      <x:c r="N145" s="402"/>
      <x:c r="O145" s="402"/>
      <x:c r="P145" s="402"/>
      <x:c r="Q145" s="402"/>
      <x:c r="R145" s="402"/>
      <x:c r="S145" s="402"/>
      <x:c r="T145" s="402"/>
      <x:c r="U145" s="402"/>
      <x:c r="V145" s="402"/>
      <x:c r="W145" s="402"/>
      <x:c r="X145" s="402"/>
      <x:c r="Y145" s="402"/>
      <x:c r="Z145" s="402"/>
    </x:row>
    <x:row r="146">
      <x:c r="A146" s="402"/>
      <x:c r="B146" s="402"/>
      <x:c r="C146" s="402"/>
      <x:c r="D146" s="402"/>
      <x:c r="E146" s="402"/>
      <x:c r="F146" s="402"/>
      <x:c r="G146" s="402"/>
      <x:c r="H146" s="402"/>
      <x:c r="I146" s="402"/>
      <x:c r="J146" s="402"/>
      <x:c r="K146" s="402"/>
      <x:c r="L146" s="402"/>
      <x:c r="M146" s="402"/>
      <x:c r="N146" s="402"/>
      <x:c r="O146" s="402"/>
      <x:c r="P146" s="402"/>
      <x:c r="Q146" s="402"/>
      <x:c r="R146" s="402"/>
      <x:c r="S146" s="402"/>
      <x:c r="T146" s="402"/>
      <x:c r="U146" s="402"/>
      <x:c r="V146" s="402"/>
      <x:c r="W146" s="402"/>
      <x:c r="X146" s="402"/>
      <x:c r="Y146" s="402"/>
      <x:c r="Z146" s="402"/>
    </x:row>
    <x:row r="147">
      <x:c r="A147" s="402"/>
      <x:c r="B147" s="402"/>
      <x:c r="C147" s="402"/>
      <x:c r="D147" s="402"/>
      <x:c r="E147" s="402"/>
      <x:c r="F147" s="402"/>
      <x:c r="G147" s="402"/>
      <x:c r="H147" s="402"/>
      <x:c r="I147" s="402"/>
      <x:c r="J147" s="402"/>
      <x:c r="K147" s="402"/>
      <x:c r="L147" s="402"/>
      <x:c r="M147" s="402"/>
      <x:c r="N147" s="402"/>
      <x:c r="O147" s="402"/>
      <x:c r="P147" s="402"/>
      <x:c r="Q147" s="402"/>
      <x:c r="R147" s="402"/>
      <x:c r="S147" s="402"/>
      <x:c r="T147" s="402"/>
      <x:c r="U147" s="402"/>
      <x:c r="V147" s="402"/>
      <x:c r="W147" s="402"/>
      <x:c r="X147" s="402"/>
      <x:c r="Y147" s="402"/>
      <x:c r="Z147" s="402"/>
    </x:row>
    <x:row r="148">
      <x:c r="A148" s="402"/>
      <x:c r="B148" s="402"/>
      <x:c r="C148" s="402"/>
      <x:c r="D148" s="402"/>
      <x:c r="E148" s="402"/>
      <x:c r="F148" s="402"/>
      <x:c r="G148" s="402"/>
      <x:c r="H148" s="402"/>
      <x:c r="I148" s="402"/>
      <x:c r="J148" s="402"/>
      <x:c r="K148" s="402"/>
      <x:c r="L148" s="402"/>
      <x:c r="M148" s="402"/>
      <x:c r="N148" s="402"/>
      <x:c r="O148" s="402"/>
      <x:c r="P148" s="402"/>
      <x:c r="Q148" s="402"/>
      <x:c r="R148" s="402"/>
      <x:c r="S148" s="402"/>
      <x:c r="T148" s="402"/>
      <x:c r="U148" s="402"/>
      <x:c r="V148" s="402"/>
      <x:c r="W148" s="402"/>
      <x:c r="X148" s="402"/>
      <x:c r="Y148" s="402"/>
      <x:c r="Z148" s="402"/>
    </x:row>
    <x:row r="149">
      <x:c r="A149" s="402"/>
      <x:c r="B149" s="402"/>
      <x:c r="C149" s="402"/>
      <x:c r="D149" s="402"/>
      <x:c r="E149" s="402"/>
      <x:c r="F149" s="402"/>
      <x:c r="G149" s="402"/>
      <x:c r="H149" s="402"/>
      <x:c r="I149" s="402"/>
      <x:c r="J149" s="402"/>
      <x:c r="K149" s="402"/>
      <x:c r="L149" s="402"/>
      <x:c r="M149" s="402"/>
      <x:c r="N149" s="402"/>
      <x:c r="O149" s="402"/>
      <x:c r="P149" s="402"/>
      <x:c r="Q149" s="402"/>
      <x:c r="R149" s="402"/>
      <x:c r="S149" s="402"/>
      <x:c r="T149" s="402"/>
      <x:c r="U149" s="402"/>
      <x:c r="V149" s="402"/>
      <x:c r="W149" s="402"/>
      <x:c r="X149" s="402"/>
      <x:c r="Y149" s="402"/>
      <x:c r="Z149" s="402"/>
    </x:row>
    <x:row r="150">
      <x:c r="A150" s="402"/>
      <x:c r="B150" s="402"/>
      <x:c r="C150" s="402"/>
      <x:c r="D150" s="402"/>
      <x:c r="E150" s="402"/>
      <x:c r="F150" s="402"/>
      <x:c r="G150" s="402"/>
      <x:c r="H150" s="402"/>
      <x:c r="I150" s="402"/>
      <x:c r="J150" s="402"/>
      <x:c r="K150" s="402"/>
      <x:c r="L150" s="402"/>
      <x:c r="M150" s="402"/>
      <x:c r="N150" s="402"/>
      <x:c r="O150" s="402"/>
      <x:c r="P150" s="402"/>
      <x:c r="Q150" s="402"/>
      <x:c r="R150" s="402"/>
      <x:c r="S150" s="402"/>
      <x:c r="T150" s="402"/>
      <x:c r="U150" s="402"/>
      <x:c r="V150" s="402"/>
      <x:c r="W150" s="402"/>
      <x:c r="X150" s="402"/>
      <x:c r="Y150" s="402"/>
      <x:c r="Z150" s="402"/>
    </x:row>
    <x:row r="151">
      <x:c r="A151" s="402"/>
      <x:c r="B151" s="402"/>
      <x:c r="C151" s="402"/>
      <x:c r="D151" s="402"/>
      <x:c r="E151" s="402"/>
      <x:c r="F151" s="402"/>
      <x:c r="G151" s="402"/>
      <x:c r="H151" s="402"/>
      <x:c r="I151" s="402"/>
      <x:c r="J151" s="402"/>
      <x:c r="K151" s="402"/>
      <x:c r="L151" s="402"/>
      <x:c r="M151" s="402"/>
      <x:c r="N151" s="402"/>
      <x:c r="O151" s="402"/>
      <x:c r="P151" s="402"/>
      <x:c r="Q151" s="402"/>
      <x:c r="R151" s="402"/>
      <x:c r="S151" s="402"/>
      <x:c r="T151" s="402"/>
      <x:c r="U151" s="402"/>
      <x:c r="V151" s="402"/>
      <x:c r="W151" s="402"/>
      <x:c r="X151" s="402"/>
      <x:c r="Y151" s="402"/>
      <x:c r="Z151" s="402"/>
    </x:row>
    <x:row r="152">
      <x:c r="A152" s="402"/>
      <x:c r="B152" s="402"/>
      <x:c r="C152" s="402"/>
      <x:c r="D152" s="402"/>
      <x:c r="E152" s="402"/>
      <x:c r="F152" s="402"/>
      <x:c r="G152" s="402"/>
      <x:c r="H152" s="402"/>
      <x:c r="I152" s="402"/>
      <x:c r="J152" s="402"/>
      <x:c r="K152" s="402"/>
      <x:c r="L152" s="402"/>
      <x:c r="M152" s="402"/>
      <x:c r="N152" s="402"/>
      <x:c r="O152" s="402"/>
      <x:c r="P152" s="402"/>
      <x:c r="Q152" s="402"/>
      <x:c r="R152" s="402"/>
      <x:c r="S152" s="402"/>
      <x:c r="T152" s="402"/>
      <x:c r="U152" s="402"/>
      <x:c r="V152" s="402"/>
      <x:c r="W152" s="402"/>
      <x:c r="X152" s="402"/>
      <x:c r="Y152" s="402"/>
      <x:c r="Z152" s="402"/>
    </x:row>
    <x:row r="153">
      <x:c r="A153" s="402"/>
      <x:c r="B153" s="402"/>
      <x:c r="C153" s="402"/>
      <x:c r="D153" s="402"/>
      <x:c r="E153" s="402"/>
      <x:c r="F153" s="402"/>
      <x:c r="G153" s="402"/>
      <x:c r="H153" s="402"/>
      <x:c r="I153" s="402"/>
      <x:c r="J153" s="402"/>
      <x:c r="K153" s="402"/>
      <x:c r="L153" s="402"/>
      <x:c r="M153" s="402"/>
      <x:c r="N153" s="402"/>
      <x:c r="O153" s="402"/>
      <x:c r="P153" s="402"/>
      <x:c r="Q153" s="402"/>
      <x:c r="R153" s="402"/>
      <x:c r="S153" s="402"/>
      <x:c r="T153" s="402"/>
      <x:c r="U153" s="402"/>
      <x:c r="V153" s="402"/>
      <x:c r="W153" s="402"/>
      <x:c r="X153" s="402"/>
      <x:c r="Y153" s="402"/>
      <x:c r="Z153" s="402"/>
    </x:row>
    <x:row r="154">
      <x:c r="A154" s="402"/>
      <x:c r="B154" s="402"/>
      <x:c r="C154" s="402"/>
      <x:c r="D154" s="402"/>
      <x:c r="E154" s="402"/>
      <x:c r="F154" s="402"/>
      <x:c r="G154" s="402"/>
      <x:c r="H154" s="402"/>
      <x:c r="I154" s="402"/>
      <x:c r="J154" s="402"/>
      <x:c r="K154" s="402"/>
      <x:c r="L154" s="402"/>
      <x:c r="M154" s="402"/>
      <x:c r="N154" s="402"/>
      <x:c r="O154" s="402"/>
      <x:c r="P154" s="402"/>
      <x:c r="Q154" s="402"/>
      <x:c r="R154" s="402"/>
      <x:c r="S154" s="402"/>
      <x:c r="T154" s="402"/>
      <x:c r="U154" s="402"/>
      <x:c r="V154" s="402"/>
      <x:c r="W154" s="402"/>
      <x:c r="X154" s="402"/>
      <x:c r="Y154" s="402"/>
      <x:c r="Z154" s="402"/>
    </x:row>
    <x:row r="155">
      <x:c r="A155" s="402"/>
      <x:c r="B155" s="402"/>
      <x:c r="C155" s="402"/>
      <x:c r="D155" s="402"/>
      <x:c r="E155" s="402"/>
      <x:c r="F155" s="402"/>
      <x:c r="G155" s="402"/>
      <x:c r="H155" s="402"/>
      <x:c r="I155" s="402"/>
      <x:c r="J155" s="402"/>
      <x:c r="K155" s="402"/>
      <x:c r="L155" s="402"/>
      <x:c r="M155" s="402"/>
      <x:c r="N155" s="402"/>
      <x:c r="O155" s="402"/>
      <x:c r="P155" s="402"/>
      <x:c r="Q155" s="402"/>
      <x:c r="R155" s="402"/>
      <x:c r="S155" s="402"/>
      <x:c r="T155" s="402"/>
      <x:c r="U155" s="402"/>
      <x:c r="V155" s="402"/>
      <x:c r="W155" s="402"/>
      <x:c r="X155" s="402"/>
      <x:c r="Y155" s="402"/>
      <x:c r="Z155" s="402"/>
    </x:row>
    <x:row r="156">
      <x:c r="A156" s="402"/>
      <x:c r="B156" s="402"/>
      <x:c r="C156" s="402"/>
      <x:c r="D156" s="402"/>
      <x:c r="E156" s="402"/>
      <x:c r="F156" s="402"/>
      <x:c r="G156" s="402"/>
      <x:c r="H156" s="402"/>
      <x:c r="I156" s="402"/>
      <x:c r="J156" s="402"/>
      <x:c r="K156" s="402"/>
      <x:c r="L156" s="402"/>
      <x:c r="M156" s="402"/>
      <x:c r="N156" s="402"/>
      <x:c r="O156" s="402"/>
      <x:c r="P156" s="402"/>
      <x:c r="Q156" s="402"/>
      <x:c r="R156" s="402"/>
      <x:c r="S156" s="402"/>
      <x:c r="T156" s="402"/>
      <x:c r="U156" s="402"/>
      <x:c r="V156" s="402"/>
      <x:c r="W156" s="402"/>
      <x:c r="X156" s="402"/>
      <x:c r="Y156" s="402"/>
      <x:c r="Z156" s="402"/>
    </x:row>
    <x:row r="157">
      <x:c r="A157" s="402"/>
      <x:c r="B157" s="402"/>
      <x:c r="C157" s="402"/>
      <x:c r="D157" s="402"/>
      <x:c r="E157" s="402"/>
      <x:c r="F157" s="402"/>
      <x:c r="G157" s="402"/>
      <x:c r="H157" s="402"/>
      <x:c r="I157" s="402"/>
      <x:c r="J157" s="402"/>
      <x:c r="K157" s="402"/>
      <x:c r="L157" s="402"/>
      <x:c r="M157" s="402"/>
      <x:c r="N157" s="402"/>
      <x:c r="O157" s="402"/>
      <x:c r="P157" s="402"/>
      <x:c r="Q157" s="402"/>
      <x:c r="R157" s="402"/>
      <x:c r="S157" s="402"/>
      <x:c r="T157" s="402"/>
      <x:c r="U157" s="402"/>
      <x:c r="V157" s="402"/>
      <x:c r="W157" s="402"/>
      <x:c r="X157" s="402"/>
      <x:c r="Y157" s="402"/>
      <x:c r="Z157" s="402"/>
    </x:row>
    <x:row r="158">
      <x:c r="A158" s="402"/>
      <x:c r="B158" s="402"/>
      <x:c r="C158" s="402"/>
      <x:c r="D158" s="402"/>
      <x:c r="E158" s="402"/>
      <x:c r="F158" s="402"/>
      <x:c r="G158" s="402"/>
      <x:c r="H158" s="402"/>
      <x:c r="I158" s="402"/>
      <x:c r="J158" s="402"/>
      <x:c r="K158" s="402"/>
      <x:c r="L158" s="402"/>
      <x:c r="M158" s="402"/>
      <x:c r="N158" s="402"/>
      <x:c r="O158" s="402"/>
      <x:c r="P158" s="402"/>
      <x:c r="Q158" s="402"/>
      <x:c r="R158" s="402"/>
      <x:c r="S158" s="402"/>
      <x:c r="T158" s="402"/>
      <x:c r="U158" s="402"/>
      <x:c r="V158" s="402"/>
      <x:c r="W158" s="402"/>
      <x:c r="X158" s="402"/>
      <x:c r="Y158" s="402"/>
      <x:c r="Z158" s="402"/>
    </x:row>
    <x:row r="159">
      <x:c r="A159" s="402"/>
      <x:c r="B159" s="402"/>
      <x:c r="C159" s="402"/>
      <x:c r="D159" s="402"/>
      <x:c r="E159" s="402"/>
      <x:c r="F159" s="402"/>
      <x:c r="G159" s="402"/>
      <x:c r="H159" s="402"/>
      <x:c r="I159" s="402"/>
      <x:c r="J159" s="402"/>
      <x:c r="K159" s="402"/>
      <x:c r="L159" s="402"/>
      <x:c r="M159" s="402"/>
      <x:c r="N159" s="402"/>
      <x:c r="O159" s="402"/>
      <x:c r="P159" s="402"/>
      <x:c r="Q159" s="402"/>
      <x:c r="R159" s="402"/>
      <x:c r="S159" s="402"/>
      <x:c r="T159" s="402"/>
      <x:c r="U159" s="402"/>
      <x:c r="V159" s="402"/>
      <x:c r="W159" s="402"/>
      <x:c r="X159" s="402"/>
      <x:c r="Y159" s="402"/>
      <x:c r="Z159" s="402"/>
    </x:row>
    <x:row r="160">
      <x:c r="A160" s="402"/>
      <x:c r="B160" s="402"/>
      <x:c r="C160" s="402"/>
      <x:c r="D160" s="402"/>
      <x:c r="E160" s="402"/>
      <x:c r="F160" s="402"/>
      <x:c r="G160" s="402"/>
      <x:c r="H160" s="402"/>
      <x:c r="I160" s="402"/>
      <x:c r="J160" s="402"/>
      <x:c r="K160" s="402"/>
      <x:c r="L160" s="402"/>
      <x:c r="M160" s="402"/>
      <x:c r="N160" s="402"/>
      <x:c r="O160" s="402"/>
      <x:c r="P160" s="402"/>
      <x:c r="Q160" s="402"/>
      <x:c r="R160" s="402"/>
      <x:c r="S160" s="402"/>
      <x:c r="T160" s="402"/>
      <x:c r="U160" s="402"/>
      <x:c r="V160" s="402"/>
      <x:c r="W160" s="402"/>
      <x:c r="X160" s="402"/>
      <x:c r="Y160" s="402"/>
      <x:c r="Z160" s="402"/>
    </x:row>
    <x:row r="161">
      <x:c r="A161" s="402"/>
      <x:c r="B161" s="402"/>
      <x:c r="C161" s="402"/>
      <x:c r="D161" s="402"/>
      <x:c r="E161" s="402"/>
      <x:c r="F161" s="402"/>
      <x:c r="G161" s="402"/>
      <x:c r="H161" s="402"/>
      <x:c r="I161" s="402"/>
      <x:c r="J161" s="402"/>
      <x:c r="K161" s="402"/>
      <x:c r="L161" s="402"/>
      <x:c r="M161" s="402"/>
      <x:c r="N161" s="402"/>
      <x:c r="O161" s="402"/>
      <x:c r="P161" s="402"/>
      <x:c r="Q161" s="402"/>
      <x:c r="R161" s="402"/>
      <x:c r="S161" s="402"/>
      <x:c r="T161" s="402"/>
      <x:c r="U161" s="402"/>
      <x:c r="V161" s="402"/>
      <x:c r="W161" s="402"/>
      <x:c r="X161" s="402"/>
      <x:c r="Y161" s="402"/>
      <x:c r="Z161" s="402"/>
    </x:row>
    <x:row r="162">
      <x:c r="A162" s="402"/>
      <x:c r="B162" s="402"/>
      <x:c r="C162" s="402"/>
      <x:c r="D162" s="402"/>
      <x:c r="E162" s="402"/>
      <x:c r="F162" s="402"/>
      <x:c r="G162" s="402"/>
      <x:c r="H162" s="402"/>
      <x:c r="I162" s="402"/>
      <x:c r="J162" s="402"/>
      <x:c r="K162" s="402"/>
      <x:c r="L162" s="402"/>
      <x:c r="M162" s="402"/>
      <x:c r="N162" s="402"/>
      <x:c r="O162" s="402"/>
      <x:c r="P162" s="402"/>
      <x:c r="Q162" s="402"/>
      <x:c r="R162" s="402"/>
      <x:c r="S162" s="402"/>
      <x:c r="T162" s="402"/>
      <x:c r="U162" s="402"/>
      <x:c r="V162" s="402"/>
      <x:c r="W162" s="402"/>
      <x:c r="X162" s="402"/>
      <x:c r="Y162" s="402"/>
      <x:c r="Z162" s="402"/>
    </x:row>
    <x:row r="163">
      <x:c r="A163" s="402"/>
      <x:c r="B163" s="402"/>
      <x:c r="C163" s="402"/>
      <x:c r="D163" s="402"/>
      <x:c r="E163" s="402"/>
      <x:c r="F163" s="402"/>
      <x:c r="G163" s="402"/>
      <x:c r="H163" s="402"/>
      <x:c r="I163" s="402"/>
      <x:c r="J163" s="402"/>
      <x:c r="K163" s="402"/>
      <x:c r="L163" s="402"/>
      <x:c r="M163" s="402"/>
      <x:c r="N163" s="402"/>
      <x:c r="O163" s="402"/>
      <x:c r="P163" s="402"/>
      <x:c r="Q163" s="402"/>
      <x:c r="R163" s="402"/>
      <x:c r="S163" s="402"/>
      <x:c r="T163" s="402"/>
      <x:c r="U163" s="402"/>
      <x:c r="V163" s="402"/>
      <x:c r="W163" s="402"/>
      <x:c r="X163" s="402"/>
      <x:c r="Y163" s="402"/>
      <x:c r="Z163" s="402"/>
    </x:row>
    <x:row r="164">
      <x:c r="A164" s="402"/>
      <x:c r="B164" s="402"/>
      <x:c r="C164" s="402"/>
      <x:c r="D164" s="402"/>
      <x:c r="E164" s="402"/>
      <x:c r="F164" s="402"/>
      <x:c r="G164" s="402"/>
      <x:c r="H164" s="402"/>
      <x:c r="I164" s="402"/>
      <x:c r="J164" s="402"/>
      <x:c r="K164" s="402"/>
      <x:c r="L164" s="402"/>
      <x:c r="M164" s="402"/>
      <x:c r="N164" s="402"/>
      <x:c r="O164" s="402"/>
      <x:c r="P164" s="402"/>
      <x:c r="Q164" s="402"/>
      <x:c r="R164" s="402"/>
      <x:c r="S164" s="402"/>
      <x:c r="T164" s="402"/>
      <x:c r="U164" s="402"/>
      <x:c r="V164" s="402"/>
      <x:c r="W164" s="402"/>
      <x:c r="X164" s="402"/>
      <x:c r="Y164" s="402"/>
      <x:c r="Z164" s="402"/>
    </x:row>
    <x:row r="165">
      <x:c r="A165" s="402"/>
      <x:c r="B165" s="402"/>
      <x:c r="C165" s="402"/>
      <x:c r="D165" s="402"/>
      <x:c r="E165" s="402"/>
      <x:c r="F165" s="402"/>
      <x:c r="G165" s="402"/>
      <x:c r="H165" s="402"/>
      <x:c r="I165" s="402"/>
      <x:c r="J165" s="402"/>
      <x:c r="K165" s="402"/>
      <x:c r="L165" s="402"/>
      <x:c r="M165" s="402"/>
      <x:c r="N165" s="402"/>
      <x:c r="O165" s="402"/>
      <x:c r="P165" s="402"/>
      <x:c r="Q165" s="402"/>
      <x:c r="R165" s="402"/>
      <x:c r="S165" s="402"/>
      <x:c r="T165" s="402"/>
      <x:c r="U165" s="402"/>
      <x:c r="V165" s="402"/>
      <x:c r="W165" s="402"/>
      <x:c r="X165" s="402"/>
      <x:c r="Y165" s="402"/>
      <x:c r="Z165" s="402"/>
    </x:row>
    <x:row r="166">
      <x:c r="A166" s="402"/>
      <x:c r="B166" s="402"/>
      <x:c r="C166" s="402"/>
      <x:c r="D166" s="402"/>
      <x:c r="E166" s="402"/>
      <x:c r="F166" s="402"/>
      <x:c r="G166" s="402"/>
      <x:c r="H166" s="402"/>
      <x:c r="I166" s="402"/>
      <x:c r="J166" s="402"/>
      <x:c r="K166" s="402"/>
      <x:c r="L166" s="402"/>
      <x:c r="M166" s="402"/>
      <x:c r="N166" s="402"/>
      <x:c r="O166" s="402"/>
      <x:c r="P166" s="402"/>
      <x:c r="Q166" s="402"/>
      <x:c r="R166" s="402"/>
      <x:c r="S166" s="402"/>
      <x:c r="T166" s="402"/>
      <x:c r="U166" s="402"/>
      <x:c r="V166" s="402"/>
      <x:c r="W166" s="402"/>
      <x:c r="X166" s="402"/>
      <x:c r="Y166" s="402"/>
      <x:c r="Z166" s="402"/>
    </x:row>
    <x:row r="167">
      <x:c r="A167" s="402"/>
      <x:c r="B167" s="402"/>
      <x:c r="C167" s="402"/>
      <x:c r="D167" s="402"/>
      <x:c r="E167" s="402"/>
      <x:c r="F167" s="402"/>
      <x:c r="G167" s="402"/>
      <x:c r="H167" s="402"/>
      <x:c r="I167" s="402"/>
      <x:c r="J167" s="402"/>
      <x:c r="K167" s="402"/>
      <x:c r="L167" s="402"/>
      <x:c r="M167" s="402"/>
      <x:c r="N167" s="402"/>
      <x:c r="O167" s="402"/>
      <x:c r="P167" s="402"/>
      <x:c r="Q167" s="402"/>
      <x:c r="R167" s="402"/>
      <x:c r="S167" s="402"/>
      <x:c r="T167" s="402"/>
      <x:c r="U167" s="402"/>
      <x:c r="V167" s="402"/>
      <x:c r="W167" s="402"/>
      <x:c r="X167" s="402"/>
      <x:c r="Y167" s="402"/>
      <x:c r="Z167" s="402"/>
    </x:row>
    <x:row r="168">
      <x:c r="A168" s="402"/>
      <x:c r="B168" s="402"/>
      <x:c r="C168" s="402"/>
      <x:c r="D168" s="402"/>
      <x:c r="E168" s="402"/>
      <x:c r="F168" s="402"/>
      <x:c r="G168" s="402"/>
      <x:c r="H168" s="402"/>
      <x:c r="I168" s="402"/>
      <x:c r="J168" s="402"/>
      <x:c r="K168" s="402"/>
      <x:c r="L168" s="402"/>
      <x:c r="M168" s="402"/>
      <x:c r="N168" s="402"/>
      <x:c r="O168" s="402"/>
      <x:c r="P168" s="402"/>
      <x:c r="Q168" s="402"/>
      <x:c r="R168" s="402"/>
      <x:c r="S168" s="402"/>
      <x:c r="T168" s="402"/>
      <x:c r="U168" s="402"/>
      <x:c r="V168" s="402"/>
      <x:c r="W168" s="402"/>
      <x:c r="X168" s="402"/>
      <x:c r="Y168" s="402"/>
      <x:c r="Z168" s="402"/>
    </x:row>
    <x:row r="169">
      <x:c r="A169" s="402"/>
      <x:c r="B169" s="402"/>
      <x:c r="C169" s="402"/>
      <x:c r="D169" s="402"/>
      <x:c r="E169" s="402"/>
      <x:c r="F169" s="402"/>
      <x:c r="G169" s="402"/>
      <x:c r="H169" s="402"/>
      <x:c r="I169" s="402"/>
      <x:c r="J169" s="402"/>
      <x:c r="K169" s="402"/>
      <x:c r="L169" s="402"/>
      <x:c r="M169" s="402"/>
      <x:c r="N169" s="402"/>
      <x:c r="O169" s="402"/>
      <x:c r="P169" s="402"/>
      <x:c r="Q169" s="402"/>
      <x:c r="R169" s="402"/>
      <x:c r="S169" s="402"/>
      <x:c r="T169" s="402"/>
      <x:c r="U169" s="402"/>
      <x:c r="V169" s="402"/>
      <x:c r="W169" s="402"/>
      <x:c r="X169" s="402"/>
      <x:c r="Y169" s="402"/>
      <x:c r="Z169" s="402"/>
    </x:row>
    <x:row r="170">
      <x:c r="A170" s="402"/>
      <x:c r="B170" s="402"/>
      <x:c r="C170" s="402"/>
      <x:c r="D170" s="402"/>
      <x:c r="E170" s="402"/>
      <x:c r="F170" s="402"/>
      <x:c r="G170" s="402"/>
      <x:c r="H170" s="402"/>
      <x:c r="I170" s="402"/>
      <x:c r="J170" s="402"/>
      <x:c r="K170" s="402"/>
      <x:c r="L170" s="402"/>
      <x:c r="M170" s="402"/>
      <x:c r="N170" s="402"/>
      <x:c r="O170" s="402"/>
      <x:c r="P170" s="402"/>
      <x:c r="Q170" s="402"/>
      <x:c r="R170" s="402"/>
      <x:c r="S170" s="402"/>
      <x:c r="T170" s="402"/>
      <x:c r="U170" s="402"/>
      <x:c r="V170" s="402"/>
      <x:c r="W170" s="402"/>
      <x:c r="X170" s="402"/>
      <x:c r="Y170" s="402"/>
      <x:c r="Z170" s="402"/>
    </x:row>
    <x:row r="171">
      <x:c r="A171" s="402"/>
      <x:c r="B171" s="402"/>
      <x:c r="C171" s="402"/>
      <x:c r="D171" s="402"/>
      <x:c r="E171" s="402"/>
      <x:c r="F171" s="402"/>
      <x:c r="G171" s="402"/>
      <x:c r="H171" s="402"/>
      <x:c r="I171" s="402"/>
      <x:c r="J171" s="402"/>
      <x:c r="K171" s="402"/>
      <x:c r="L171" s="402"/>
      <x:c r="M171" s="402"/>
      <x:c r="N171" s="402"/>
      <x:c r="O171" s="402"/>
      <x:c r="P171" s="402"/>
      <x:c r="Q171" s="402"/>
      <x:c r="R171" s="402"/>
      <x:c r="S171" s="402"/>
      <x:c r="T171" s="402"/>
      <x:c r="U171" s="402"/>
      <x:c r="V171" s="402"/>
      <x:c r="W171" s="402"/>
      <x:c r="X171" s="402"/>
      <x:c r="Y171" s="402"/>
      <x:c r="Z171" s="402"/>
    </x:row>
    <x:row r="172">
      <x:c r="A172" s="402"/>
      <x:c r="B172" s="402"/>
      <x:c r="C172" s="402"/>
      <x:c r="D172" s="402"/>
      <x:c r="E172" s="402"/>
      <x:c r="F172" s="402"/>
      <x:c r="G172" s="402"/>
      <x:c r="H172" s="402"/>
      <x:c r="I172" s="402"/>
      <x:c r="J172" s="402"/>
      <x:c r="K172" s="402"/>
      <x:c r="L172" s="402"/>
      <x:c r="M172" s="402"/>
      <x:c r="N172" s="402"/>
      <x:c r="O172" s="402"/>
      <x:c r="P172" s="402"/>
      <x:c r="Q172" s="402"/>
      <x:c r="R172" s="402"/>
      <x:c r="S172" s="402"/>
      <x:c r="T172" s="402"/>
      <x:c r="U172" s="402"/>
      <x:c r="V172" s="402"/>
      <x:c r="W172" s="402"/>
      <x:c r="X172" s="402"/>
      <x:c r="Y172" s="402"/>
      <x:c r="Z172" s="402"/>
    </x:row>
    <x:row r="173">
      <x:c r="A173" s="402"/>
      <x:c r="B173" s="402"/>
      <x:c r="C173" s="402"/>
      <x:c r="D173" s="402"/>
      <x:c r="E173" s="402"/>
      <x:c r="F173" s="402"/>
      <x:c r="G173" s="402"/>
      <x:c r="H173" s="402"/>
      <x:c r="I173" s="402"/>
      <x:c r="J173" s="402"/>
      <x:c r="K173" s="402"/>
      <x:c r="L173" s="402"/>
      <x:c r="M173" s="402"/>
      <x:c r="N173" s="402"/>
      <x:c r="O173" s="402"/>
      <x:c r="P173" s="402"/>
      <x:c r="Q173" s="402"/>
      <x:c r="R173" s="402"/>
      <x:c r="S173" s="402"/>
      <x:c r="T173" s="402"/>
      <x:c r="U173" s="402"/>
      <x:c r="V173" s="402"/>
      <x:c r="W173" s="402"/>
      <x:c r="X173" s="402"/>
      <x:c r="Y173" s="402"/>
      <x:c r="Z173" s="402"/>
    </x:row>
    <x:row r="174">
      <x:c r="A174" s="402"/>
      <x:c r="B174" s="402"/>
      <x:c r="C174" s="402"/>
      <x:c r="D174" s="402"/>
      <x:c r="E174" s="402"/>
      <x:c r="F174" s="402"/>
      <x:c r="G174" s="402"/>
      <x:c r="H174" s="402"/>
      <x:c r="I174" s="402"/>
      <x:c r="J174" s="402"/>
      <x:c r="K174" s="402"/>
      <x:c r="L174" s="402"/>
      <x:c r="M174" s="402"/>
      <x:c r="N174" s="402"/>
      <x:c r="O174" s="402"/>
      <x:c r="P174" s="402"/>
      <x:c r="Q174" s="402"/>
      <x:c r="R174" s="402"/>
      <x:c r="S174" s="402"/>
      <x:c r="T174" s="402"/>
      <x:c r="U174" s="402"/>
      <x:c r="V174" s="402"/>
      <x:c r="W174" s="402"/>
      <x:c r="X174" s="402"/>
      <x:c r="Y174" s="402"/>
      <x:c r="Z174" s="402"/>
    </x:row>
    <x:row r="175">
      <x:c r="A175" s="402"/>
      <x:c r="B175" s="402"/>
      <x:c r="C175" s="402"/>
      <x:c r="D175" s="402"/>
      <x:c r="E175" s="402"/>
      <x:c r="F175" s="402"/>
      <x:c r="G175" s="402"/>
      <x:c r="H175" s="402"/>
      <x:c r="I175" s="402"/>
      <x:c r="J175" s="402"/>
      <x:c r="K175" s="402"/>
      <x:c r="L175" s="402"/>
      <x:c r="M175" s="402"/>
      <x:c r="N175" s="402"/>
      <x:c r="O175" s="402"/>
      <x:c r="P175" s="402"/>
      <x:c r="Q175" s="402"/>
      <x:c r="R175" s="402"/>
      <x:c r="S175" s="402"/>
      <x:c r="T175" s="402"/>
      <x:c r="U175" s="402"/>
      <x:c r="V175" s="402"/>
      <x:c r="W175" s="402"/>
      <x:c r="X175" s="402"/>
      <x:c r="Y175" s="402"/>
      <x:c r="Z175" s="402"/>
    </x:row>
    <x:row r="176">
      <x:c r="A176" s="402"/>
      <x:c r="B176" s="402"/>
      <x:c r="C176" s="402"/>
      <x:c r="D176" s="402"/>
      <x:c r="E176" s="402"/>
      <x:c r="F176" s="402"/>
      <x:c r="G176" s="402"/>
      <x:c r="H176" s="402"/>
      <x:c r="I176" s="402"/>
      <x:c r="J176" s="402"/>
      <x:c r="K176" s="402"/>
      <x:c r="L176" s="402"/>
      <x:c r="M176" s="402"/>
      <x:c r="N176" s="402"/>
      <x:c r="O176" s="402"/>
      <x:c r="P176" s="402"/>
      <x:c r="Q176" s="402"/>
      <x:c r="R176" s="402"/>
      <x:c r="S176" s="402"/>
      <x:c r="T176" s="402"/>
      <x:c r="U176" s="402"/>
      <x:c r="V176" s="402"/>
      <x:c r="W176" s="402"/>
      <x:c r="X176" s="402"/>
      <x:c r="Y176" s="402"/>
      <x:c r="Z176" s="402"/>
    </x:row>
    <x:row r="177">
      <x:c r="A177" s="402"/>
      <x:c r="B177" s="402"/>
      <x:c r="C177" s="402"/>
      <x:c r="D177" s="402"/>
      <x:c r="E177" s="402"/>
      <x:c r="F177" s="402"/>
      <x:c r="G177" s="402"/>
      <x:c r="H177" s="402"/>
      <x:c r="I177" s="402"/>
      <x:c r="J177" s="402"/>
      <x:c r="K177" s="402"/>
      <x:c r="L177" s="402"/>
      <x:c r="M177" s="402"/>
      <x:c r="N177" s="402"/>
      <x:c r="O177" s="402"/>
      <x:c r="P177" s="402"/>
      <x:c r="Q177" s="402"/>
      <x:c r="R177" s="402"/>
      <x:c r="S177" s="402"/>
      <x:c r="T177" s="402"/>
      <x:c r="U177" s="402"/>
      <x:c r="V177" s="402"/>
      <x:c r="W177" s="402"/>
      <x:c r="X177" s="402"/>
      <x:c r="Y177" s="402"/>
      <x:c r="Z177" s="402"/>
    </x:row>
    <x:row r="178">
      <x:c r="A178" s="402"/>
      <x:c r="B178" s="402"/>
      <x:c r="C178" s="402"/>
      <x:c r="D178" s="402"/>
      <x:c r="E178" s="402"/>
      <x:c r="F178" s="402"/>
      <x:c r="G178" s="402"/>
      <x:c r="H178" s="402"/>
      <x:c r="I178" s="402"/>
      <x:c r="J178" s="402"/>
      <x:c r="K178" s="402"/>
      <x:c r="L178" s="402"/>
      <x:c r="M178" s="402"/>
      <x:c r="N178" s="402"/>
      <x:c r="O178" s="402"/>
      <x:c r="P178" s="402"/>
      <x:c r="Q178" s="402"/>
      <x:c r="R178" s="402"/>
      <x:c r="S178" s="402"/>
      <x:c r="T178" s="402"/>
      <x:c r="U178" s="402"/>
      <x:c r="V178" s="402"/>
      <x:c r="W178" s="402"/>
      <x:c r="X178" s="402"/>
      <x:c r="Y178" s="402"/>
      <x:c r="Z178" s="402"/>
    </x:row>
    <x:row r="179">
      <x:c r="A179" s="402"/>
      <x:c r="B179" s="402"/>
      <x:c r="C179" s="402"/>
      <x:c r="D179" s="402"/>
      <x:c r="E179" s="402"/>
      <x:c r="F179" s="402"/>
      <x:c r="G179" s="402"/>
      <x:c r="H179" s="402"/>
      <x:c r="I179" s="402"/>
      <x:c r="J179" s="402"/>
      <x:c r="K179" s="402"/>
      <x:c r="L179" s="402"/>
      <x:c r="M179" s="402"/>
      <x:c r="N179" s="402"/>
      <x:c r="O179" s="402"/>
      <x:c r="P179" s="402"/>
      <x:c r="Q179" s="402"/>
      <x:c r="R179" s="402"/>
      <x:c r="S179" s="402"/>
      <x:c r="T179" s="402"/>
      <x:c r="U179" s="402"/>
      <x:c r="V179" s="402"/>
      <x:c r="W179" s="402"/>
      <x:c r="X179" s="402"/>
      <x:c r="Y179" s="402"/>
      <x:c r="Z179" s="402"/>
    </x:row>
    <x:row r="180">
      <x:c r="A180" s="402"/>
      <x:c r="B180" s="402"/>
      <x:c r="C180" s="402"/>
      <x:c r="D180" s="402"/>
      <x:c r="E180" s="402"/>
      <x:c r="F180" s="402"/>
      <x:c r="G180" s="402"/>
      <x:c r="H180" s="402"/>
      <x:c r="I180" s="402"/>
      <x:c r="J180" s="402"/>
      <x:c r="K180" s="402"/>
      <x:c r="L180" s="402"/>
      <x:c r="M180" s="402"/>
      <x:c r="N180" s="402"/>
      <x:c r="O180" s="402"/>
      <x:c r="P180" s="402"/>
      <x:c r="Q180" s="402"/>
      <x:c r="R180" s="402"/>
      <x:c r="S180" s="402"/>
      <x:c r="T180" s="402"/>
      <x:c r="U180" s="402"/>
      <x:c r="V180" s="402"/>
      <x:c r="W180" s="402"/>
      <x:c r="X180" s="402"/>
      <x:c r="Y180" s="402"/>
      <x:c r="Z180" s="402"/>
    </x:row>
    <x:row r="181">
      <x:c r="A181" s="402"/>
      <x:c r="B181" s="402"/>
      <x:c r="C181" s="402"/>
      <x:c r="D181" s="402"/>
      <x:c r="E181" s="402"/>
      <x:c r="F181" s="402"/>
      <x:c r="G181" s="402"/>
      <x:c r="H181" s="402"/>
      <x:c r="I181" s="402"/>
      <x:c r="J181" s="402"/>
      <x:c r="K181" s="402"/>
      <x:c r="L181" s="402"/>
      <x:c r="M181" s="402"/>
      <x:c r="N181" s="402"/>
      <x:c r="O181" s="402"/>
      <x:c r="P181" s="402"/>
      <x:c r="Q181" s="402"/>
      <x:c r="R181" s="402"/>
      <x:c r="S181" s="402"/>
      <x:c r="T181" s="402"/>
      <x:c r="U181" s="402"/>
      <x:c r="V181" s="402"/>
      <x:c r="W181" s="402"/>
      <x:c r="X181" s="402"/>
      <x:c r="Y181" s="402"/>
      <x:c r="Z181" s="402"/>
    </x:row>
    <x:row r="182">
      <x:c r="A182" s="402"/>
      <x:c r="B182" s="402"/>
      <x:c r="C182" s="402"/>
      <x:c r="D182" s="402"/>
      <x:c r="E182" s="402"/>
      <x:c r="F182" s="402"/>
      <x:c r="G182" s="402"/>
      <x:c r="H182" s="402"/>
      <x:c r="I182" s="402"/>
      <x:c r="J182" s="402"/>
      <x:c r="K182" s="402"/>
      <x:c r="L182" s="402"/>
      <x:c r="M182" s="402"/>
      <x:c r="N182" s="402"/>
      <x:c r="O182" s="402"/>
      <x:c r="P182" s="402"/>
      <x:c r="Q182" s="402"/>
      <x:c r="R182" s="402"/>
      <x:c r="S182" s="402"/>
      <x:c r="T182" s="402"/>
      <x:c r="U182" s="402"/>
      <x:c r="V182" s="402"/>
      <x:c r="W182" s="402"/>
      <x:c r="X182" s="402"/>
      <x:c r="Y182" s="402"/>
      <x:c r="Z182" s="402"/>
    </x:row>
    <x:row r="183">
      <x:c r="A183" s="402"/>
      <x:c r="B183" s="402"/>
      <x:c r="C183" s="402"/>
      <x:c r="D183" s="402"/>
      <x:c r="E183" s="402"/>
      <x:c r="F183" s="402"/>
      <x:c r="G183" s="402"/>
      <x:c r="H183" s="402"/>
      <x:c r="I183" s="402"/>
      <x:c r="J183" s="402"/>
      <x:c r="K183" s="402"/>
      <x:c r="L183" s="402"/>
      <x:c r="M183" s="402"/>
      <x:c r="N183" s="402"/>
      <x:c r="O183" s="402"/>
      <x:c r="P183" s="402"/>
      <x:c r="Q183" s="402"/>
      <x:c r="R183" s="402"/>
      <x:c r="S183" s="402"/>
      <x:c r="T183" s="402"/>
      <x:c r="U183" s="402"/>
      <x:c r="V183" s="402"/>
      <x:c r="W183" s="402"/>
      <x:c r="X183" s="402"/>
      <x:c r="Y183" s="402"/>
      <x:c r="Z183" s="402"/>
    </x:row>
    <x:row r="184">
      <x:c r="A184" s="402"/>
      <x:c r="B184" s="402"/>
      <x:c r="C184" s="402"/>
      <x:c r="D184" s="402"/>
      <x:c r="E184" s="402"/>
      <x:c r="F184" s="402"/>
      <x:c r="G184" s="402"/>
      <x:c r="H184" s="402"/>
      <x:c r="I184" s="402"/>
      <x:c r="J184" s="402"/>
      <x:c r="K184" s="402"/>
      <x:c r="L184" s="402"/>
      <x:c r="M184" s="402"/>
      <x:c r="N184" s="402"/>
      <x:c r="O184" s="402"/>
      <x:c r="P184" s="402"/>
      <x:c r="Q184" s="402"/>
      <x:c r="R184" s="402"/>
      <x:c r="S184" s="402"/>
      <x:c r="T184" s="402"/>
      <x:c r="U184" s="402"/>
      <x:c r="V184" s="402"/>
      <x:c r="W184" s="402"/>
      <x:c r="X184" s="402"/>
      <x:c r="Y184" s="402"/>
      <x:c r="Z184" s="402"/>
    </x:row>
    <x:row r="185">
      <x:c r="A185" s="402"/>
      <x:c r="B185" s="402"/>
      <x:c r="C185" s="402"/>
      <x:c r="D185" s="402"/>
      <x:c r="E185" s="402"/>
      <x:c r="F185" s="402"/>
      <x:c r="G185" s="402"/>
      <x:c r="H185" s="402"/>
      <x:c r="I185" s="402"/>
      <x:c r="J185" s="402"/>
      <x:c r="K185" s="402"/>
      <x:c r="L185" s="402"/>
      <x:c r="M185" s="402"/>
      <x:c r="N185" s="402"/>
      <x:c r="O185" s="402"/>
      <x:c r="P185" s="402"/>
      <x:c r="Q185" s="402"/>
      <x:c r="R185" s="402"/>
      <x:c r="S185" s="402"/>
      <x:c r="T185" s="402"/>
      <x:c r="U185" s="402"/>
      <x:c r="V185" s="402"/>
      <x:c r="W185" s="402"/>
      <x:c r="X185" s="402"/>
      <x:c r="Y185" s="402"/>
      <x:c r="Z185" s="402"/>
    </x:row>
    <x:row r="186">
      <x:c r="A186" s="402"/>
      <x:c r="B186" s="402"/>
      <x:c r="C186" s="402"/>
      <x:c r="D186" s="402"/>
      <x:c r="E186" s="402"/>
      <x:c r="F186" s="402"/>
      <x:c r="G186" s="402"/>
      <x:c r="H186" s="402"/>
      <x:c r="I186" s="402"/>
      <x:c r="J186" s="402"/>
      <x:c r="K186" s="402"/>
      <x:c r="L186" s="402"/>
      <x:c r="M186" s="402"/>
      <x:c r="N186" s="402"/>
      <x:c r="O186" s="402"/>
      <x:c r="P186" s="402"/>
      <x:c r="Q186" s="402"/>
      <x:c r="R186" s="402"/>
      <x:c r="S186" s="402"/>
      <x:c r="T186" s="402"/>
      <x:c r="U186" s="402"/>
      <x:c r="V186" s="402"/>
      <x:c r="W186" s="402"/>
      <x:c r="X186" s="402"/>
      <x:c r="Y186" s="402"/>
      <x:c r="Z186" s="402"/>
    </x:row>
    <x:row r="187">
      <x:c r="A187" s="402"/>
      <x:c r="B187" s="402"/>
      <x:c r="C187" s="402"/>
      <x:c r="D187" s="402"/>
      <x:c r="E187" s="402"/>
      <x:c r="F187" s="402"/>
      <x:c r="G187" s="402"/>
      <x:c r="H187" s="402"/>
      <x:c r="I187" s="402"/>
      <x:c r="J187" s="402"/>
      <x:c r="K187" s="402"/>
      <x:c r="L187" s="402"/>
      <x:c r="M187" s="402"/>
      <x:c r="N187" s="402"/>
      <x:c r="O187" s="402"/>
      <x:c r="P187" s="402"/>
      <x:c r="Q187" s="402"/>
      <x:c r="R187" s="402"/>
      <x:c r="S187" s="402"/>
      <x:c r="T187" s="402"/>
      <x:c r="U187" s="402"/>
      <x:c r="V187" s="402"/>
      <x:c r="W187" s="402"/>
      <x:c r="X187" s="402"/>
      <x:c r="Y187" s="402"/>
      <x:c r="Z187" s="402"/>
    </x:row>
    <x:row r="188">
      <x:c r="A188" s="402"/>
      <x:c r="B188" s="402"/>
      <x:c r="C188" s="402"/>
      <x:c r="D188" s="402"/>
      <x:c r="E188" s="402"/>
      <x:c r="F188" s="402"/>
      <x:c r="G188" s="402"/>
      <x:c r="H188" s="402"/>
      <x:c r="I188" s="402"/>
      <x:c r="J188" s="402"/>
      <x:c r="K188" s="402"/>
      <x:c r="L188" s="402"/>
      <x:c r="M188" s="402"/>
      <x:c r="N188" s="402"/>
      <x:c r="O188" s="402"/>
      <x:c r="P188" s="402"/>
      <x:c r="Q188" s="402"/>
      <x:c r="R188" s="402"/>
      <x:c r="S188" s="402"/>
      <x:c r="T188" s="402"/>
      <x:c r="U188" s="402"/>
      <x:c r="V188" s="402"/>
      <x:c r="W188" s="402"/>
      <x:c r="X188" s="402"/>
      <x:c r="Y188" s="402"/>
      <x:c r="Z188" s="402"/>
    </x:row>
    <x:row r="189">
      <x:c r="A189" s="402"/>
      <x:c r="B189" s="402"/>
      <x:c r="C189" s="402"/>
      <x:c r="D189" s="402"/>
      <x:c r="E189" s="402"/>
      <x:c r="F189" s="402"/>
      <x:c r="G189" s="402"/>
      <x:c r="H189" s="402"/>
      <x:c r="I189" s="402"/>
      <x:c r="J189" s="402"/>
      <x:c r="K189" s="402"/>
      <x:c r="L189" s="402"/>
      <x:c r="M189" s="402"/>
      <x:c r="N189" s="402"/>
      <x:c r="O189" s="402"/>
      <x:c r="P189" s="402"/>
      <x:c r="Q189" s="402"/>
      <x:c r="R189" s="402"/>
      <x:c r="S189" s="402"/>
      <x:c r="T189" s="402"/>
      <x:c r="U189" s="402"/>
      <x:c r="V189" s="402"/>
      <x:c r="W189" s="402"/>
      <x:c r="X189" s="402"/>
      <x:c r="Y189" s="402"/>
      <x:c r="Z189" s="402"/>
    </x:row>
    <x:row r="190">
      <x:c r="A190" s="402"/>
      <x:c r="B190" s="402"/>
      <x:c r="C190" s="402"/>
      <x:c r="D190" s="402"/>
      <x:c r="E190" s="402"/>
      <x:c r="F190" s="402"/>
      <x:c r="G190" s="402"/>
      <x:c r="H190" s="402"/>
      <x:c r="I190" s="402"/>
      <x:c r="J190" s="402"/>
      <x:c r="K190" s="402"/>
      <x:c r="L190" s="402"/>
      <x:c r="M190" s="402"/>
      <x:c r="N190" s="402"/>
      <x:c r="O190" s="402"/>
      <x:c r="P190" s="402"/>
      <x:c r="Q190" s="402"/>
      <x:c r="R190" s="402"/>
      <x:c r="S190" s="402"/>
      <x:c r="T190" s="402"/>
      <x:c r="U190" s="402"/>
      <x:c r="V190" s="402"/>
      <x:c r="W190" s="402"/>
      <x:c r="X190" s="402"/>
      <x:c r="Y190" s="402"/>
      <x:c r="Z190" s="402"/>
    </x:row>
    <x:row r="191">
      <x:c r="A191" s="402"/>
      <x:c r="B191" s="402"/>
      <x:c r="C191" s="402"/>
      <x:c r="D191" s="402"/>
      <x:c r="E191" s="402"/>
      <x:c r="F191" s="402"/>
      <x:c r="G191" s="402"/>
      <x:c r="H191" s="402"/>
      <x:c r="I191" s="402"/>
      <x:c r="J191" s="402"/>
      <x:c r="K191" s="402"/>
      <x:c r="L191" s="402"/>
      <x:c r="M191" s="402"/>
      <x:c r="N191" s="402"/>
      <x:c r="O191" s="402"/>
      <x:c r="P191" s="402"/>
      <x:c r="Q191" s="402"/>
      <x:c r="R191" s="402"/>
      <x:c r="S191" s="402"/>
      <x:c r="T191" s="402"/>
      <x:c r="U191" s="402"/>
      <x:c r="V191" s="402"/>
      <x:c r="W191" s="402"/>
      <x:c r="X191" s="402"/>
      <x:c r="Y191" s="402"/>
      <x:c r="Z191" s="402"/>
    </x:row>
    <x:row r="192">
      <x:c r="A192" s="402"/>
      <x:c r="B192" s="402"/>
      <x:c r="C192" s="402"/>
      <x:c r="D192" s="402"/>
      <x:c r="E192" s="402"/>
      <x:c r="F192" s="402"/>
      <x:c r="G192" s="402"/>
      <x:c r="H192" s="402"/>
      <x:c r="I192" s="402"/>
      <x:c r="J192" s="402"/>
      <x:c r="K192" s="402"/>
      <x:c r="L192" s="402"/>
      <x:c r="M192" s="402"/>
      <x:c r="N192" s="402"/>
      <x:c r="O192" s="402"/>
      <x:c r="P192" s="402"/>
      <x:c r="Q192" s="402"/>
      <x:c r="R192" s="402"/>
      <x:c r="S192" s="402"/>
      <x:c r="T192" s="402"/>
      <x:c r="U192" s="402"/>
      <x:c r="V192" s="402"/>
      <x:c r="W192" s="402"/>
      <x:c r="X192" s="402"/>
      <x:c r="Y192" s="402"/>
      <x:c r="Z192" s="402"/>
    </x:row>
    <x:row r="193">
      <x:c r="A193" s="402"/>
      <x:c r="B193" s="402"/>
      <x:c r="C193" s="402"/>
      <x:c r="D193" s="402"/>
      <x:c r="E193" s="402"/>
      <x:c r="F193" s="402"/>
      <x:c r="G193" s="402"/>
      <x:c r="H193" s="402"/>
      <x:c r="I193" s="402"/>
      <x:c r="J193" s="402"/>
      <x:c r="K193" s="402"/>
      <x:c r="L193" s="402"/>
      <x:c r="M193" s="402"/>
      <x:c r="N193" s="402"/>
      <x:c r="O193" s="402"/>
      <x:c r="P193" s="402"/>
      <x:c r="Q193" s="402"/>
      <x:c r="R193" s="402"/>
      <x:c r="S193" s="402"/>
      <x:c r="T193" s="402"/>
      <x:c r="U193" s="402"/>
      <x:c r="V193" s="402"/>
      <x:c r="W193" s="402"/>
      <x:c r="X193" s="402"/>
      <x:c r="Y193" s="402"/>
      <x:c r="Z193" s="402"/>
    </x:row>
    <x:row r="194">
      <x:c r="A194" s="402"/>
      <x:c r="B194" s="402"/>
      <x:c r="C194" s="402"/>
      <x:c r="D194" s="402"/>
      <x:c r="E194" s="402"/>
      <x:c r="F194" s="402"/>
      <x:c r="G194" s="402"/>
      <x:c r="H194" s="402"/>
      <x:c r="I194" s="402"/>
      <x:c r="J194" s="402"/>
      <x:c r="K194" s="402"/>
      <x:c r="L194" s="402"/>
      <x:c r="M194" s="402"/>
      <x:c r="N194" s="402"/>
      <x:c r="O194" s="402"/>
      <x:c r="P194" s="402"/>
      <x:c r="Q194" s="402"/>
      <x:c r="R194" s="402"/>
      <x:c r="S194" s="402"/>
      <x:c r="T194" s="402"/>
      <x:c r="U194" s="402"/>
      <x:c r="V194" s="402"/>
      <x:c r="W194" s="402"/>
      <x:c r="X194" s="402"/>
      <x:c r="Y194" s="402"/>
      <x:c r="Z194" s="402"/>
    </x:row>
    <x:row r="195">
      <x:c r="A195" s="402"/>
      <x:c r="B195" s="402"/>
      <x:c r="C195" s="402"/>
      <x:c r="D195" s="402"/>
      <x:c r="E195" s="402"/>
      <x:c r="F195" s="402"/>
      <x:c r="G195" s="402"/>
      <x:c r="H195" s="402"/>
      <x:c r="I195" s="402"/>
      <x:c r="J195" s="402"/>
      <x:c r="K195" s="402"/>
      <x:c r="L195" s="402"/>
      <x:c r="M195" s="402"/>
      <x:c r="N195" s="402"/>
      <x:c r="O195" s="402"/>
      <x:c r="P195" s="402"/>
      <x:c r="Q195" s="402"/>
      <x:c r="R195" s="402"/>
      <x:c r="S195" s="402"/>
      <x:c r="T195" s="402"/>
      <x:c r="U195" s="402"/>
      <x:c r="V195" s="402"/>
      <x:c r="W195" s="402"/>
      <x:c r="X195" s="402"/>
      <x:c r="Y195" s="402"/>
      <x:c r="Z195" s="402"/>
    </x:row>
    <x:row r="196">
      <x:c r="A196" s="402"/>
      <x:c r="B196" s="402"/>
      <x:c r="C196" s="402"/>
      <x:c r="D196" s="402"/>
      <x:c r="E196" s="402"/>
      <x:c r="F196" s="402"/>
      <x:c r="G196" s="402"/>
      <x:c r="H196" s="402"/>
      <x:c r="I196" s="402"/>
      <x:c r="J196" s="402"/>
      <x:c r="K196" s="402"/>
      <x:c r="L196" s="402"/>
      <x:c r="M196" s="402"/>
      <x:c r="N196" s="402"/>
      <x:c r="O196" s="402"/>
      <x:c r="P196" s="402"/>
      <x:c r="Q196" s="402"/>
      <x:c r="R196" s="402"/>
      <x:c r="S196" s="402"/>
      <x:c r="T196" s="402"/>
      <x:c r="U196" s="402"/>
      <x:c r="V196" s="402"/>
      <x:c r="W196" s="402"/>
      <x:c r="X196" s="402"/>
      <x:c r="Y196" s="402"/>
      <x:c r="Z196" s="402"/>
    </x:row>
    <x:row r="197">
      <x:c r="A197" s="402"/>
      <x:c r="B197" s="402"/>
      <x:c r="C197" s="402"/>
      <x:c r="D197" s="402"/>
      <x:c r="E197" s="402"/>
      <x:c r="F197" s="402"/>
      <x:c r="G197" s="402"/>
      <x:c r="H197" s="402"/>
      <x:c r="I197" s="402"/>
      <x:c r="J197" s="402"/>
      <x:c r="K197" s="402"/>
      <x:c r="L197" s="402"/>
      <x:c r="M197" s="402"/>
      <x:c r="N197" s="402"/>
      <x:c r="O197" s="402"/>
      <x:c r="P197" s="402"/>
      <x:c r="Q197" s="402"/>
      <x:c r="R197" s="402"/>
      <x:c r="S197" s="402"/>
      <x:c r="T197" s="402"/>
      <x:c r="U197" s="402"/>
      <x:c r="V197" s="402"/>
      <x:c r="W197" s="402"/>
      <x:c r="X197" s="402"/>
      <x:c r="Y197" s="402"/>
      <x:c r="Z197" s="402"/>
    </x:row>
    <x:row r="198">
      <x:c r="A198" s="402"/>
      <x:c r="B198" s="402"/>
      <x:c r="C198" s="402"/>
      <x:c r="D198" s="402"/>
      <x:c r="E198" s="402"/>
      <x:c r="F198" s="402"/>
      <x:c r="G198" s="402"/>
      <x:c r="H198" s="402"/>
      <x:c r="I198" s="402"/>
      <x:c r="J198" s="402"/>
      <x:c r="K198" s="402"/>
      <x:c r="L198" s="402"/>
      <x:c r="M198" s="402"/>
      <x:c r="N198" s="402"/>
      <x:c r="O198" s="402"/>
      <x:c r="P198" s="402"/>
      <x:c r="Q198" s="402"/>
      <x:c r="R198" s="402"/>
      <x:c r="S198" s="402"/>
      <x:c r="T198" s="402"/>
      <x:c r="U198" s="402"/>
      <x:c r="V198" s="402"/>
      <x:c r="W198" s="402"/>
      <x:c r="X198" s="402"/>
      <x:c r="Y198" s="402"/>
      <x:c r="Z198" s="402"/>
    </x:row>
    <x:row r="199">
      <x:c r="A199" s="402"/>
      <x:c r="B199" s="402"/>
      <x:c r="C199" s="402"/>
      <x:c r="D199" s="402"/>
      <x:c r="E199" s="402"/>
      <x:c r="F199" s="402"/>
      <x:c r="G199" s="402"/>
      <x:c r="H199" s="402"/>
      <x:c r="I199" s="402"/>
      <x:c r="J199" s="402"/>
      <x:c r="K199" s="402"/>
      <x:c r="L199" s="402"/>
      <x:c r="M199" s="402"/>
      <x:c r="N199" s="402"/>
      <x:c r="O199" s="402"/>
      <x:c r="P199" s="402"/>
      <x:c r="Q199" s="402"/>
      <x:c r="R199" s="402"/>
      <x:c r="S199" s="402"/>
      <x:c r="T199" s="402"/>
      <x:c r="U199" s="402"/>
      <x:c r="V199" s="402"/>
      <x:c r="W199" s="402"/>
      <x:c r="X199" s="402"/>
      <x:c r="Y199" s="402"/>
      <x:c r="Z199" s="402"/>
    </x:row>
    <x:row r="200">
      <x:c r="A200" s="402"/>
      <x:c r="B200" s="402"/>
      <x:c r="C200" s="402"/>
      <x:c r="D200" s="402"/>
      <x:c r="E200" s="402"/>
      <x:c r="F200" s="402"/>
      <x:c r="G200" s="402"/>
      <x:c r="H200" s="402"/>
      <x:c r="I200" s="402"/>
      <x:c r="J200" s="402"/>
      <x:c r="K200" s="402"/>
      <x:c r="L200" s="402"/>
      <x:c r="M200" s="402"/>
      <x:c r="N200" s="402"/>
      <x:c r="O200" s="402"/>
      <x:c r="P200" s="402"/>
      <x:c r="Q200" s="402"/>
      <x:c r="R200" s="402"/>
      <x:c r="S200" s="402"/>
      <x:c r="T200" s="402"/>
      <x:c r="U200" s="402"/>
      <x:c r="V200" s="402"/>
      <x:c r="W200" s="402"/>
      <x:c r="X200" s="402"/>
      <x:c r="Y200" s="402"/>
      <x:c r="Z200" s="402"/>
    </x:row>
  </x:sheetData>
  <x:mergeCells>
    <x:mergeCell ref="A1:T2"/>
  </x:mergeCells>
  <x:conditionalFormatting sqref="R5:R40">
    <x:cfRule type="colorScale" priority="1">
      <x:colorScale>
        <x:cfvo type="min"/>
        <x:cfvo type="percentile" val="50"/>
        <x:cfvo type="max"/>
        <x:color rgb="FFF9D4D8"/>
        <x:color rgb="FFFFF2CE"/>
        <x:color rgb="FFDDF3E9"/>
      </x:colorScale>
    </x:cfRule>
  </x:conditionalFormatting>
  <x:conditionalFormatting sqref="J5:J40">
    <x:cfRule type="dataBar" priority="2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{B9D8BC45-4660-8099-13B0-B7FCDB3EC044}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B9D8BC45-4660-8099-13B0-B7FCDB3EC044}">
            <x14:dataBar gradient="1">
              <x14:cfvo type="min"/>
              <x14:cfvo type="max"/>
              <x14:fillColor rgb="FFA02B93"/>
            </x14:dataBar>
          </x14:cfRule>
          <xm:sqref>J5:J40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5" hidden="0" customWidth="1"/>
    <x:col min="3" max="3" width="13" hidden="0" customWidth="1"/>
    <x:col min="4" max="4" width="16" hidden="0" customWidth="1"/>
    <x:col min="5" max="5" width="19" hidden="0" customWidth="1"/>
    <x:col min="6" max="6" width="15" hidden="0" customWidth="1"/>
    <x:col min="7" max="7" width="15" hidden="0" customWidth="1"/>
    <x:col min="8" max="8" width="16" hidden="0" customWidth="1"/>
    <x:col min="9" max="9" width="20" hidden="0" customWidth="1"/>
    <x:col min="10" max="10" width="15" hidden="0" customWidth="1"/>
  </x:cols>
  <x:sheetData>
    <x:row r="1">
      <x:c r="A1" s="596" t="str">
        <x:v>GoalOS Unit Economics - Mission to Platform</x:v>
      </x:c>
      <x:c r="B1" s="596"/>
      <x:c r="C1" s="596"/>
      <x:c r="D1" s="596"/>
      <x:c r="E1" s="596"/>
      <x:c r="F1" s="596"/>
      <x:c r="G1" s="596"/>
      <x:c r="H1" s="596"/>
      <x:c r="I1" s="596"/>
      <x:c r="J1" s="596"/>
      <x:c r="K1" s="402"/>
      <x:c r="L1" s="402"/>
      <x:c r="M1" s="402"/>
      <x:c r="N1" s="402"/>
      <x:c r="O1" s="402"/>
      <x:c r="P1" s="402"/>
      <x:c r="Q1" s="402"/>
      <x:c r="R1" s="402"/>
      <x:c r="S1" s="402"/>
      <x:c r="T1" s="402"/>
      <x:c r="U1" s="402"/>
      <x:c r="V1" s="402"/>
      <x:c r="W1" s="402"/>
      <x:c r="X1" s="402"/>
      <x:c r="Y1" s="402"/>
      <x:c r="Z1" s="402"/>
    </x:row>
    <x:row r="2">
      <x:c r="A2" s="596"/>
      <x:c r="B2" s="596"/>
      <x:c r="C2" s="596"/>
      <x:c r="D2" s="596"/>
      <x:c r="E2" s="596"/>
      <x:c r="F2" s="596"/>
      <x:c r="G2" s="596"/>
      <x:c r="H2" s="596"/>
      <x:c r="I2" s="596"/>
      <x:c r="J2" s="596"/>
      <x:c r="K2" s="402"/>
      <x:c r="L2" s="402"/>
      <x:c r="M2" s="402"/>
      <x:c r="N2" s="402"/>
      <x:c r="O2" s="402"/>
      <x:c r="P2" s="402"/>
      <x:c r="Q2" s="402"/>
      <x:c r="R2" s="402"/>
      <x:c r="S2" s="402"/>
      <x:c r="T2" s="402"/>
      <x:c r="U2" s="402"/>
      <x:c r="V2" s="402"/>
      <x:c r="W2" s="402"/>
      <x:c r="X2" s="402"/>
      <x:c r="Y2" s="402"/>
      <x:c r="Z2" s="402"/>
    </x:row>
    <x:row r="3">
      <x:c r="A3" s="402"/>
      <x:c r="B3" s="402"/>
      <x:c r="C3" s="402"/>
      <x:c r="D3" s="402"/>
      <x:c r="E3" s="402"/>
      <x:c r="F3" s="402"/>
      <x:c r="G3" s="402"/>
      <x:c r="H3" s="402"/>
      <x:c r="I3" s="402"/>
      <x:c r="J3" s="402"/>
      <x:c r="K3" s="402"/>
      <x:c r="L3" s="402"/>
      <x:c r="M3" s="402"/>
      <x:c r="N3" s="402"/>
      <x:c r="O3" s="402"/>
      <x:c r="P3" s="402"/>
      <x:c r="Q3" s="402"/>
      <x:c r="R3" s="402"/>
      <x:c r="S3" s="402"/>
      <x:c r="T3" s="402"/>
      <x:c r="U3" s="402"/>
      <x:c r="V3" s="402"/>
      <x:c r="W3" s="402"/>
      <x:c r="X3" s="402"/>
      <x:c r="Y3" s="402"/>
      <x:c r="Z3" s="402"/>
    </x:row>
    <x:row r="4">
      <x:c r="A4" s="305" t="str">
        <x:v>Product</x:v>
      </x:c>
      <x:c r="B4" s="305" t="str">
        <x:v>Price</x:v>
      </x:c>
      <x:c r="C4" s="305" t="str">
        <x:v>COGS %</x:v>
      </x:c>
      <x:c r="D4" s="305" t="str">
        <x:v>Gross Profit</x:v>
      </x:c>
      <x:c r="E4" s="305" t="str">
        <x:v>Validation Reserve</x:v>
      </x:c>
      <x:c r="F4" s="305" t="str">
        <x:v>Delivery Hours</x:v>
      </x:c>
      <x:c r="G4" s="305" t="str">
        <x:v>Founder Hours</x:v>
      </x:c>
      <x:c r="H4" s="305" t="str">
        <x:v>Repeat / Attach</x:v>
      </x:c>
      <x:c r="I4" s="305" t="str">
        <x:v>Target Value / Investment</x:v>
      </x:c>
      <x:c r="J4" s="305" t="str">
        <x:v>Claim Status</x:v>
      </x:c>
      <x:c r="K4" s="402"/>
      <x:c r="L4" s="402"/>
      <x:c r="M4" s="402"/>
      <x:c r="N4" s="402"/>
      <x:c r="O4" s="402"/>
      <x:c r="P4" s="402"/>
      <x:c r="Q4" s="402"/>
      <x:c r="R4" s="402"/>
      <x:c r="S4" s="402"/>
      <x:c r="T4" s="402"/>
      <x:c r="U4" s="402"/>
      <x:c r="V4" s="402"/>
      <x:c r="W4" s="402"/>
      <x:c r="X4" s="402"/>
      <x:c r="Y4" s="402"/>
      <x:c r="Z4" s="402"/>
    </x:row>
    <x:row r="5">
      <x:c r="A5" s="402" t="str">
        <x:v>Founding Proof Mission</x:v>
      </x:c>
      <x:c r="B5" s="556" t="n">
        <x:v>15000</x:v>
      </x:c>
      <x:c r="C5" s="557" t="n">
        <x:v>0.55</x:v>
      </x:c>
      <x:c r="D5" s="558" t="n">
        <x:f>B5*(1-C5)</x:f>
        <x:v>6749.999999999999</x:v>
      </x:c>
      <x:c r="E5" s="558" t="n">
        <x:f>B5*C5*'Assumptions'!$H$31</x:f>
        <x:v>825</x:v>
      </x:c>
      <x:c r="F5" s="495" t="n">
        <x:v>80</x:v>
      </x:c>
      <x:c r="G5" s="495" t="n">
        <x:v>30</x:v>
      </x:c>
      <x:c r="H5" s="557" t="n">
        <x:v>0.2</x:v>
      </x:c>
      <x:c r="I5" s="559" t="n">
        <x:v>5</x:v>
      </x:c>
      <x:c r="J5" s="402" t="str">
        <x:v>Scenario</x:v>
      </x:c>
      <x:c r="K5" s="402"/>
      <x:c r="L5" s="402"/>
      <x:c r="M5" s="402"/>
      <x:c r="N5" s="402"/>
      <x:c r="O5" s="402"/>
      <x:c r="P5" s="402"/>
      <x:c r="Q5" s="402"/>
      <x:c r="R5" s="402"/>
      <x:c r="S5" s="402"/>
      <x:c r="T5" s="402"/>
      <x:c r="U5" s="402"/>
      <x:c r="V5" s="402"/>
      <x:c r="W5" s="402"/>
      <x:c r="X5" s="402"/>
      <x:c r="Y5" s="402"/>
      <x:c r="Z5" s="402"/>
    </x:row>
    <x:row r="6">
      <x:c r="A6" s="402" t="str">
        <x:v>Enterprise AI Proof Mission</x:v>
      </x:c>
      <x:c r="B6" s="505" t="n">
        <x:v>35000</x:v>
      </x:c>
      <x:c r="C6" s="503" t="n">
        <x:v>0.42</x:v>
      </x:c>
      <x:c r="D6" s="506" t="n">
        <x:f>B6*(1-C6)</x:f>
        <x:v>20300.000000000004</x:v>
      </x:c>
      <x:c r="E6" s="506" t="n">
        <x:f>B6*C6*'Assumptions'!$H$31</x:f>
        <x:v>1470</x:v>
      </x:c>
      <x:c r="F6" s="499" t="n">
        <x:v>120</x:v>
      </x:c>
      <x:c r="G6" s="499" t="n">
        <x:v>20</x:v>
      </x:c>
      <x:c r="H6" s="503" t="n">
        <x:v>0.3</x:v>
      </x:c>
      <x:c r="I6" s="560" t="n">
        <x:v>7</x:v>
      </x:c>
      <x:c r="J6" s="402" t="str">
        <x:v>Scenario</x:v>
      </x:c>
      <x:c r="K6" s="402"/>
      <x:c r="L6" s="402"/>
      <x:c r="M6" s="402"/>
      <x:c r="N6" s="402"/>
      <x:c r="O6" s="402"/>
      <x:c r="P6" s="402"/>
      <x:c r="Q6" s="402"/>
      <x:c r="R6" s="402"/>
      <x:c r="S6" s="402"/>
      <x:c r="T6" s="402"/>
      <x:c r="U6" s="402"/>
      <x:c r="V6" s="402"/>
      <x:c r="W6" s="402"/>
      <x:c r="X6" s="402"/>
      <x:c r="Y6" s="402"/>
      <x:c r="Z6" s="402"/>
    </x:row>
    <x:row r="7">
      <x:c r="A7" s="402" t="str">
        <x:v>Private Frontier MasterClass</x:v>
      </x:c>
      <x:c r="B7" s="505" t="n">
        <x:v>35000</x:v>
      </x:c>
      <x:c r="C7" s="503" t="n">
        <x:v>0.25</x:v>
      </x:c>
      <x:c r="D7" s="506" t="n">
        <x:f>B7*(1-C7)</x:f>
        <x:v>26250</x:v>
      </x:c>
      <x:c r="E7" s="506" t="n">
        <x:f>B7*C7*0.05</x:f>
        <x:v>437.5</x:v>
      </x:c>
      <x:c r="F7" s="499" t="n">
        <x:v>40</x:v>
      </x:c>
      <x:c r="G7" s="499" t="n">
        <x:v>12</x:v>
      </x:c>
      <x:c r="H7" s="503" t="n">
        <x:v>0.2</x:v>
      </x:c>
      <x:c r="I7" s="560" t="n">
        <x:v>3</x:v>
      </x:c>
      <x:c r="J7" s="402" t="str">
        <x:v>Scenario</x:v>
      </x:c>
      <x:c r="K7" s="402"/>
      <x:c r="L7" s="402"/>
      <x:c r="M7" s="402"/>
      <x:c r="N7" s="402"/>
      <x:c r="O7" s="402"/>
      <x:c r="P7" s="402"/>
      <x:c r="Q7" s="402"/>
      <x:c r="R7" s="402"/>
      <x:c r="S7" s="402"/>
      <x:c r="T7" s="402"/>
      <x:c r="U7" s="402"/>
      <x:c r="V7" s="402"/>
      <x:c r="W7" s="402"/>
      <x:c r="X7" s="402"/>
      <x:c r="Y7" s="402"/>
      <x:c r="Z7" s="402"/>
    </x:row>
    <x:row r="8">
      <x:c r="A8" s="402" t="str">
        <x:v>GoalOS Proof Office - monthly</x:v>
      </x:c>
      <x:c r="B8" s="505" t="n">
        <x:v>25000</x:v>
      </x:c>
      <x:c r="C8" s="503" t="n">
        <x:v>0.3</x:v>
      </x:c>
      <x:c r="D8" s="506" t="n">
        <x:f>B8*(1-C8)</x:f>
        <x:v>17500</x:v>
      </x:c>
      <x:c r="E8" s="506" t="n">
        <x:f>B8*C8*0.08</x:f>
        <x:v>600</x:v>
      </x:c>
      <x:c r="F8" s="499" t="n">
        <x:v>60</x:v>
      </x:c>
      <x:c r="G8" s="499" t="n">
        <x:v>8</x:v>
      </x:c>
      <x:c r="H8" s="503" t="n">
        <x:v>0.9</x:v>
      </x:c>
      <x:c r="I8" s="560" t="n">
        <x:v>5</x:v>
      </x:c>
      <x:c r="J8" s="402" t="str">
        <x:v>Scenario</x:v>
      </x:c>
      <x:c r="K8" s="402"/>
      <x:c r="L8" s="402"/>
      <x:c r="M8" s="402"/>
      <x:c r="N8" s="402"/>
      <x:c r="O8" s="402"/>
      <x:c r="P8" s="402"/>
      <x:c r="Q8" s="402"/>
      <x:c r="R8" s="402"/>
      <x:c r="S8" s="402"/>
      <x:c r="T8" s="402"/>
      <x:c r="U8" s="402"/>
      <x:c r="V8" s="402"/>
      <x:c r="W8" s="402"/>
      <x:c r="X8" s="402"/>
      <x:c r="Y8" s="402"/>
      <x:c r="Z8" s="402"/>
    </x:row>
    <x:row r="9">
      <x:c r="A9" s="402" t="str">
        <x:v>Private GoalOS Network - annual</x:v>
      </x:c>
      <x:c r="B9" s="561" t="n">
        <x:v>350000</x:v>
      </x:c>
      <x:c r="C9" s="510" t="n">
        <x:v>0.24</x:v>
      </x:c>
      <x:c r="D9" s="562" t="n">
        <x:f>B9*(1-C9)</x:f>
        <x:v>266000</x:v>
      </x:c>
      <x:c r="E9" s="562" t="n">
        <x:f>B9*C9*0.10</x:f>
        <x:v>8400</x:v>
      </x:c>
      <x:c r="F9" s="563" t="n">
        <x:v>900</x:v>
      </x:c>
      <x:c r="G9" s="563" t="n">
        <x:v>40</x:v>
      </x:c>
      <x:c r="H9" s="510" t="n">
        <x:v>0.95</x:v>
      </x:c>
      <x:c r="I9" s="564" t="n">
        <x:v>8</x:v>
      </x:c>
      <x:c r="J9" s="402" t="str">
        <x:v>Scenario</x:v>
      </x:c>
      <x:c r="K9" s="402"/>
      <x:c r="L9" s="402"/>
      <x:c r="M9" s="402"/>
      <x:c r="N9" s="402"/>
      <x:c r="O9" s="402"/>
      <x:c r="P9" s="402"/>
      <x:c r="Q9" s="402"/>
      <x:c r="R9" s="402"/>
      <x:c r="S9" s="402"/>
      <x:c r="T9" s="402"/>
      <x:c r="U9" s="402"/>
      <x:c r="V9" s="402"/>
      <x:c r="W9" s="402"/>
      <x:c r="X9" s="402"/>
      <x:c r="Y9" s="402"/>
      <x:c r="Z9" s="402"/>
    </x:row>
    <x:row r="10">
      <x:c r="A10" s="402"/>
      <x:c r="B10" s="402"/>
      <x:c r="C10" s="402"/>
      <x:c r="D10" s="402"/>
      <x:c r="E10" s="402"/>
      <x:c r="F10" s="402"/>
      <x:c r="G10" s="402"/>
      <x:c r="H10" s="402"/>
      <x:c r="I10" s="402"/>
      <x:c r="J10" s="402"/>
      <x:c r="K10" s="402"/>
      <x:c r="L10" s="402"/>
      <x:c r="M10" s="402"/>
      <x:c r="N10" s="402"/>
      <x:c r="O10" s="402"/>
      <x:c r="P10" s="402"/>
      <x:c r="Q10" s="402"/>
      <x:c r="R10" s="402"/>
      <x:c r="S10" s="402"/>
      <x:c r="T10" s="402"/>
      <x:c r="U10" s="402"/>
      <x:c r="V10" s="402"/>
      <x:c r="W10" s="402"/>
      <x:c r="X10" s="402"/>
      <x:c r="Y10" s="402"/>
      <x:c r="Z10" s="402"/>
    </x:row>
    <x:row r="11">
      <x:c r="A11" s="402"/>
      <x:c r="B11" s="402"/>
      <x:c r="C11" s="402"/>
      <x:c r="D11" s="402"/>
      <x:c r="E11" s="402"/>
      <x:c r="F11" s="402"/>
      <x:c r="G11" s="402"/>
      <x:c r="H11" s="402"/>
      <x:c r="I11" s="402"/>
      <x:c r="J11" s="402"/>
      <x:c r="K11" s="402"/>
      <x:c r="L11" s="402"/>
      <x:c r="M11" s="402"/>
      <x:c r="N11" s="402"/>
      <x:c r="O11" s="402"/>
      <x:c r="P11" s="402"/>
      <x:c r="Q11" s="402"/>
      <x:c r="R11" s="402"/>
      <x:c r="S11" s="402"/>
      <x:c r="T11" s="402"/>
      <x:c r="U11" s="402"/>
      <x:c r="V11" s="402"/>
      <x:c r="W11" s="402"/>
      <x:c r="X11" s="402"/>
      <x:c r="Y11" s="402"/>
      <x:c r="Z11" s="402"/>
    </x:row>
    <x:row r="12">
      <x:c r="A12" s="402"/>
      <x:c r="B12" s="402"/>
      <x:c r="C12" s="402"/>
      <x:c r="D12" s="402"/>
      <x:c r="E12" s="402"/>
      <x:c r="F12" s="402"/>
      <x:c r="G12" s="402"/>
      <x:c r="H12" s="402"/>
      <x:c r="I12" s="402"/>
      <x:c r="J12" s="402"/>
      <x:c r="K12" s="402"/>
      <x:c r="L12" s="402"/>
      <x:c r="M12" s="402"/>
      <x:c r="N12" s="402"/>
      <x:c r="O12" s="402"/>
      <x:c r="P12" s="402"/>
      <x:c r="Q12" s="402"/>
      <x:c r="R12" s="402"/>
      <x:c r="S12" s="402"/>
      <x:c r="T12" s="402"/>
      <x:c r="U12" s="402"/>
      <x:c r="V12" s="402"/>
      <x:c r="W12" s="402"/>
      <x:c r="X12" s="402"/>
      <x:c r="Y12" s="402"/>
      <x:c r="Z12" s="402"/>
    </x:row>
    <x:row r="13">
      <x:c r="A13" s="402"/>
      <x:c r="B13" s="402"/>
      <x:c r="C13" s="402"/>
      <x:c r="D13" s="402"/>
      <x:c r="E13" s="402"/>
      <x:c r="F13" s="402"/>
      <x:c r="G13" s="402"/>
      <x:c r="H13" s="402"/>
      <x:c r="I13" s="402"/>
      <x:c r="J13" s="402"/>
      <x:c r="K13" s="402"/>
      <x:c r="L13" s="402"/>
      <x:c r="M13" s="402"/>
      <x:c r="N13" s="402"/>
      <x:c r="O13" s="402"/>
      <x:c r="P13" s="402"/>
      <x:c r="Q13" s="402"/>
      <x:c r="R13" s="402"/>
      <x:c r="S13" s="402"/>
      <x:c r="T13" s="402"/>
      <x:c r="U13" s="402"/>
      <x:c r="V13" s="402"/>
      <x:c r="W13" s="402"/>
      <x:c r="X13" s="402"/>
      <x:c r="Y13" s="402"/>
      <x:c r="Z13" s="402"/>
    </x:row>
    <x:row r="14">
      <x:c r="A14" s="402"/>
      <x:c r="B14" s="402"/>
      <x:c r="C14" s="402"/>
      <x:c r="D14" s="402"/>
      <x:c r="E14" s="402"/>
      <x:c r="F14" s="402"/>
      <x:c r="G14" s="402"/>
      <x:c r="H14" s="402"/>
      <x:c r="I14" s="402"/>
      <x:c r="J14" s="402"/>
      <x:c r="K14" s="402"/>
      <x:c r="L14" s="402"/>
      <x:c r="M14" s="402"/>
      <x:c r="N14" s="402"/>
      <x:c r="O14" s="402"/>
      <x:c r="P14" s="402"/>
      <x:c r="Q14" s="402"/>
      <x:c r="R14" s="402"/>
      <x:c r="S14" s="402"/>
      <x:c r="T14" s="402"/>
      <x:c r="U14" s="402"/>
      <x:c r="V14" s="402"/>
      <x:c r="W14" s="402"/>
      <x:c r="X14" s="402"/>
      <x:c r="Y14" s="402"/>
      <x:c r="Z14" s="402"/>
    </x:row>
    <x:row r="15">
      <x:c r="A15" s="402"/>
      <x:c r="B15" s="402"/>
      <x:c r="C15" s="402"/>
      <x:c r="D15" s="402"/>
      <x:c r="E15" s="402"/>
      <x:c r="F15" s="402"/>
      <x:c r="G15" s="402"/>
      <x:c r="H15" s="402"/>
      <x:c r="I15" s="402"/>
      <x:c r="J15" s="402"/>
      <x:c r="K15" s="402"/>
      <x:c r="L15" s="402"/>
      <x:c r="M15" s="402"/>
      <x:c r="N15" s="402"/>
      <x:c r="O15" s="402"/>
      <x:c r="P15" s="402"/>
      <x:c r="Q15" s="402"/>
      <x:c r="R15" s="402"/>
      <x:c r="S15" s="402"/>
      <x:c r="T15" s="402"/>
      <x:c r="U15" s="402"/>
      <x:c r="V15" s="402"/>
      <x:c r="W15" s="402"/>
      <x:c r="X15" s="402"/>
      <x:c r="Y15" s="402"/>
      <x:c r="Z15" s="402"/>
    </x:row>
    <x:row r="16">
      <x:c r="A16" s="402"/>
      <x:c r="B16" s="402"/>
      <x:c r="C16" s="402"/>
      <x:c r="D16" s="402"/>
      <x:c r="E16" s="402"/>
      <x:c r="F16" s="402"/>
      <x:c r="G16" s="402"/>
      <x:c r="H16" s="402"/>
      <x:c r="I16" s="402"/>
      <x:c r="J16" s="402"/>
      <x:c r="K16" s="402"/>
      <x:c r="L16" s="402"/>
      <x:c r="M16" s="402"/>
      <x:c r="N16" s="402"/>
      <x:c r="O16" s="402"/>
      <x:c r="P16" s="402"/>
      <x:c r="Q16" s="402"/>
      <x:c r="R16" s="402"/>
      <x:c r="S16" s="402"/>
      <x:c r="T16" s="402"/>
      <x:c r="U16" s="402"/>
      <x:c r="V16" s="402"/>
      <x:c r="W16" s="402"/>
      <x:c r="X16" s="402"/>
      <x:c r="Y16" s="402"/>
      <x:c r="Z16" s="402"/>
    </x:row>
    <x:row r="17">
      <x:c r="A17" s="402"/>
      <x:c r="B17" s="402"/>
      <x:c r="C17" s="402"/>
      <x:c r="D17" s="402"/>
      <x:c r="E17" s="402"/>
      <x:c r="F17" s="402"/>
      <x:c r="G17" s="402"/>
      <x:c r="H17" s="402"/>
      <x:c r="I17" s="402"/>
      <x:c r="J17" s="402"/>
      <x:c r="K17" s="402"/>
      <x:c r="L17" s="402"/>
      <x:c r="M17" s="402"/>
      <x:c r="N17" s="402"/>
      <x:c r="O17" s="402"/>
      <x:c r="P17" s="402"/>
      <x:c r="Q17" s="402"/>
      <x:c r="R17" s="402"/>
      <x:c r="S17" s="402"/>
      <x:c r="T17" s="402"/>
      <x:c r="U17" s="402"/>
      <x:c r="V17" s="402"/>
      <x:c r="W17" s="402"/>
      <x:c r="X17" s="402"/>
      <x:c r="Y17" s="402"/>
      <x:c r="Z17" s="402"/>
    </x:row>
    <x:row r="18">
      <x:c r="A18" s="402"/>
      <x:c r="B18" s="402"/>
      <x:c r="C18" s="402"/>
      <x:c r="D18" s="402"/>
      <x:c r="E18" s="402"/>
      <x:c r="F18" s="402"/>
      <x:c r="G18" s="402"/>
      <x:c r="H18" s="402"/>
      <x:c r="I18" s="402"/>
      <x:c r="J18" s="402"/>
      <x:c r="K18" s="402"/>
      <x:c r="L18" s="402"/>
      <x:c r="M18" s="402"/>
      <x:c r="N18" s="402"/>
      <x:c r="O18" s="402"/>
      <x:c r="P18" s="402"/>
      <x:c r="Q18" s="402"/>
      <x:c r="R18" s="402"/>
      <x:c r="S18" s="402"/>
      <x:c r="T18" s="402"/>
      <x:c r="U18" s="402"/>
      <x:c r="V18" s="402"/>
      <x:c r="W18" s="402"/>
      <x:c r="X18" s="402"/>
      <x:c r="Y18" s="402"/>
      <x:c r="Z18" s="402"/>
    </x:row>
    <x:row r="19">
      <x:c r="A19" s="402"/>
      <x:c r="B19" s="402"/>
      <x:c r="C19" s="402"/>
      <x:c r="D19" s="402"/>
      <x:c r="E19" s="402"/>
      <x:c r="F19" s="402"/>
      <x:c r="G19" s="402"/>
      <x:c r="H19" s="402"/>
      <x:c r="I19" s="402"/>
      <x:c r="J19" s="402"/>
      <x:c r="K19" s="402"/>
      <x:c r="L19" s="402"/>
      <x:c r="M19" s="402"/>
      <x:c r="N19" s="402"/>
      <x:c r="O19" s="402"/>
      <x:c r="P19" s="402"/>
      <x:c r="Q19" s="402"/>
      <x:c r="R19" s="402"/>
      <x:c r="S19" s="402"/>
      <x:c r="T19" s="402"/>
      <x:c r="U19" s="402"/>
      <x:c r="V19" s="402"/>
      <x:c r="W19" s="402"/>
      <x:c r="X19" s="402"/>
      <x:c r="Y19" s="402"/>
      <x:c r="Z19" s="402"/>
    </x:row>
    <x:row r="20">
      <x:c r="A20" s="402"/>
      <x:c r="B20" s="402"/>
      <x:c r="C20" s="402"/>
      <x:c r="D20" s="402"/>
      <x:c r="E20" s="402"/>
      <x:c r="F20" s="402"/>
      <x:c r="G20" s="402"/>
      <x:c r="H20" s="402"/>
      <x:c r="I20" s="402"/>
      <x:c r="J20" s="402"/>
      <x:c r="K20" s="402"/>
      <x:c r="L20" s="402"/>
      <x:c r="M20" s="402"/>
      <x:c r="N20" s="402"/>
      <x:c r="O20" s="402"/>
      <x:c r="P20" s="402"/>
      <x:c r="Q20" s="402"/>
      <x:c r="R20" s="402"/>
      <x:c r="S20" s="402"/>
      <x:c r="T20" s="402"/>
      <x:c r="U20" s="402"/>
      <x:c r="V20" s="402"/>
      <x:c r="W20" s="402"/>
      <x:c r="X20" s="402"/>
      <x:c r="Y20" s="402"/>
      <x:c r="Z20" s="402"/>
    </x:row>
    <x:row r="21">
      <x:c r="A21" s="402"/>
      <x:c r="B21" s="402"/>
      <x:c r="C21" s="402"/>
      <x:c r="D21" s="402"/>
      <x:c r="E21" s="402"/>
      <x:c r="F21" s="402"/>
      <x:c r="G21" s="402"/>
      <x:c r="H21" s="402"/>
      <x:c r="I21" s="402"/>
      <x:c r="J21" s="402"/>
      <x:c r="K21" s="402"/>
      <x:c r="L21" s="402"/>
      <x:c r="M21" s="402"/>
      <x:c r="N21" s="402"/>
      <x:c r="O21" s="402"/>
      <x:c r="P21" s="402"/>
      <x:c r="Q21" s="402"/>
      <x:c r="R21" s="402"/>
      <x:c r="S21" s="402"/>
      <x:c r="T21" s="402"/>
      <x:c r="U21" s="402"/>
      <x:c r="V21" s="402"/>
      <x:c r="W21" s="402"/>
      <x:c r="X21" s="402"/>
      <x:c r="Y21" s="402"/>
      <x:c r="Z21" s="402"/>
    </x:row>
    <x:row r="22">
      <x:c r="A22" s="402"/>
      <x:c r="B22" s="402"/>
      <x:c r="C22" s="402"/>
      <x:c r="D22" s="402"/>
      <x:c r="E22" s="402"/>
      <x:c r="F22" s="402"/>
      <x:c r="G22" s="402"/>
      <x:c r="H22" s="402"/>
      <x:c r="I22" s="402"/>
      <x:c r="J22" s="402"/>
      <x:c r="K22" s="402"/>
      <x:c r="L22" s="402"/>
      <x:c r="M22" s="402"/>
      <x:c r="N22" s="402"/>
      <x:c r="O22" s="402"/>
      <x:c r="P22" s="402"/>
      <x:c r="Q22" s="402"/>
      <x:c r="R22" s="402"/>
      <x:c r="S22" s="402"/>
      <x:c r="T22" s="402"/>
      <x:c r="U22" s="402"/>
      <x:c r="V22" s="402"/>
      <x:c r="W22" s="402"/>
      <x:c r="X22" s="402"/>
      <x:c r="Y22" s="402"/>
      <x:c r="Z22" s="402"/>
    </x:row>
    <x:row r="23">
      <x:c r="A23" s="402"/>
      <x:c r="B23" s="402"/>
      <x:c r="C23" s="402"/>
      <x:c r="D23" s="402"/>
      <x:c r="E23" s="402"/>
      <x:c r="F23" s="402"/>
      <x:c r="G23" s="402"/>
      <x:c r="H23" s="402"/>
      <x:c r="I23" s="402"/>
      <x:c r="J23" s="402"/>
      <x:c r="K23" s="402"/>
      <x:c r="L23" s="402"/>
      <x:c r="M23" s="402"/>
      <x:c r="N23" s="402"/>
      <x:c r="O23" s="402"/>
      <x:c r="P23" s="402"/>
      <x:c r="Q23" s="402"/>
      <x:c r="R23" s="402"/>
      <x:c r="S23" s="402"/>
      <x:c r="T23" s="402"/>
      <x:c r="U23" s="402"/>
      <x:c r="V23" s="402"/>
      <x:c r="W23" s="402"/>
      <x:c r="X23" s="402"/>
      <x:c r="Y23" s="402"/>
      <x:c r="Z23" s="402"/>
    </x:row>
    <x:row r="24">
      <x:c r="A24" s="402"/>
      <x:c r="B24" s="402"/>
      <x:c r="C24" s="402"/>
      <x:c r="D24" s="402"/>
      <x:c r="E24" s="402"/>
      <x:c r="F24" s="402"/>
      <x:c r="G24" s="402"/>
      <x:c r="H24" s="402"/>
      <x:c r="I24" s="402"/>
      <x:c r="J24" s="402"/>
      <x:c r="K24" s="402"/>
      <x:c r="L24" s="402"/>
      <x:c r="M24" s="402"/>
      <x:c r="N24" s="402"/>
      <x:c r="O24" s="402"/>
      <x:c r="P24" s="402"/>
      <x:c r="Q24" s="402"/>
      <x:c r="R24" s="402"/>
      <x:c r="S24" s="402"/>
      <x:c r="T24" s="402"/>
      <x:c r="U24" s="402"/>
      <x:c r="V24" s="402"/>
      <x:c r="W24" s="402"/>
      <x:c r="X24" s="402"/>
      <x:c r="Y24" s="402"/>
      <x:c r="Z24" s="402"/>
    </x:row>
    <x:row r="25">
      <x:c r="A25" s="402"/>
      <x:c r="B25" s="402"/>
      <x:c r="C25" s="402"/>
      <x:c r="D25" s="402"/>
      <x:c r="E25" s="402"/>
      <x:c r="F25" s="402"/>
      <x:c r="G25" s="402"/>
      <x:c r="H25" s="402"/>
      <x:c r="I25" s="402"/>
      <x:c r="J25" s="402"/>
      <x:c r="K25" s="402"/>
      <x:c r="L25" s="402"/>
      <x:c r="M25" s="402"/>
      <x:c r="N25" s="402"/>
      <x:c r="O25" s="402"/>
      <x:c r="P25" s="402"/>
      <x:c r="Q25" s="402"/>
      <x:c r="R25" s="402"/>
      <x:c r="S25" s="402"/>
      <x:c r="T25" s="402"/>
      <x:c r="U25" s="402"/>
      <x:c r="V25" s="402"/>
      <x:c r="W25" s="402"/>
      <x:c r="X25" s="402"/>
      <x:c r="Y25" s="402"/>
      <x:c r="Z25" s="402"/>
    </x:row>
    <x:row r="26">
      <x:c r="A26" s="402"/>
      <x:c r="B26" s="402"/>
      <x:c r="C26" s="402"/>
      <x:c r="D26" s="402"/>
      <x:c r="E26" s="402"/>
      <x:c r="F26" s="402"/>
      <x:c r="G26" s="402"/>
      <x:c r="H26" s="402"/>
      <x:c r="I26" s="402"/>
      <x:c r="J26" s="402"/>
      <x:c r="K26" s="402"/>
      <x:c r="L26" s="402"/>
      <x:c r="M26" s="402"/>
      <x:c r="N26" s="402"/>
      <x:c r="O26" s="402"/>
      <x:c r="P26" s="402"/>
      <x:c r="Q26" s="402"/>
      <x:c r="R26" s="402"/>
      <x:c r="S26" s="402"/>
      <x:c r="T26" s="402"/>
      <x:c r="U26" s="402"/>
      <x:c r="V26" s="402"/>
      <x:c r="W26" s="402"/>
      <x:c r="X26" s="402"/>
      <x:c r="Y26" s="402"/>
      <x:c r="Z26" s="402"/>
    </x:row>
    <x:row r="27">
      <x:c r="A27" s="402"/>
      <x:c r="B27" s="402"/>
      <x:c r="C27" s="402"/>
      <x:c r="D27" s="402"/>
      <x:c r="E27" s="402"/>
      <x:c r="F27" s="402"/>
      <x:c r="G27" s="402"/>
      <x:c r="H27" s="402"/>
      <x:c r="I27" s="402"/>
      <x:c r="J27" s="402"/>
      <x:c r="K27" s="402"/>
      <x:c r="L27" s="402"/>
      <x:c r="M27" s="402"/>
      <x:c r="N27" s="402"/>
      <x:c r="O27" s="402"/>
      <x:c r="P27" s="402"/>
      <x:c r="Q27" s="402"/>
      <x:c r="R27" s="402"/>
      <x:c r="S27" s="402"/>
      <x:c r="T27" s="402"/>
      <x:c r="U27" s="402"/>
      <x:c r="V27" s="402"/>
      <x:c r="W27" s="402"/>
      <x:c r="X27" s="402"/>
      <x:c r="Y27" s="402"/>
      <x:c r="Z27" s="402"/>
    </x:row>
    <x:row r="28">
      <x:c r="A28" s="402"/>
      <x:c r="B28" s="402"/>
      <x:c r="C28" s="402"/>
      <x:c r="D28" s="402"/>
      <x:c r="E28" s="402"/>
      <x:c r="F28" s="402"/>
      <x:c r="G28" s="402"/>
      <x:c r="H28" s="402"/>
      <x:c r="I28" s="402"/>
      <x:c r="J28" s="402"/>
      <x:c r="K28" s="402"/>
      <x:c r="L28" s="402"/>
      <x:c r="M28" s="402"/>
      <x:c r="N28" s="402"/>
      <x:c r="O28" s="402"/>
      <x:c r="P28" s="402"/>
      <x:c r="Q28" s="402"/>
      <x:c r="R28" s="402"/>
      <x:c r="S28" s="402"/>
      <x:c r="T28" s="402"/>
      <x:c r="U28" s="402"/>
      <x:c r="V28" s="402"/>
      <x:c r="W28" s="402"/>
      <x:c r="X28" s="402"/>
      <x:c r="Y28" s="402"/>
      <x:c r="Z28" s="402"/>
    </x:row>
    <x:row r="29">
      <x:c r="A29" s="402"/>
      <x:c r="B29" s="402"/>
      <x:c r="C29" s="402"/>
      <x:c r="D29" s="402"/>
      <x:c r="E29" s="402"/>
      <x:c r="F29" s="402"/>
      <x:c r="G29" s="402"/>
      <x:c r="H29" s="402"/>
      <x:c r="I29" s="402"/>
      <x:c r="J29" s="402"/>
      <x:c r="K29" s="402"/>
      <x:c r="L29" s="402"/>
      <x:c r="M29" s="402"/>
      <x:c r="N29" s="402"/>
      <x:c r="O29" s="402"/>
      <x:c r="P29" s="402"/>
      <x:c r="Q29" s="402"/>
      <x:c r="R29" s="402"/>
      <x:c r="S29" s="402"/>
      <x:c r="T29" s="402"/>
      <x:c r="U29" s="402"/>
      <x:c r="V29" s="402"/>
      <x:c r="W29" s="402"/>
      <x:c r="X29" s="402"/>
      <x:c r="Y29" s="402"/>
      <x:c r="Z29" s="402"/>
    </x:row>
    <x:row r="30">
      <x:c r="A30" s="402"/>
      <x:c r="B30" s="402"/>
      <x:c r="C30" s="402"/>
      <x:c r="D30" s="402"/>
      <x:c r="E30" s="402"/>
      <x:c r="F30" s="402"/>
      <x:c r="G30" s="402"/>
      <x:c r="H30" s="402"/>
      <x:c r="I30" s="402"/>
      <x:c r="J30" s="402"/>
      <x:c r="K30" s="402"/>
      <x:c r="L30" s="402"/>
      <x:c r="M30" s="402"/>
      <x:c r="N30" s="402"/>
      <x:c r="O30" s="402"/>
      <x:c r="P30" s="402"/>
      <x:c r="Q30" s="402"/>
      <x:c r="R30" s="402"/>
      <x:c r="S30" s="402"/>
      <x:c r="T30" s="402"/>
      <x:c r="U30" s="402"/>
      <x:c r="V30" s="402"/>
      <x:c r="W30" s="402"/>
      <x:c r="X30" s="402"/>
      <x:c r="Y30" s="402"/>
      <x:c r="Z30" s="402"/>
    </x:row>
    <x:row r="31">
      <x:c r="A31" s="402"/>
      <x:c r="B31" s="402"/>
      <x:c r="C31" s="402"/>
      <x:c r="D31" s="402"/>
      <x:c r="E31" s="402"/>
      <x:c r="F31" s="402"/>
      <x:c r="G31" s="402"/>
      <x:c r="H31" s="402"/>
      <x:c r="I31" s="402"/>
      <x:c r="J31" s="402"/>
      <x:c r="K31" s="402"/>
      <x:c r="L31" s="402"/>
      <x:c r="M31" s="402"/>
      <x:c r="N31" s="402"/>
      <x:c r="O31" s="402"/>
      <x:c r="P31" s="402"/>
      <x:c r="Q31" s="402"/>
      <x:c r="R31" s="402"/>
      <x:c r="S31" s="402"/>
      <x:c r="T31" s="402"/>
      <x:c r="U31" s="402"/>
      <x:c r="V31" s="402"/>
      <x:c r="W31" s="402"/>
      <x:c r="X31" s="402"/>
      <x:c r="Y31" s="402"/>
      <x:c r="Z31" s="402"/>
    </x:row>
    <x:row r="32">
      <x:c r="A32" s="402"/>
      <x:c r="B32" s="402"/>
      <x:c r="C32" s="402"/>
      <x:c r="D32" s="402"/>
      <x:c r="E32" s="402"/>
      <x:c r="F32" s="402"/>
      <x:c r="G32" s="402"/>
      <x:c r="H32" s="402"/>
      <x:c r="I32" s="402"/>
      <x:c r="J32" s="402"/>
      <x:c r="K32" s="402"/>
      <x:c r="L32" s="402"/>
      <x:c r="M32" s="402"/>
      <x:c r="N32" s="402"/>
      <x:c r="O32" s="402"/>
      <x:c r="P32" s="402"/>
      <x:c r="Q32" s="402"/>
      <x:c r="R32" s="402"/>
      <x:c r="S32" s="402"/>
      <x:c r="T32" s="402"/>
      <x:c r="U32" s="402"/>
      <x:c r="V32" s="402"/>
      <x:c r="W32" s="402"/>
      <x:c r="X32" s="402"/>
      <x:c r="Y32" s="402"/>
      <x:c r="Z32" s="402"/>
    </x:row>
    <x:row r="33">
      <x:c r="A33" s="402"/>
      <x:c r="B33" s="402"/>
      <x:c r="C33" s="402"/>
      <x:c r="D33" s="402"/>
      <x:c r="E33" s="402"/>
      <x:c r="F33" s="402"/>
      <x:c r="G33" s="402"/>
      <x:c r="H33" s="402"/>
      <x:c r="I33" s="402"/>
      <x:c r="J33" s="402"/>
      <x:c r="K33" s="402"/>
      <x:c r="L33" s="402"/>
      <x:c r="M33" s="402"/>
      <x:c r="N33" s="402"/>
      <x:c r="O33" s="402"/>
      <x:c r="P33" s="402"/>
      <x:c r="Q33" s="402"/>
      <x:c r="R33" s="402"/>
      <x:c r="S33" s="402"/>
      <x:c r="T33" s="402"/>
      <x:c r="U33" s="402"/>
      <x:c r="V33" s="402"/>
      <x:c r="W33" s="402"/>
      <x:c r="X33" s="402"/>
      <x:c r="Y33" s="402"/>
      <x:c r="Z33" s="402"/>
    </x:row>
    <x:row r="34">
      <x:c r="A34" s="402"/>
      <x:c r="B34" s="402"/>
      <x:c r="C34" s="402"/>
      <x:c r="D34" s="402"/>
      <x:c r="E34" s="402"/>
      <x:c r="F34" s="402"/>
      <x:c r="G34" s="402"/>
      <x:c r="H34" s="402"/>
      <x:c r="I34" s="402"/>
      <x:c r="J34" s="402"/>
      <x:c r="K34" s="402"/>
      <x:c r="L34" s="402"/>
      <x:c r="M34" s="402"/>
      <x:c r="N34" s="402"/>
      <x:c r="O34" s="402"/>
      <x:c r="P34" s="402"/>
      <x:c r="Q34" s="402"/>
      <x:c r="R34" s="402"/>
      <x:c r="S34" s="402"/>
      <x:c r="T34" s="402"/>
      <x:c r="U34" s="402"/>
      <x:c r="V34" s="402"/>
      <x:c r="W34" s="402"/>
      <x:c r="X34" s="402"/>
      <x:c r="Y34" s="402"/>
      <x:c r="Z34" s="402"/>
    </x:row>
    <x:row r="35">
      <x:c r="A35" s="402"/>
      <x:c r="B35" s="402"/>
      <x:c r="C35" s="402"/>
      <x:c r="D35" s="402"/>
      <x:c r="E35" s="402"/>
      <x:c r="F35" s="402"/>
      <x:c r="G35" s="402"/>
      <x:c r="H35" s="402"/>
      <x:c r="I35" s="402"/>
      <x:c r="J35" s="402"/>
      <x:c r="K35" s="402"/>
      <x:c r="L35" s="402"/>
      <x:c r="M35" s="402"/>
      <x:c r="N35" s="402"/>
      <x:c r="O35" s="402"/>
      <x:c r="P35" s="402"/>
      <x:c r="Q35" s="402"/>
      <x:c r="R35" s="402"/>
      <x:c r="S35" s="402"/>
      <x:c r="T35" s="402"/>
      <x:c r="U35" s="402"/>
      <x:c r="V35" s="402"/>
      <x:c r="W35" s="402"/>
      <x:c r="X35" s="402"/>
      <x:c r="Y35" s="402"/>
      <x:c r="Z35" s="402"/>
    </x:row>
    <x:row r="36">
      <x:c r="A36" s="402"/>
      <x:c r="B36" s="402"/>
      <x:c r="C36" s="402"/>
      <x:c r="D36" s="402"/>
      <x:c r="E36" s="402"/>
      <x:c r="F36" s="402"/>
      <x:c r="G36" s="402"/>
      <x:c r="H36" s="402"/>
      <x:c r="I36" s="402"/>
      <x:c r="J36" s="402"/>
      <x:c r="K36" s="402"/>
      <x:c r="L36" s="402"/>
      <x:c r="M36" s="402"/>
      <x:c r="N36" s="402"/>
      <x:c r="O36" s="402"/>
      <x:c r="P36" s="402"/>
      <x:c r="Q36" s="402"/>
      <x:c r="R36" s="402"/>
      <x:c r="S36" s="402"/>
      <x:c r="T36" s="402"/>
      <x:c r="U36" s="402"/>
      <x:c r="V36" s="402"/>
      <x:c r="W36" s="402"/>
      <x:c r="X36" s="402"/>
      <x:c r="Y36" s="402"/>
      <x:c r="Z36" s="402"/>
    </x:row>
    <x:row r="37">
      <x:c r="A37" s="402"/>
      <x:c r="B37" s="402"/>
      <x:c r="C37" s="402"/>
      <x:c r="D37" s="402"/>
      <x:c r="E37" s="402"/>
      <x:c r="F37" s="402"/>
      <x:c r="G37" s="402"/>
      <x:c r="H37" s="402"/>
      <x:c r="I37" s="402"/>
      <x:c r="J37" s="402"/>
      <x:c r="K37" s="402"/>
      <x:c r="L37" s="402"/>
      <x:c r="M37" s="402"/>
      <x:c r="N37" s="402"/>
      <x:c r="O37" s="402"/>
      <x:c r="P37" s="402"/>
      <x:c r="Q37" s="402"/>
      <x:c r="R37" s="402"/>
      <x:c r="S37" s="402"/>
      <x:c r="T37" s="402"/>
      <x:c r="U37" s="402"/>
      <x:c r="V37" s="402"/>
      <x:c r="W37" s="402"/>
      <x:c r="X37" s="402"/>
      <x:c r="Y37" s="402"/>
      <x:c r="Z37" s="402"/>
    </x:row>
    <x:row r="38">
      <x:c r="A38" s="402"/>
      <x:c r="B38" s="402"/>
      <x:c r="C38" s="402"/>
      <x:c r="D38" s="402"/>
      <x:c r="E38" s="402"/>
      <x:c r="F38" s="402"/>
      <x:c r="G38" s="402"/>
      <x:c r="H38" s="402"/>
      <x:c r="I38" s="402"/>
      <x:c r="J38" s="402"/>
      <x:c r="K38" s="402"/>
      <x:c r="L38" s="402"/>
      <x:c r="M38" s="402"/>
      <x:c r="N38" s="402"/>
      <x:c r="O38" s="402"/>
      <x:c r="P38" s="402"/>
      <x:c r="Q38" s="402"/>
      <x:c r="R38" s="402"/>
      <x:c r="S38" s="402"/>
      <x:c r="T38" s="402"/>
      <x:c r="U38" s="402"/>
      <x:c r="V38" s="402"/>
      <x:c r="W38" s="402"/>
      <x:c r="X38" s="402"/>
      <x:c r="Y38" s="402"/>
      <x:c r="Z38" s="402"/>
    </x:row>
    <x:row r="39">
      <x:c r="A39" s="402"/>
      <x:c r="B39" s="402"/>
      <x:c r="C39" s="402"/>
      <x:c r="D39" s="402"/>
      <x:c r="E39" s="402"/>
      <x:c r="F39" s="402"/>
      <x:c r="G39" s="402"/>
      <x:c r="H39" s="402"/>
      <x:c r="I39" s="402"/>
      <x:c r="J39" s="402"/>
      <x:c r="K39" s="402"/>
      <x:c r="L39" s="402"/>
      <x:c r="M39" s="402"/>
      <x:c r="N39" s="402"/>
      <x:c r="O39" s="402"/>
      <x:c r="P39" s="402"/>
      <x:c r="Q39" s="402"/>
      <x:c r="R39" s="402"/>
      <x:c r="S39" s="402"/>
      <x:c r="T39" s="402"/>
      <x:c r="U39" s="402"/>
      <x:c r="V39" s="402"/>
      <x:c r="W39" s="402"/>
      <x:c r="X39" s="402"/>
      <x:c r="Y39" s="402"/>
      <x:c r="Z39" s="402"/>
    </x:row>
    <x:row r="40">
      <x:c r="A40" s="402"/>
      <x:c r="B40" s="402"/>
      <x:c r="C40" s="402"/>
      <x:c r="D40" s="402"/>
      <x:c r="E40" s="402"/>
      <x:c r="F40" s="402"/>
      <x:c r="G40" s="402"/>
      <x:c r="H40" s="402"/>
      <x:c r="I40" s="402"/>
      <x:c r="J40" s="402"/>
      <x:c r="K40" s="402"/>
      <x:c r="L40" s="402"/>
      <x:c r="M40" s="402"/>
      <x:c r="N40" s="402"/>
      <x:c r="O40" s="402"/>
      <x:c r="P40" s="402"/>
      <x:c r="Q40" s="402"/>
      <x:c r="R40" s="402"/>
      <x:c r="S40" s="402"/>
      <x:c r="T40" s="402"/>
      <x:c r="U40" s="402"/>
      <x:c r="V40" s="402"/>
      <x:c r="W40" s="402"/>
      <x:c r="X40" s="402"/>
      <x:c r="Y40" s="402"/>
      <x:c r="Z40" s="402"/>
    </x:row>
    <x:row r="41">
      <x:c r="A41" s="402"/>
      <x:c r="B41" s="402"/>
      <x:c r="C41" s="402"/>
      <x:c r="D41" s="402"/>
      <x:c r="E41" s="402"/>
      <x:c r="F41" s="402"/>
      <x:c r="G41" s="402"/>
      <x:c r="H41" s="402"/>
      <x:c r="I41" s="402"/>
      <x:c r="J41" s="402"/>
      <x:c r="K41" s="402"/>
      <x:c r="L41" s="402"/>
      <x:c r="M41" s="402"/>
      <x:c r="N41" s="402"/>
      <x:c r="O41" s="402"/>
      <x:c r="P41" s="402"/>
      <x:c r="Q41" s="402"/>
      <x:c r="R41" s="402"/>
      <x:c r="S41" s="402"/>
      <x:c r="T41" s="402"/>
      <x:c r="U41" s="402"/>
      <x:c r="V41" s="402"/>
      <x:c r="W41" s="402"/>
      <x:c r="X41" s="402"/>
      <x:c r="Y41" s="402"/>
      <x:c r="Z41" s="402"/>
    </x:row>
    <x:row r="42">
      <x:c r="A42" s="402"/>
      <x:c r="B42" s="402"/>
      <x:c r="C42" s="402"/>
      <x:c r="D42" s="402"/>
      <x:c r="E42" s="402"/>
      <x:c r="F42" s="402"/>
      <x:c r="G42" s="402"/>
      <x:c r="H42" s="402"/>
      <x:c r="I42" s="402"/>
      <x:c r="J42" s="402"/>
      <x:c r="K42" s="402"/>
      <x:c r="L42" s="402"/>
      <x:c r="M42" s="402"/>
      <x:c r="N42" s="402"/>
      <x:c r="O42" s="402"/>
      <x:c r="P42" s="402"/>
      <x:c r="Q42" s="402"/>
      <x:c r="R42" s="402"/>
      <x:c r="S42" s="402"/>
      <x:c r="T42" s="402"/>
      <x:c r="U42" s="402"/>
      <x:c r="V42" s="402"/>
      <x:c r="W42" s="402"/>
      <x:c r="X42" s="402"/>
      <x:c r="Y42" s="402"/>
      <x:c r="Z42" s="402"/>
    </x:row>
    <x:row r="43">
      <x:c r="A43" s="402"/>
      <x:c r="B43" s="402"/>
      <x:c r="C43" s="402"/>
      <x:c r="D43" s="402"/>
      <x:c r="E43" s="402"/>
      <x:c r="F43" s="402"/>
      <x:c r="G43" s="402"/>
      <x:c r="H43" s="402"/>
      <x:c r="I43" s="402"/>
      <x:c r="J43" s="402"/>
      <x:c r="K43" s="402"/>
      <x:c r="L43" s="402"/>
      <x:c r="M43" s="402"/>
      <x:c r="N43" s="402"/>
      <x:c r="O43" s="402"/>
      <x:c r="P43" s="402"/>
      <x:c r="Q43" s="402"/>
      <x:c r="R43" s="402"/>
      <x:c r="S43" s="402"/>
      <x:c r="T43" s="402"/>
      <x:c r="U43" s="402"/>
      <x:c r="V43" s="402"/>
      <x:c r="W43" s="402"/>
      <x:c r="X43" s="402"/>
      <x:c r="Y43" s="402"/>
      <x:c r="Z43" s="402"/>
    </x:row>
    <x:row r="44">
      <x:c r="A44" s="402"/>
      <x:c r="B44" s="402"/>
      <x:c r="C44" s="402"/>
      <x:c r="D44" s="402"/>
      <x:c r="E44" s="402"/>
      <x:c r="F44" s="402"/>
      <x:c r="G44" s="402"/>
      <x:c r="H44" s="402"/>
      <x:c r="I44" s="402"/>
      <x:c r="J44" s="402"/>
      <x:c r="K44" s="402"/>
      <x:c r="L44" s="402"/>
      <x:c r="M44" s="402"/>
      <x:c r="N44" s="402"/>
      <x:c r="O44" s="402"/>
      <x:c r="P44" s="402"/>
      <x:c r="Q44" s="402"/>
      <x:c r="R44" s="402"/>
      <x:c r="S44" s="402"/>
      <x:c r="T44" s="402"/>
      <x:c r="U44" s="402"/>
      <x:c r="V44" s="402"/>
      <x:c r="W44" s="402"/>
      <x:c r="X44" s="402"/>
      <x:c r="Y44" s="402"/>
      <x:c r="Z44" s="402"/>
    </x:row>
    <x:row r="45">
      <x:c r="A45" s="402"/>
      <x:c r="B45" s="402"/>
      <x:c r="C45" s="402"/>
      <x:c r="D45" s="402"/>
      <x:c r="E45" s="402"/>
      <x:c r="F45" s="402"/>
      <x:c r="G45" s="402"/>
      <x:c r="H45" s="402"/>
      <x:c r="I45" s="402"/>
      <x:c r="J45" s="402"/>
      <x:c r="K45" s="402"/>
      <x:c r="L45" s="402"/>
      <x:c r="M45" s="402"/>
      <x:c r="N45" s="402"/>
      <x:c r="O45" s="402"/>
      <x:c r="P45" s="402"/>
      <x:c r="Q45" s="402"/>
      <x:c r="R45" s="402"/>
      <x:c r="S45" s="402"/>
      <x:c r="T45" s="402"/>
      <x:c r="U45" s="402"/>
      <x:c r="V45" s="402"/>
      <x:c r="W45" s="402"/>
      <x:c r="X45" s="402"/>
      <x:c r="Y45" s="402"/>
      <x:c r="Z45" s="402"/>
    </x:row>
    <x:row r="46">
      <x:c r="A46" s="402"/>
      <x:c r="B46" s="402"/>
      <x:c r="C46" s="402"/>
      <x:c r="D46" s="402"/>
      <x:c r="E46" s="402"/>
      <x:c r="F46" s="402"/>
      <x:c r="G46" s="402"/>
      <x:c r="H46" s="402"/>
      <x:c r="I46" s="402"/>
      <x:c r="J46" s="402"/>
      <x:c r="K46" s="402"/>
      <x:c r="L46" s="402"/>
      <x:c r="M46" s="402"/>
      <x:c r="N46" s="402"/>
      <x:c r="O46" s="402"/>
      <x:c r="P46" s="402"/>
      <x:c r="Q46" s="402"/>
      <x:c r="R46" s="402"/>
      <x:c r="S46" s="402"/>
      <x:c r="T46" s="402"/>
      <x:c r="U46" s="402"/>
      <x:c r="V46" s="402"/>
      <x:c r="W46" s="402"/>
      <x:c r="X46" s="402"/>
      <x:c r="Y46" s="402"/>
      <x:c r="Z46" s="402"/>
    </x:row>
    <x:row r="47">
      <x:c r="A47" s="402"/>
      <x:c r="B47" s="402"/>
      <x:c r="C47" s="402"/>
      <x:c r="D47" s="402"/>
      <x:c r="E47" s="402"/>
      <x:c r="F47" s="402"/>
      <x:c r="G47" s="402"/>
      <x:c r="H47" s="402"/>
      <x:c r="I47" s="402"/>
      <x:c r="J47" s="402"/>
      <x:c r="K47" s="402"/>
      <x:c r="L47" s="402"/>
      <x:c r="M47" s="402"/>
      <x:c r="N47" s="402"/>
      <x:c r="O47" s="402"/>
      <x:c r="P47" s="402"/>
      <x:c r="Q47" s="402"/>
      <x:c r="R47" s="402"/>
      <x:c r="S47" s="402"/>
      <x:c r="T47" s="402"/>
      <x:c r="U47" s="402"/>
      <x:c r="V47" s="402"/>
      <x:c r="W47" s="402"/>
      <x:c r="X47" s="402"/>
      <x:c r="Y47" s="402"/>
      <x:c r="Z47" s="402"/>
    </x:row>
    <x:row r="48">
      <x:c r="A48" s="402"/>
      <x:c r="B48" s="402"/>
      <x:c r="C48" s="402"/>
      <x:c r="D48" s="402"/>
      <x:c r="E48" s="402"/>
      <x:c r="F48" s="402"/>
      <x:c r="G48" s="402"/>
      <x:c r="H48" s="402"/>
      <x:c r="I48" s="402"/>
      <x:c r="J48" s="402"/>
      <x:c r="K48" s="402"/>
      <x:c r="L48" s="402"/>
      <x:c r="M48" s="402"/>
      <x:c r="N48" s="402"/>
      <x:c r="O48" s="402"/>
      <x:c r="P48" s="402"/>
      <x:c r="Q48" s="402"/>
      <x:c r="R48" s="402"/>
      <x:c r="S48" s="402"/>
      <x:c r="T48" s="402"/>
      <x:c r="U48" s="402"/>
      <x:c r="V48" s="402"/>
      <x:c r="W48" s="402"/>
      <x:c r="X48" s="402"/>
      <x:c r="Y48" s="402"/>
      <x:c r="Z48" s="402"/>
    </x:row>
    <x:row r="49">
      <x:c r="A49" s="402"/>
      <x:c r="B49" s="402"/>
      <x:c r="C49" s="402"/>
      <x:c r="D49" s="402"/>
      <x:c r="E49" s="402"/>
      <x:c r="F49" s="402"/>
      <x:c r="G49" s="402"/>
      <x:c r="H49" s="402"/>
      <x:c r="I49" s="402"/>
      <x:c r="J49" s="402"/>
      <x:c r="K49" s="402"/>
      <x:c r="L49" s="402"/>
      <x:c r="M49" s="402"/>
      <x:c r="N49" s="402"/>
      <x:c r="O49" s="402"/>
      <x:c r="P49" s="402"/>
      <x:c r="Q49" s="402"/>
      <x:c r="R49" s="402"/>
      <x:c r="S49" s="402"/>
      <x:c r="T49" s="402"/>
      <x:c r="U49" s="402"/>
      <x:c r="V49" s="402"/>
      <x:c r="W49" s="402"/>
      <x:c r="X49" s="402"/>
      <x:c r="Y49" s="402"/>
      <x:c r="Z49" s="402"/>
    </x:row>
    <x:row r="50">
      <x:c r="A50" s="402"/>
      <x:c r="B50" s="402"/>
      <x:c r="C50" s="402"/>
      <x:c r="D50" s="402"/>
      <x:c r="E50" s="402"/>
      <x:c r="F50" s="402"/>
      <x:c r="G50" s="402"/>
      <x:c r="H50" s="402"/>
      <x:c r="I50" s="402"/>
      <x:c r="J50" s="402"/>
      <x:c r="K50" s="402"/>
      <x:c r="L50" s="402"/>
      <x:c r="M50" s="402"/>
      <x:c r="N50" s="402"/>
      <x:c r="O50" s="402"/>
      <x:c r="P50" s="402"/>
      <x:c r="Q50" s="402"/>
      <x:c r="R50" s="402"/>
      <x:c r="S50" s="402"/>
      <x:c r="T50" s="402"/>
      <x:c r="U50" s="402"/>
      <x:c r="V50" s="402"/>
      <x:c r="W50" s="402"/>
      <x:c r="X50" s="402"/>
      <x:c r="Y50" s="402"/>
      <x:c r="Z50" s="402"/>
    </x:row>
    <x:row r="51">
      <x:c r="A51" s="402"/>
      <x:c r="B51" s="402"/>
      <x:c r="C51" s="402"/>
      <x:c r="D51" s="402"/>
      <x:c r="E51" s="402"/>
      <x:c r="F51" s="402"/>
      <x:c r="G51" s="402"/>
      <x:c r="H51" s="402"/>
      <x:c r="I51" s="402"/>
      <x:c r="J51" s="402"/>
      <x:c r="K51" s="402"/>
      <x:c r="L51" s="402"/>
      <x:c r="M51" s="402"/>
      <x:c r="N51" s="402"/>
      <x:c r="O51" s="402"/>
      <x:c r="P51" s="402"/>
      <x:c r="Q51" s="402"/>
      <x:c r="R51" s="402"/>
      <x:c r="S51" s="402"/>
      <x:c r="T51" s="402"/>
      <x:c r="U51" s="402"/>
      <x:c r="V51" s="402"/>
      <x:c r="W51" s="402"/>
      <x:c r="X51" s="402"/>
      <x:c r="Y51" s="402"/>
      <x:c r="Z51" s="402"/>
    </x:row>
    <x:row r="52">
      <x:c r="A52" s="402"/>
      <x:c r="B52" s="402"/>
      <x:c r="C52" s="402"/>
      <x:c r="D52" s="402"/>
      <x:c r="E52" s="402"/>
      <x:c r="F52" s="402"/>
      <x:c r="G52" s="402"/>
      <x:c r="H52" s="402"/>
      <x:c r="I52" s="402"/>
      <x:c r="J52" s="402"/>
      <x:c r="K52" s="402"/>
      <x:c r="L52" s="402"/>
      <x:c r="M52" s="402"/>
      <x:c r="N52" s="402"/>
      <x:c r="O52" s="402"/>
      <x:c r="P52" s="402"/>
      <x:c r="Q52" s="402"/>
      <x:c r="R52" s="402"/>
      <x:c r="S52" s="402"/>
      <x:c r="T52" s="402"/>
      <x:c r="U52" s="402"/>
      <x:c r="V52" s="402"/>
      <x:c r="W52" s="402"/>
      <x:c r="X52" s="402"/>
      <x:c r="Y52" s="402"/>
      <x:c r="Z52" s="402"/>
    </x:row>
    <x:row r="53">
      <x:c r="A53" s="402"/>
      <x:c r="B53" s="402"/>
      <x:c r="C53" s="402"/>
      <x:c r="D53" s="402"/>
      <x:c r="E53" s="402"/>
      <x:c r="F53" s="402"/>
      <x:c r="G53" s="402"/>
      <x:c r="H53" s="402"/>
      <x:c r="I53" s="402"/>
      <x:c r="J53" s="402"/>
      <x:c r="K53" s="402"/>
      <x:c r="L53" s="402"/>
      <x:c r="M53" s="402"/>
      <x:c r="N53" s="402"/>
      <x:c r="O53" s="402"/>
      <x:c r="P53" s="402"/>
      <x:c r="Q53" s="402"/>
      <x:c r="R53" s="402"/>
      <x:c r="S53" s="402"/>
      <x:c r="T53" s="402"/>
      <x:c r="U53" s="402"/>
      <x:c r="V53" s="402"/>
      <x:c r="W53" s="402"/>
      <x:c r="X53" s="402"/>
      <x:c r="Y53" s="402"/>
      <x:c r="Z53" s="402"/>
    </x:row>
    <x:row r="54">
      <x:c r="A54" s="402"/>
      <x:c r="B54" s="402"/>
      <x:c r="C54" s="402"/>
      <x:c r="D54" s="402"/>
      <x:c r="E54" s="402"/>
      <x:c r="F54" s="402"/>
      <x:c r="G54" s="402"/>
      <x:c r="H54" s="402"/>
      <x:c r="I54" s="402"/>
      <x:c r="J54" s="402"/>
      <x:c r="K54" s="402"/>
      <x:c r="L54" s="402"/>
      <x:c r="M54" s="402"/>
      <x:c r="N54" s="402"/>
      <x:c r="O54" s="402"/>
      <x:c r="P54" s="402"/>
      <x:c r="Q54" s="402"/>
      <x:c r="R54" s="402"/>
      <x:c r="S54" s="402"/>
      <x:c r="T54" s="402"/>
      <x:c r="U54" s="402"/>
      <x:c r="V54" s="402"/>
      <x:c r="W54" s="402"/>
      <x:c r="X54" s="402"/>
      <x:c r="Y54" s="402"/>
      <x:c r="Z54" s="402"/>
    </x:row>
    <x:row r="55">
      <x:c r="A55" s="402"/>
      <x:c r="B55" s="402"/>
      <x:c r="C55" s="402"/>
      <x:c r="D55" s="402"/>
      <x:c r="E55" s="402"/>
      <x:c r="F55" s="402"/>
      <x:c r="G55" s="402"/>
      <x:c r="H55" s="402"/>
      <x:c r="I55" s="402"/>
      <x:c r="J55" s="402"/>
      <x:c r="K55" s="402"/>
      <x:c r="L55" s="402"/>
      <x:c r="M55" s="402"/>
      <x:c r="N55" s="402"/>
      <x:c r="O55" s="402"/>
      <x:c r="P55" s="402"/>
      <x:c r="Q55" s="402"/>
      <x:c r="R55" s="402"/>
      <x:c r="S55" s="402"/>
      <x:c r="T55" s="402"/>
      <x:c r="U55" s="402"/>
      <x:c r="V55" s="402"/>
      <x:c r="W55" s="402"/>
      <x:c r="X55" s="402"/>
      <x:c r="Y55" s="402"/>
      <x:c r="Z55" s="402"/>
    </x:row>
    <x:row r="56">
      <x:c r="A56" s="402"/>
      <x:c r="B56" s="402"/>
      <x:c r="C56" s="402"/>
      <x:c r="D56" s="402"/>
      <x:c r="E56" s="402"/>
      <x:c r="F56" s="402"/>
      <x:c r="G56" s="402"/>
      <x:c r="H56" s="402"/>
      <x:c r="I56" s="402"/>
      <x:c r="J56" s="402"/>
      <x:c r="K56" s="402"/>
      <x:c r="L56" s="402"/>
      <x:c r="M56" s="402"/>
      <x:c r="N56" s="402"/>
      <x:c r="O56" s="402"/>
      <x:c r="P56" s="402"/>
      <x:c r="Q56" s="402"/>
      <x:c r="R56" s="402"/>
      <x:c r="S56" s="402"/>
      <x:c r="T56" s="402"/>
      <x:c r="U56" s="402"/>
      <x:c r="V56" s="402"/>
      <x:c r="W56" s="402"/>
      <x:c r="X56" s="402"/>
      <x:c r="Y56" s="402"/>
      <x:c r="Z56" s="402"/>
    </x:row>
    <x:row r="57">
      <x:c r="A57" s="402"/>
      <x:c r="B57" s="402"/>
      <x:c r="C57" s="402"/>
      <x:c r="D57" s="402"/>
      <x:c r="E57" s="402"/>
      <x:c r="F57" s="402"/>
      <x:c r="G57" s="402"/>
      <x:c r="H57" s="402"/>
      <x:c r="I57" s="402"/>
      <x:c r="J57" s="402"/>
      <x:c r="K57" s="402"/>
      <x:c r="L57" s="402"/>
      <x:c r="M57" s="402"/>
      <x:c r="N57" s="402"/>
      <x:c r="O57" s="402"/>
      <x:c r="P57" s="402"/>
      <x:c r="Q57" s="402"/>
      <x:c r="R57" s="402"/>
      <x:c r="S57" s="402"/>
      <x:c r="T57" s="402"/>
      <x:c r="U57" s="402"/>
      <x:c r="V57" s="402"/>
      <x:c r="W57" s="402"/>
      <x:c r="X57" s="402"/>
      <x:c r="Y57" s="402"/>
      <x:c r="Z57" s="402"/>
    </x:row>
    <x:row r="58">
      <x:c r="A58" s="402"/>
      <x:c r="B58" s="402"/>
      <x:c r="C58" s="402"/>
      <x:c r="D58" s="402"/>
      <x:c r="E58" s="402"/>
      <x:c r="F58" s="402"/>
      <x:c r="G58" s="402"/>
      <x:c r="H58" s="402"/>
      <x:c r="I58" s="402"/>
      <x:c r="J58" s="402"/>
      <x:c r="K58" s="402"/>
      <x:c r="L58" s="402"/>
      <x:c r="M58" s="402"/>
      <x:c r="N58" s="402"/>
      <x:c r="O58" s="402"/>
      <x:c r="P58" s="402"/>
      <x:c r="Q58" s="402"/>
      <x:c r="R58" s="402"/>
      <x:c r="S58" s="402"/>
      <x:c r="T58" s="402"/>
      <x:c r="U58" s="402"/>
      <x:c r="V58" s="402"/>
      <x:c r="W58" s="402"/>
      <x:c r="X58" s="402"/>
      <x:c r="Y58" s="402"/>
      <x:c r="Z58" s="402"/>
    </x:row>
    <x:row r="59">
      <x:c r="A59" s="402"/>
      <x:c r="B59" s="402"/>
      <x:c r="C59" s="402"/>
      <x:c r="D59" s="402"/>
      <x:c r="E59" s="402"/>
      <x:c r="F59" s="402"/>
      <x:c r="G59" s="402"/>
      <x:c r="H59" s="402"/>
      <x:c r="I59" s="402"/>
      <x:c r="J59" s="402"/>
      <x:c r="K59" s="402"/>
      <x:c r="L59" s="402"/>
      <x:c r="M59" s="402"/>
      <x:c r="N59" s="402"/>
      <x:c r="O59" s="402"/>
      <x:c r="P59" s="402"/>
      <x:c r="Q59" s="402"/>
      <x:c r="R59" s="402"/>
      <x:c r="S59" s="402"/>
      <x:c r="T59" s="402"/>
      <x:c r="U59" s="402"/>
      <x:c r="V59" s="402"/>
      <x:c r="W59" s="402"/>
      <x:c r="X59" s="402"/>
      <x:c r="Y59" s="402"/>
      <x:c r="Z59" s="402"/>
    </x:row>
    <x:row r="60">
      <x:c r="A60" s="402"/>
      <x:c r="B60" s="402"/>
      <x:c r="C60" s="402"/>
      <x:c r="D60" s="402"/>
      <x:c r="E60" s="402"/>
      <x:c r="F60" s="402"/>
      <x:c r="G60" s="402"/>
      <x:c r="H60" s="402"/>
      <x:c r="I60" s="402"/>
      <x:c r="J60" s="402"/>
      <x:c r="K60" s="402"/>
      <x:c r="L60" s="402"/>
      <x:c r="M60" s="402"/>
      <x:c r="N60" s="402"/>
      <x:c r="O60" s="402"/>
      <x:c r="P60" s="402"/>
      <x:c r="Q60" s="402"/>
      <x:c r="R60" s="402"/>
      <x:c r="S60" s="402"/>
      <x:c r="T60" s="402"/>
      <x:c r="U60" s="402"/>
      <x:c r="V60" s="402"/>
      <x:c r="W60" s="402"/>
      <x:c r="X60" s="402"/>
      <x:c r="Y60" s="402"/>
      <x:c r="Z60" s="402"/>
    </x:row>
    <x:row r="61">
      <x:c r="A61" s="402"/>
      <x:c r="B61" s="402"/>
      <x:c r="C61" s="402"/>
      <x:c r="D61" s="402"/>
      <x:c r="E61" s="402"/>
      <x:c r="F61" s="402"/>
      <x:c r="G61" s="402"/>
      <x:c r="H61" s="402"/>
      <x:c r="I61" s="402"/>
      <x:c r="J61" s="402"/>
      <x:c r="K61" s="402"/>
      <x:c r="L61" s="402"/>
      <x:c r="M61" s="402"/>
      <x:c r="N61" s="402"/>
      <x:c r="O61" s="402"/>
      <x:c r="P61" s="402"/>
      <x:c r="Q61" s="402"/>
      <x:c r="R61" s="402"/>
      <x:c r="S61" s="402"/>
      <x:c r="T61" s="402"/>
      <x:c r="U61" s="402"/>
      <x:c r="V61" s="402"/>
      <x:c r="W61" s="402"/>
      <x:c r="X61" s="402"/>
      <x:c r="Y61" s="402"/>
      <x:c r="Z61" s="402"/>
    </x:row>
    <x:row r="62">
      <x:c r="A62" s="402"/>
      <x:c r="B62" s="402"/>
      <x:c r="C62" s="402"/>
      <x:c r="D62" s="402"/>
      <x:c r="E62" s="402"/>
      <x:c r="F62" s="402"/>
      <x:c r="G62" s="402"/>
      <x:c r="H62" s="402"/>
      <x:c r="I62" s="402"/>
      <x:c r="J62" s="402"/>
      <x:c r="K62" s="402"/>
      <x:c r="L62" s="402"/>
      <x:c r="M62" s="402"/>
      <x:c r="N62" s="402"/>
      <x:c r="O62" s="402"/>
      <x:c r="P62" s="402"/>
      <x:c r="Q62" s="402"/>
      <x:c r="R62" s="402"/>
      <x:c r="S62" s="402"/>
      <x:c r="T62" s="402"/>
      <x:c r="U62" s="402"/>
      <x:c r="V62" s="402"/>
      <x:c r="W62" s="402"/>
      <x:c r="X62" s="402"/>
      <x:c r="Y62" s="402"/>
      <x:c r="Z62" s="402"/>
    </x:row>
    <x:row r="63">
      <x:c r="A63" s="402"/>
      <x:c r="B63" s="402"/>
      <x:c r="C63" s="402"/>
      <x:c r="D63" s="402"/>
      <x:c r="E63" s="402"/>
      <x:c r="F63" s="402"/>
      <x:c r="G63" s="402"/>
      <x:c r="H63" s="402"/>
      <x:c r="I63" s="402"/>
      <x:c r="J63" s="402"/>
      <x:c r="K63" s="402"/>
      <x:c r="L63" s="402"/>
      <x:c r="M63" s="402"/>
      <x:c r="N63" s="402"/>
      <x:c r="O63" s="402"/>
      <x:c r="P63" s="402"/>
      <x:c r="Q63" s="402"/>
      <x:c r="R63" s="402"/>
      <x:c r="S63" s="402"/>
      <x:c r="T63" s="402"/>
      <x:c r="U63" s="402"/>
      <x:c r="V63" s="402"/>
      <x:c r="W63" s="402"/>
      <x:c r="X63" s="402"/>
      <x:c r="Y63" s="402"/>
      <x:c r="Z63" s="402"/>
    </x:row>
    <x:row r="64">
      <x:c r="A64" s="402"/>
      <x:c r="B64" s="402"/>
      <x:c r="C64" s="402"/>
      <x:c r="D64" s="402"/>
      <x:c r="E64" s="402"/>
      <x:c r="F64" s="402"/>
      <x:c r="G64" s="402"/>
      <x:c r="H64" s="402"/>
      <x:c r="I64" s="402"/>
      <x:c r="J64" s="402"/>
      <x:c r="K64" s="402"/>
      <x:c r="L64" s="402"/>
      <x:c r="M64" s="402"/>
      <x:c r="N64" s="402"/>
      <x:c r="O64" s="402"/>
      <x:c r="P64" s="402"/>
      <x:c r="Q64" s="402"/>
      <x:c r="R64" s="402"/>
      <x:c r="S64" s="402"/>
      <x:c r="T64" s="402"/>
      <x:c r="U64" s="402"/>
      <x:c r="V64" s="402"/>
      <x:c r="W64" s="402"/>
      <x:c r="X64" s="402"/>
      <x:c r="Y64" s="402"/>
      <x:c r="Z64" s="402"/>
    </x:row>
    <x:row r="65">
      <x:c r="A65" s="402"/>
      <x:c r="B65" s="402"/>
      <x:c r="C65" s="402"/>
      <x:c r="D65" s="402"/>
      <x:c r="E65" s="402"/>
      <x:c r="F65" s="402"/>
      <x:c r="G65" s="402"/>
      <x:c r="H65" s="402"/>
      <x:c r="I65" s="402"/>
      <x:c r="J65" s="402"/>
      <x:c r="K65" s="402"/>
      <x:c r="L65" s="402"/>
      <x:c r="M65" s="402"/>
      <x:c r="N65" s="402"/>
      <x:c r="O65" s="402"/>
      <x:c r="P65" s="402"/>
      <x:c r="Q65" s="402"/>
      <x:c r="R65" s="402"/>
      <x:c r="S65" s="402"/>
      <x:c r="T65" s="402"/>
      <x:c r="U65" s="402"/>
      <x:c r="V65" s="402"/>
      <x:c r="W65" s="402"/>
      <x:c r="X65" s="402"/>
      <x:c r="Y65" s="402"/>
      <x:c r="Z65" s="402"/>
    </x:row>
    <x:row r="66">
      <x:c r="A66" s="402"/>
      <x:c r="B66" s="402"/>
      <x:c r="C66" s="402"/>
      <x:c r="D66" s="402"/>
      <x:c r="E66" s="402"/>
      <x:c r="F66" s="402"/>
      <x:c r="G66" s="402"/>
      <x:c r="H66" s="402"/>
      <x:c r="I66" s="402"/>
      <x:c r="J66" s="402"/>
      <x:c r="K66" s="402"/>
      <x:c r="L66" s="402"/>
      <x:c r="M66" s="402"/>
      <x:c r="N66" s="402"/>
      <x:c r="O66" s="402"/>
      <x:c r="P66" s="402"/>
      <x:c r="Q66" s="402"/>
      <x:c r="R66" s="402"/>
      <x:c r="S66" s="402"/>
      <x:c r="T66" s="402"/>
      <x:c r="U66" s="402"/>
      <x:c r="V66" s="402"/>
      <x:c r="W66" s="402"/>
      <x:c r="X66" s="402"/>
      <x:c r="Y66" s="402"/>
      <x:c r="Z66" s="402"/>
    </x:row>
    <x:row r="67">
      <x:c r="A67" s="402"/>
      <x:c r="B67" s="402"/>
      <x:c r="C67" s="402"/>
      <x:c r="D67" s="402"/>
      <x:c r="E67" s="402"/>
      <x:c r="F67" s="402"/>
      <x:c r="G67" s="402"/>
      <x:c r="H67" s="402"/>
      <x:c r="I67" s="402"/>
      <x:c r="J67" s="402"/>
      <x:c r="K67" s="402"/>
      <x:c r="L67" s="402"/>
      <x:c r="M67" s="402"/>
      <x:c r="N67" s="402"/>
      <x:c r="O67" s="402"/>
      <x:c r="P67" s="402"/>
      <x:c r="Q67" s="402"/>
      <x:c r="R67" s="402"/>
      <x:c r="S67" s="402"/>
      <x:c r="T67" s="402"/>
      <x:c r="U67" s="402"/>
      <x:c r="V67" s="402"/>
      <x:c r="W67" s="402"/>
      <x:c r="X67" s="402"/>
      <x:c r="Y67" s="402"/>
      <x:c r="Z67" s="402"/>
    </x:row>
    <x:row r="68">
      <x:c r="A68" s="402"/>
      <x:c r="B68" s="402"/>
      <x:c r="C68" s="402"/>
      <x:c r="D68" s="402"/>
      <x:c r="E68" s="402"/>
      <x:c r="F68" s="402"/>
      <x:c r="G68" s="402"/>
      <x:c r="H68" s="402"/>
      <x:c r="I68" s="402"/>
      <x:c r="J68" s="402"/>
      <x:c r="K68" s="402"/>
      <x:c r="L68" s="402"/>
      <x:c r="M68" s="402"/>
      <x:c r="N68" s="402"/>
      <x:c r="O68" s="402"/>
      <x:c r="P68" s="402"/>
      <x:c r="Q68" s="402"/>
      <x:c r="R68" s="402"/>
      <x:c r="S68" s="402"/>
      <x:c r="T68" s="402"/>
      <x:c r="U68" s="402"/>
      <x:c r="V68" s="402"/>
      <x:c r="W68" s="402"/>
      <x:c r="X68" s="402"/>
      <x:c r="Y68" s="402"/>
      <x:c r="Z68" s="402"/>
    </x:row>
    <x:row r="69">
      <x:c r="A69" s="402"/>
      <x:c r="B69" s="402"/>
      <x:c r="C69" s="402"/>
      <x:c r="D69" s="402"/>
      <x:c r="E69" s="402"/>
      <x:c r="F69" s="402"/>
      <x:c r="G69" s="402"/>
      <x:c r="H69" s="402"/>
      <x:c r="I69" s="402"/>
      <x:c r="J69" s="402"/>
      <x:c r="K69" s="402"/>
      <x:c r="L69" s="402"/>
      <x:c r="M69" s="402"/>
      <x:c r="N69" s="402"/>
      <x:c r="O69" s="402"/>
      <x:c r="P69" s="402"/>
      <x:c r="Q69" s="402"/>
      <x:c r="R69" s="402"/>
      <x:c r="S69" s="402"/>
      <x:c r="T69" s="402"/>
      <x:c r="U69" s="402"/>
      <x:c r="V69" s="402"/>
      <x:c r="W69" s="402"/>
      <x:c r="X69" s="402"/>
      <x:c r="Y69" s="402"/>
      <x:c r="Z69" s="402"/>
    </x:row>
    <x:row r="70">
      <x:c r="A70" s="402"/>
      <x:c r="B70" s="402"/>
      <x:c r="C70" s="402"/>
      <x:c r="D70" s="402"/>
      <x:c r="E70" s="402"/>
      <x:c r="F70" s="402"/>
      <x:c r="G70" s="402"/>
      <x:c r="H70" s="402"/>
      <x:c r="I70" s="402"/>
      <x:c r="J70" s="402"/>
      <x:c r="K70" s="402"/>
      <x:c r="L70" s="402"/>
      <x:c r="M70" s="402"/>
      <x:c r="N70" s="402"/>
      <x:c r="O70" s="402"/>
      <x:c r="P70" s="402"/>
      <x:c r="Q70" s="402"/>
      <x:c r="R70" s="402"/>
      <x:c r="S70" s="402"/>
      <x:c r="T70" s="402"/>
      <x:c r="U70" s="402"/>
      <x:c r="V70" s="402"/>
      <x:c r="W70" s="402"/>
      <x:c r="X70" s="402"/>
      <x:c r="Y70" s="402"/>
      <x:c r="Z70" s="402"/>
    </x:row>
    <x:row r="71">
      <x:c r="A71" s="402"/>
      <x:c r="B71" s="402"/>
      <x:c r="C71" s="402"/>
      <x:c r="D71" s="402"/>
      <x:c r="E71" s="402"/>
      <x:c r="F71" s="402"/>
      <x:c r="G71" s="402"/>
      <x:c r="H71" s="402"/>
      <x:c r="I71" s="402"/>
      <x:c r="J71" s="402"/>
      <x:c r="K71" s="402"/>
      <x:c r="L71" s="402"/>
      <x:c r="M71" s="402"/>
      <x:c r="N71" s="402"/>
      <x:c r="O71" s="402"/>
      <x:c r="P71" s="402"/>
      <x:c r="Q71" s="402"/>
      <x:c r="R71" s="402"/>
      <x:c r="S71" s="402"/>
      <x:c r="T71" s="402"/>
      <x:c r="U71" s="402"/>
      <x:c r="V71" s="402"/>
      <x:c r="W71" s="402"/>
      <x:c r="X71" s="402"/>
      <x:c r="Y71" s="402"/>
      <x:c r="Z71" s="402"/>
    </x:row>
    <x:row r="72">
      <x:c r="A72" s="402"/>
      <x:c r="B72" s="402"/>
      <x:c r="C72" s="402"/>
      <x:c r="D72" s="402"/>
      <x:c r="E72" s="402"/>
      <x:c r="F72" s="402"/>
      <x:c r="G72" s="402"/>
      <x:c r="H72" s="402"/>
      <x:c r="I72" s="402"/>
      <x:c r="J72" s="402"/>
      <x:c r="K72" s="402"/>
      <x:c r="L72" s="402"/>
      <x:c r="M72" s="402"/>
      <x:c r="N72" s="402"/>
      <x:c r="O72" s="402"/>
      <x:c r="P72" s="402"/>
      <x:c r="Q72" s="402"/>
      <x:c r="R72" s="402"/>
      <x:c r="S72" s="402"/>
      <x:c r="T72" s="402"/>
      <x:c r="U72" s="402"/>
      <x:c r="V72" s="402"/>
      <x:c r="W72" s="402"/>
      <x:c r="X72" s="402"/>
      <x:c r="Y72" s="402"/>
      <x:c r="Z72" s="402"/>
    </x:row>
    <x:row r="73">
      <x:c r="A73" s="402"/>
      <x:c r="B73" s="402"/>
      <x:c r="C73" s="402"/>
      <x:c r="D73" s="402"/>
      <x:c r="E73" s="402"/>
      <x:c r="F73" s="402"/>
      <x:c r="G73" s="402"/>
      <x:c r="H73" s="402"/>
      <x:c r="I73" s="402"/>
      <x:c r="J73" s="402"/>
      <x:c r="K73" s="402"/>
      <x:c r="L73" s="402"/>
      <x:c r="M73" s="402"/>
      <x:c r="N73" s="402"/>
      <x:c r="O73" s="402"/>
      <x:c r="P73" s="402"/>
      <x:c r="Q73" s="402"/>
      <x:c r="R73" s="402"/>
      <x:c r="S73" s="402"/>
      <x:c r="T73" s="402"/>
      <x:c r="U73" s="402"/>
      <x:c r="V73" s="402"/>
      <x:c r="W73" s="402"/>
      <x:c r="X73" s="402"/>
      <x:c r="Y73" s="402"/>
      <x:c r="Z73" s="402"/>
    </x:row>
    <x:row r="74">
      <x:c r="A74" s="402"/>
      <x:c r="B74" s="402"/>
      <x:c r="C74" s="402"/>
      <x:c r="D74" s="402"/>
      <x:c r="E74" s="402"/>
      <x:c r="F74" s="402"/>
      <x:c r="G74" s="402"/>
      <x:c r="H74" s="402"/>
      <x:c r="I74" s="402"/>
      <x:c r="J74" s="402"/>
      <x:c r="K74" s="402"/>
      <x:c r="L74" s="402"/>
      <x:c r="M74" s="402"/>
      <x:c r="N74" s="402"/>
      <x:c r="O74" s="402"/>
      <x:c r="P74" s="402"/>
      <x:c r="Q74" s="402"/>
      <x:c r="R74" s="402"/>
      <x:c r="S74" s="402"/>
      <x:c r="T74" s="402"/>
      <x:c r="U74" s="402"/>
      <x:c r="V74" s="402"/>
      <x:c r="W74" s="402"/>
      <x:c r="X74" s="402"/>
      <x:c r="Y74" s="402"/>
      <x:c r="Z74" s="402"/>
    </x:row>
    <x:row r="75">
      <x:c r="A75" s="402"/>
      <x:c r="B75" s="402"/>
      <x:c r="C75" s="402"/>
      <x:c r="D75" s="402"/>
      <x:c r="E75" s="402"/>
      <x:c r="F75" s="402"/>
      <x:c r="G75" s="402"/>
      <x:c r="H75" s="402"/>
      <x:c r="I75" s="402"/>
      <x:c r="J75" s="402"/>
      <x:c r="K75" s="402"/>
      <x:c r="L75" s="402"/>
      <x:c r="M75" s="402"/>
      <x:c r="N75" s="402"/>
      <x:c r="O75" s="402"/>
      <x:c r="P75" s="402"/>
      <x:c r="Q75" s="402"/>
      <x:c r="R75" s="402"/>
      <x:c r="S75" s="402"/>
      <x:c r="T75" s="402"/>
      <x:c r="U75" s="402"/>
      <x:c r="V75" s="402"/>
      <x:c r="W75" s="402"/>
      <x:c r="X75" s="402"/>
      <x:c r="Y75" s="402"/>
      <x:c r="Z75" s="402"/>
    </x:row>
    <x:row r="76">
      <x:c r="A76" s="402"/>
      <x:c r="B76" s="402"/>
      <x:c r="C76" s="402"/>
      <x:c r="D76" s="402"/>
      <x:c r="E76" s="402"/>
      <x:c r="F76" s="402"/>
      <x:c r="G76" s="402"/>
      <x:c r="H76" s="402"/>
      <x:c r="I76" s="402"/>
      <x:c r="J76" s="402"/>
      <x:c r="K76" s="402"/>
      <x:c r="L76" s="402"/>
      <x:c r="M76" s="402"/>
      <x:c r="N76" s="402"/>
      <x:c r="O76" s="402"/>
      <x:c r="P76" s="402"/>
      <x:c r="Q76" s="402"/>
      <x:c r="R76" s="402"/>
      <x:c r="S76" s="402"/>
      <x:c r="T76" s="402"/>
      <x:c r="U76" s="402"/>
      <x:c r="V76" s="402"/>
      <x:c r="W76" s="402"/>
      <x:c r="X76" s="402"/>
      <x:c r="Y76" s="402"/>
      <x:c r="Z76" s="402"/>
    </x:row>
    <x:row r="77">
      <x:c r="A77" s="402"/>
      <x:c r="B77" s="402"/>
      <x:c r="C77" s="402"/>
      <x:c r="D77" s="402"/>
      <x:c r="E77" s="402"/>
      <x:c r="F77" s="402"/>
      <x:c r="G77" s="402"/>
      <x:c r="H77" s="402"/>
      <x:c r="I77" s="402"/>
      <x:c r="J77" s="402"/>
      <x:c r="K77" s="402"/>
      <x:c r="L77" s="402"/>
      <x:c r="M77" s="402"/>
      <x:c r="N77" s="402"/>
      <x:c r="O77" s="402"/>
      <x:c r="P77" s="402"/>
      <x:c r="Q77" s="402"/>
      <x:c r="R77" s="402"/>
      <x:c r="S77" s="402"/>
      <x:c r="T77" s="402"/>
      <x:c r="U77" s="402"/>
      <x:c r="V77" s="402"/>
      <x:c r="W77" s="402"/>
      <x:c r="X77" s="402"/>
      <x:c r="Y77" s="402"/>
      <x:c r="Z77" s="402"/>
    </x:row>
    <x:row r="78">
      <x:c r="A78" s="402"/>
      <x:c r="B78" s="402"/>
      <x:c r="C78" s="402"/>
      <x:c r="D78" s="402"/>
      <x:c r="E78" s="402"/>
      <x:c r="F78" s="402"/>
      <x:c r="G78" s="402"/>
      <x:c r="H78" s="402"/>
      <x:c r="I78" s="402"/>
      <x:c r="J78" s="402"/>
      <x:c r="K78" s="402"/>
      <x:c r="L78" s="402"/>
      <x:c r="M78" s="402"/>
      <x:c r="N78" s="402"/>
      <x:c r="O78" s="402"/>
      <x:c r="P78" s="402"/>
      <x:c r="Q78" s="402"/>
      <x:c r="R78" s="402"/>
      <x:c r="S78" s="402"/>
      <x:c r="T78" s="402"/>
      <x:c r="U78" s="402"/>
      <x:c r="V78" s="402"/>
      <x:c r="W78" s="402"/>
      <x:c r="X78" s="402"/>
      <x:c r="Y78" s="402"/>
      <x:c r="Z78" s="402"/>
    </x:row>
    <x:row r="79">
      <x:c r="A79" s="402"/>
      <x:c r="B79" s="402"/>
      <x:c r="C79" s="402"/>
      <x:c r="D79" s="402"/>
      <x:c r="E79" s="402"/>
      <x:c r="F79" s="402"/>
      <x:c r="G79" s="402"/>
      <x:c r="H79" s="402"/>
      <x:c r="I79" s="402"/>
      <x:c r="J79" s="402"/>
      <x:c r="K79" s="402"/>
      <x:c r="L79" s="402"/>
      <x:c r="M79" s="402"/>
      <x:c r="N79" s="402"/>
      <x:c r="O79" s="402"/>
      <x:c r="P79" s="402"/>
      <x:c r="Q79" s="402"/>
      <x:c r="R79" s="402"/>
      <x:c r="S79" s="402"/>
      <x:c r="T79" s="402"/>
      <x:c r="U79" s="402"/>
      <x:c r="V79" s="402"/>
      <x:c r="W79" s="402"/>
      <x:c r="X79" s="402"/>
      <x:c r="Y79" s="402"/>
      <x:c r="Z79" s="402"/>
    </x:row>
    <x:row r="80">
      <x:c r="A80" s="402"/>
      <x:c r="B80" s="402"/>
      <x:c r="C80" s="402"/>
      <x:c r="D80" s="402"/>
      <x:c r="E80" s="402"/>
      <x:c r="F80" s="402"/>
      <x:c r="G80" s="402"/>
      <x:c r="H80" s="402"/>
      <x:c r="I80" s="402"/>
      <x:c r="J80" s="402"/>
      <x:c r="K80" s="402"/>
      <x:c r="L80" s="402"/>
      <x:c r="M80" s="402"/>
      <x:c r="N80" s="402"/>
      <x:c r="O80" s="402"/>
      <x:c r="P80" s="402"/>
      <x:c r="Q80" s="402"/>
      <x:c r="R80" s="402"/>
      <x:c r="S80" s="402"/>
      <x:c r="T80" s="402"/>
      <x:c r="U80" s="402"/>
      <x:c r="V80" s="402"/>
      <x:c r="W80" s="402"/>
      <x:c r="X80" s="402"/>
      <x:c r="Y80" s="402"/>
      <x:c r="Z80" s="402"/>
    </x:row>
    <x:row r="81">
      <x:c r="A81" s="402"/>
      <x:c r="B81" s="402"/>
      <x:c r="C81" s="402"/>
      <x:c r="D81" s="402"/>
      <x:c r="E81" s="402"/>
      <x:c r="F81" s="402"/>
      <x:c r="G81" s="402"/>
      <x:c r="H81" s="402"/>
      <x:c r="I81" s="402"/>
      <x:c r="J81" s="402"/>
      <x:c r="K81" s="402"/>
      <x:c r="L81" s="402"/>
      <x:c r="M81" s="402"/>
      <x:c r="N81" s="402"/>
      <x:c r="O81" s="402"/>
      <x:c r="P81" s="402"/>
      <x:c r="Q81" s="402"/>
      <x:c r="R81" s="402"/>
      <x:c r="S81" s="402"/>
      <x:c r="T81" s="402"/>
      <x:c r="U81" s="402"/>
      <x:c r="V81" s="402"/>
      <x:c r="W81" s="402"/>
      <x:c r="X81" s="402"/>
      <x:c r="Y81" s="402"/>
      <x:c r="Z81" s="402"/>
    </x:row>
    <x:row r="82">
      <x:c r="A82" s="402"/>
      <x:c r="B82" s="402"/>
      <x:c r="C82" s="402"/>
      <x:c r="D82" s="402"/>
      <x:c r="E82" s="402"/>
      <x:c r="F82" s="402"/>
      <x:c r="G82" s="402"/>
      <x:c r="H82" s="402"/>
      <x:c r="I82" s="402"/>
      <x:c r="J82" s="402"/>
      <x:c r="K82" s="402"/>
      <x:c r="L82" s="402"/>
      <x:c r="M82" s="402"/>
      <x:c r="N82" s="402"/>
      <x:c r="O82" s="402"/>
      <x:c r="P82" s="402"/>
      <x:c r="Q82" s="402"/>
      <x:c r="R82" s="402"/>
      <x:c r="S82" s="402"/>
      <x:c r="T82" s="402"/>
      <x:c r="U82" s="402"/>
      <x:c r="V82" s="402"/>
      <x:c r="W82" s="402"/>
      <x:c r="X82" s="402"/>
      <x:c r="Y82" s="402"/>
      <x:c r="Z82" s="402"/>
    </x:row>
    <x:row r="83">
      <x:c r="A83" s="402"/>
      <x:c r="B83" s="402"/>
      <x:c r="C83" s="402"/>
      <x:c r="D83" s="402"/>
      <x:c r="E83" s="402"/>
      <x:c r="F83" s="402"/>
      <x:c r="G83" s="402"/>
      <x:c r="H83" s="402"/>
      <x:c r="I83" s="402"/>
      <x:c r="J83" s="402"/>
      <x:c r="K83" s="402"/>
      <x:c r="L83" s="402"/>
      <x:c r="M83" s="402"/>
      <x:c r="N83" s="402"/>
      <x:c r="O83" s="402"/>
      <x:c r="P83" s="402"/>
      <x:c r="Q83" s="402"/>
      <x:c r="R83" s="402"/>
      <x:c r="S83" s="402"/>
      <x:c r="T83" s="402"/>
      <x:c r="U83" s="402"/>
      <x:c r="V83" s="402"/>
      <x:c r="W83" s="402"/>
      <x:c r="X83" s="402"/>
      <x:c r="Y83" s="402"/>
      <x:c r="Z83" s="402"/>
    </x:row>
    <x:row r="84">
      <x:c r="A84" s="402"/>
      <x:c r="B84" s="402"/>
      <x:c r="C84" s="402"/>
      <x:c r="D84" s="402"/>
      <x:c r="E84" s="402"/>
      <x:c r="F84" s="402"/>
      <x:c r="G84" s="402"/>
      <x:c r="H84" s="402"/>
      <x:c r="I84" s="402"/>
      <x:c r="J84" s="402"/>
      <x:c r="K84" s="402"/>
      <x:c r="L84" s="402"/>
      <x:c r="M84" s="402"/>
      <x:c r="N84" s="402"/>
      <x:c r="O84" s="402"/>
      <x:c r="P84" s="402"/>
      <x:c r="Q84" s="402"/>
      <x:c r="R84" s="402"/>
      <x:c r="S84" s="402"/>
      <x:c r="T84" s="402"/>
      <x:c r="U84" s="402"/>
      <x:c r="V84" s="402"/>
      <x:c r="W84" s="402"/>
      <x:c r="X84" s="402"/>
      <x:c r="Y84" s="402"/>
      <x:c r="Z84" s="402"/>
    </x:row>
    <x:row r="85">
      <x:c r="A85" s="402"/>
      <x:c r="B85" s="402"/>
      <x:c r="C85" s="402"/>
      <x:c r="D85" s="402"/>
      <x:c r="E85" s="402"/>
      <x:c r="F85" s="402"/>
      <x:c r="G85" s="402"/>
      <x:c r="H85" s="402"/>
      <x:c r="I85" s="402"/>
      <x:c r="J85" s="402"/>
      <x:c r="K85" s="402"/>
      <x:c r="L85" s="402"/>
      <x:c r="M85" s="402"/>
      <x:c r="N85" s="402"/>
      <x:c r="O85" s="402"/>
      <x:c r="P85" s="402"/>
      <x:c r="Q85" s="402"/>
      <x:c r="R85" s="402"/>
      <x:c r="S85" s="402"/>
      <x:c r="T85" s="402"/>
      <x:c r="U85" s="402"/>
      <x:c r="V85" s="402"/>
      <x:c r="W85" s="402"/>
      <x:c r="X85" s="402"/>
      <x:c r="Y85" s="402"/>
      <x:c r="Z85" s="402"/>
    </x:row>
    <x:row r="86">
      <x:c r="A86" s="402"/>
      <x:c r="B86" s="402"/>
      <x:c r="C86" s="402"/>
      <x:c r="D86" s="402"/>
      <x:c r="E86" s="402"/>
      <x:c r="F86" s="402"/>
      <x:c r="G86" s="402"/>
      <x:c r="H86" s="402"/>
      <x:c r="I86" s="402"/>
      <x:c r="J86" s="402"/>
      <x:c r="K86" s="402"/>
      <x:c r="L86" s="402"/>
      <x:c r="M86" s="402"/>
      <x:c r="N86" s="402"/>
      <x:c r="O86" s="402"/>
      <x:c r="P86" s="402"/>
      <x:c r="Q86" s="402"/>
      <x:c r="R86" s="402"/>
      <x:c r="S86" s="402"/>
      <x:c r="T86" s="402"/>
      <x:c r="U86" s="402"/>
      <x:c r="V86" s="402"/>
      <x:c r="W86" s="402"/>
      <x:c r="X86" s="402"/>
      <x:c r="Y86" s="402"/>
      <x:c r="Z86" s="402"/>
    </x:row>
    <x:row r="87">
      <x:c r="A87" s="402"/>
      <x:c r="B87" s="402"/>
      <x:c r="C87" s="402"/>
      <x:c r="D87" s="402"/>
      <x:c r="E87" s="402"/>
      <x:c r="F87" s="402"/>
      <x:c r="G87" s="402"/>
      <x:c r="H87" s="402"/>
      <x:c r="I87" s="402"/>
      <x:c r="J87" s="402"/>
      <x:c r="K87" s="402"/>
      <x:c r="L87" s="402"/>
      <x:c r="M87" s="402"/>
      <x:c r="N87" s="402"/>
      <x:c r="O87" s="402"/>
      <x:c r="P87" s="402"/>
      <x:c r="Q87" s="402"/>
      <x:c r="R87" s="402"/>
      <x:c r="S87" s="402"/>
      <x:c r="T87" s="402"/>
      <x:c r="U87" s="402"/>
      <x:c r="V87" s="402"/>
      <x:c r="W87" s="402"/>
      <x:c r="X87" s="402"/>
      <x:c r="Y87" s="402"/>
      <x:c r="Z87" s="402"/>
    </x:row>
    <x:row r="88">
      <x:c r="A88" s="402"/>
      <x:c r="B88" s="402"/>
      <x:c r="C88" s="402"/>
      <x:c r="D88" s="402"/>
      <x:c r="E88" s="402"/>
      <x:c r="F88" s="402"/>
      <x:c r="G88" s="402"/>
      <x:c r="H88" s="402"/>
      <x:c r="I88" s="402"/>
      <x:c r="J88" s="402"/>
      <x:c r="K88" s="402"/>
      <x:c r="L88" s="402"/>
      <x:c r="M88" s="402"/>
      <x:c r="N88" s="402"/>
      <x:c r="O88" s="402"/>
      <x:c r="P88" s="402"/>
      <x:c r="Q88" s="402"/>
      <x:c r="R88" s="402"/>
      <x:c r="S88" s="402"/>
      <x:c r="T88" s="402"/>
      <x:c r="U88" s="402"/>
      <x:c r="V88" s="402"/>
      <x:c r="W88" s="402"/>
      <x:c r="X88" s="402"/>
      <x:c r="Y88" s="402"/>
      <x:c r="Z88" s="402"/>
    </x:row>
    <x:row r="89">
      <x:c r="A89" s="402"/>
      <x:c r="B89" s="402"/>
      <x:c r="C89" s="402"/>
      <x:c r="D89" s="402"/>
      <x:c r="E89" s="402"/>
      <x:c r="F89" s="402"/>
      <x:c r="G89" s="402"/>
      <x:c r="H89" s="402"/>
      <x:c r="I89" s="402"/>
      <x:c r="J89" s="402"/>
      <x:c r="K89" s="402"/>
      <x:c r="L89" s="402"/>
      <x:c r="M89" s="402"/>
      <x:c r="N89" s="402"/>
      <x:c r="O89" s="402"/>
      <x:c r="P89" s="402"/>
      <x:c r="Q89" s="402"/>
      <x:c r="R89" s="402"/>
      <x:c r="S89" s="402"/>
      <x:c r="T89" s="402"/>
      <x:c r="U89" s="402"/>
      <x:c r="V89" s="402"/>
      <x:c r="W89" s="402"/>
      <x:c r="X89" s="402"/>
      <x:c r="Y89" s="402"/>
      <x:c r="Z89" s="402"/>
    </x:row>
    <x:row r="90">
      <x:c r="A90" s="402"/>
      <x:c r="B90" s="402"/>
      <x:c r="C90" s="402"/>
      <x:c r="D90" s="402"/>
      <x:c r="E90" s="402"/>
      <x:c r="F90" s="402"/>
      <x:c r="G90" s="402"/>
      <x:c r="H90" s="402"/>
      <x:c r="I90" s="402"/>
      <x:c r="J90" s="402"/>
      <x:c r="K90" s="402"/>
      <x:c r="L90" s="402"/>
      <x:c r="M90" s="402"/>
      <x:c r="N90" s="402"/>
      <x:c r="O90" s="402"/>
      <x:c r="P90" s="402"/>
      <x:c r="Q90" s="402"/>
      <x:c r="R90" s="402"/>
      <x:c r="S90" s="402"/>
      <x:c r="T90" s="402"/>
      <x:c r="U90" s="402"/>
      <x:c r="V90" s="402"/>
      <x:c r="W90" s="402"/>
      <x:c r="X90" s="402"/>
      <x:c r="Y90" s="402"/>
      <x:c r="Z90" s="402"/>
    </x:row>
    <x:row r="91">
      <x:c r="A91" s="402"/>
      <x:c r="B91" s="402"/>
      <x:c r="C91" s="402"/>
      <x:c r="D91" s="402"/>
      <x:c r="E91" s="402"/>
      <x:c r="F91" s="402"/>
      <x:c r="G91" s="402"/>
      <x:c r="H91" s="402"/>
      <x:c r="I91" s="402"/>
      <x:c r="J91" s="402"/>
      <x:c r="K91" s="402"/>
      <x:c r="L91" s="402"/>
      <x:c r="M91" s="402"/>
      <x:c r="N91" s="402"/>
      <x:c r="O91" s="402"/>
      <x:c r="P91" s="402"/>
      <x:c r="Q91" s="402"/>
      <x:c r="R91" s="402"/>
      <x:c r="S91" s="402"/>
      <x:c r="T91" s="402"/>
      <x:c r="U91" s="402"/>
      <x:c r="V91" s="402"/>
      <x:c r="W91" s="402"/>
      <x:c r="X91" s="402"/>
      <x:c r="Y91" s="402"/>
      <x:c r="Z91" s="402"/>
    </x:row>
    <x:row r="92">
      <x:c r="A92" s="402"/>
      <x:c r="B92" s="402"/>
      <x:c r="C92" s="402"/>
      <x:c r="D92" s="402"/>
      <x:c r="E92" s="402"/>
      <x:c r="F92" s="402"/>
      <x:c r="G92" s="402"/>
      <x:c r="H92" s="402"/>
      <x:c r="I92" s="402"/>
      <x:c r="J92" s="402"/>
      <x:c r="K92" s="402"/>
      <x:c r="L92" s="402"/>
      <x:c r="M92" s="402"/>
      <x:c r="N92" s="402"/>
      <x:c r="O92" s="402"/>
      <x:c r="P92" s="402"/>
      <x:c r="Q92" s="402"/>
      <x:c r="R92" s="402"/>
      <x:c r="S92" s="402"/>
      <x:c r="T92" s="402"/>
      <x:c r="U92" s="402"/>
      <x:c r="V92" s="402"/>
      <x:c r="W92" s="402"/>
      <x:c r="X92" s="402"/>
      <x:c r="Y92" s="402"/>
      <x:c r="Z92" s="402"/>
    </x:row>
    <x:row r="93">
      <x:c r="A93" s="402"/>
      <x:c r="B93" s="402"/>
      <x:c r="C93" s="402"/>
      <x:c r="D93" s="402"/>
      <x:c r="E93" s="402"/>
      <x:c r="F93" s="402"/>
      <x:c r="G93" s="402"/>
      <x:c r="H93" s="402"/>
      <x:c r="I93" s="402"/>
      <x:c r="J93" s="402"/>
      <x:c r="K93" s="402"/>
      <x:c r="L93" s="402"/>
      <x:c r="M93" s="402"/>
      <x:c r="N93" s="402"/>
      <x:c r="O93" s="402"/>
      <x:c r="P93" s="402"/>
      <x:c r="Q93" s="402"/>
      <x:c r="R93" s="402"/>
      <x:c r="S93" s="402"/>
      <x:c r="T93" s="402"/>
      <x:c r="U93" s="402"/>
      <x:c r="V93" s="402"/>
      <x:c r="W93" s="402"/>
      <x:c r="X93" s="402"/>
      <x:c r="Y93" s="402"/>
      <x:c r="Z93" s="402"/>
    </x:row>
    <x:row r="94">
      <x:c r="A94" s="402"/>
      <x:c r="B94" s="402"/>
      <x:c r="C94" s="402"/>
      <x:c r="D94" s="402"/>
      <x:c r="E94" s="402"/>
      <x:c r="F94" s="402"/>
      <x:c r="G94" s="402"/>
      <x:c r="H94" s="402"/>
      <x:c r="I94" s="402"/>
      <x:c r="J94" s="402"/>
      <x:c r="K94" s="402"/>
      <x:c r="L94" s="402"/>
      <x:c r="M94" s="402"/>
      <x:c r="N94" s="402"/>
      <x:c r="O94" s="402"/>
      <x:c r="P94" s="402"/>
      <x:c r="Q94" s="402"/>
      <x:c r="R94" s="402"/>
      <x:c r="S94" s="402"/>
      <x:c r="T94" s="402"/>
      <x:c r="U94" s="402"/>
      <x:c r="V94" s="402"/>
      <x:c r="W94" s="402"/>
      <x:c r="X94" s="402"/>
      <x:c r="Y94" s="402"/>
      <x:c r="Z94" s="402"/>
    </x:row>
    <x:row r="95">
      <x:c r="A95" s="402"/>
      <x:c r="B95" s="402"/>
      <x:c r="C95" s="402"/>
      <x:c r="D95" s="402"/>
      <x:c r="E95" s="402"/>
      <x:c r="F95" s="402"/>
      <x:c r="G95" s="402"/>
      <x:c r="H95" s="402"/>
      <x:c r="I95" s="402"/>
      <x:c r="J95" s="402"/>
      <x:c r="K95" s="402"/>
      <x:c r="L95" s="402"/>
      <x:c r="M95" s="402"/>
      <x:c r="N95" s="402"/>
      <x:c r="O95" s="402"/>
      <x:c r="P95" s="402"/>
      <x:c r="Q95" s="402"/>
      <x:c r="R95" s="402"/>
      <x:c r="S95" s="402"/>
      <x:c r="T95" s="402"/>
      <x:c r="U95" s="402"/>
      <x:c r="V95" s="402"/>
      <x:c r="W95" s="402"/>
      <x:c r="X95" s="402"/>
      <x:c r="Y95" s="402"/>
      <x:c r="Z95" s="402"/>
    </x:row>
    <x:row r="96">
      <x:c r="A96" s="402"/>
      <x:c r="B96" s="402"/>
      <x:c r="C96" s="402"/>
      <x:c r="D96" s="402"/>
      <x:c r="E96" s="402"/>
      <x:c r="F96" s="402"/>
      <x:c r="G96" s="402"/>
      <x:c r="H96" s="402"/>
      <x:c r="I96" s="402"/>
      <x:c r="J96" s="402"/>
      <x:c r="K96" s="402"/>
      <x:c r="L96" s="402"/>
      <x:c r="M96" s="402"/>
      <x:c r="N96" s="402"/>
      <x:c r="O96" s="402"/>
      <x:c r="P96" s="402"/>
      <x:c r="Q96" s="402"/>
      <x:c r="R96" s="402"/>
      <x:c r="S96" s="402"/>
      <x:c r="T96" s="402"/>
      <x:c r="U96" s="402"/>
      <x:c r="V96" s="402"/>
      <x:c r="W96" s="402"/>
      <x:c r="X96" s="402"/>
      <x:c r="Y96" s="402"/>
      <x:c r="Z96" s="402"/>
    </x:row>
    <x:row r="97">
      <x:c r="A97" s="402"/>
      <x:c r="B97" s="402"/>
      <x:c r="C97" s="402"/>
      <x:c r="D97" s="402"/>
      <x:c r="E97" s="402"/>
      <x:c r="F97" s="402"/>
      <x:c r="G97" s="402"/>
      <x:c r="H97" s="402"/>
      <x:c r="I97" s="402"/>
      <x:c r="J97" s="402"/>
      <x:c r="K97" s="402"/>
      <x:c r="L97" s="402"/>
      <x:c r="M97" s="402"/>
      <x:c r="N97" s="402"/>
      <x:c r="O97" s="402"/>
      <x:c r="P97" s="402"/>
      <x:c r="Q97" s="402"/>
      <x:c r="R97" s="402"/>
      <x:c r="S97" s="402"/>
      <x:c r="T97" s="402"/>
      <x:c r="U97" s="402"/>
      <x:c r="V97" s="402"/>
      <x:c r="W97" s="402"/>
      <x:c r="X97" s="402"/>
      <x:c r="Y97" s="402"/>
      <x:c r="Z97" s="402"/>
    </x:row>
    <x:row r="98">
      <x:c r="A98" s="402"/>
      <x:c r="B98" s="402"/>
      <x:c r="C98" s="402"/>
      <x:c r="D98" s="402"/>
      <x:c r="E98" s="402"/>
      <x:c r="F98" s="402"/>
      <x:c r="G98" s="402"/>
      <x:c r="H98" s="402"/>
      <x:c r="I98" s="402"/>
      <x:c r="J98" s="402"/>
      <x:c r="K98" s="402"/>
      <x:c r="L98" s="402"/>
      <x:c r="M98" s="402"/>
      <x:c r="N98" s="402"/>
      <x:c r="O98" s="402"/>
      <x:c r="P98" s="402"/>
      <x:c r="Q98" s="402"/>
      <x:c r="R98" s="402"/>
      <x:c r="S98" s="402"/>
      <x:c r="T98" s="402"/>
      <x:c r="U98" s="402"/>
      <x:c r="V98" s="402"/>
      <x:c r="W98" s="402"/>
      <x:c r="X98" s="402"/>
      <x:c r="Y98" s="402"/>
      <x:c r="Z98" s="402"/>
    </x:row>
    <x:row r="99">
      <x:c r="A99" s="402"/>
      <x:c r="B99" s="402"/>
      <x:c r="C99" s="402"/>
      <x:c r="D99" s="402"/>
      <x:c r="E99" s="402"/>
      <x:c r="F99" s="402"/>
      <x:c r="G99" s="402"/>
      <x:c r="H99" s="402"/>
      <x:c r="I99" s="402"/>
      <x:c r="J99" s="402"/>
      <x:c r="K99" s="402"/>
      <x:c r="L99" s="402"/>
      <x:c r="M99" s="402"/>
      <x:c r="N99" s="402"/>
      <x:c r="O99" s="402"/>
      <x:c r="P99" s="402"/>
      <x:c r="Q99" s="402"/>
      <x:c r="R99" s="402"/>
      <x:c r="S99" s="402"/>
      <x:c r="T99" s="402"/>
      <x:c r="U99" s="402"/>
      <x:c r="V99" s="402"/>
      <x:c r="W99" s="402"/>
      <x:c r="X99" s="402"/>
      <x:c r="Y99" s="402"/>
      <x:c r="Z99" s="402"/>
    </x:row>
    <x:row r="100">
      <x:c r="A100" s="402"/>
      <x:c r="B100" s="402"/>
      <x:c r="C100" s="402"/>
      <x:c r="D100" s="402"/>
      <x:c r="E100" s="402"/>
      <x:c r="F100" s="402"/>
      <x:c r="G100" s="402"/>
      <x:c r="H100" s="402"/>
      <x:c r="I100" s="402"/>
      <x:c r="J100" s="402"/>
      <x:c r="K100" s="402"/>
      <x:c r="L100" s="402"/>
      <x:c r="M100" s="402"/>
      <x:c r="N100" s="402"/>
      <x:c r="O100" s="402"/>
      <x:c r="P100" s="402"/>
      <x:c r="Q100" s="402"/>
      <x:c r="R100" s="402"/>
      <x:c r="S100" s="402"/>
      <x:c r="T100" s="402"/>
      <x:c r="U100" s="402"/>
      <x:c r="V100" s="402"/>
      <x:c r="W100" s="402"/>
      <x:c r="X100" s="402"/>
      <x:c r="Y100" s="402"/>
      <x:c r="Z100" s="402"/>
    </x:row>
    <x:row r="101">
      <x:c r="A101" s="402"/>
      <x:c r="B101" s="402"/>
      <x:c r="C101" s="402"/>
      <x:c r="D101" s="402"/>
      <x:c r="E101" s="402"/>
      <x:c r="F101" s="402"/>
      <x:c r="G101" s="402"/>
      <x:c r="H101" s="402"/>
      <x:c r="I101" s="402"/>
      <x:c r="J101" s="402"/>
      <x:c r="K101" s="402"/>
      <x:c r="L101" s="402"/>
      <x:c r="M101" s="402"/>
      <x:c r="N101" s="402"/>
      <x:c r="O101" s="402"/>
      <x:c r="P101" s="402"/>
      <x:c r="Q101" s="402"/>
      <x:c r="R101" s="402"/>
      <x:c r="S101" s="402"/>
      <x:c r="T101" s="402"/>
      <x:c r="U101" s="402"/>
      <x:c r="V101" s="402"/>
      <x:c r="W101" s="402"/>
      <x:c r="X101" s="402"/>
      <x:c r="Y101" s="402"/>
      <x:c r="Z101" s="402"/>
    </x:row>
    <x:row r="102">
      <x:c r="A102" s="402"/>
      <x:c r="B102" s="402"/>
      <x:c r="C102" s="402"/>
      <x:c r="D102" s="402"/>
      <x:c r="E102" s="402"/>
      <x:c r="F102" s="402"/>
      <x:c r="G102" s="402"/>
      <x:c r="H102" s="402"/>
      <x:c r="I102" s="402"/>
      <x:c r="J102" s="402"/>
      <x:c r="K102" s="402"/>
      <x:c r="L102" s="402"/>
      <x:c r="M102" s="402"/>
      <x:c r="N102" s="402"/>
      <x:c r="O102" s="402"/>
      <x:c r="P102" s="402"/>
      <x:c r="Q102" s="402"/>
      <x:c r="R102" s="402"/>
      <x:c r="S102" s="402"/>
      <x:c r="T102" s="402"/>
      <x:c r="U102" s="402"/>
      <x:c r="V102" s="402"/>
      <x:c r="W102" s="402"/>
      <x:c r="X102" s="402"/>
      <x:c r="Y102" s="402"/>
      <x:c r="Z102" s="402"/>
    </x:row>
    <x:row r="103">
      <x:c r="A103" s="402"/>
      <x:c r="B103" s="402"/>
      <x:c r="C103" s="402"/>
      <x:c r="D103" s="402"/>
      <x:c r="E103" s="402"/>
      <x:c r="F103" s="402"/>
      <x:c r="G103" s="402"/>
      <x:c r="H103" s="402"/>
      <x:c r="I103" s="402"/>
      <x:c r="J103" s="402"/>
      <x:c r="K103" s="402"/>
      <x:c r="L103" s="402"/>
      <x:c r="M103" s="402"/>
      <x:c r="N103" s="402"/>
      <x:c r="O103" s="402"/>
      <x:c r="P103" s="402"/>
      <x:c r="Q103" s="402"/>
      <x:c r="R103" s="402"/>
      <x:c r="S103" s="402"/>
      <x:c r="T103" s="402"/>
      <x:c r="U103" s="402"/>
      <x:c r="V103" s="402"/>
      <x:c r="W103" s="402"/>
      <x:c r="X103" s="402"/>
      <x:c r="Y103" s="402"/>
      <x:c r="Z103" s="402"/>
    </x:row>
    <x:row r="104">
      <x:c r="A104" s="402"/>
      <x:c r="B104" s="402"/>
      <x:c r="C104" s="402"/>
      <x:c r="D104" s="402"/>
      <x:c r="E104" s="402"/>
      <x:c r="F104" s="402"/>
      <x:c r="G104" s="402"/>
      <x:c r="H104" s="402"/>
      <x:c r="I104" s="402"/>
      <x:c r="J104" s="402"/>
      <x:c r="K104" s="402"/>
      <x:c r="L104" s="402"/>
      <x:c r="M104" s="402"/>
      <x:c r="N104" s="402"/>
      <x:c r="O104" s="402"/>
      <x:c r="P104" s="402"/>
      <x:c r="Q104" s="402"/>
      <x:c r="R104" s="402"/>
      <x:c r="S104" s="402"/>
      <x:c r="T104" s="402"/>
      <x:c r="U104" s="402"/>
      <x:c r="V104" s="402"/>
      <x:c r="W104" s="402"/>
      <x:c r="X104" s="402"/>
      <x:c r="Y104" s="402"/>
      <x:c r="Z104" s="402"/>
    </x:row>
    <x:row r="105">
      <x:c r="A105" s="402"/>
      <x:c r="B105" s="402"/>
      <x:c r="C105" s="402"/>
      <x:c r="D105" s="402"/>
      <x:c r="E105" s="402"/>
      <x:c r="F105" s="402"/>
      <x:c r="G105" s="402"/>
      <x:c r="H105" s="402"/>
      <x:c r="I105" s="402"/>
      <x:c r="J105" s="402"/>
      <x:c r="K105" s="402"/>
      <x:c r="L105" s="402"/>
      <x:c r="M105" s="402"/>
      <x:c r="N105" s="402"/>
      <x:c r="O105" s="402"/>
      <x:c r="P105" s="402"/>
      <x:c r="Q105" s="402"/>
      <x:c r="R105" s="402"/>
      <x:c r="S105" s="402"/>
      <x:c r="T105" s="402"/>
      <x:c r="U105" s="402"/>
      <x:c r="V105" s="402"/>
      <x:c r="W105" s="402"/>
      <x:c r="X105" s="402"/>
      <x:c r="Y105" s="402"/>
      <x:c r="Z105" s="402"/>
    </x:row>
    <x:row r="106">
      <x:c r="A106" s="402"/>
      <x:c r="B106" s="402"/>
      <x:c r="C106" s="402"/>
      <x:c r="D106" s="402"/>
      <x:c r="E106" s="402"/>
      <x:c r="F106" s="402"/>
      <x:c r="G106" s="402"/>
      <x:c r="H106" s="402"/>
      <x:c r="I106" s="402"/>
      <x:c r="J106" s="402"/>
      <x:c r="K106" s="402"/>
      <x:c r="L106" s="402"/>
      <x:c r="M106" s="402"/>
      <x:c r="N106" s="402"/>
      <x:c r="O106" s="402"/>
      <x:c r="P106" s="402"/>
      <x:c r="Q106" s="402"/>
      <x:c r="R106" s="402"/>
      <x:c r="S106" s="402"/>
      <x:c r="T106" s="402"/>
      <x:c r="U106" s="402"/>
      <x:c r="V106" s="402"/>
      <x:c r="W106" s="402"/>
      <x:c r="X106" s="402"/>
      <x:c r="Y106" s="402"/>
      <x:c r="Z106" s="402"/>
    </x:row>
    <x:row r="107">
      <x:c r="A107" s="402"/>
      <x:c r="B107" s="402"/>
      <x:c r="C107" s="402"/>
      <x:c r="D107" s="402"/>
      <x:c r="E107" s="402"/>
      <x:c r="F107" s="402"/>
      <x:c r="G107" s="402"/>
      <x:c r="H107" s="402"/>
      <x:c r="I107" s="402"/>
      <x:c r="J107" s="402"/>
      <x:c r="K107" s="402"/>
      <x:c r="L107" s="402"/>
      <x:c r="M107" s="402"/>
      <x:c r="N107" s="402"/>
      <x:c r="O107" s="402"/>
      <x:c r="P107" s="402"/>
      <x:c r="Q107" s="402"/>
      <x:c r="R107" s="402"/>
      <x:c r="S107" s="402"/>
      <x:c r="T107" s="402"/>
      <x:c r="U107" s="402"/>
      <x:c r="V107" s="402"/>
      <x:c r="W107" s="402"/>
      <x:c r="X107" s="402"/>
      <x:c r="Y107" s="402"/>
      <x:c r="Z107" s="402"/>
    </x:row>
    <x:row r="108">
      <x:c r="A108" s="402"/>
      <x:c r="B108" s="402"/>
      <x:c r="C108" s="402"/>
      <x:c r="D108" s="402"/>
      <x:c r="E108" s="402"/>
      <x:c r="F108" s="402"/>
      <x:c r="G108" s="402"/>
      <x:c r="H108" s="402"/>
      <x:c r="I108" s="402"/>
      <x:c r="J108" s="402"/>
      <x:c r="K108" s="402"/>
      <x:c r="L108" s="402"/>
      <x:c r="M108" s="402"/>
      <x:c r="N108" s="402"/>
      <x:c r="O108" s="402"/>
      <x:c r="P108" s="402"/>
      <x:c r="Q108" s="402"/>
      <x:c r="R108" s="402"/>
      <x:c r="S108" s="402"/>
      <x:c r="T108" s="402"/>
      <x:c r="U108" s="402"/>
      <x:c r="V108" s="402"/>
      <x:c r="W108" s="402"/>
      <x:c r="X108" s="402"/>
      <x:c r="Y108" s="402"/>
      <x:c r="Z108" s="402"/>
    </x:row>
    <x:row r="109">
      <x:c r="A109" s="402"/>
      <x:c r="B109" s="402"/>
      <x:c r="C109" s="402"/>
      <x:c r="D109" s="402"/>
      <x:c r="E109" s="402"/>
      <x:c r="F109" s="402"/>
      <x:c r="G109" s="402"/>
      <x:c r="H109" s="402"/>
      <x:c r="I109" s="402"/>
      <x:c r="J109" s="402"/>
      <x:c r="K109" s="402"/>
      <x:c r="L109" s="402"/>
      <x:c r="M109" s="402"/>
      <x:c r="N109" s="402"/>
      <x:c r="O109" s="402"/>
      <x:c r="P109" s="402"/>
      <x:c r="Q109" s="402"/>
      <x:c r="R109" s="402"/>
      <x:c r="S109" s="402"/>
      <x:c r="T109" s="402"/>
      <x:c r="U109" s="402"/>
      <x:c r="V109" s="402"/>
      <x:c r="W109" s="402"/>
      <x:c r="X109" s="402"/>
      <x:c r="Y109" s="402"/>
      <x:c r="Z109" s="402"/>
    </x:row>
    <x:row r="110">
      <x:c r="A110" s="402"/>
      <x:c r="B110" s="402"/>
      <x:c r="C110" s="402"/>
      <x:c r="D110" s="402"/>
      <x:c r="E110" s="402"/>
      <x:c r="F110" s="402"/>
      <x:c r="G110" s="402"/>
      <x:c r="H110" s="402"/>
      <x:c r="I110" s="402"/>
      <x:c r="J110" s="402"/>
      <x:c r="K110" s="402"/>
      <x:c r="L110" s="402"/>
      <x:c r="M110" s="402"/>
      <x:c r="N110" s="402"/>
      <x:c r="O110" s="402"/>
      <x:c r="P110" s="402"/>
      <x:c r="Q110" s="402"/>
      <x:c r="R110" s="402"/>
      <x:c r="S110" s="402"/>
      <x:c r="T110" s="402"/>
      <x:c r="U110" s="402"/>
      <x:c r="V110" s="402"/>
      <x:c r="W110" s="402"/>
      <x:c r="X110" s="402"/>
      <x:c r="Y110" s="402"/>
      <x:c r="Z110" s="402"/>
    </x:row>
    <x:row r="111">
      <x:c r="A111" s="402"/>
      <x:c r="B111" s="402"/>
      <x:c r="C111" s="402"/>
      <x:c r="D111" s="402"/>
      <x:c r="E111" s="402"/>
      <x:c r="F111" s="402"/>
      <x:c r="G111" s="402"/>
      <x:c r="H111" s="402"/>
      <x:c r="I111" s="402"/>
      <x:c r="J111" s="402"/>
      <x:c r="K111" s="402"/>
      <x:c r="L111" s="402"/>
      <x:c r="M111" s="402"/>
      <x:c r="N111" s="402"/>
      <x:c r="O111" s="402"/>
      <x:c r="P111" s="402"/>
      <x:c r="Q111" s="402"/>
      <x:c r="R111" s="402"/>
      <x:c r="S111" s="402"/>
      <x:c r="T111" s="402"/>
      <x:c r="U111" s="402"/>
      <x:c r="V111" s="402"/>
      <x:c r="W111" s="402"/>
      <x:c r="X111" s="402"/>
      <x:c r="Y111" s="402"/>
      <x:c r="Z111" s="402"/>
    </x:row>
    <x:row r="112">
      <x:c r="A112" s="402"/>
      <x:c r="B112" s="402"/>
      <x:c r="C112" s="402"/>
      <x:c r="D112" s="402"/>
      <x:c r="E112" s="402"/>
      <x:c r="F112" s="402"/>
      <x:c r="G112" s="402"/>
      <x:c r="H112" s="402"/>
      <x:c r="I112" s="402"/>
      <x:c r="J112" s="402"/>
      <x:c r="K112" s="402"/>
      <x:c r="L112" s="402"/>
      <x:c r="M112" s="402"/>
      <x:c r="N112" s="402"/>
      <x:c r="O112" s="402"/>
      <x:c r="P112" s="402"/>
      <x:c r="Q112" s="402"/>
      <x:c r="R112" s="402"/>
      <x:c r="S112" s="402"/>
      <x:c r="T112" s="402"/>
      <x:c r="U112" s="402"/>
      <x:c r="V112" s="402"/>
      <x:c r="W112" s="402"/>
      <x:c r="X112" s="402"/>
      <x:c r="Y112" s="402"/>
      <x:c r="Z112" s="402"/>
    </x:row>
    <x:row r="113">
      <x:c r="A113" s="402"/>
      <x:c r="B113" s="402"/>
      <x:c r="C113" s="402"/>
      <x:c r="D113" s="402"/>
      <x:c r="E113" s="402"/>
      <x:c r="F113" s="402"/>
      <x:c r="G113" s="402"/>
      <x:c r="H113" s="402"/>
      <x:c r="I113" s="402"/>
      <x:c r="J113" s="402"/>
      <x:c r="K113" s="402"/>
      <x:c r="L113" s="402"/>
      <x:c r="M113" s="402"/>
      <x:c r="N113" s="402"/>
      <x:c r="O113" s="402"/>
      <x:c r="P113" s="402"/>
      <x:c r="Q113" s="402"/>
      <x:c r="R113" s="402"/>
      <x:c r="S113" s="402"/>
      <x:c r="T113" s="402"/>
      <x:c r="U113" s="402"/>
      <x:c r="V113" s="402"/>
      <x:c r="W113" s="402"/>
      <x:c r="X113" s="402"/>
      <x:c r="Y113" s="402"/>
      <x:c r="Z113" s="402"/>
    </x:row>
    <x:row r="114">
      <x:c r="A114" s="402"/>
      <x:c r="B114" s="402"/>
      <x:c r="C114" s="402"/>
      <x:c r="D114" s="402"/>
      <x:c r="E114" s="402"/>
      <x:c r="F114" s="402"/>
      <x:c r="G114" s="402"/>
      <x:c r="H114" s="402"/>
      <x:c r="I114" s="402"/>
      <x:c r="J114" s="402"/>
      <x:c r="K114" s="402"/>
      <x:c r="L114" s="402"/>
      <x:c r="M114" s="402"/>
      <x:c r="N114" s="402"/>
      <x:c r="O114" s="402"/>
      <x:c r="P114" s="402"/>
      <x:c r="Q114" s="402"/>
      <x:c r="R114" s="402"/>
      <x:c r="S114" s="402"/>
      <x:c r="T114" s="402"/>
      <x:c r="U114" s="402"/>
      <x:c r="V114" s="402"/>
      <x:c r="W114" s="402"/>
      <x:c r="X114" s="402"/>
      <x:c r="Y114" s="402"/>
      <x:c r="Z114" s="402"/>
    </x:row>
    <x:row r="115">
      <x:c r="A115" s="402"/>
      <x:c r="B115" s="402"/>
      <x:c r="C115" s="402"/>
      <x:c r="D115" s="402"/>
      <x:c r="E115" s="402"/>
      <x:c r="F115" s="402"/>
      <x:c r="G115" s="402"/>
      <x:c r="H115" s="402"/>
      <x:c r="I115" s="402"/>
      <x:c r="J115" s="402"/>
      <x:c r="K115" s="402"/>
      <x:c r="L115" s="402"/>
      <x:c r="M115" s="402"/>
      <x:c r="N115" s="402"/>
      <x:c r="O115" s="402"/>
      <x:c r="P115" s="402"/>
      <x:c r="Q115" s="402"/>
      <x:c r="R115" s="402"/>
      <x:c r="S115" s="402"/>
      <x:c r="T115" s="402"/>
      <x:c r="U115" s="402"/>
      <x:c r="V115" s="402"/>
      <x:c r="W115" s="402"/>
      <x:c r="X115" s="402"/>
      <x:c r="Y115" s="402"/>
      <x:c r="Z115" s="402"/>
    </x:row>
    <x:row r="116">
      <x:c r="A116" s="402"/>
      <x:c r="B116" s="402"/>
      <x:c r="C116" s="402"/>
      <x:c r="D116" s="402"/>
      <x:c r="E116" s="402"/>
      <x:c r="F116" s="402"/>
      <x:c r="G116" s="402"/>
      <x:c r="H116" s="402"/>
      <x:c r="I116" s="402"/>
      <x:c r="J116" s="402"/>
      <x:c r="K116" s="402"/>
      <x:c r="L116" s="402"/>
      <x:c r="M116" s="402"/>
      <x:c r="N116" s="402"/>
      <x:c r="O116" s="402"/>
      <x:c r="P116" s="402"/>
      <x:c r="Q116" s="402"/>
      <x:c r="R116" s="402"/>
      <x:c r="S116" s="402"/>
      <x:c r="T116" s="402"/>
      <x:c r="U116" s="402"/>
      <x:c r="V116" s="402"/>
      <x:c r="W116" s="402"/>
      <x:c r="X116" s="402"/>
      <x:c r="Y116" s="402"/>
      <x:c r="Z116" s="402"/>
    </x:row>
    <x:row r="117">
      <x:c r="A117" s="402"/>
      <x:c r="B117" s="402"/>
      <x:c r="C117" s="402"/>
      <x:c r="D117" s="402"/>
      <x:c r="E117" s="402"/>
      <x:c r="F117" s="402"/>
      <x:c r="G117" s="402"/>
      <x:c r="H117" s="402"/>
      <x:c r="I117" s="402"/>
      <x:c r="J117" s="402"/>
      <x:c r="K117" s="402"/>
      <x:c r="L117" s="402"/>
      <x:c r="M117" s="402"/>
      <x:c r="N117" s="402"/>
      <x:c r="O117" s="402"/>
      <x:c r="P117" s="402"/>
      <x:c r="Q117" s="402"/>
      <x:c r="R117" s="402"/>
      <x:c r="S117" s="402"/>
      <x:c r="T117" s="402"/>
      <x:c r="U117" s="402"/>
      <x:c r="V117" s="402"/>
      <x:c r="W117" s="402"/>
      <x:c r="X117" s="402"/>
      <x:c r="Y117" s="402"/>
      <x:c r="Z117" s="402"/>
    </x:row>
    <x:row r="118">
      <x:c r="A118" s="402"/>
      <x:c r="B118" s="402"/>
      <x:c r="C118" s="402"/>
      <x:c r="D118" s="402"/>
      <x:c r="E118" s="402"/>
      <x:c r="F118" s="402"/>
      <x:c r="G118" s="402"/>
      <x:c r="H118" s="402"/>
      <x:c r="I118" s="402"/>
      <x:c r="J118" s="402"/>
      <x:c r="K118" s="402"/>
      <x:c r="L118" s="402"/>
      <x:c r="M118" s="402"/>
      <x:c r="N118" s="402"/>
      <x:c r="O118" s="402"/>
      <x:c r="P118" s="402"/>
      <x:c r="Q118" s="402"/>
      <x:c r="R118" s="402"/>
      <x:c r="S118" s="402"/>
      <x:c r="T118" s="402"/>
      <x:c r="U118" s="402"/>
      <x:c r="V118" s="402"/>
      <x:c r="W118" s="402"/>
      <x:c r="X118" s="402"/>
      <x:c r="Y118" s="402"/>
      <x:c r="Z118" s="402"/>
    </x:row>
    <x:row r="119">
      <x:c r="A119" s="402"/>
      <x:c r="B119" s="402"/>
      <x:c r="C119" s="402"/>
      <x:c r="D119" s="402"/>
      <x:c r="E119" s="402"/>
      <x:c r="F119" s="402"/>
      <x:c r="G119" s="402"/>
      <x:c r="H119" s="402"/>
      <x:c r="I119" s="402"/>
      <x:c r="J119" s="402"/>
      <x:c r="K119" s="402"/>
      <x:c r="L119" s="402"/>
      <x:c r="M119" s="402"/>
      <x:c r="N119" s="402"/>
      <x:c r="O119" s="402"/>
      <x:c r="P119" s="402"/>
      <x:c r="Q119" s="402"/>
      <x:c r="R119" s="402"/>
      <x:c r="S119" s="402"/>
      <x:c r="T119" s="402"/>
      <x:c r="U119" s="402"/>
      <x:c r="V119" s="402"/>
      <x:c r="W119" s="402"/>
      <x:c r="X119" s="402"/>
      <x:c r="Y119" s="402"/>
      <x:c r="Z119" s="402"/>
    </x:row>
    <x:row r="120">
      <x:c r="A120" s="402"/>
      <x:c r="B120" s="402"/>
      <x:c r="C120" s="402"/>
      <x:c r="D120" s="402"/>
      <x:c r="E120" s="402"/>
      <x:c r="F120" s="402"/>
      <x:c r="G120" s="402"/>
      <x:c r="H120" s="402"/>
      <x:c r="I120" s="402"/>
      <x:c r="J120" s="402"/>
      <x:c r="K120" s="402"/>
      <x:c r="L120" s="402"/>
      <x:c r="M120" s="402"/>
      <x:c r="N120" s="402"/>
      <x:c r="O120" s="402"/>
      <x:c r="P120" s="402"/>
      <x:c r="Q120" s="402"/>
      <x:c r="R120" s="402"/>
      <x:c r="S120" s="402"/>
      <x:c r="T120" s="402"/>
      <x:c r="U120" s="402"/>
      <x:c r="V120" s="402"/>
      <x:c r="W120" s="402"/>
      <x:c r="X120" s="402"/>
      <x:c r="Y120" s="402"/>
      <x:c r="Z120" s="402"/>
    </x:row>
    <x:row r="121">
      <x:c r="A121" s="402"/>
      <x:c r="B121" s="402"/>
      <x:c r="C121" s="402"/>
      <x:c r="D121" s="402"/>
      <x:c r="E121" s="402"/>
      <x:c r="F121" s="402"/>
      <x:c r="G121" s="402"/>
      <x:c r="H121" s="402"/>
      <x:c r="I121" s="402"/>
      <x:c r="J121" s="402"/>
      <x:c r="K121" s="402"/>
      <x:c r="L121" s="402"/>
      <x:c r="M121" s="402"/>
      <x:c r="N121" s="402"/>
      <x:c r="O121" s="402"/>
      <x:c r="P121" s="402"/>
      <x:c r="Q121" s="402"/>
      <x:c r="R121" s="402"/>
      <x:c r="S121" s="402"/>
      <x:c r="T121" s="402"/>
      <x:c r="U121" s="402"/>
      <x:c r="V121" s="402"/>
      <x:c r="W121" s="402"/>
      <x:c r="X121" s="402"/>
      <x:c r="Y121" s="402"/>
      <x:c r="Z121" s="402"/>
    </x:row>
    <x:row r="122">
      <x:c r="A122" s="402"/>
      <x:c r="B122" s="402"/>
      <x:c r="C122" s="402"/>
      <x:c r="D122" s="402"/>
      <x:c r="E122" s="402"/>
      <x:c r="F122" s="402"/>
      <x:c r="G122" s="402"/>
      <x:c r="H122" s="402"/>
      <x:c r="I122" s="402"/>
      <x:c r="J122" s="402"/>
      <x:c r="K122" s="402"/>
      <x:c r="L122" s="402"/>
      <x:c r="M122" s="402"/>
      <x:c r="N122" s="402"/>
      <x:c r="O122" s="402"/>
      <x:c r="P122" s="402"/>
      <x:c r="Q122" s="402"/>
      <x:c r="R122" s="402"/>
      <x:c r="S122" s="402"/>
      <x:c r="T122" s="402"/>
      <x:c r="U122" s="402"/>
      <x:c r="V122" s="402"/>
      <x:c r="W122" s="402"/>
      <x:c r="X122" s="402"/>
      <x:c r="Y122" s="402"/>
      <x:c r="Z122" s="402"/>
    </x:row>
    <x:row r="123">
      <x:c r="A123" s="402"/>
      <x:c r="B123" s="402"/>
      <x:c r="C123" s="402"/>
      <x:c r="D123" s="402"/>
      <x:c r="E123" s="402"/>
      <x:c r="F123" s="402"/>
      <x:c r="G123" s="402"/>
      <x:c r="H123" s="402"/>
      <x:c r="I123" s="402"/>
      <x:c r="J123" s="402"/>
      <x:c r="K123" s="402"/>
      <x:c r="L123" s="402"/>
      <x:c r="M123" s="402"/>
      <x:c r="N123" s="402"/>
      <x:c r="O123" s="402"/>
      <x:c r="P123" s="402"/>
      <x:c r="Q123" s="402"/>
      <x:c r="R123" s="402"/>
      <x:c r="S123" s="402"/>
      <x:c r="T123" s="402"/>
      <x:c r="U123" s="402"/>
      <x:c r="V123" s="402"/>
      <x:c r="W123" s="402"/>
      <x:c r="X123" s="402"/>
      <x:c r="Y123" s="402"/>
      <x:c r="Z123" s="402"/>
    </x:row>
    <x:row r="124">
      <x:c r="A124" s="402"/>
      <x:c r="B124" s="402"/>
      <x:c r="C124" s="402"/>
      <x:c r="D124" s="402"/>
      <x:c r="E124" s="402"/>
      <x:c r="F124" s="402"/>
      <x:c r="G124" s="402"/>
      <x:c r="H124" s="402"/>
      <x:c r="I124" s="402"/>
      <x:c r="J124" s="402"/>
      <x:c r="K124" s="402"/>
      <x:c r="L124" s="402"/>
      <x:c r="M124" s="402"/>
      <x:c r="N124" s="402"/>
      <x:c r="O124" s="402"/>
      <x:c r="P124" s="402"/>
      <x:c r="Q124" s="402"/>
      <x:c r="R124" s="402"/>
      <x:c r="S124" s="402"/>
      <x:c r="T124" s="402"/>
      <x:c r="U124" s="402"/>
      <x:c r="V124" s="402"/>
      <x:c r="W124" s="402"/>
      <x:c r="X124" s="402"/>
      <x:c r="Y124" s="402"/>
      <x:c r="Z124" s="402"/>
    </x:row>
    <x:row r="125">
      <x:c r="A125" s="402"/>
      <x:c r="B125" s="402"/>
      <x:c r="C125" s="402"/>
      <x:c r="D125" s="402"/>
      <x:c r="E125" s="402"/>
      <x:c r="F125" s="402"/>
      <x:c r="G125" s="402"/>
      <x:c r="H125" s="402"/>
      <x:c r="I125" s="402"/>
      <x:c r="J125" s="402"/>
      <x:c r="K125" s="402"/>
      <x:c r="L125" s="402"/>
      <x:c r="M125" s="402"/>
      <x:c r="N125" s="402"/>
      <x:c r="O125" s="402"/>
      <x:c r="P125" s="402"/>
      <x:c r="Q125" s="402"/>
      <x:c r="R125" s="402"/>
      <x:c r="S125" s="402"/>
      <x:c r="T125" s="402"/>
      <x:c r="U125" s="402"/>
      <x:c r="V125" s="402"/>
      <x:c r="W125" s="402"/>
      <x:c r="X125" s="402"/>
      <x:c r="Y125" s="402"/>
      <x:c r="Z125" s="402"/>
    </x:row>
    <x:row r="126">
      <x:c r="A126" s="402"/>
      <x:c r="B126" s="402"/>
      <x:c r="C126" s="402"/>
      <x:c r="D126" s="402"/>
      <x:c r="E126" s="402"/>
      <x:c r="F126" s="402"/>
      <x:c r="G126" s="402"/>
      <x:c r="H126" s="402"/>
      <x:c r="I126" s="402"/>
      <x:c r="J126" s="402"/>
      <x:c r="K126" s="402"/>
      <x:c r="L126" s="402"/>
      <x:c r="M126" s="402"/>
      <x:c r="N126" s="402"/>
      <x:c r="O126" s="402"/>
      <x:c r="P126" s="402"/>
      <x:c r="Q126" s="402"/>
      <x:c r="R126" s="402"/>
      <x:c r="S126" s="402"/>
      <x:c r="T126" s="402"/>
      <x:c r="U126" s="402"/>
      <x:c r="V126" s="402"/>
      <x:c r="W126" s="402"/>
      <x:c r="X126" s="402"/>
      <x:c r="Y126" s="402"/>
      <x:c r="Z126" s="402"/>
    </x:row>
    <x:row r="127">
      <x:c r="A127" s="402"/>
      <x:c r="B127" s="402"/>
      <x:c r="C127" s="402"/>
      <x:c r="D127" s="402"/>
      <x:c r="E127" s="402"/>
      <x:c r="F127" s="402"/>
      <x:c r="G127" s="402"/>
      <x:c r="H127" s="402"/>
      <x:c r="I127" s="402"/>
      <x:c r="J127" s="402"/>
      <x:c r="K127" s="402"/>
      <x:c r="L127" s="402"/>
      <x:c r="M127" s="402"/>
      <x:c r="N127" s="402"/>
      <x:c r="O127" s="402"/>
      <x:c r="P127" s="402"/>
      <x:c r="Q127" s="402"/>
      <x:c r="R127" s="402"/>
      <x:c r="S127" s="402"/>
      <x:c r="T127" s="402"/>
      <x:c r="U127" s="402"/>
      <x:c r="V127" s="402"/>
      <x:c r="W127" s="402"/>
      <x:c r="X127" s="402"/>
      <x:c r="Y127" s="402"/>
      <x:c r="Z127" s="402"/>
    </x:row>
    <x:row r="128">
      <x:c r="A128" s="402"/>
      <x:c r="B128" s="402"/>
      <x:c r="C128" s="402"/>
      <x:c r="D128" s="402"/>
      <x:c r="E128" s="402"/>
      <x:c r="F128" s="402"/>
      <x:c r="G128" s="402"/>
      <x:c r="H128" s="402"/>
      <x:c r="I128" s="402"/>
      <x:c r="J128" s="402"/>
      <x:c r="K128" s="402"/>
      <x:c r="L128" s="402"/>
      <x:c r="M128" s="402"/>
      <x:c r="N128" s="402"/>
      <x:c r="O128" s="402"/>
      <x:c r="P128" s="402"/>
      <x:c r="Q128" s="402"/>
      <x:c r="R128" s="402"/>
      <x:c r="S128" s="402"/>
      <x:c r="T128" s="402"/>
      <x:c r="U128" s="402"/>
      <x:c r="V128" s="402"/>
      <x:c r="W128" s="402"/>
      <x:c r="X128" s="402"/>
      <x:c r="Y128" s="402"/>
      <x:c r="Z128" s="402"/>
    </x:row>
    <x:row r="129">
      <x:c r="A129" s="402"/>
      <x:c r="B129" s="402"/>
      <x:c r="C129" s="402"/>
      <x:c r="D129" s="402"/>
      <x:c r="E129" s="402"/>
      <x:c r="F129" s="402"/>
      <x:c r="G129" s="402"/>
      <x:c r="H129" s="402"/>
      <x:c r="I129" s="402"/>
      <x:c r="J129" s="402"/>
      <x:c r="K129" s="402"/>
      <x:c r="L129" s="402"/>
      <x:c r="M129" s="402"/>
      <x:c r="N129" s="402"/>
      <x:c r="O129" s="402"/>
      <x:c r="P129" s="402"/>
      <x:c r="Q129" s="402"/>
      <x:c r="R129" s="402"/>
      <x:c r="S129" s="402"/>
      <x:c r="T129" s="402"/>
      <x:c r="U129" s="402"/>
      <x:c r="V129" s="402"/>
      <x:c r="W129" s="402"/>
      <x:c r="X129" s="402"/>
      <x:c r="Y129" s="402"/>
      <x:c r="Z129" s="402"/>
    </x:row>
    <x:row r="130">
      <x:c r="A130" s="402"/>
      <x:c r="B130" s="402"/>
      <x:c r="C130" s="402"/>
      <x:c r="D130" s="402"/>
      <x:c r="E130" s="402"/>
      <x:c r="F130" s="402"/>
      <x:c r="G130" s="402"/>
      <x:c r="H130" s="402"/>
      <x:c r="I130" s="402"/>
      <x:c r="J130" s="402"/>
      <x:c r="K130" s="402"/>
      <x:c r="L130" s="402"/>
      <x:c r="M130" s="402"/>
      <x:c r="N130" s="402"/>
      <x:c r="O130" s="402"/>
      <x:c r="P130" s="402"/>
      <x:c r="Q130" s="402"/>
      <x:c r="R130" s="402"/>
      <x:c r="S130" s="402"/>
      <x:c r="T130" s="402"/>
      <x:c r="U130" s="402"/>
      <x:c r="V130" s="402"/>
      <x:c r="W130" s="402"/>
      <x:c r="X130" s="402"/>
      <x:c r="Y130" s="402"/>
      <x:c r="Z130" s="402"/>
    </x:row>
    <x:row r="131">
      <x:c r="A131" s="402"/>
      <x:c r="B131" s="402"/>
      <x:c r="C131" s="402"/>
      <x:c r="D131" s="402"/>
      <x:c r="E131" s="402"/>
      <x:c r="F131" s="402"/>
      <x:c r="G131" s="402"/>
      <x:c r="H131" s="402"/>
      <x:c r="I131" s="402"/>
      <x:c r="J131" s="402"/>
      <x:c r="K131" s="402"/>
      <x:c r="L131" s="402"/>
      <x:c r="M131" s="402"/>
      <x:c r="N131" s="402"/>
      <x:c r="O131" s="402"/>
      <x:c r="P131" s="402"/>
      <x:c r="Q131" s="402"/>
      <x:c r="R131" s="402"/>
      <x:c r="S131" s="402"/>
      <x:c r="T131" s="402"/>
      <x:c r="U131" s="402"/>
      <x:c r="V131" s="402"/>
      <x:c r="W131" s="402"/>
      <x:c r="X131" s="402"/>
      <x:c r="Y131" s="402"/>
      <x:c r="Z131" s="402"/>
    </x:row>
    <x:row r="132">
      <x:c r="A132" s="402"/>
      <x:c r="B132" s="402"/>
      <x:c r="C132" s="402"/>
      <x:c r="D132" s="402"/>
      <x:c r="E132" s="402"/>
      <x:c r="F132" s="402"/>
      <x:c r="G132" s="402"/>
      <x:c r="H132" s="402"/>
      <x:c r="I132" s="402"/>
      <x:c r="J132" s="402"/>
      <x:c r="K132" s="402"/>
      <x:c r="L132" s="402"/>
      <x:c r="M132" s="402"/>
      <x:c r="N132" s="402"/>
      <x:c r="O132" s="402"/>
      <x:c r="P132" s="402"/>
      <x:c r="Q132" s="402"/>
      <x:c r="R132" s="402"/>
      <x:c r="S132" s="402"/>
      <x:c r="T132" s="402"/>
      <x:c r="U132" s="402"/>
      <x:c r="V132" s="402"/>
      <x:c r="W132" s="402"/>
      <x:c r="X132" s="402"/>
      <x:c r="Y132" s="402"/>
      <x:c r="Z132" s="402"/>
    </x:row>
    <x:row r="133">
      <x:c r="A133" s="402"/>
      <x:c r="B133" s="402"/>
      <x:c r="C133" s="402"/>
      <x:c r="D133" s="402"/>
      <x:c r="E133" s="402"/>
      <x:c r="F133" s="402"/>
      <x:c r="G133" s="402"/>
      <x:c r="H133" s="402"/>
      <x:c r="I133" s="402"/>
      <x:c r="J133" s="402"/>
      <x:c r="K133" s="402"/>
      <x:c r="L133" s="402"/>
      <x:c r="M133" s="402"/>
      <x:c r="N133" s="402"/>
      <x:c r="O133" s="402"/>
      <x:c r="P133" s="402"/>
      <x:c r="Q133" s="402"/>
      <x:c r="R133" s="402"/>
      <x:c r="S133" s="402"/>
      <x:c r="T133" s="402"/>
      <x:c r="U133" s="402"/>
      <x:c r="V133" s="402"/>
      <x:c r="W133" s="402"/>
      <x:c r="X133" s="402"/>
      <x:c r="Y133" s="402"/>
      <x:c r="Z133" s="402"/>
    </x:row>
    <x:row r="134">
      <x:c r="A134" s="402"/>
      <x:c r="B134" s="402"/>
      <x:c r="C134" s="402"/>
      <x:c r="D134" s="402"/>
      <x:c r="E134" s="402"/>
      <x:c r="F134" s="402"/>
      <x:c r="G134" s="402"/>
      <x:c r="H134" s="402"/>
      <x:c r="I134" s="402"/>
      <x:c r="J134" s="402"/>
      <x:c r="K134" s="402"/>
      <x:c r="L134" s="402"/>
      <x:c r="M134" s="402"/>
      <x:c r="N134" s="402"/>
      <x:c r="O134" s="402"/>
      <x:c r="P134" s="402"/>
      <x:c r="Q134" s="402"/>
      <x:c r="R134" s="402"/>
      <x:c r="S134" s="402"/>
      <x:c r="T134" s="402"/>
      <x:c r="U134" s="402"/>
      <x:c r="V134" s="402"/>
      <x:c r="W134" s="402"/>
      <x:c r="X134" s="402"/>
      <x:c r="Y134" s="402"/>
      <x:c r="Z134" s="402"/>
    </x:row>
    <x:row r="135">
      <x:c r="A135" s="402"/>
      <x:c r="B135" s="402"/>
      <x:c r="C135" s="402"/>
      <x:c r="D135" s="402"/>
      <x:c r="E135" s="402"/>
      <x:c r="F135" s="402"/>
      <x:c r="G135" s="402"/>
      <x:c r="H135" s="402"/>
      <x:c r="I135" s="402"/>
      <x:c r="J135" s="402"/>
      <x:c r="K135" s="402"/>
      <x:c r="L135" s="402"/>
      <x:c r="M135" s="402"/>
      <x:c r="N135" s="402"/>
      <x:c r="O135" s="402"/>
      <x:c r="P135" s="402"/>
      <x:c r="Q135" s="402"/>
      <x:c r="R135" s="402"/>
      <x:c r="S135" s="402"/>
      <x:c r="T135" s="402"/>
      <x:c r="U135" s="402"/>
      <x:c r="V135" s="402"/>
      <x:c r="W135" s="402"/>
      <x:c r="X135" s="402"/>
      <x:c r="Y135" s="402"/>
      <x:c r="Z135" s="402"/>
    </x:row>
    <x:row r="136">
      <x:c r="A136" s="402"/>
      <x:c r="B136" s="402"/>
      <x:c r="C136" s="402"/>
      <x:c r="D136" s="402"/>
      <x:c r="E136" s="402"/>
      <x:c r="F136" s="402"/>
      <x:c r="G136" s="402"/>
      <x:c r="H136" s="402"/>
      <x:c r="I136" s="402"/>
      <x:c r="J136" s="402"/>
      <x:c r="K136" s="402"/>
      <x:c r="L136" s="402"/>
      <x:c r="M136" s="402"/>
      <x:c r="N136" s="402"/>
      <x:c r="O136" s="402"/>
      <x:c r="P136" s="402"/>
      <x:c r="Q136" s="402"/>
      <x:c r="R136" s="402"/>
      <x:c r="S136" s="402"/>
      <x:c r="T136" s="402"/>
      <x:c r="U136" s="402"/>
      <x:c r="V136" s="402"/>
      <x:c r="W136" s="402"/>
      <x:c r="X136" s="402"/>
      <x:c r="Y136" s="402"/>
      <x:c r="Z136" s="402"/>
    </x:row>
    <x:row r="137">
      <x:c r="A137" s="402"/>
      <x:c r="B137" s="402"/>
      <x:c r="C137" s="402"/>
      <x:c r="D137" s="402"/>
      <x:c r="E137" s="402"/>
      <x:c r="F137" s="402"/>
      <x:c r="G137" s="402"/>
      <x:c r="H137" s="402"/>
      <x:c r="I137" s="402"/>
      <x:c r="J137" s="402"/>
      <x:c r="K137" s="402"/>
      <x:c r="L137" s="402"/>
      <x:c r="M137" s="402"/>
      <x:c r="N137" s="402"/>
      <x:c r="O137" s="402"/>
      <x:c r="P137" s="402"/>
      <x:c r="Q137" s="402"/>
      <x:c r="R137" s="402"/>
      <x:c r="S137" s="402"/>
      <x:c r="T137" s="402"/>
      <x:c r="U137" s="402"/>
      <x:c r="V137" s="402"/>
      <x:c r="W137" s="402"/>
      <x:c r="X137" s="402"/>
      <x:c r="Y137" s="402"/>
      <x:c r="Z137" s="402"/>
    </x:row>
    <x:row r="138">
      <x:c r="A138" s="402"/>
      <x:c r="B138" s="402"/>
      <x:c r="C138" s="402"/>
      <x:c r="D138" s="402"/>
      <x:c r="E138" s="402"/>
      <x:c r="F138" s="402"/>
      <x:c r="G138" s="402"/>
      <x:c r="H138" s="402"/>
      <x:c r="I138" s="402"/>
      <x:c r="J138" s="402"/>
      <x:c r="K138" s="402"/>
      <x:c r="L138" s="402"/>
      <x:c r="M138" s="402"/>
      <x:c r="N138" s="402"/>
      <x:c r="O138" s="402"/>
      <x:c r="P138" s="402"/>
      <x:c r="Q138" s="402"/>
      <x:c r="R138" s="402"/>
      <x:c r="S138" s="402"/>
      <x:c r="T138" s="402"/>
      <x:c r="U138" s="402"/>
      <x:c r="V138" s="402"/>
      <x:c r="W138" s="402"/>
      <x:c r="X138" s="402"/>
      <x:c r="Y138" s="402"/>
      <x:c r="Z138" s="402"/>
    </x:row>
    <x:row r="139">
      <x:c r="A139" s="402"/>
      <x:c r="B139" s="402"/>
      <x:c r="C139" s="402"/>
      <x:c r="D139" s="402"/>
      <x:c r="E139" s="402"/>
      <x:c r="F139" s="402"/>
      <x:c r="G139" s="402"/>
      <x:c r="H139" s="402"/>
      <x:c r="I139" s="402"/>
      <x:c r="J139" s="402"/>
      <x:c r="K139" s="402"/>
      <x:c r="L139" s="402"/>
      <x:c r="M139" s="402"/>
      <x:c r="N139" s="402"/>
      <x:c r="O139" s="402"/>
      <x:c r="P139" s="402"/>
      <x:c r="Q139" s="402"/>
      <x:c r="R139" s="402"/>
      <x:c r="S139" s="402"/>
      <x:c r="T139" s="402"/>
      <x:c r="U139" s="402"/>
      <x:c r="V139" s="402"/>
      <x:c r="W139" s="402"/>
      <x:c r="X139" s="402"/>
      <x:c r="Y139" s="402"/>
      <x:c r="Z139" s="402"/>
    </x:row>
    <x:row r="140">
      <x:c r="A140" s="402"/>
      <x:c r="B140" s="402"/>
      <x:c r="C140" s="402"/>
      <x:c r="D140" s="402"/>
      <x:c r="E140" s="402"/>
      <x:c r="F140" s="402"/>
      <x:c r="G140" s="402"/>
      <x:c r="H140" s="402"/>
      <x:c r="I140" s="402"/>
      <x:c r="J140" s="402"/>
      <x:c r="K140" s="402"/>
      <x:c r="L140" s="402"/>
      <x:c r="M140" s="402"/>
      <x:c r="N140" s="402"/>
      <x:c r="O140" s="402"/>
      <x:c r="P140" s="402"/>
      <x:c r="Q140" s="402"/>
      <x:c r="R140" s="402"/>
      <x:c r="S140" s="402"/>
      <x:c r="T140" s="402"/>
      <x:c r="U140" s="402"/>
      <x:c r="V140" s="402"/>
      <x:c r="W140" s="402"/>
      <x:c r="X140" s="402"/>
      <x:c r="Y140" s="402"/>
      <x:c r="Z140" s="402"/>
    </x:row>
    <x:row r="141">
      <x:c r="A141" s="402"/>
      <x:c r="B141" s="402"/>
      <x:c r="C141" s="402"/>
      <x:c r="D141" s="402"/>
      <x:c r="E141" s="402"/>
      <x:c r="F141" s="402"/>
      <x:c r="G141" s="402"/>
      <x:c r="H141" s="402"/>
      <x:c r="I141" s="402"/>
      <x:c r="J141" s="402"/>
      <x:c r="K141" s="402"/>
      <x:c r="L141" s="402"/>
      <x:c r="M141" s="402"/>
      <x:c r="N141" s="402"/>
      <x:c r="O141" s="402"/>
      <x:c r="P141" s="402"/>
      <x:c r="Q141" s="402"/>
      <x:c r="R141" s="402"/>
      <x:c r="S141" s="402"/>
      <x:c r="T141" s="402"/>
      <x:c r="U141" s="402"/>
      <x:c r="V141" s="402"/>
      <x:c r="W141" s="402"/>
      <x:c r="X141" s="402"/>
      <x:c r="Y141" s="402"/>
      <x:c r="Z141" s="402"/>
    </x:row>
    <x:row r="142">
      <x:c r="A142" s="402"/>
      <x:c r="B142" s="402"/>
      <x:c r="C142" s="402"/>
      <x:c r="D142" s="402"/>
      <x:c r="E142" s="402"/>
      <x:c r="F142" s="402"/>
      <x:c r="G142" s="402"/>
      <x:c r="H142" s="402"/>
      <x:c r="I142" s="402"/>
      <x:c r="J142" s="402"/>
      <x:c r="K142" s="402"/>
      <x:c r="L142" s="402"/>
      <x:c r="M142" s="402"/>
      <x:c r="N142" s="402"/>
      <x:c r="O142" s="402"/>
      <x:c r="P142" s="402"/>
      <x:c r="Q142" s="402"/>
      <x:c r="R142" s="402"/>
      <x:c r="S142" s="402"/>
      <x:c r="T142" s="402"/>
      <x:c r="U142" s="402"/>
      <x:c r="V142" s="402"/>
      <x:c r="W142" s="402"/>
      <x:c r="X142" s="402"/>
      <x:c r="Y142" s="402"/>
      <x:c r="Z142" s="402"/>
    </x:row>
    <x:row r="143">
      <x:c r="A143" s="402"/>
      <x:c r="B143" s="402"/>
      <x:c r="C143" s="402"/>
      <x:c r="D143" s="402"/>
      <x:c r="E143" s="402"/>
      <x:c r="F143" s="402"/>
      <x:c r="G143" s="402"/>
      <x:c r="H143" s="402"/>
      <x:c r="I143" s="402"/>
      <x:c r="J143" s="402"/>
      <x:c r="K143" s="402"/>
      <x:c r="L143" s="402"/>
      <x:c r="M143" s="402"/>
      <x:c r="N143" s="402"/>
      <x:c r="O143" s="402"/>
      <x:c r="P143" s="402"/>
      <x:c r="Q143" s="402"/>
      <x:c r="R143" s="402"/>
      <x:c r="S143" s="402"/>
      <x:c r="T143" s="402"/>
      <x:c r="U143" s="402"/>
      <x:c r="V143" s="402"/>
      <x:c r="W143" s="402"/>
      <x:c r="X143" s="402"/>
      <x:c r="Y143" s="402"/>
      <x:c r="Z143" s="402"/>
    </x:row>
    <x:row r="144">
      <x:c r="A144" s="402"/>
      <x:c r="B144" s="402"/>
      <x:c r="C144" s="402"/>
      <x:c r="D144" s="402"/>
      <x:c r="E144" s="402"/>
      <x:c r="F144" s="402"/>
      <x:c r="G144" s="402"/>
      <x:c r="H144" s="402"/>
      <x:c r="I144" s="402"/>
      <x:c r="J144" s="402"/>
      <x:c r="K144" s="402"/>
      <x:c r="L144" s="402"/>
      <x:c r="M144" s="402"/>
      <x:c r="N144" s="402"/>
      <x:c r="O144" s="402"/>
      <x:c r="P144" s="402"/>
      <x:c r="Q144" s="402"/>
      <x:c r="R144" s="402"/>
      <x:c r="S144" s="402"/>
      <x:c r="T144" s="402"/>
      <x:c r="U144" s="402"/>
      <x:c r="V144" s="402"/>
      <x:c r="W144" s="402"/>
      <x:c r="X144" s="402"/>
      <x:c r="Y144" s="402"/>
      <x:c r="Z144" s="402"/>
    </x:row>
    <x:row r="145">
      <x:c r="A145" s="402"/>
      <x:c r="B145" s="402"/>
      <x:c r="C145" s="402"/>
      <x:c r="D145" s="402"/>
      <x:c r="E145" s="402"/>
      <x:c r="F145" s="402"/>
      <x:c r="G145" s="402"/>
      <x:c r="H145" s="402"/>
      <x:c r="I145" s="402"/>
      <x:c r="J145" s="402"/>
      <x:c r="K145" s="402"/>
      <x:c r="L145" s="402"/>
      <x:c r="M145" s="402"/>
      <x:c r="N145" s="402"/>
      <x:c r="O145" s="402"/>
      <x:c r="P145" s="402"/>
      <x:c r="Q145" s="402"/>
      <x:c r="R145" s="402"/>
      <x:c r="S145" s="402"/>
      <x:c r="T145" s="402"/>
      <x:c r="U145" s="402"/>
      <x:c r="V145" s="402"/>
      <x:c r="W145" s="402"/>
      <x:c r="X145" s="402"/>
      <x:c r="Y145" s="402"/>
      <x:c r="Z145" s="402"/>
    </x:row>
    <x:row r="146">
      <x:c r="A146" s="402"/>
      <x:c r="B146" s="402"/>
      <x:c r="C146" s="402"/>
      <x:c r="D146" s="402"/>
      <x:c r="E146" s="402"/>
      <x:c r="F146" s="402"/>
      <x:c r="G146" s="402"/>
      <x:c r="H146" s="402"/>
      <x:c r="I146" s="402"/>
      <x:c r="J146" s="402"/>
      <x:c r="K146" s="402"/>
      <x:c r="L146" s="402"/>
      <x:c r="M146" s="402"/>
      <x:c r="N146" s="402"/>
      <x:c r="O146" s="402"/>
      <x:c r="P146" s="402"/>
      <x:c r="Q146" s="402"/>
      <x:c r="R146" s="402"/>
      <x:c r="S146" s="402"/>
      <x:c r="T146" s="402"/>
      <x:c r="U146" s="402"/>
      <x:c r="V146" s="402"/>
      <x:c r="W146" s="402"/>
      <x:c r="X146" s="402"/>
      <x:c r="Y146" s="402"/>
      <x:c r="Z146" s="402"/>
    </x:row>
    <x:row r="147">
      <x:c r="A147" s="402"/>
      <x:c r="B147" s="402"/>
      <x:c r="C147" s="402"/>
      <x:c r="D147" s="402"/>
      <x:c r="E147" s="402"/>
      <x:c r="F147" s="402"/>
      <x:c r="G147" s="402"/>
      <x:c r="H147" s="402"/>
      <x:c r="I147" s="402"/>
      <x:c r="J147" s="402"/>
      <x:c r="K147" s="402"/>
      <x:c r="L147" s="402"/>
      <x:c r="M147" s="402"/>
      <x:c r="N147" s="402"/>
      <x:c r="O147" s="402"/>
      <x:c r="P147" s="402"/>
      <x:c r="Q147" s="402"/>
      <x:c r="R147" s="402"/>
      <x:c r="S147" s="402"/>
      <x:c r="T147" s="402"/>
      <x:c r="U147" s="402"/>
      <x:c r="V147" s="402"/>
      <x:c r="W147" s="402"/>
      <x:c r="X147" s="402"/>
      <x:c r="Y147" s="402"/>
      <x:c r="Z147" s="402"/>
    </x:row>
    <x:row r="148">
      <x:c r="A148" s="402"/>
      <x:c r="B148" s="402"/>
      <x:c r="C148" s="402"/>
      <x:c r="D148" s="402"/>
      <x:c r="E148" s="402"/>
      <x:c r="F148" s="402"/>
      <x:c r="G148" s="402"/>
      <x:c r="H148" s="402"/>
      <x:c r="I148" s="402"/>
      <x:c r="J148" s="402"/>
      <x:c r="K148" s="402"/>
      <x:c r="L148" s="402"/>
      <x:c r="M148" s="402"/>
      <x:c r="N148" s="402"/>
      <x:c r="O148" s="402"/>
      <x:c r="P148" s="402"/>
      <x:c r="Q148" s="402"/>
      <x:c r="R148" s="402"/>
      <x:c r="S148" s="402"/>
      <x:c r="T148" s="402"/>
      <x:c r="U148" s="402"/>
      <x:c r="V148" s="402"/>
      <x:c r="W148" s="402"/>
      <x:c r="X148" s="402"/>
      <x:c r="Y148" s="402"/>
      <x:c r="Z148" s="402"/>
    </x:row>
    <x:row r="149">
      <x:c r="A149" s="402"/>
      <x:c r="B149" s="402"/>
      <x:c r="C149" s="402"/>
      <x:c r="D149" s="402"/>
      <x:c r="E149" s="402"/>
      <x:c r="F149" s="402"/>
      <x:c r="G149" s="402"/>
      <x:c r="H149" s="402"/>
      <x:c r="I149" s="402"/>
      <x:c r="J149" s="402"/>
      <x:c r="K149" s="402"/>
      <x:c r="L149" s="402"/>
      <x:c r="M149" s="402"/>
      <x:c r="N149" s="402"/>
      <x:c r="O149" s="402"/>
      <x:c r="P149" s="402"/>
      <x:c r="Q149" s="402"/>
      <x:c r="R149" s="402"/>
      <x:c r="S149" s="402"/>
      <x:c r="T149" s="402"/>
      <x:c r="U149" s="402"/>
      <x:c r="V149" s="402"/>
      <x:c r="W149" s="402"/>
      <x:c r="X149" s="402"/>
      <x:c r="Y149" s="402"/>
      <x:c r="Z149" s="402"/>
    </x:row>
    <x:row r="150">
      <x:c r="A150" s="402"/>
      <x:c r="B150" s="402"/>
      <x:c r="C150" s="402"/>
      <x:c r="D150" s="402"/>
      <x:c r="E150" s="402"/>
      <x:c r="F150" s="402"/>
      <x:c r="G150" s="402"/>
      <x:c r="H150" s="402"/>
      <x:c r="I150" s="402"/>
      <x:c r="J150" s="402"/>
      <x:c r="K150" s="402"/>
      <x:c r="L150" s="402"/>
      <x:c r="M150" s="402"/>
      <x:c r="N150" s="402"/>
      <x:c r="O150" s="402"/>
      <x:c r="P150" s="402"/>
      <x:c r="Q150" s="402"/>
      <x:c r="R150" s="402"/>
      <x:c r="S150" s="402"/>
      <x:c r="T150" s="402"/>
      <x:c r="U150" s="402"/>
      <x:c r="V150" s="402"/>
      <x:c r="W150" s="402"/>
      <x:c r="X150" s="402"/>
      <x:c r="Y150" s="402"/>
      <x:c r="Z150" s="402"/>
    </x:row>
    <x:row r="151">
      <x:c r="A151" s="402"/>
      <x:c r="B151" s="402"/>
      <x:c r="C151" s="402"/>
      <x:c r="D151" s="402"/>
      <x:c r="E151" s="402"/>
      <x:c r="F151" s="402"/>
      <x:c r="G151" s="402"/>
      <x:c r="H151" s="402"/>
      <x:c r="I151" s="402"/>
      <x:c r="J151" s="402"/>
      <x:c r="K151" s="402"/>
      <x:c r="L151" s="402"/>
      <x:c r="M151" s="402"/>
      <x:c r="N151" s="402"/>
      <x:c r="O151" s="402"/>
      <x:c r="P151" s="402"/>
      <x:c r="Q151" s="402"/>
      <x:c r="R151" s="402"/>
      <x:c r="S151" s="402"/>
      <x:c r="T151" s="402"/>
      <x:c r="U151" s="402"/>
      <x:c r="V151" s="402"/>
      <x:c r="W151" s="402"/>
      <x:c r="X151" s="402"/>
      <x:c r="Y151" s="402"/>
      <x:c r="Z151" s="402"/>
    </x:row>
    <x:row r="152">
      <x:c r="A152" s="402"/>
      <x:c r="B152" s="402"/>
      <x:c r="C152" s="402"/>
      <x:c r="D152" s="402"/>
      <x:c r="E152" s="402"/>
      <x:c r="F152" s="402"/>
      <x:c r="G152" s="402"/>
      <x:c r="H152" s="402"/>
      <x:c r="I152" s="402"/>
      <x:c r="J152" s="402"/>
      <x:c r="K152" s="402"/>
      <x:c r="L152" s="402"/>
      <x:c r="M152" s="402"/>
      <x:c r="N152" s="402"/>
      <x:c r="O152" s="402"/>
      <x:c r="P152" s="402"/>
      <x:c r="Q152" s="402"/>
      <x:c r="R152" s="402"/>
      <x:c r="S152" s="402"/>
      <x:c r="T152" s="402"/>
      <x:c r="U152" s="402"/>
      <x:c r="V152" s="402"/>
      <x:c r="W152" s="402"/>
      <x:c r="X152" s="402"/>
      <x:c r="Y152" s="402"/>
      <x:c r="Z152" s="402"/>
    </x:row>
    <x:row r="153">
      <x:c r="A153" s="402"/>
      <x:c r="B153" s="402"/>
      <x:c r="C153" s="402"/>
      <x:c r="D153" s="402"/>
      <x:c r="E153" s="402"/>
      <x:c r="F153" s="402"/>
      <x:c r="G153" s="402"/>
      <x:c r="H153" s="402"/>
      <x:c r="I153" s="402"/>
      <x:c r="J153" s="402"/>
      <x:c r="K153" s="402"/>
      <x:c r="L153" s="402"/>
      <x:c r="M153" s="402"/>
      <x:c r="N153" s="402"/>
      <x:c r="O153" s="402"/>
      <x:c r="P153" s="402"/>
      <x:c r="Q153" s="402"/>
      <x:c r="R153" s="402"/>
      <x:c r="S153" s="402"/>
      <x:c r="T153" s="402"/>
      <x:c r="U153" s="402"/>
      <x:c r="V153" s="402"/>
      <x:c r="W153" s="402"/>
      <x:c r="X153" s="402"/>
      <x:c r="Y153" s="402"/>
      <x:c r="Z153" s="402"/>
    </x:row>
    <x:row r="154">
      <x:c r="A154" s="402"/>
      <x:c r="B154" s="402"/>
      <x:c r="C154" s="402"/>
      <x:c r="D154" s="402"/>
      <x:c r="E154" s="402"/>
      <x:c r="F154" s="402"/>
      <x:c r="G154" s="402"/>
      <x:c r="H154" s="402"/>
      <x:c r="I154" s="402"/>
      <x:c r="J154" s="402"/>
      <x:c r="K154" s="402"/>
      <x:c r="L154" s="402"/>
      <x:c r="M154" s="402"/>
      <x:c r="N154" s="402"/>
      <x:c r="O154" s="402"/>
      <x:c r="P154" s="402"/>
      <x:c r="Q154" s="402"/>
      <x:c r="R154" s="402"/>
      <x:c r="S154" s="402"/>
      <x:c r="T154" s="402"/>
      <x:c r="U154" s="402"/>
      <x:c r="V154" s="402"/>
      <x:c r="W154" s="402"/>
      <x:c r="X154" s="402"/>
      <x:c r="Y154" s="402"/>
      <x:c r="Z154" s="402"/>
    </x:row>
    <x:row r="155">
      <x:c r="A155" s="402"/>
      <x:c r="B155" s="402"/>
      <x:c r="C155" s="402"/>
      <x:c r="D155" s="402"/>
      <x:c r="E155" s="402"/>
      <x:c r="F155" s="402"/>
      <x:c r="G155" s="402"/>
      <x:c r="H155" s="402"/>
      <x:c r="I155" s="402"/>
      <x:c r="J155" s="402"/>
      <x:c r="K155" s="402"/>
      <x:c r="L155" s="402"/>
      <x:c r="M155" s="402"/>
      <x:c r="N155" s="402"/>
      <x:c r="O155" s="402"/>
      <x:c r="P155" s="402"/>
      <x:c r="Q155" s="402"/>
      <x:c r="R155" s="402"/>
      <x:c r="S155" s="402"/>
      <x:c r="T155" s="402"/>
      <x:c r="U155" s="402"/>
      <x:c r="V155" s="402"/>
      <x:c r="W155" s="402"/>
      <x:c r="X155" s="402"/>
      <x:c r="Y155" s="402"/>
      <x:c r="Z155" s="402"/>
    </x:row>
    <x:row r="156">
      <x:c r="A156" s="402"/>
      <x:c r="B156" s="402"/>
      <x:c r="C156" s="402"/>
      <x:c r="D156" s="402"/>
      <x:c r="E156" s="402"/>
      <x:c r="F156" s="402"/>
      <x:c r="G156" s="402"/>
      <x:c r="H156" s="402"/>
      <x:c r="I156" s="402"/>
      <x:c r="J156" s="402"/>
      <x:c r="K156" s="402"/>
      <x:c r="L156" s="402"/>
      <x:c r="M156" s="402"/>
      <x:c r="N156" s="402"/>
      <x:c r="O156" s="402"/>
      <x:c r="P156" s="402"/>
      <x:c r="Q156" s="402"/>
      <x:c r="R156" s="402"/>
      <x:c r="S156" s="402"/>
      <x:c r="T156" s="402"/>
      <x:c r="U156" s="402"/>
      <x:c r="V156" s="402"/>
      <x:c r="W156" s="402"/>
      <x:c r="X156" s="402"/>
      <x:c r="Y156" s="402"/>
      <x:c r="Z156" s="402"/>
    </x:row>
    <x:row r="157">
      <x:c r="A157" s="402"/>
      <x:c r="B157" s="402"/>
      <x:c r="C157" s="402"/>
      <x:c r="D157" s="402"/>
      <x:c r="E157" s="402"/>
      <x:c r="F157" s="402"/>
      <x:c r="G157" s="402"/>
      <x:c r="H157" s="402"/>
      <x:c r="I157" s="402"/>
      <x:c r="J157" s="402"/>
      <x:c r="K157" s="402"/>
      <x:c r="L157" s="402"/>
      <x:c r="M157" s="402"/>
      <x:c r="N157" s="402"/>
      <x:c r="O157" s="402"/>
      <x:c r="P157" s="402"/>
      <x:c r="Q157" s="402"/>
      <x:c r="R157" s="402"/>
      <x:c r="S157" s="402"/>
      <x:c r="T157" s="402"/>
      <x:c r="U157" s="402"/>
      <x:c r="V157" s="402"/>
      <x:c r="W157" s="402"/>
      <x:c r="X157" s="402"/>
      <x:c r="Y157" s="402"/>
      <x:c r="Z157" s="402"/>
    </x:row>
    <x:row r="158">
      <x:c r="A158" s="402"/>
      <x:c r="B158" s="402"/>
      <x:c r="C158" s="402"/>
      <x:c r="D158" s="402"/>
      <x:c r="E158" s="402"/>
      <x:c r="F158" s="402"/>
      <x:c r="G158" s="402"/>
      <x:c r="H158" s="402"/>
      <x:c r="I158" s="402"/>
      <x:c r="J158" s="402"/>
      <x:c r="K158" s="402"/>
      <x:c r="L158" s="402"/>
      <x:c r="M158" s="402"/>
      <x:c r="N158" s="402"/>
      <x:c r="O158" s="402"/>
      <x:c r="P158" s="402"/>
      <x:c r="Q158" s="402"/>
      <x:c r="R158" s="402"/>
      <x:c r="S158" s="402"/>
      <x:c r="T158" s="402"/>
      <x:c r="U158" s="402"/>
      <x:c r="V158" s="402"/>
      <x:c r="W158" s="402"/>
      <x:c r="X158" s="402"/>
      <x:c r="Y158" s="402"/>
      <x:c r="Z158" s="402"/>
    </x:row>
    <x:row r="159">
      <x:c r="A159" s="402"/>
      <x:c r="B159" s="402"/>
      <x:c r="C159" s="402"/>
      <x:c r="D159" s="402"/>
      <x:c r="E159" s="402"/>
      <x:c r="F159" s="402"/>
      <x:c r="G159" s="402"/>
      <x:c r="H159" s="402"/>
      <x:c r="I159" s="402"/>
      <x:c r="J159" s="402"/>
      <x:c r="K159" s="402"/>
      <x:c r="L159" s="402"/>
      <x:c r="M159" s="402"/>
      <x:c r="N159" s="402"/>
      <x:c r="O159" s="402"/>
      <x:c r="P159" s="402"/>
      <x:c r="Q159" s="402"/>
      <x:c r="R159" s="402"/>
      <x:c r="S159" s="402"/>
      <x:c r="T159" s="402"/>
      <x:c r="U159" s="402"/>
      <x:c r="V159" s="402"/>
      <x:c r="W159" s="402"/>
      <x:c r="X159" s="402"/>
      <x:c r="Y159" s="402"/>
      <x:c r="Z159" s="402"/>
    </x:row>
    <x:row r="160">
      <x:c r="A160" s="402"/>
      <x:c r="B160" s="402"/>
      <x:c r="C160" s="402"/>
      <x:c r="D160" s="402"/>
      <x:c r="E160" s="402"/>
      <x:c r="F160" s="402"/>
      <x:c r="G160" s="402"/>
      <x:c r="H160" s="402"/>
      <x:c r="I160" s="402"/>
      <x:c r="J160" s="402"/>
      <x:c r="K160" s="402"/>
      <x:c r="L160" s="402"/>
      <x:c r="M160" s="402"/>
      <x:c r="N160" s="402"/>
      <x:c r="O160" s="402"/>
      <x:c r="P160" s="402"/>
      <x:c r="Q160" s="402"/>
      <x:c r="R160" s="402"/>
      <x:c r="S160" s="402"/>
      <x:c r="T160" s="402"/>
      <x:c r="U160" s="402"/>
      <x:c r="V160" s="402"/>
      <x:c r="W160" s="402"/>
      <x:c r="X160" s="402"/>
      <x:c r="Y160" s="402"/>
      <x:c r="Z160" s="402"/>
    </x:row>
    <x:row r="161">
      <x:c r="A161" s="402"/>
      <x:c r="B161" s="402"/>
      <x:c r="C161" s="402"/>
      <x:c r="D161" s="402"/>
      <x:c r="E161" s="402"/>
      <x:c r="F161" s="402"/>
      <x:c r="G161" s="402"/>
      <x:c r="H161" s="402"/>
      <x:c r="I161" s="402"/>
      <x:c r="J161" s="402"/>
      <x:c r="K161" s="402"/>
      <x:c r="L161" s="402"/>
      <x:c r="M161" s="402"/>
      <x:c r="N161" s="402"/>
      <x:c r="O161" s="402"/>
      <x:c r="P161" s="402"/>
      <x:c r="Q161" s="402"/>
      <x:c r="R161" s="402"/>
      <x:c r="S161" s="402"/>
      <x:c r="T161" s="402"/>
      <x:c r="U161" s="402"/>
      <x:c r="V161" s="402"/>
      <x:c r="W161" s="402"/>
      <x:c r="X161" s="402"/>
      <x:c r="Y161" s="402"/>
      <x:c r="Z161" s="402"/>
    </x:row>
    <x:row r="162">
      <x:c r="A162" s="402"/>
      <x:c r="B162" s="402"/>
      <x:c r="C162" s="402"/>
      <x:c r="D162" s="402"/>
      <x:c r="E162" s="402"/>
      <x:c r="F162" s="402"/>
      <x:c r="G162" s="402"/>
      <x:c r="H162" s="402"/>
      <x:c r="I162" s="402"/>
      <x:c r="J162" s="402"/>
      <x:c r="K162" s="402"/>
      <x:c r="L162" s="402"/>
      <x:c r="M162" s="402"/>
      <x:c r="N162" s="402"/>
      <x:c r="O162" s="402"/>
      <x:c r="P162" s="402"/>
      <x:c r="Q162" s="402"/>
      <x:c r="R162" s="402"/>
      <x:c r="S162" s="402"/>
      <x:c r="T162" s="402"/>
      <x:c r="U162" s="402"/>
      <x:c r="V162" s="402"/>
      <x:c r="W162" s="402"/>
      <x:c r="X162" s="402"/>
      <x:c r="Y162" s="402"/>
      <x:c r="Z162" s="402"/>
    </x:row>
    <x:row r="163">
      <x:c r="A163" s="402"/>
      <x:c r="B163" s="402"/>
      <x:c r="C163" s="402"/>
      <x:c r="D163" s="402"/>
      <x:c r="E163" s="402"/>
      <x:c r="F163" s="402"/>
      <x:c r="G163" s="402"/>
      <x:c r="H163" s="402"/>
      <x:c r="I163" s="402"/>
      <x:c r="J163" s="402"/>
      <x:c r="K163" s="402"/>
      <x:c r="L163" s="402"/>
      <x:c r="M163" s="402"/>
      <x:c r="N163" s="402"/>
      <x:c r="O163" s="402"/>
      <x:c r="P163" s="402"/>
      <x:c r="Q163" s="402"/>
      <x:c r="R163" s="402"/>
      <x:c r="S163" s="402"/>
      <x:c r="T163" s="402"/>
      <x:c r="U163" s="402"/>
      <x:c r="V163" s="402"/>
      <x:c r="W163" s="402"/>
      <x:c r="X163" s="402"/>
      <x:c r="Y163" s="402"/>
      <x:c r="Z163" s="402"/>
    </x:row>
    <x:row r="164">
      <x:c r="A164" s="402"/>
      <x:c r="B164" s="402"/>
      <x:c r="C164" s="402"/>
      <x:c r="D164" s="402"/>
      <x:c r="E164" s="402"/>
      <x:c r="F164" s="402"/>
      <x:c r="G164" s="402"/>
      <x:c r="H164" s="402"/>
      <x:c r="I164" s="402"/>
      <x:c r="J164" s="402"/>
      <x:c r="K164" s="402"/>
      <x:c r="L164" s="402"/>
      <x:c r="M164" s="402"/>
      <x:c r="N164" s="402"/>
      <x:c r="O164" s="402"/>
      <x:c r="P164" s="402"/>
      <x:c r="Q164" s="402"/>
      <x:c r="R164" s="402"/>
      <x:c r="S164" s="402"/>
      <x:c r="T164" s="402"/>
      <x:c r="U164" s="402"/>
      <x:c r="V164" s="402"/>
      <x:c r="W164" s="402"/>
      <x:c r="X164" s="402"/>
      <x:c r="Y164" s="402"/>
      <x:c r="Z164" s="402"/>
    </x:row>
    <x:row r="165">
      <x:c r="A165" s="402"/>
      <x:c r="B165" s="402"/>
      <x:c r="C165" s="402"/>
      <x:c r="D165" s="402"/>
      <x:c r="E165" s="402"/>
      <x:c r="F165" s="402"/>
      <x:c r="G165" s="402"/>
      <x:c r="H165" s="402"/>
      <x:c r="I165" s="402"/>
      <x:c r="J165" s="402"/>
      <x:c r="K165" s="402"/>
      <x:c r="L165" s="402"/>
      <x:c r="M165" s="402"/>
      <x:c r="N165" s="402"/>
      <x:c r="O165" s="402"/>
      <x:c r="P165" s="402"/>
      <x:c r="Q165" s="402"/>
      <x:c r="R165" s="402"/>
      <x:c r="S165" s="402"/>
      <x:c r="T165" s="402"/>
      <x:c r="U165" s="402"/>
      <x:c r="V165" s="402"/>
      <x:c r="W165" s="402"/>
      <x:c r="X165" s="402"/>
      <x:c r="Y165" s="402"/>
      <x:c r="Z165" s="402"/>
    </x:row>
    <x:row r="166">
      <x:c r="A166" s="402"/>
      <x:c r="B166" s="402"/>
      <x:c r="C166" s="402"/>
      <x:c r="D166" s="402"/>
      <x:c r="E166" s="402"/>
      <x:c r="F166" s="402"/>
      <x:c r="G166" s="402"/>
      <x:c r="H166" s="402"/>
      <x:c r="I166" s="402"/>
      <x:c r="J166" s="402"/>
      <x:c r="K166" s="402"/>
      <x:c r="L166" s="402"/>
      <x:c r="M166" s="402"/>
      <x:c r="N166" s="402"/>
      <x:c r="O166" s="402"/>
      <x:c r="P166" s="402"/>
      <x:c r="Q166" s="402"/>
      <x:c r="R166" s="402"/>
      <x:c r="S166" s="402"/>
      <x:c r="T166" s="402"/>
      <x:c r="U166" s="402"/>
      <x:c r="V166" s="402"/>
      <x:c r="W166" s="402"/>
      <x:c r="X166" s="402"/>
      <x:c r="Y166" s="402"/>
      <x:c r="Z166" s="402"/>
    </x:row>
    <x:row r="167">
      <x:c r="A167" s="402"/>
      <x:c r="B167" s="402"/>
      <x:c r="C167" s="402"/>
      <x:c r="D167" s="402"/>
      <x:c r="E167" s="402"/>
      <x:c r="F167" s="402"/>
      <x:c r="G167" s="402"/>
      <x:c r="H167" s="402"/>
      <x:c r="I167" s="402"/>
      <x:c r="J167" s="402"/>
      <x:c r="K167" s="402"/>
      <x:c r="L167" s="402"/>
      <x:c r="M167" s="402"/>
      <x:c r="N167" s="402"/>
      <x:c r="O167" s="402"/>
      <x:c r="P167" s="402"/>
      <x:c r="Q167" s="402"/>
      <x:c r="R167" s="402"/>
      <x:c r="S167" s="402"/>
      <x:c r="T167" s="402"/>
      <x:c r="U167" s="402"/>
      <x:c r="V167" s="402"/>
      <x:c r="W167" s="402"/>
      <x:c r="X167" s="402"/>
      <x:c r="Y167" s="402"/>
      <x:c r="Z167" s="402"/>
    </x:row>
    <x:row r="168">
      <x:c r="A168" s="402"/>
      <x:c r="B168" s="402"/>
      <x:c r="C168" s="402"/>
      <x:c r="D168" s="402"/>
      <x:c r="E168" s="402"/>
      <x:c r="F168" s="402"/>
      <x:c r="G168" s="402"/>
      <x:c r="H168" s="402"/>
      <x:c r="I168" s="402"/>
      <x:c r="J168" s="402"/>
      <x:c r="K168" s="402"/>
      <x:c r="L168" s="402"/>
      <x:c r="M168" s="402"/>
      <x:c r="N168" s="402"/>
      <x:c r="O168" s="402"/>
      <x:c r="P168" s="402"/>
      <x:c r="Q168" s="402"/>
      <x:c r="R168" s="402"/>
      <x:c r="S168" s="402"/>
      <x:c r="T168" s="402"/>
      <x:c r="U168" s="402"/>
      <x:c r="V168" s="402"/>
      <x:c r="W168" s="402"/>
      <x:c r="X168" s="402"/>
      <x:c r="Y168" s="402"/>
      <x:c r="Z168" s="402"/>
    </x:row>
    <x:row r="169">
      <x:c r="A169" s="402"/>
      <x:c r="B169" s="402"/>
      <x:c r="C169" s="402"/>
      <x:c r="D169" s="402"/>
      <x:c r="E169" s="402"/>
      <x:c r="F169" s="402"/>
      <x:c r="G169" s="402"/>
      <x:c r="H169" s="402"/>
      <x:c r="I169" s="402"/>
      <x:c r="J169" s="402"/>
      <x:c r="K169" s="402"/>
      <x:c r="L169" s="402"/>
      <x:c r="M169" s="402"/>
      <x:c r="N169" s="402"/>
      <x:c r="O169" s="402"/>
      <x:c r="P169" s="402"/>
      <x:c r="Q169" s="402"/>
      <x:c r="R169" s="402"/>
      <x:c r="S169" s="402"/>
      <x:c r="T169" s="402"/>
      <x:c r="U169" s="402"/>
      <x:c r="V169" s="402"/>
      <x:c r="W169" s="402"/>
      <x:c r="X169" s="402"/>
      <x:c r="Y169" s="402"/>
      <x:c r="Z169" s="402"/>
    </x:row>
    <x:row r="170">
      <x:c r="A170" s="402"/>
      <x:c r="B170" s="402"/>
      <x:c r="C170" s="402"/>
      <x:c r="D170" s="402"/>
      <x:c r="E170" s="402"/>
      <x:c r="F170" s="402"/>
      <x:c r="G170" s="402"/>
      <x:c r="H170" s="402"/>
      <x:c r="I170" s="402"/>
      <x:c r="J170" s="402"/>
      <x:c r="K170" s="402"/>
      <x:c r="L170" s="402"/>
      <x:c r="M170" s="402"/>
      <x:c r="N170" s="402"/>
      <x:c r="O170" s="402"/>
      <x:c r="P170" s="402"/>
      <x:c r="Q170" s="402"/>
      <x:c r="R170" s="402"/>
      <x:c r="S170" s="402"/>
      <x:c r="T170" s="402"/>
      <x:c r="U170" s="402"/>
      <x:c r="V170" s="402"/>
      <x:c r="W170" s="402"/>
      <x:c r="X170" s="402"/>
      <x:c r="Y170" s="402"/>
      <x:c r="Z170" s="402"/>
    </x:row>
    <x:row r="171">
      <x:c r="A171" s="402"/>
      <x:c r="B171" s="402"/>
      <x:c r="C171" s="402"/>
      <x:c r="D171" s="402"/>
      <x:c r="E171" s="402"/>
      <x:c r="F171" s="402"/>
      <x:c r="G171" s="402"/>
      <x:c r="H171" s="402"/>
      <x:c r="I171" s="402"/>
      <x:c r="J171" s="402"/>
      <x:c r="K171" s="402"/>
      <x:c r="L171" s="402"/>
      <x:c r="M171" s="402"/>
      <x:c r="N171" s="402"/>
      <x:c r="O171" s="402"/>
      <x:c r="P171" s="402"/>
      <x:c r="Q171" s="402"/>
      <x:c r="R171" s="402"/>
      <x:c r="S171" s="402"/>
      <x:c r="T171" s="402"/>
      <x:c r="U171" s="402"/>
      <x:c r="V171" s="402"/>
      <x:c r="W171" s="402"/>
      <x:c r="X171" s="402"/>
      <x:c r="Y171" s="402"/>
      <x:c r="Z171" s="402"/>
    </x:row>
    <x:row r="172">
      <x:c r="A172" s="402"/>
      <x:c r="B172" s="402"/>
      <x:c r="C172" s="402"/>
      <x:c r="D172" s="402"/>
      <x:c r="E172" s="402"/>
      <x:c r="F172" s="402"/>
      <x:c r="G172" s="402"/>
      <x:c r="H172" s="402"/>
      <x:c r="I172" s="402"/>
      <x:c r="J172" s="402"/>
      <x:c r="K172" s="402"/>
      <x:c r="L172" s="402"/>
      <x:c r="M172" s="402"/>
      <x:c r="N172" s="402"/>
      <x:c r="O172" s="402"/>
      <x:c r="P172" s="402"/>
      <x:c r="Q172" s="402"/>
      <x:c r="R172" s="402"/>
      <x:c r="S172" s="402"/>
      <x:c r="T172" s="402"/>
      <x:c r="U172" s="402"/>
      <x:c r="V172" s="402"/>
      <x:c r="W172" s="402"/>
      <x:c r="X172" s="402"/>
      <x:c r="Y172" s="402"/>
      <x:c r="Z172" s="402"/>
    </x:row>
    <x:row r="173">
      <x:c r="A173" s="402"/>
      <x:c r="B173" s="402"/>
      <x:c r="C173" s="402"/>
      <x:c r="D173" s="402"/>
      <x:c r="E173" s="402"/>
      <x:c r="F173" s="402"/>
      <x:c r="G173" s="402"/>
      <x:c r="H173" s="402"/>
      <x:c r="I173" s="402"/>
      <x:c r="J173" s="402"/>
      <x:c r="K173" s="402"/>
      <x:c r="L173" s="402"/>
      <x:c r="M173" s="402"/>
      <x:c r="N173" s="402"/>
      <x:c r="O173" s="402"/>
      <x:c r="P173" s="402"/>
      <x:c r="Q173" s="402"/>
      <x:c r="R173" s="402"/>
      <x:c r="S173" s="402"/>
      <x:c r="T173" s="402"/>
      <x:c r="U173" s="402"/>
      <x:c r="V173" s="402"/>
      <x:c r="W173" s="402"/>
      <x:c r="X173" s="402"/>
      <x:c r="Y173" s="402"/>
      <x:c r="Z173" s="402"/>
    </x:row>
    <x:row r="174">
      <x:c r="A174" s="402"/>
      <x:c r="B174" s="402"/>
      <x:c r="C174" s="402"/>
      <x:c r="D174" s="402"/>
      <x:c r="E174" s="402"/>
      <x:c r="F174" s="402"/>
      <x:c r="G174" s="402"/>
      <x:c r="H174" s="402"/>
      <x:c r="I174" s="402"/>
      <x:c r="J174" s="402"/>
      <x:c r="K174" s="402"/>
      <x:c r="L174" s="402"/>
      <x:c r="M174" s="402"/>
      <x:c r="N174" s="402"/>
      <x:c r="O174" s="402"/>
      <x:c r="P174" s="402"/>
      <x:c r="Q174" s="402"/>
      <x:c r="R174" s="402"/>
      <x:c r="S174" s="402"/>
      <x:c r="T174" s="402"/>
      <x:c r="U174" s="402"/>
      <x:c r="V174" s="402"/>
      <x:c r="W174" s="402"/>
      <x:c r="X174" s="402"/>
      <x:c r="Y174" s="402"/>
      <x:c r="Z174" s="402"/>
    </x:row>
    <x:row r="175">
      <x:c r="A175" s="402"/>
      <x:c r="B175" s="402"/>
      <x:c r="C175" s="402"/>
      <x:c r="D175" s="402"/>
      <x:c r="E175" s="402"/>
      <x:c r="F175" s="402"/>
      <x:c r="G175" s="402"/>
      <x:c r="H175" s="402"/>
      <x:c r="I175" s="402"/>
      <x:c r="J175" s="402"/>
      <x:c r="K175" s="402"/>
      <x:c r="L175" s="402"/>
      <x:c r="M175" s="402"/>
      <x:c r="N175" s="402"/>
      <x:c r="O175" s="402"/>
      <x:c r="P175" s="402"/>
      <x:c r="Q175" s="402"/>
      <x:c r="R175" s="402"/>
      <x:c r="S175" s="402"/>
      <x:c r="T175" s="402"/>
      <x:c r="U175" s="402"/>
      <x:c r="V175" s="402"/>
      <x:c r="W175" s="402"/>
      <x:c r="X175" s="402"/>
      <x:c r="Y175" s="402"/>
      <x:c r="Z175" s="402"/>
    </x:row>
    <x:row r="176">
      <x:c r="A176" s="402"/>
      <x:c r="B176" s="402"/>
      <x:c r="C176" s="402"/>
      <x:c r="D176" s="402"/>
      <x:c r="E176" s="402"/>
      <x:c r="F176" s="402"/>
      <x:c r="G176" s="402"/>
      <x:c r="H176" s="402"/>
      <x:c r="I176" s="402"/>
      <x:c r="J176" s="402"/>
      <x:c r="K176" s="402"/>
      <x:c r="L176" s="402"/>
      <x:c r="M176" s="402"/>
      <x:c r="N176" s="402"/>
      <x:c r="O176" s="402"/>
      <x:c r="P176" s="402"/>
      <x:c r="Q176" s="402"/>
      <x:c r="R176" s="402"/>
      <x:c r="S176" s="402"/>
      <x:c r="T176" s="402"/>
      <x:c r="U176" s="402"/>
      <x:c r="V176" s="402"/>
      <x:c r="W176" s="402"/>
      <x:c r="X176" s="402"/>
      <x:c r="Y176" s="402"/>
      <x:c r="Z176" s="402"/>
    </x:row>
    <x:row r="177">
      <x:c r="A177" s="402"/>
      <x:c r="B177" s="402"/>
      <x:c r="C177" s="402"/>
      <x:c r="D177" s="402"/>
      <x:c r="E177" s="402"/>
      <x:c r="F177" s="402"/>
      <x:c r="G177" s="402"/>
      <x:c r="H177" s="402"/>
      <x:c r="I177" s="402"/>
      <x:c r="J177" s="402"/>
      <x:c r="K177" s="402"/>
      <x:c r="L177" s="402"/>
      <x:c r="M177" s="402"/>
      <x:c r="N177" s="402"/>
      <x:c r="O177" s="402"/>
      <x:c r="P177" s="402"/>
      <x:c r="Q177" s="402"/>
      <x:c r="R177" s="402"/>
      <x:c r="S177" s="402"/>
      <x:c r="T177" s="402"/>
      <x:c r="U177" s="402"/>
      <x:c r="V177" s="402"/>
      <x:c r="W177" s="402"/>
      <x:c r="X177" s="402"/>
      <x:c r="Y177" s="402"/>
      <x:c r="Z177" s="402"/>
    </x:row>
    <x:row r="178">
      <x:c r="A178" s="402"/>
      <x:c r="B178" s="402"/>
      <x:c r="C178" s="402"/>
      <x:c r="D178" s="402"/>
      <x:c r="E178" s="402"/>
      <x:c r="F178" s="402"/>
      <x:c r="G178" s="402"/>
      <x:c r="H178" s="402"/>
      <x:c r="I178" s="402"/>
      <x:c r="J178" s="402"/>
      <x:c r="K178" s="402"/>
      <x:c r="L178" s="402"/>
      <x:c r="M178" s="402"/>
      <x:c r="N178" s="402"/>
      <x:c r="O178" s="402"/>
      <x:c r="P178" s="402"/>
      <x:c r="Q178" s="402"/>
      <x:c r="R178" s="402"/>
      <x:c r="S178" s="402"/>
      <x:c r="T178" s="402"/>
      <x:c r="U178" s="402"/>
      <x:c r="V178" s="402"/>
      <x:c r="W178" s="402"/>
      <x:c r="X178" s="402"/>
      <x:c r="Y178" s="402"/>
      <x:c r="Z178" s="402"/>
    </x:row>
    <x:row r="179">
      <x:c r="A179" s="402"/>
      <x:c r="B179" s="402"/>
      <x:c r="C179" s="402"/>
      <x:c r="D179" s="402"/>
      <x:c r="E179" s="402"/>
      <x:c r="F179" s="402"/>
      <x:c r="G179" s="402"/>
      <x:c r="H179" s="402"/>
      <x:c r="I179" s="402"/>
      <x:c r="J179" s="402"/>
      <x:c r="K179" s="402"/>
      <x:c r="L179" s="402"/>
      <x:c r="M179" s="402"/>
      <x:c r="N179" s="402"/>
      <x:c r="O179" s="402"/>
      <x:c r="P179" s="402"/>
      <x:c r="Q179" s="402"/>
      <x:c r="R179" s="402"/>
      <x:c r="S179" s="402"/>
      <x:c r="T179" s="402"/>
      <x:c r="U179" s="402"/>
      <x:c r="V179" s="402"/>
      <x:c r="W179" s="402"/>
      <x:c r="X179" s="402"/>
      <x:c r="Y179" s="402"/>
      <x:c r="Z179" s="402"/>
    </x:row>
    <x:row r="180">
      <x:c r="A180" s="402"/>
      <x:c r="B180" s="402"/>
      <x:c r="C180" s="402"/>
      <x:c r="D180" s="402"/>
      <x:c r="E180" s="402"/>
      <x:c r="F180" s="402"/>
      <x:c r="G180" s="402"/>
      <x:c r="H180" s="402"/>
      <x:c r="I180" s="402"/>
      <x:c r="J180" s="402"/>
      <x:c r="K180" s="402"/>
      <x:c r="L180" s="402"/>
      <x:c r="M180" s="402"/>
      <x:c r="N180" s="402"/>
      <x:c r="O180" s="402"/>
      <x:c r="P180" s="402"/>
      <x:c r="Q180" s="402"/>
      <x:c r="R180" s="402"/>
      <x:c r="S180" s="402"/>
      <x:c r="T180" s="402"/>
      <x:c r="U180" s="402"/>
      <x:c r="V180" s="402"/>
      <x:c r="W180" s="402"/>
      <x:c r="X180" s="402"/>
      <x:c r="Y180" s="402"/>
      <x:c r="Z180" s="402"/>
    </x:row>
    <x:row r="181">
      <x:c r="A181" s="402"/>
      <x:c r="B181" s="402"/>
      <x:c r="C181" s="402"/>
      <x:c r="D181" s="402"/>
      <x:c r="E181" s="402"/>
      <x:c r="F181" s="402"/>
      <x:c r="G181" s="402"/>
      <x:c r="H181" s="402"/>
      <x:c r="I181" s="402"/>
      <x:c r="J181" s="402"/>
      <x:c r="K181" s="402"/>
      <x:c r="L181" s="402"/>
      <x:c r="M181" s="402"/>
      <x:c r="N181" s="402"/>
      <x:c r="O181" s="402"/>
      <x:c r="P181" s="402"/>
      <x:c r="Q181" s="402"/>
      <x:c r="R181" s="402"/>
      <x:c r="S181" s="402"/>
      <x:c r="T181" s="402"/>
      <x:c r="U181" s="402"/>
      <x:c r="V181" s="402"/>
      <x:c r="W181" s="402"/>
      <x:c r="X181" s="402"/>
      <x:c r="Y181" s="402"/>
      <x:c r="Z181" s="402"/>
    </x:row>
    <x:row r="182">
      <x:c r="A182" s="402"/>
      <x:c r="B182" s="402"/>
      <x:c r="C182" s="402"/>
      <x:c r="D182" s="402"/>
      <x:c r="E182" s="402"/>
      <x:c r="F182" s="402"/>
      <x:c r="G182" s="402"/>
      <x:c r="H182" s="402"/>
      <x:c r="I182" s="402"/>
      <x:c r="J182" s="402"/>
      <x:c r="K182" s="402"/>
      <x:c r="L182" s="402"/>
      <x:c r="M182" s="402"/>
      <x:c r="N182" s="402"/>
      <x:c r="O182" s="402"/>
      <x:c r="P182" s="402"/>
      <x:c r="Q182" s="402"/>
      <x:c r="R182" s="402"/>
      <x:c r="S182" s="402"/>
      <x:c r="T182" s="402"/>
      <x:c r="U182" s="402"/>
      <x:c r="V182" s="402"/>
      <x:c r="W182" s="402"/>
      <x:c r="X182" s="402"/>
      <x:c r="Y182" s="402"/>
      <x:c r="Z182" s="402"/>
    </x:row>
    <x:row r="183">
      <x:c r="A183" s="402"/>
      <x:c r="B183" s="402"/>
      <x:c r="C183" s="402"/>
      <x:c r="D183" s="402"/>
      <x:c r="E183" s="402"/>
      <x:c r="F183" s="402"/>
      <x:c r="G183" s="402"/>
      <x:c r="H183" s="402"/>
      <x:c r="I183" s="402"/>
      <x:c r="J183" s="402"/>
      <x:c r="K183" s="402"/>
      <x:c r="L183" s="402"/>
      <x:c r="M183" s="402"/>
      <x:c r="N183" s="402"/>
      <x:c r="O183" s="402"/>
      <x:c r="P183" s="402"/>
      <x:c r="Q183" s="402"/>
      <x:c r="R183" s="402"/>
      <x:c r="S183" s="402"/>
      <x:c r="T183" s="402"/>
      <x:c r="U183" s="402"/>
      <x:c r="V183" s="402"/>
      <x:c r="W183" s="402"/>
      <x:c r="X183" s="402"/>
      <x:c r="Y183" s="402"/>
      <x:c r="Z183" s="402"/>
    </x:row>
    <x:row r="184">
      <x:c r="A184" s="402"/>
      <x:c r="B184" s="402"/>
      <x:c r="C184" s="402"/>
      <x:c r="D184" s="402"/>
      <x:c r="E184" s="402"/>
      <x:c r="F184" s="402"/>
      <x:c r="G184" s="402"/>
      <x:c r="H184" s="402"/>
      <x:c r="I184" s="402"/>
      <x:c r="J184" s="402"/>
      <x:c r="K184" s="402"/>
      <x:c r="L184" s="402"/>
      <x:c r="M184" s="402"/>
      <x:c r="N184" s="402"/>
      <x:c r="O184" s="402"/>
      <x:c r="P184" s="402"/>
      <x:c r="Q184" s="402"/>
      <x:c r="R184" s="402"/>
      <x:c r="S184" s="402"/>
      <x:c r="T184" s="402"/>
      <x:c r="U184" s="402"/>
      <x:c r="V184" s="402"/>
      <x:c r="W184" s="402"/>
      <x:c r="X184" s="402"/>
      <x:c r="Y184" s="402"/>
      <x:c r="Z184" s="402"/>
    </x:row>
    <x:row r="185">
      <x:c r="A185" s="402"/>
      <x:c r="B185" s="402"/>
      <x:c r="C185" s="402"/>
      <x:c r="D185" s="402"/>
      <x:c r="E185" s="402"/>
      <x:c r="F185" s="402"/>
      <x:c r="G185" s="402"/>
      <x:c r="H185" s="402"/>
      <x:c r="I185" s="402"/>
      <x:c r="J185" s="402"/>
      <x:c r="K185" s="402"/>
      <x:c r="L185" s="402"/>
      <x:c r="M185" s="402"/>
      <x:c r="N185" s="402"/>
      <x:c r="O185" s="402"/>
      <x:c r="P185" s="402"/>
      <x:c r="Q185" s="402"/>
      <x:c r="R185" s="402"/>
      <x:c r="S185" s="402"/>
      <x:c r="T185" s="402"/>
      <x:c r="U185" s="402"/>
      <x:c r="V185" s="402"/>
      <x:c r="W185" s="402"/>
      <x:c r="X185" s="402"/>
      <x:c r="Y185" s="402"/>
      <x:c r="Z185" s="402"/>
    </x:row>
    <x:row r="186">
      <x:c r="A186" s="402"/>
      <x:c r="B186" s="402"/>
      <x:c r="C186" s="402"/>
      <x:c r="D186" s="402"/>
      <x:c r="E186" s="402"/>
      <x:c r="F186" s="402"/>
      <x:c r="G186" s="402"/>
      <x:c r="H186" s="402"/>
      <x:c r="I186" s="402"/>
      <x:c r="J186" s="402"/>
      <x:c r="K186" s="402"/>
      <x:c r="L186" s="402"/>
      <x:c r="M186" s="402"/>
      <x:c r="N186" s="402"/>
      <x:c r="O186" s="402"/>
      <x:c r="P186" s="402"/>
      <x:c r="Q186" s="402"/>
      <x:c r="R186" s="402"/>
      <x:c r="S186" s="402"/>
      <x:c r="T186" s="402"/>
      <x:c r="U186" s="402"/>
      <x:c r="V186" s="402"/>
      <x:c r="W186" s="402"/>
      <x:c r="X186" s="402"/>
      <x:c r="Y186" s="402"/>
      <x:c r="Z186" s="402"/>
    </x:row>
    <x:row r="187">
      <x:c r="A187" s="402"/>
      <x:c r="B187" s="402"/>
      <x:c r="C187" s="402"/>
      <x:c r="D187" s="402"/>
      <x:c r="E187" s="402"/>
      <x:c r="F187" s="402"/>
      <x:c r="G187" s="402"/>
      <x:c r="H187" s="402"/>
      <x:c r="I187" s="402"/>
      <x:c r="J187" s="402"/>
      <x:c r="K187" s="402"/>
      <x:c r="L187" s="402"/>
      <x:c r="M187" s="402"/>
      <x:c r="N187" s="402"/>
      <x:c r="O187" s="402"/>
      <x:c r="P187" s="402"/>
      <x:c r="Q187" s="402"/>
      <x:c r="R187" s="402"/>
      <x:c r="S187" s="402"/>
      <x:c r="T187" s="402"/>
      <x:c r="U187" s="402"/>
      <x:c r="V187" s="402"/>
      <x:c r="W187" s="402"/>
      <x:c r="X187" s="402"/>
      <x:c r="Y187" s="402"/>
      <x:c r="Z187" s="402"/>
    </x:row>
    <x:row r="188">
      <x:c r="A188" s="402"/>
      <x:c r="B188" s="402"/>
      <x:c r="C188" s="402"/>
      <x:c r="D188" s="402"/>
      <x:c r="E188" s="402"/>
      <x:c r="F188" s="402"/>
      <x:c r="G188" s="402"/>
      <x:c r="H188" s="402"/>
      <x:c r="I188" s="402"/>
      <x:c r="J188" s="402"/>
      <x:c r="K188" s="402"/>
      <x:c r="L188" s="402"/>
      <x:c r="M188" s="402"/>
      <x:c r="N188" s="402"/>
      <x:c r="O188" s="402"/>
      <x:c r="P188" s="402"/>
      <x:c r="Q188" s="402"/>
      <x:c r="R188" s="402"/>
      <x:c r="S188" s="402"/>
      <x:c r="T188" s="402"/>
      <x:c r="U188" s="402"/>
      <x:c r="V188" s="402"/>
      <x:c r="W188" s="402"/>
      <x:c r="X188" s="402"/>
      <x:c r="Y188" s="402"/>
      <x:c r="Z188" s="402"/>
    </x:row>
    <x:row r="189">
      <x:c r="A189" s="402"/>
      <x:c r="B189" s="402"/>
      <x:c r="C189" s="402"/>
      <x:c r="D189" s="402"/>
      <x:c r="E189" s="402"/>
      <x:c r="F189" s="402"/>
      <x:c r="G189" s="402"/>
      <x:c r="H189" s="402"/>
      <x:c r="I189" s="402"/>
      <x:c r="J189" s="402"/>
      <x:c r="K189" s="402"/>
      <x:c r="L189" s="402"/>
      <x:c r="M189" s="402"/>
      <x:c r="N189" s="402"/>
      <x:c r="O189" s="402"/>
      <x:c r="P189" s="402"/>
      <x:c r="Q189" s="402"/>
      <x:c r="R189" s="402"/>
      <x:c r="S189" s="402"/>
      <x:c r="T189" s="402"/>
      <x:c r="U189" s="402"/>
      <x:c r="V189" s="402"/>
      <x:c r="W189" s="402"/>
      <x:c r="X189" s="402"/>
      <x:c r="Y189" s="402"/>
      <x:c r="Z189" s="402"/>
    </x:row>
    <x:row r="190">
      <x:c r="A190" s="402"/>
      <x:c r="B190" s="402"/>
      <x:c r="C190" s="402"/>
      <x:c r="D190" s="402"/>
      <x:c r="E190" s="402"/>
      <x:c r="F190" s="402"/>
      <x:c r="G190" s="402"/>
      <x:c r="H190" s="402"/>
      <x:c r="I190" s="402"/>
      <x:c r="J190" s="402"/>
      <x:c r="K190" s="402"/>
      <x:c r="L190" s="402"/>
      <x:c r="M190" s="402"/>
      <x:c r="N190" s="402"/>
      <x:c r="O190" s="402"/>
      <x:c r="P190" s="402"/>
      <x:c r="Q190" s="402"/>
      <x:c r="R190" s="402"/>
      <x:c r="S190" s="402"/>
      <x:c r="T190" s="402"/>
      <x:c r="U190" s="402"/>
      <x:c r="V190" s="402"/>
      <x:c r="W190" s="402"/>
      <x:c r="X190" s="402"/>
      <x:c r="Y190" s="402"/>
      <x:c r="Z190" s="402"/>
    </x:row>
    <x:row r="191">
      <x:c r="A191" s="402"/>
      <x:c r="B191" s="402"/>
      <x:c r="C191" s="402"/>
      <x:c r="D191" s="402"/>
      <x:c r="E191" s="402"/>
      <x:c r="F191" s="402"/>
      <x:c r="G191" s="402"/>
      <x:c r="H191" s="402"/>
      <x:c r="I191" s="402"/>
      <x:c r="J191" s="402"/>
      <x:c r="K191" s="402"/>
      <x:c r="L191" s="402"/>
      <x:c r="M191" s="402"/>
      <x:c r="N191" s="402"/>
      <x:c r="O191" s="402"/>
      <x:c r="P191" s="402"/>
      <x:c r="Q191" s="402"/>
      <x:c r="R191" s="402"/>
      <x:c r="S191" s="402"/>
      <x:c r="T191" s="402"/>
      <x:c r="U191" s="402"/>
      <x:c r="V191" s="402"/>
      <x:c r="W191" s="402"/>
      <x:c r="X191" s="402"/>
      <x:c r="Y191" s="402"/>
      <x:c r="Z191" s="402"/>
    </x:row>
    <x:row r="192">
      <x:c r="A192" s="402"/>
      <x:c r="B192" s="402"/>
      <x:c r="C192" s="402"/>
      <x:c r="D192" s="402"/>
      <x:c r="E192" s="402"/>
      <x:c r="F192" s="402"/>
      <x:c r="G192" s="402"/>
      <x:c r="H192" s="402"/>
      <x:c r="I192" s="402"/>
      <x:c r="J192" s="402"/>
      <x:c r="K192" s="402"/>
      <x:c r="L192" s="402"/>
      <x:c r="M192" s="402"/>
      <x:c r="N192" s="402"/>
      <x:c r="O192" s="402"/>
      <x:c r="P192" s="402"/>
      <x:c r="Q192" s="402"/>
      <x:c r="R192" s="402"/>
      <x:c r="S192" s="402"/>
      <x:c r="T192" s="402"/>
      <x:c r="U192" s="402"/>
      <x:c r="V192" s="402"/>
      <x:c r="W192" s="402"/>
      <x:c r="X192" s="402"/>
      <x:c r="Y192" s="402"/>
      <x:c r="Z192" s="402"/>
    </x:row>
    <x:row r="193">
      <x:c r="A193" s="402"/>
      <x:c r="B193" s="402"/>
      <x:c r="C193" s="402"/>
      <x:c r="D193" s="402"/>
      <x:c r="E193" s="402"/>
      <x:c r="F193" s="402"/>
      <x:c r="G193" s="402"/>
      <x:c r="H193" s="402"/>
      <x:c r="I193" s="402"/>
      <x:c r="J193" s="402"/>
      <x:c r="K193" s="402"/>
      <x:c r="L193" s="402"/>
      <x:c r="M193" s="402"/>
      <x:c r="N193" s="402"/>
      <x:c r="O193" s="402"/>
      <x:c r="P193" s="402"/>
      <x:c r="Q193" s="402"/>
      <x:c r="R193" s="402"/>
      <x:c r="S193" s="402"/>
      <x:c r="T193" s="402"/>
      <x:c r="U193" s="402"/>
      <x:c r="V193" s="402"/>
      <x:c r="W193" s="402"/>
      <x:c r="X193" s="402"/>
      <x:c r="Y193" s="402"/>
      <x:c r="Z193" s="402"/>
    </x:row>
    <x:row r="194">
      <x:c r="A194" s="402"/>
      <x:c r="B194" s="402"/>
      <x:c r="C194" s="402"/>
      <x:c r="D194" s="402"/>
      <x:c r="E194" s="402"/>
      <x:c r="F194" s="402"/>
      <x:c r="G194" s="402"/>
      <x:c r="H194" s="402"/>
      <x:c r="I194" s="402"/>
      <x:c r="J194" s="402"/>
      <x:c r="K194" s="402"/>
      <x:c r="L194" s="402"/>
      <x:c r="M194" s="402"/>
      <x:c r="N194" s="402"/>
      <x:c r="O194" s="402"/>
      <x:c r="P194" s="402"/>
      <x:c r="Q194" s="402"/>
      <x:c r="R194" s="402"/>
      <x:c r="S194" s="402"/>
      <x:c r="T194" s="402"/>
      <x:c r="U194" s="402"/>
      <x:c r="V194" s="402"/>
      <x:c r="W194" s="402"/>
      <x:c r="X194" s="402"/>
      <x:c r="Y194" s="402"/>
      <x:c r="Z194" s="402"/>
    </x:row>
    <x:row r="195">
      <x:c r="A195" s="402"/>
      <x:c r="B195" s="402"/>
      <x:c r="C195" s="402"/>
      <x:c r="D195" s="402"/>
      <x:c r="E195" s="402"/>
      <x:c r="F195" s="402"/>
      <x:c r="G195" s="402"/>
      <x:c r="H195" s="402"/>
      <x:c r="I195" s="402"/>
      <x:c r="J195" s="402"/>
      <x:c r="K195" s="402"/>
      <x:c r="L195" s="402"/>
      <x:c r="M195" s="402"/>
      <x:c r="N195" s="402"/>
      <x:c r="O195" s="402"/>
      <x:c r="P195" s="402"/>
      <x:c r="Q195" s="402"/>
      <x:c r="R195" s="402"/>
      <x:c r="S195" s="402"/>
      <x:c r="T195" s="402"/>
      <x:c r="U195" s="402"/>
      <x:c r="V195" s="402"/>
      <x:c r="W195" s="402"/>
      <x:c r="X195" s="402"/>
      <x:c r="Y195" s="402"/>
      <x:c r="Z195" s="402"/>
    </x:row>
    <x:row r="196">
      <x:c r="A196" s="402"/>
      <x:c r="B196" s="402"/>
      <x:c r="C196" s="402"/>
      <x:c r="D196" s="402"/>
      <x:c r="E196" s="402"/>
      <x:c r="F196" s="402"/>
      <x:c r="G196" s="402"/>
      <x:c r="H196" s="402"/>
      <x:c r="I196" s="402"/>
      <x:c r="J196" s="402"/>
      <x:c r="K196" s="402"/>
      <x:c r="L196" s="402"/>
      <x:c r="M196" s="402"/>
      <x:c r="N196" s="402"/>
      <x:c r="O196" s="402"/>
      <x:c r="P196" s="402"/>
      <x:c r="Q196" s="402"/>
      <x:c r="R196" s="402"/>
      <x:c r="S196" s="402"/>
      <x:c r="T196" s="402"/>
      <x:c r="U196" s="402"/>
      <x:c r="V196" s="402"/>
      <x:c r="W196" s="402"/>
      <x:c r="X196" s="402"/>
      <x:c r="Y196" s="402"/>
      <x:c r="Z196" s="402"/>
    </x:row>
    <x:row r="197">
      <x:c r="A197" s="402"/>
      <x:c r="B197" s="402"/>
      <x:c r="C197" s="402"/>
      <x:c r="D197" s="402"/>
      <x:c r="E197" s="402"/>
      <x:c r="F197" s="402"/>
      <x:c r="G197" s="402"/>
      <x:c r="H197" s="402"/>
      <x:c r="I197" s="402"/>
      <x:c r="J197" s="402"/>
      <x:c r="K197" s="402"/>
      <x:c r="L197" s="402"/>
      <x:c r="M197" s="402"/>
      <x:c r="N197" s="402"/>
      <x:c r="O197" s="402"/>
      <x:c r="P197" s="402"/>
      <x:c r="Q197" s="402"/>
      <x:c r="R197" s="402"/>
      <x:c r="S197" s="402"/>
      <x:c r="T197" s="402"/>
      <x:c r="U197" s="402"/>
      <x:c r="V197" s="402"/>
      <x:c r="W197" s="402"/>
      <x:c r="X197" s="402"/>
      <x:c r="Y197" s="402"/>
      <x:c r="Z197" s="402"/>
    </x:row>
    <x:row r="198">
      <x:c r="A198" s="402"/>
      <x:c r="B198" s="402"/>
      <x:c r="C198" s="402"/>
      <x:c r="D198" s="402"/>
      <x:c r="E198" s="402"/>
      <x:c r="F198" s="402"/>
      <x:c r="G198" s="402"/>
      <x:c r="H198" s="402"/>
      <x:c r="I198" s="402"/>
      <x:c r="J198" s="402"/>
      <x:c r="K198" s="402"/>
      <x:c r="L198" s="402"/>
      <x:c r="M198" s="402"/>
      <x:c r="N198" s="402"/>
      <x:c r="O198" s="402"/>
      <x:c r="P198" s="402"/>
      <x:c r="Q198" s="402"/>
      <x:c r="R198" s="402"/>
      <x:c r="S198" s="402"/>
      <x:c r="T198" s="402"/>
      <x:c r="U198" s="402"/>
      <x:c r="V198" s="402"/>
      <x:c r="W198" s="402"/>
      <x:c r="X198" s="402"/>
      <x:c r="Y198" s="402"/>
      <x:c r="Z198" s="402"/>
    </x:row>
    <x:row r="199">
      <x:c r="A199" s="402"/>
      <x:c r="B199" s="402"/>
      <x:c r="C199" s="402"/>
      <x:c r="D199" s="402"/>
      <x:c r="E199" s="402"/>
      <x:c r="F199" s="402"/>
      <x:c r="G199" s="402"/>
      <x:c r="H199" s="402"/>
      <x:c r="I199" s="402"/>
      <x:c r="J199" s="402"/>
      <x:c r="K199" s="402"/>
      <x:c r="L199" s="402"/>
      <x:c r="M199" s="402"/>
      <x:c r="N199" s="402"/>
      <x:c r="O199" s="402"/>
      <x:c r="P199" s="402"/>
      <x:c r="Q199" s="402"/>
      <x:c r="R199" s="402"/>
      <x:c r="S199" s="402"/>
      <x:c r="T199" s="402"/>
      <x:c r="U199" s="402"/>
      <x:c r="V199" s="402"/>
      <x:c r="W199" s="402"/>
      <x:c r="X199" s="402"/>
      <x:c r="Y199" s="402"/>
      <x:c r="Z199" s="402"/>
    </x:row>
    <x:row r="200">
      <x:c r="A200" s="402"/>
      <x:c r="B200" s="402"/>
      <x:c r="C200" s="402"/>
      <x:c r="D200" s="402"/>
      <x:c r="E200" s="402"/>
      <x:c r="F200" s="402"/>
      <x:c r="G200" s="402"/>
      <x:c r="H200" s="402"/>
      <x:c r="I200" s="402"/>
      <x:c r="J200" s="402"/>
      <x:c r="K200" s="402"/>
      <x:c r="L200" s="402"/>
      <x:c r="M200" s="402"/>
      <x:c r="N200" s="402"/>
      <x:c r="O200" s="402"/>
      <x:c r="P200" s="402"/>
      <x:c r="Q200" s="402"/>
      <x:c r="R200" s="402"/>
      <x:c r="S200" s="402"/>
      <x:c r="T200" s="402"/>
      <x:c r="U200" s="402"/>
      <x:c r="V200" s="402"/>
      <x:c r="W200" s="402"/>
      <x:c r="X200" s="402"/>
      <x:c r="Y200" s="402"/>
      <x:c r="Z200" s="402"/>
    </x:row>
  </x:sheetData>
  <x:mergeCells>
    <x:mergeCell ref="A1:J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7" hidden="0" customWidth="1"/>
    <x:col min="2" max="2" width="13" hidden="0" customWidth="1"/>
    <x:col min="3" max="3" width="12" hidden="0" customWidth="1"/>
    <x:col min="4" max="4" width="13" hidden="0" customWidth="1"/>
    <x:col min="5" max="5" width="32" hidden="0" customWidth="1"/>
    <x:col min="6" max="6" width="20" hidden="0" customWidth="1"/>
    <x:col min="7" max="7" width="20" hidden="0" customWidth="1"/>
    <x:col min="8" max="8" width="24" hidden="0" customWidth="1"/>
    <x:col min="9" max="9" width="13" hidden="0" customWidth="1"/>
    <x:col min="10" max="10" width="32" hidden="0" customWidth="1"/>
  </x:cols>
  <x:sheetData>
    <x:row r="1">
      <x:c r="A1" s="596" t="str">
        <x:v>Commercial Proof Run 001</x:v>
      </x:c>
      <x:c r="B1" s="596"/>
      <x:c r="C1" s="596"/>
      <x:c r="D1" s="596"/>
      <x:c r="E1" s="596"/>
      <x:c r="F1" s="596"/>
      <x:c r="G1" s="596"/>
      <x:c r="H1" s="596"/>
      <x:c r="I1" s="596"/>
      <x:c r="J1" s="596"/>
      <x:c r="K1" s="402"/>
      <x:c r="L1" s="402"/>
      <x:c r="M1" s="402"/>
      <x:c r="N1" s="402"/>
      <x:c r="O1" s="402"/>
      <x:c r="P1" s="402"/>
      <x:c r="Q1" s="402"/>
      <x:c r="R1" s="402"/>
      <x:c r="S1" s="402"/>
      <x:c r="T1" s="402"/>
      <x:c r="U1" s="402"/>
      <x:c r="V1" s="402"/>
      <x:c r="W1" s="402"/>
      <x:c r="X1" s="402"/>
      <x:c r="Y1" s="402"/>
      <x:c r="Z1" s="402"/>
    </x:row>
    <x:row r="2">
      <x:c r="A2" s="596"/>
      <x:c r="B2" s="596"/>
      <x:c r="C2" s="596"/>
      <x:c r="D2" s="596"/>
      <x:c r="E2" s="596"/>
      <x:c r="F2" s="596"/>
      <x:c r="G2" s="596"/>
      <x:c r="H2" s="596"/>
      <x:c r="I2" s="596"/>
      <x:c r="J2" s="596"/>
      <x:c r="K2" s="402"/>
      <x:c r="L2" s="402"/>
      <x:c r="M2" s="402"/>
      <x:c r="N2" s="402"/>
      <x:c r="O2" s="402"/>
      <x:c r="P2" s="402"/>
      <x:c r="Q2" s="402"/>
      <x:c r="R2" s="402"/>
      <x:c r="S2" s="402"/>
      <x:c r="T2" s="402"/>
      <x:c r="U2" s="402"/>
      <x:c r="V2" s="402"/>
      <x:c r="W2" s="402"/>
      <x:c r="X2" s="402"/>
      <x:c r="Y2" s="402"/>
      <x:c r="Z2" s="402"/>
    </x:row>
    <x:row r="3">
      <x:c r="A3" s="402"/>
      <x:c r="B3" s="402"/>
      <x:c r="C3" s="402"/>
      <x:c r="D3" s="402"/>
      <x:c r="E3" s="402"/>
      <x:c r="F3" s="402"/>
      <x:c r="G3" s="402"/>
      <x:c r="H3" s="402"/>
      <x:c r="I3" s="402"/>
      <x:c r="J3" s="402"/>
      <x:c r="K3" s="402"/>
      <x:c r="L3" s="402"/>
      <x:c r="M3" s="402"/>
      <x:c r="N3" s="402"/>
      <x:c r="O3" s="402"/>
      <x:c r="P3" s="402"/>
      <x:c r="Q3" s="402"/>
      <x:c r="R3" s="402"/>
      <x:c r="S3" s="402"/>
      <x:c r="T3" s="402"/>
      <x:c r="U3" s="402"/>
      <x:c r="V3" s="402"/>
      <x:c r="W3" s="402"/>
      <x:c r="X3" s="402"/>
      <x:c r="Y3" s="402"/>
      <x:c r="Z3" s="402"/>
    </x:row>
    <x:row r="4">
      <x:c r="A4" s="305" t="str">
        <x:v>Gate</x:v>
      </x:c>
      <x:c r="B4" s="305" t="str">
        <x:v>Target</x:v>
      </x:c>
      <x:c r="C4" s="305" t="str">
        <x:v>Actual</x:v>
      </x:c>
      <x:c r="D4" s="305" t="str">
        <x:v>Status</x:v>
      </x:c>
      <x:c r="E4" s="305" t="str">
        <x:v>Receipt</x:v>
      </x:c>
      <x:c r="F4" s="305" t="str">
        <x:v>Owner</x:v>
      </x:c>
      <x:c r="G4" s="305" t="str">
        <x:v>Reviewer</x:v>
      </x:c>
      <x:c r="H4" s="305" t="str">
        <x:v>Claim Earned</x:v>
      </x:c>
      <x:c r="I4" s="305" t="str">
        <x:v>Public Safe</x:v>
      </x:c>
      <x:c r="J4" s="305" t="str">
        <x:v>Notes</x:v>
      </x:c>
      <x:c r="K4" s="402"/>
      <x:c r="L4" s="402"/>
      <x:c r="M4" s="402"/>
      <x:c r="N4" s="402"/>
      <x:c r="O4" s="402"/>
      <x:c r="P4" s="402"/>
      <x:c r="Q4" s="402"/>
      <x:c r="R4" s="402"/>
      <x:c r="S4" s="402"/>
      <x:c r="T4" s="402"/>
      <x:c r="U4" s="402"/>
      <x:c r="V4" s="402"/>
      <x:c r="W4" s="402"/>
      <x:c r="X4" s="402"/>
      <x:c r="Y4" s="402"/>
      <x:c r="Z4" s="402"/>
    </x:row>
    <x:row r="5">
      <x:c r="A5" s="402" t="str">
        <x:v>Unrelated paying customers</x:v>
      </x:c>
      <x:c r="B5" s="402" t="n">
        <x:v>3</x:v>
      </x:c>
      <x:c r="C5" s="580" t="n">
        <x:v>0</x:v>
      </x:c>
      <x:c r="D5" s="402" t="str">
        <x:f>IF(C5&gt;=B5,"PASS","OPEN")</x:f>
        <x:v>OPEN</x:v>
      </x:c>
      <x:c r="E5" s="402" t="str">
        <x:v>Signed agreement + collected payment</x:v>
      </x:c>
      <x:c r="F5" s="402" t="str">
        <x:v>Commercial Owner</x:v>
      </x:c>
      <x:c r="G5" s="402" t="str">
        <x:v>Evidence Officer</x:v>
      </x:c>
      <x:c r="H5" s="402" t="str">
        <x:v>Commercial relevance</x:v>
      </x:c>
      <x:c r="I5" s="402" t="str">
        <x:v>No</x:v>
      </x:c>
      <x:c r="J5" s="402" t="str"/>
      <x:c r="K5" s="402"/>
      <x:c r="L5" s="402"/>
      <x:c r="M5" s="402"/>
      <x:c r="N5" s="402"/>
      <x:c r="O5" s="402"/>
      <x:c r="P5" s="402"/>
      <x:c r="Q5" s="402"/>
      <x:c r="R5" s="402"/>
      <x:c r="S5" s="402"/>
      <x:c r="T5" s="402"/>
      <x:c r="U5" s="402"/>
      <x:c r="V5" s="402"/>
      <x:c r="W5" s="402"/>
      <x:c r="X5" s="402"/>
      <x:c r="Y5" s="402"/>
      <x:c r="Z5" s="402"/>
    </x:row>
    <x:row r="6">
      <x:c r="A6" s="402" t="str">
        <x:v>Delivered bounded missions</x:v>
      </x:c>
      <x:c r="B6" s="402" t="n">
        <x:v>3</x:v>
      </x:c>
      <x:c r="C6" s="581" t="n">
        <x:v>0</x:v>
      </x:c>
      <x:c r="D6" s="402" t="str">
        <x:f>IF(C6&gt;=B6,"PASS","OPEN")</x:f>
        <x:v>OPEN</x:v>
      </x:c>
      <x:c r="E6" s="402" t="str">
        <x:v>Acceptance record</x:v>
      </x:c>
      <x:c r="F6" s="402" t="str">
        <x:v>Mission Lead</x:v>
      </x:c>
      <x:c r="G6" s="402" t="str">
        <x:v>Evidence Officer</x:v>
      </x:c>
      <x:c r="H6" s="402" t="str">
        <x:v>Delivery relevance</x:v>
      </x:c>
      <x:c r="I6" s="402" t="str">
        <x:v>No</x:v>
      </x:c>
      <x:c r="J6" s="402" t="str"/>
      <x:c r="K6" s="402"/>
      <x:c r="L6" s="402"/>
      <x:c r="M6" s="402"/>
      <x:c r="N6" s="402"/>
      <x:c r="O6" s="402"/>
      <x:c r="P6" s="402"/>
      <x:c r="Q6" s="402"/>
      <x:c r="R6" s="402"/>
      <x:c r="S6" s="402"/>
      <x:c r="T6" s="402"/>
      <x:c r="U6" s="402"/>
      <x:c r="V6" s="402"/>
      <x:c r="W6" s="402"/>
      <x:c r="X6" s="402"/>
      <x:c r="Y6" s="402"/>
      <x:c r="Z6" s="402"/>
    </x:row>
    <x:row r="7">
      <x:c r="A7" s="402" t="str">
        <x:v>Independently verified outcomes</x:v>
      </x:c>
      <x:c r="B7" s="402" t="n">
        <x:v>1</x:v>
      </x:c>
      <x:c r="C7" s="581" t="n">
        <x:v>0</x:v>
      </x:c>
      <x:c r="D7" s="402" t="str">
        <x:f>IF(C7&gt;=B7,"PASS","OPEN")</x:f>
        <x:v>OPEN</x:v>
      </x:c>
      <x:c r="E7" s="402" t="str">
        <x:v>Docket + separated verdict</x:v>
      </x:c>
      <x:c r="F7" s="402" t="str">
        <x:v>Chief Evidence Officer</x:v>
      </x:c>
      <x:c r="G7" s="402" t="str">
        <x:v>Independent Reviewer</x:v>
      </x:c>
      <x:c r="H7" s="402" t="str">
        <x:v>Credibility and authority</x:v>
      </x:c>
      <x:c r="I7" s="402" t="str">
        <x:v>No</x:v>
      </x:c>
      <x:c r="J7" s="402" t="str"/>
      <x:c r="K7" s="402"/>
      <x:c r="L7" s="402"/>
      <x:c r="M7" s="402"/>
      <x:c r="N7" s="402"/>
      <x:c r="O7" s="402"/>
      <x:c r="P7" s="402"/>
      <x:c r="Q7" s="402"/>
      <x:c r="R7" s="402"/>
      <x:c r="S7" s="402"/>
      <x:c r="T7" s="402"/>
      <x:c r="U7" s="402"/>
      <x:c r="V7" s="402"/>
      <x:c r="W7" s="402"/>
      <x:c r="X7" s="402"/>
      <x:c r="Y7" s="402"/>
      <x:c r="Z7" s="402"/>
    </x:row>
    <x:row r="8">
      <x:c r="A8" s="402" t="str">
        <x:v>Repeat purchase / expansion</x:v>
      </x:c>
      <x:c r="B8" s="402" t="n">
        <x:v>1</x:v>
      </x:c>
      <x:c r="C8" s="581" t="n">
        <x:v>0</x:v>
      </x:c>
      <x:c r="D8" s="402" t="str">
        <x:f>IF(C8&gt;=B8,"PASS","OPEN")</x:f>
        <x:v>OPEN</x:v>
      </x:c>
      <x:c r="E8" s="402" t="str">
        <x:v>Second paid engagement</x:v>
      </x:c>
      <x:c r="F8" s="402" t="str">
        <x:v>Customer Mission Lead</x:v>
      </x:c>
      <x:c r="G8" s="402" t="str">
        <x:v>Finance</x:v>
      </x:c>
      <x:c r="H8" s="402" t="str">
        <x:v>Product confidence</x:v>
      </x:c>
      <x:c r="I8" s="402" t="str">
        <x:v>No</x:v>
      </x:c>
      <x:c r="J8" s="402" t="str"/>
      <x:c r="K8" s="402"/>
      <x:c r="L8" s="402"/>
      <x:c r="M8" s="402"/>
      <x:c r="N8" s="402"/>
      <x:c r="O8" s="402"/>
      <x:c r="P8" s="402"/>
      <x:c r="Q8" s="402"/>
      <x:c r="R8" s="402"/>
      <x:c r="S8" s="402"/>
      <x:c r="T8" s="402"/>
      <x:c r="U8" s="402"/>
      <x:c r="V8" s="402"/>
      <x:c r="W8" s="402"/>
      <x:c r="X8" s="402"/>
      <x:c r="Y8" s="402"/>
      <x:c r="Z8" s="402"/>
    </x:row>
    <x:row r="9">
      <x:c r="A9" s="402" t="str">
        <x:v>Positive attributable contribution</x:v>
      </x:c>
      <x:c r="B9" s="402" t="n">
        <x:v>1</x:v>
      </x:c>
      <x:c r="C9" s="581" t="n">
        <x:v>0</x:v>
      </x:c>
      <x:c r="D9" s="402" t="str">
        <x:f>IF(C9&gt;=B9,"PASS","OPEN")</x:f>
        <x:v>OPEN</x:v>
      </x:c>
      <x:c r="E9" s="402" t="str">
        <x:v>Collected revenue - full cost</x:v>
      </x:c>
      <x:c r="F9" s="402" t="str">
        <x:v>Finance</x:v>
      </x:c>
      <x:c r="G9" s="402" t="str">
        <x:v>Independent Reviewer</x:v>
      </x:c>
      <x:c r="H9" s="402" t="str">
        <x:v>Economic relevance</x:v>
      </x:c>
      <x:c r="I9" s="402" t="str">
        <x:v>No</x:v>
      </x:c>
      <x:c r="J9" s="402" t="str"/>
      <x:c r="K9" s="402"/>
      <x:c r="L9" s="402"/>
      <x:c r="M9" s="402"/>
      <x:c r="N9" s="402"/>
      <x:c r="O9" s="402"/>
      <x:c r="P9" s="402"/>
      <x:c r="Q9" s="402"/>
      <x:c r="R9" s="402"/>
      <x:c r="S9" s="402"/>
      <x:c r="T9" s="402"/>
      <x:c r="U9" s="402"/>
      <x:c r="V9" s="402"/>
      <x:c r="W9" s="402"/>
      <x:c r="X9" s="402"/>
      <x:c r="Y9" s="402"/>
      <x:c r="Z9" s="402"/>
    </x:row>
    <x:row r="10">
      <x:c r="A10" s="402" t="str">
        <x:v>Customer-authorized public-safe Docket</x:v>
      </x:c>
      <x:c r="B10" s="402" t="n">
        <x:v>1</x:v>
      </x:c>
      <x:c r="C10" s="581" t="n">
        <x:v>0</x:v>
      </x:c>
      <x:c r="D10" s="402" t="str">
        <x:f>IF(C10&gt;=B10,"PASS","OPEN")</x:f>
        <x:v>OPEN</x:v>
      </x:c>
      <x:c r="E10" s="402" t="str">
        <x:v>Written permission</x:v>
      </x:c>
      <x:c r="F10" s="402" t="str">
        <x:v>Evidence Officer</x:v>
      </x:c>
      <x:c r="G10" s="402" t="str">
        <x:v>Privacy / Legal</x:v>
      </x:c>
      <x:c r="H10" s="402" t="str">
        <x:v>Public case authority</x:v>
      </x:c>
      <x:c r="I10" s="402" t="str">
        <x:v>No</x:v>
      </x:c>
      <x:c r="J10" s="402" t="str"/>
      <x:c r="K10" s="402"/>
      <x:c r="L10" s="402"/>
      <x:c r="M10" s="402"/>
      <x:c r="N10" s="402"/>
      <x:c r="O10" s="402"/>
      <x:c r="P10" s="402"/>
      <x:c r="Q10" s="402"/>
      <x:c r="R10" s="402"/>
      <x:c r="S10" s="402"/>
      <x:c r="T10" s="402"/>
      <x:c r="U10" s="402"/>
      <x:c r="V10" s="402"/>
      <x:c r="W10" s="402"/>
      <x:c r="X10" s="402"/>
      <x:c r="Y10" s="402"/>
      <x:c r="Z10" s="402"/>
    </x:row>
    <x:row r="11">
      <x:c r="A11" s="402" t="str">
        <x:v>Chronicle-admitted transferable capability</x:v>
      </x:c>
      <x:c r="B11" s="402" t="n">
        <x:v>1</x:v>
      </x:c>
      <x:c r="C11" s="581" t="n">
        <x:v>0</x:v>
      </x:c>
      <x:c r="D11" s="402" t="str">
        <x:f>IF(C11&gt;=B11,"PASS","OPEN")</x:f>
        <x:v>OPEN</x:v>
      </x:c>
      <x:c r="E11" s="402" t="str">
        <x:v>Skill passport + root proof</x:v>
      </x:c>
      <x:c r="F11" s="402" t="str">
        <x:v>Chronicle Council</x:v>
      </x:c>
      <x:c r="G11" s="402" t="str">
        <x:v>Independent Reviewer</x:v>
      </x:c>
      <x:c r="H11" s="402" t="str">
        <x:v>Platform candidate</x:v>
      </x:c>
      <x:c r="I11" s="402" t="str">
        <x:v>No</x:v>
      </x:c>
      <x:c r="J11" s="402" t="str"/>
      <x:c r="K11" s="402"/>
      <x:c r="L11" s="402"/>
      <x:c r="M11" s="402"/>
      <x:c r="N11" s="402"/>
      <x:c r="O11" s="402"/>
      <x:c r="P11" s="402"/>
      <x:c r="Q11" s="402"/>
      <x:c r="R11" s="402"/>
      <x:c r="S11" s="402"/>
      <x:c r="T11" s="402"/>
      <x:c r="U11" s="402"/>
      <x:c r="V11" s="402"/>
      <x:c r="W11" s="402"/>
      <x:c r="X11" s="402"/>
      <x:c r="Y11" s="402"/>
      <x:c r="Z11" s="402"/>
    </x:row>
    <x:row r="12">
      <x:c r="A12" s="402" t="str">
        <x:v>Material trust breaches</x:v>
      </x:c>
      <x:c r="B12" s="402" t="n">
        <x:v>0</x:v>
      </x:c>
      <x:c r="C12" s="582" t="n">
        <x:v>0</x:v>
      </x:c>
      <x:c r="D12" s="402" t="str">
        <x:f>IF(C12=B12,"PASS","OPEN")</x:f>
        <x:v>PASS</x:v>
      </x:c>
      <x:c r="E12" s="402" t="str">
        <x:v>Incident register</x:v>
      </x:c>
      <x:c r="F12" s="402" t="str">
        <x:v>Security Lead</x:v>
      </x:c>
      <x:c r="G12" s="402" t="str">
        <x:v>Board</x:v>
      </x:c>
      <x:c r="H12" s="402" t="str">
        <x:v>Trust boundary</x:v>
      </x:c>
      <x:c r="I12" s="402" t="str">
        <x:v>Yes</x:v>
      </x:c>
      <x:c r="J12" s="402" t="str"/>
      <x:c r="K12" s="402"/>
      <x:c r="L12" s="402"/>
      <x:c r="M12" s="402"/>
      <x:c r="N12" s="402"/>
      <x:c r="O12" s="402"/>
      <x:c r="P12" s="402"/>
      <x:c r="Q12" s="402"/>
      <x:c r="R12" s="402"/>
      <x:c r="S12" s="402"/>
      <x:c r="T12" s="402"/>
      <x:c r="U12" s="402"/>
      <x:c r="V12" s="402"/>
      <x:c r="W12" s="402"/>
      <x:c r="X12" s="402"/>
      <x:c r="Y12" s="402"/>
      <x:c r="Z12" s="402"/>
    </x:row>
    <x:row r="13">
      <x:c r="A13" s="402"/>
      <x:c r="B13" s="402"/>
      <x:c r="C13" s="402"/>
      <x:c r="D13" s="402"/>
      <x:c r="E13" s="402"/>
      <x:c r="F13" s="402"/>
      <x:c r="G13" s="402"/>
      <x:c r="H13" s="402"/>
      <x:c r="I13" s="402"/>
      <x:c r="J13" s="402"/>
      <x:c r="K13" s="402"/>
      <x:c r="L13" s="402"/>
      <x:c r="M13" s="402"/>
      <x:c r="N13" s="402"/>
      <x:c r="O13" s="402"/>
      <x:c r="P13" s="402"/>
      <x:c r="Q13" s="402"/>
      <x:c r="R13" s="402"/>
      <x:c r="S13" s="402"/>
      <x:c r="T13" s="402"/>
      <x:c r="U13" s="402"/>
      <x:c r="V13" s="402"/>
      <x:c r="W13" s="402"/>
      <x:c r="X13" s="402"/>
      <x:c r="Y13" s="402"/>
      <x:c r="Z13" s="402"/>
    </x:row>
    <x:row r="14">
      <x:c r="A14" s="402"/>
      <x:c r="B14" s="402"/>
      <x:c r="C14" s="402"/>
      <x:c r="D14" s="402"/>
      <x:c r="E14" s="402"/>
      <x:c r="F14" s="402"/>
      <x:c r="G14" s="402"/>
      <x:c r="H14" s="402"/>
      <x:c r="I14" s="402"/>
      <x:c r="J14" s="402"/>
      <x:c r="K14" s="402"/>
      <x:c r="L14" s="402"/>
      <x:c r="M14" s="402"/>
      <x:c r="N14" s="402"/>
      <x:c r="O14" s="402"/>
      <x:c r="P14" s="402"/>
      <x:c r="Q14" s="402"/>
      <x:c r="R14" s="402"/>
      <x:c r="S14" s="402"/>
      <x:c r="T14" s="402"/>
      <x:c r="U14" s="402"/>
      <x:c r="V14" s="402"/>
      <x:c r="W14" s="402"/>
      <x:c r="X14" s="402"/>
      <x:c r="Y14" s="402"/>
      <x:c r="Z14" s="402"/>
    </x:row>
    <x:row r="15">
      <x:c r="A15" s="333" t="str">
        <x:v>Proof Result</x:v>
      </x:c>
      <x:c r="B15" s="333" t="str">
        <x:v>Formula</x:v>
      </x:c>
      <x:c r="C15" s="333" t="str">
        <x:v>Status</x:v>
      </x:c>
      <x:c r="D15" s="333" t="str">
        <x:v>Board Decision</x:v>
      </x:c>
      <x:c r="E15" s="402"/>
      <x:c r="F15" s="402"/>
      <x:c r="G15" s="402"/>
      <x:c r="H15" s="402"/>
      <x:c r="I15" s="402"/>
      <x:c r="J15" s="402"/>
      <x:c r="K15" s="402"/>
      <x:c r="L15" s="402"/>
      <x:c r="M15" s="402"/>
      <x:c r="N15" s="402"/>
      <x:c r="O15" s="402"/>
      <x:c r="P15" s="402"/>
      <x:c r="Q15" s="402"/>
      <x:c r="R15" s="402"/>
      <x:c r="S15" s="402"/>
      <x:c r="T15" s="402"/>
      <x:c r="U15" s="402"/>
      <x:c r="V15" s="402"/>
      <x:c r="W15" s="402"/>
      <x:c r="X15" s="402"/>
      <x:c r="Y15" s="402"/>
      <x:c r="Z15" s="402"/>
    </x:row>
    <x:row r="16">
      <x:c r="A16" s="402" t="str">
        <x:v>All commercial gates pass</x:v>
      </x:c>
      <x:c r="B16" s="402" t="b">
        <x:f>COUNTIF(D5:D12,"PASS")=8</x:f>
        <x:v>0</x:v>
      </x:c>
      <x:c r="C16" s="402" t="str">
        <x:f>IF(B16,"PASS","OPEN")</x:f>
        <x:v>OPEN</x:v>
      </x:c>
      <x:c r="D16" s="402" t="str"/>
      <x:c r="E16" s="402"/>
      <x:c r="F16" s="402"/>
      <x:c r="G16" s="402"/>
      <x:c r="H16" s="402"/>
      <x:c r="I16" s="402"/>
      <x:c r="J16" s="402"/>
      <x:c r="K16" s="402"/>
      <x:c r="L16" s="402"/>
      <x:c r="M16" s="402"/>
      <x:c r="N16" s="402"/>
      <x:c r="O16" s="402"/>
      <x:c r="P16" s="402"/>
      <x:c r="Q16" s="402"/>
      <x:c r="R16" s="402"/>
      <x:c r="S16" s="402"/>
      <x:c r="T16" s="402"/>
      <x:c r="U16" s="402"/>
      <x:c r="V16" s="402"/>
      <x:c r="W16" s="402"/>
      <x:c r="X16" s="402"/>
      <x:c r="Y16" s="402"/>
      <x:c r="Z16" s="402"/>
    </x:row>
    <x:row r="17">
      <x:c r="A17" s="402" t="str">
        <x:v>Claim maturity</x:v>
      </x:c>
      <x:c r="B17" s="402" t="str">
        <x:f>IF(C16="PASS","Commercial proof earned","Architecture only")</x:f>
        <x:v>Architecture only</x:v>
      </x:c>
      <x:c r="C17" s="402" t="str"/>
      <x:c r="D17" s="402" t="str"/>
      <x:c r="E17" s="402"/>
      <x:c r="F17" s="402"/>
      <x:c r="G17" s="402"/>
      <x:c r="H17" s="402"/>
      <x:c r="I17" s="402"/>
      <x:c r="J17" s="402"/>
      <x:c r="K17" s="402"/>
      <x:c r="L17" s="402"/>
      <x:c r="M17" s="402"/>
      <x:c r="N17" s="402"/>
      <x:c r="O17" s="402"/>
      <x:c r="P17" s="402"/>
      <x:c r="Q17" s="402"/>
      <x:c r="R17" s="402"/>
      <x:c r="S17" s="402"/>
      <x:c r="T17" s="402"/>
      <x:c r="U17" s="402"/>
      <x:c r="V17" s="402"/>
      <x:c r="W17" s="402"/>
      <x:c r="X17" s="402"/>
      <x:c r="Y17" s="402"/>
      <x:c r="Z17" s="402"/>
    </x:row>
    <x:row r="18">
      <x:c r="A18" s="402" t="str">
        <x:v>Board decision</x:v>
      </x:c>
      <x:c r="B18" s="402" t="str">
        <x:v>GO / CONDITION / REPAIR / PIVOT / STOP</x:v>
      </x:c>
      <x:c r="C18" s="402" t="str"/>
      <x:c r="D18" s="402" t="str"/>
      <x:c r="E18" s="402"/>
      <x:c r="F18" s="402"/>
      <x:c r="G18" s="402"/>
      <x:c r="H18" s="402"/>
      <x:c r="I18" s="402"/>
      <x:c r="J18" s="402"/>
      <x:c r="K18" s="402"/>
      <x:c r="L18" s="402"/>
      <x:c r="M18" s="402"/>
      <x:c r="N18" s="402"/>
      <x:c r="O18" s="402"/>
      <x:c r="P18" s="402"/>
      <x:c r="Q18" s="402"/>
      <x:c r="R18" s="402"/>
      <x:c r="S18" s="402"/>
      <x:c r="T18" s="402"/>
      <x:c r="U18" s="402"/>
      <x:c r="V18" s="402"/>
      <x:c r="W18" s="402"/>
      <x:c r="X18" s="402"/>
      <x:c r="Y18" s="402"/>
      <x:c r="Z18" s="402"/>
    </x:row>
    <x:row r="19">
      <x:c r="A19" s="402"/>
      <x:c r="B19" s="402"/>
      <x:c r="C19" s="402"/>
      <x:c r="D19" s="402"/>
      <x:c r="E19" s="402"/>
      <x:c r="F19" s="402"/>
      <x:c r="G19" s="402"/>
      <x:c r="H19" s="402"/>
      <x:c r="I19" s="402"/>
      <x:c r="J19" s="402"/>
      <x:c r="K19" s="402"/>
      <x:c r="L19" s="402"/>
      <x:c r="M19" s="402"/>
      <x:c r="N19" s="402"/>
      <x:c r="O19" s="402"/>
      <x:c r="P19" s="402"/>
      <x:c r="Q19" s="402"/>
      <x:c r="R19" s="402"/>
      <x:c r="S19" s="402"/>
      <x:c r="T19" s="402"/>
      <x:c r="U19" s="402"/>
      <x:c r="V19" s="402"/>
      <x:c r="W19" s="402"/>
      <x:c r="X19" s="402"/>
      <x:c r="Y19" s="402"/>
      <x:c r="Z19" s="402"/>
    </x:row>
    <x:row r="20">
      <x:c r="A20" s="402"/>
      <x:c r="B20" s="402"/>
      <x:c r="C20" s="402"/>
      <x:c r="D20" s="402"/>
      <x:c r="E20" s="402"/>
      <x:c r="F20" s="402"/>
      <x:c r="G20" s="402"/>
      <x:c r="H20" s="402"/>
      <x:c r="I20" s="402"/>
      <x:c r="J20" s="402"/>
      <x:c r="K20" s="402"/>
      <x:c r="L20" s="402"/>
      <x:c r="M20" s="402"/>
      <x:c r="N20" s="402"/>
      <x:c r="O20" s="402"/>
      <x:c r="P20" s="402"/>
      <x:c r="Q20" s="402"/>
      <x:c r="R20" s="402"/>
      <x:c r="S20" s="402"/>
      <x:c r="T20" s="402"/>
      <x:c r="U20" s="402"/>
      <x:c r="V20" s="402"/>
      <x:c r="W20" s="402"/>
      <x:c r="X20" s="402"/>
      <x:c r="Y20" s="402"/>
      <x:c r="Z20" s="402"/>
    </x:row>
    <x:row r="21">
      <x:c r="A21" s="402"/>
      <x:c r="B21" s="402"/>
      <x:c r="C21" s="402"/>
      <x:c r="D21" s="402"/>
      <x:c r="E21" s="402"/>
      <x:c r="F21" s="402"/>
      <x:c r="G21" s="402"/>
      <x:c r="H21" s="402"/>
      <x:c r="I21" s="402"/>
      <x:c r="J21" s="402"/>
      <x:c r="K21" s="402"/>
      <x:c r="L21" s="402"/>
      <x:c r="M21" s="402"/>
      <x:c r="N21" s="402"/>
      <x:c r="O21" s="402"/>
      <x:c r="P21" s="402"/>
      <x:c r="Q21" s="402"/>
      <x:c r="R21" s="402"/>
      <x:c r="S21" s="402"/>
      <x:c r="T21" s="402"/>
      <x:c r="U21" s="402"/>
      <x:c r="V21" s="402"/>
      <x:c r="W21" s="402"/>
      <x:c r="X21" s="402"/>
      <x:c r="Y21" s="402"/>
      <x:c r="Z21" s="402"/>
    </x:row>
    <x:row r="22">
      <x:c r="A22" s="402"/>
      <x:c r="B22" s="402"/>
      <x:c r="C22" s="402"/>
      <x:c r="D22" s="402"/>
      <x:c r="E22" s="402"/>
      <x:c r="F22" s="402"/>
      <x:c r="G22" s="402"/>
      <x:c r="H22" s="402"/>
      <x:c r="I22" s="402"/>
      <x:c r="J22" s="402"/>
      <x:c r="K22" s="402"/>
      <x:c r="L22" s="402"/>
      <x:c r="M22" s="402"/>
      <x:c r="N22" s="402"/>
      <x:c r="O22" s="402"/>
      <x:c r="P22" s="402"/>
      <x:c r="Q22" s="402"/>
      <x:c r="R22" s="402"/>
      <x:c r="S22" s="402"/>
      <x:c r="T22" s="402"/>
      <x:c r="U22" s="402"/>
      <x:c r="V22" s="402"/>
      <x:c r="W22" s="402"/>
      <x:c r="X22" s="402"/>
      <x:c r="Y22" s="402"/>
      <x:c r="Z22" s="402"/>
    </x:row>
    <x:row r="23">
      <x:c r="A23" s="402"/>
      <x:c r="B23" s="402"/>
      <x:c r="C23" s="402"/>
      <x:c r="D23" s="402"/>
      <x:c r="E23" s="402"/>
      <x:c r="F23" s="402"/>
      <x:c r="G23" s="402"/>
      <x:c r="H23" s="402"/>
      <x:c r="I23" s="402"/>
      <x:c r="J23" s="402"/>
      <x:c r="K23" s="402"/>
      <x:c r="L23" s="402"/>
      <x:c r="M23" s="402"/>
      <x:c r="N23" s="402"/>
      <x:c r="O23" s="402"/>
      <x:c r="P23" s="402"/>
      <x:c r="Q23" s="402"/>
      <x:c r="R23" s="402"/>
      <x:c r="S23" s="402"/>
      <x:c r="T23" s="402"/>
      <x:c r="U23" s="402"/>
      <x:c r="V23" s="402"/>
      <x:c r="W23" s="402"/>
      <x:c r="X23" s="402"/>
      <x:c r="Y23" s="402"/>
      <x:c r="Z23" s="402"/>
    </x:row>
    <x:row r="24">
      <x:c r="A24" s="402"/>
      <x:c r="B24" s="402"/>
      <x:c r="C24" s="402"/>
      <x:c r="D24" s="402"/>
      <x:c r="E24" s="402"/>
      <x:c r="F24" s="402"/>
      <x:c r="G24" s="402"/>
      <x:c r="H24" s="402"/>
      <x:c r="I24" s="402"/>
      <x:c r="J24" s="402"/>
      <x:c r="K24" s="402"/>
      <x:c r="L24" s="402"/>
      <x:c r="M24" s="402"/>
      <x:c r="N24" s="402"/>
      <x:c r="O24" s="402"/>
      <x:c r="P24" s="402"/>
      <x:c r="Q24" s="402"/>
      <x:c r="R24" s="402"/>
      <x:c r="S24" s="402"/>
      <x:c r="T24" s="402"/>
      <x:c r="U24" s="402"/>
      <x:c r="V24" s="402"/>
      <x:c r="W24" s="402"/>
      <x:c r="X24" s="402"/>
      <x:c r="Y24" s="402"/>
      <x:c r="Z24" s="402"/>
    </x:row>
    <x:row r="25">
      <x:c r="A25" s="402"/>
      <x:c r="B25" s="402"/>
      <x:c r="C25" s="402"/>
      <x:c r="D25" s="402"/>
      <x:c r="E25" s="402"/>
      <x:c r="F25" s="402"/>
      <x:c r="G25" s="402"/>
      <x:c r="H25" s="402"/>
      <x:c r="I25" s="402"/>
      <x:c r="J25" s="402"/>
      <x:c r="K25" s="402"/>
      <x:c r="L25" s="402"/>
      <x:c r="M25" s="402"/>
      <x:c r="N25" s="402"/>
      <x:c r="O25" s="402"/>
      <x:c r="P25" s="402"/>
      <x:c r="Q25" s="402"/>
      <x:c r="R25" s="402"/>
      <x:c r="S25" s="402"/>
      <x:c r="T25" s="402"/>
      <x:c r="U25" s="402"/>
      <x:c r="V25" s="402"/>
      <x:c r="W25" s="402"/>
      <x:c r="X25" s="402"/>
      <x:c r="Y25" s="402"/>
      <x:c r="Z25" s="402"/>
    </x:row>
    <x:row r="26">
      <x:c r="A26" s="402"/>
      <x:c r="B26" s="402"/>
      <x:c r="C26" s="402"/>
      <x:c r="D26" s="402"/>
      <x:c r="E26" s="402"/>
      <x:c r="F26" s="402"/>
      <x:c r="G26" s="402"/>
      <x:c r="H26" s="402"/>
      <x:c r="I26" s="402"/>
      <x:c r="J26" s="402"/>
      <x:c r="K26" s="402"/>
      <x:c r="L26" s="402"/>
      <x:c r="M26" s="402"/>
      <x:c r="N26" s="402"/>
      <x:c r="O26" s="402"/>
      <x:c r="P26" s="402"/>
      <x:c r="Q26" s="402"/>
      <x:c r="R26" s="402"/>
      <x:c r="S26" s="402"/>
      <x:c r="T26" s="402"/>
      <x:c r="U26" s="402"/>
      <x:c r="V26" s="402"/>
      <x:c r="W26" s="402"/>
      <x:c r="X26" s="402"/>
      <x:c r="Y26" s="402"/>
      <x:c r="Z26" s="402"/>
    </x:row>
    <x:row r="27">
      <x:c r="A27" s="402"/>
      <x:c r="B27" s="402"/>
      <x:c r="C27" s="402"/>
      <x:c r="D27" s="402"/>
      <x:c r="E27" s="402"/>
      <x:c r="F27" s="402"/>
      <x:c r="G27" s="402"/>
      <x:c r="H27" s="402"/>
      <x:c r="I27" s="402"/>
      <x:c r="J27" s="402"/>
      <x:c r="K27" s="402"/>
      <x:c r="L27" s="402"/>
      <x:c r="M27" s="402"/>
      <x:c r="N27" s="402"/>
      <x:c r="O27" s="402"/>
      <x:c r="P27" s="402"/>
      <x:c r="Q27" s="402"/>
      <x:c r="R27" s="402"/>
      <x:c r="S27" s="402"/>
      <x:c r="T27" s="402"/>
      <x:c r="U27" s="402"/>
      <x:c r="V27" s="402"/>
      <x:c r="W27" s="402"/>
      <x:c r="X27" s="402"/>
      <x:c r="Y27" s="402"/>
      <x:c r="Z27" s="402"/>
    </x:row>
    <x:row r="28">
      <x:c r="A28" s="402"/>
      <x:c r="B28" s="402"/>
      <x:c r="C28" s="402"/>
      <x:c r="D28" s="402"/>
      <x:c r="E28" s="402"/>
      <x:c r="F28" s="402"/>
      <x:c r="G28" s="402"/>
      <x:c r="H28" s="402"/>
      <x:c r="I28" s="402"/>
      <x:c r="J28" s="402"/>
      <x:c r="K28" s="402"/>
      <x:c r="L28" s="402"/>
      <x:c r="M28" s="402"/>
      <x:c r="N28" s="402"/>
      <x:c r="O28" s="402"/>
      <x:c r="P28" s="402"/>
      <x:c r="Q28" s="402"/>
      <x:c r="R28" s="402"/>
      <x:c r="S28" s="402"/>
      <x:c r="T28" s="402"/>
      <x:c r="U28" s="402"/>
      <x:c r="V28" s="402"/>
      <x:c r="W28" s="402"/>
      <x:c r="X28" s="402"/>
      <x:c r="Y28" s="402"/>
      <x:c r="Z28" s="402"/>
    </x:row>
    <x:row r="29">
      <x:c r="A29" s="402"/>
      <x:c r="B29" s="402"/>
      <x:c r="C29" s="402"/>
      <x:c r="D29" s="402"/>
      <x:c r="E29" s="402"/>
      <x:c r="F29" s="402"/>
      <x:c r="G29" s="402"/>
      <x:c r="H29" s="402"/>
      <x:c r="I29" s="402"/>
      <x:c r="J29" s="402"/>
      <x:c r="K29" s="402"/>
      <x:c r="L29" s="402"/>
      <x:c r="M29" s="402"/>
      <x:c r="N29" s="402"/>
      <x:c r="O29" s="402"/>
      <x:c r="P29" s="402"/>
      <x:c r="Q29" s="402"/>
      <x:c r="R29" s="402"/>
      <x:c r="S29" s="402"/>
      <x:c r="T29" s="402"/>
      <x:c r="U29" s="402"/>
      <x:c r="V29" s="402"/>
      <x:c r="W29" s="402"/>
      <x:c r="X29" s="402"/>
      <x:c r="Y29" s="402"/>
      <x:c r="Z29" s="402"/>
    </x:row>
    <x:row r="30">
      <x:c r="A30" s="402"/>
      <x:c r="B30" s="402"/>
      <x:c r="C30" s="402"/>
      <x:c r="D30" s="402"/>
      <x:c r="E30" s="402"/>
      <x:c r="F30" s="402"/>
      <x:c r="G30" s="402"/>
      <x:c r="H30" s="402"/>
      <x:c r="I30" s="402"/>
      <x:c r="J30" s="402"/>
      <x:c r="K30" s="402"/>
      <x:c r="L30" s="402"/>
      <x:c r="M30" s="402"/>
      <x:c r="N30" s="402"/>
      <x:c r="O30" s="402"/>
      <x:c r="P30" s="402"/>
      <x:c r="Q30" s="402"/>
      <x:c r="R30" s="402"/>
      <x:c r="S30" s="402"/>
      <x:c r="T30" s="402"/>
      <x:c r="U30" s="402"/>
      <x:c r="V30" s="402"/>
      <x:c r="W30" s="402"/>
      <x:c r="X30" s="402"/>
      <x:c r="Y30" s="402"/>
      <x:c r="Z30" s="402"/>
    </x:row>
    <x:row r="31">
      <x:c r="A31" s="402"/>
      <x:c r="B31" s="402"/>
      <x:c r="C31" s="402"/>
      <x:c r="D31" s="402"/>
      <x:c r="E31" s="402"/>
      <x:c r="F31" s="402"/>
      <x:c r="G31" s="402"/>
      <x:c r="H31" s="402"/>
      <x:c r="I31" s="402"/>
      <x:c r="J31" s="402"/>
      <x:c r="K31" s="402"/>
      <x:c r="L31" s="402"/>
      <x:c r="M31" s="402"/>
      <x:c r="N31" s="402"/>
      <x:c r="O31" s="402"/>
      <x:c r="P31" s="402"/>
      <x:c r="Q31" s="402"/>
      <x:c r="R31" s="402"/>
      <x:c r="S31" s="402"/>
      <x:c r="T31" s="402"/>
      <x:c r="U31" s="402"/>
      <x:c r="V31" s="402"/>
      <x:c r="W31" s="402"/>
      <x:c r="X31" s="402"/>
      <x:c r="Y31" s="402"/>
      <x:c r="Z31" s="402"/>
    </x:row>
    <x:row r="32">
      <x:c r="A32" s="402"/>
      <x:c r="B32" s="402"/>
      <x:c r="C32" s="402"/>
      <x:c r="D32" s="402"/>
      <x:c r="E32" s="402"/>
      <x:c r="F32" s="402"/>
      <x:c r="G32" s="402"/>
      <x:c r="H32" s="402"/>
      <x:c r="I32" s="402"/>
      <x:c r="J32" s="402"/>
      <x:c r="K32" s="402"/>
      <x:c r="L32" s="402"/>
      <x:c r="M32" s="402"/>
      <x:c r="N32" s="402"/>
      <x:c r="O32" s="402"/>
      <x:c r="P32" s="402"/>
      <x:c r="Q32" s="402"/>
      <x:c r="R32" s="402"/>
      <x:c r="S32" s="402"/>
      <x:c r="T32" s="402"/>
      <x:c r="U32" s="402"/>
      <x:c r="V32" s="402"/>
      <x:c r="W32" s="402"/>
      <x:c r="X32" s="402"/>
      <x:c r="Y32" s="402"/>
      <x:c r="Z32" s="402"/>
    </x:row>
    <x:row r="33">
      <x:c r="A33" s="402"/>
      <x:c r="B33" s="402"/>
      <x:c r="C33" s="402"/>
      <x:c r="D33" s="402"/>
      <x:c r="E33" s="402"/>
      <x:c r="F33" s="402"/>
      <x:c r="G33" s="402"/>
      <x:c r="H33" s="402"/>
      <x:c r="I33" s="402"/>
      <x:c r="J33" s="402"/>
      <x:c r="K33" s="402"/>
      <x:c r="L33" s="402"/>
      <x:c r="M33" s="402"/>
      <x:c r="N33" s="402"/>
      <x:c r="O33" s="402"/>
      <x:c r="P33" s="402"/>
      <x:c r="Q33" s="402"/>
      <x:c r="R33" s="402"/>
      <x:c r="S33" s="402"/>
      <x:c r="T33" s="402"/>
      <x:c r="U33" s="402"/>
      <x:c r="V33" s="402"/>
      <x:c r="W33" s="402"/>
      <x:c r="X33" s="402"/>
      <x:c r="Y33" s="402"/>
      <x:c r="Z33" s="402"/>
    </x:row>
    <x:row r="34">
      <x:c r="A34" s="402"/>
      <x:c r="B34" s="402"/>
      <x:c r="C34" s="402"/>
      <x:c r="D34" s="402"/>
      <x:c r="E34" s="402"/>
      <x:c r="F34" s="402"/>
      <x:c r="G34" s="402"/>
      <x:c r="H34" s="402"/>
      <x:c r="I34" s="402"/>
      <x:c r="J34" s="402"/>
      <x:c r="K34" s="402"/>
      <x:c r="L34" s="402"/>
      <x:c r="M34" s="402"/>
      <x:c r="N34" s="402"/>
      <x:c r="O34" s="402"/>
      <x:c r="P34" s="402"/>
      <x:c r="Q34" s="402"/>
      <x:c r="R34" s="402"/>
      <x:c r="S34" s="402"/>
      <x:c r="T34" s="402"/>
      <x:c r="U34" s="402"/>
      <x:c r="V34" s="402"/>
      <x:c r="W34" s="402"/>
      <x:c r="X34" s="402"/>
      <x:c r="Y34" s="402"/>
      <x:c r="Z34" s="402"/>
    </x:row>
    <x:row r="35">
      <x:c r="A35" s="402"/>
      <x:c r="B35" s="402"/>
      <x:c r="C35" s="402"/>
      <x:c r="D35" s="402"/>
      <x:c r="E35" s="402"/>
      <x:c r="F35" s="402"/>
      <x:c r="G35" s="402"/>
      <x:c r="H35" s="402"/>
      <x:c r="I35" s="402"/>
      <x:c r="J35" s="402"/>
      <x:c r="K35" s="402"/>
      <x:c r="L35" s="402"/>
      <x:c r="M35" s="402"/>
      <x:c r="N35" s="402"/>
      <x:c r="O35" s="402"/>
      <x:c r="P35" s="402"/>
      <x:c r="Q35" s="402"/>
      <x:c r="R35" s="402"/>
      <x:c r="S35" s="402"/>
      <x:c r="T35" s="402"/>
      <x:c r="U35" s="402"/>
      <x:c r="V35" s="402"/>
      <x:c r="W35" s="402"/>
      <x:c r="X35" s="402"/>
      <x:c r="Y35" s="402"/>
      <x:c r="Z35" s="402"/>
    </x:row>
    <x:row r="36">
      <x:c r="A36" s="402"/>
      <x:c r="B36" s="402"/>
      <x:c r="C36" s="402"/>
      <x:c r="D36" s="402"/>
      <x:c r="E36" s="402"/>
      <x:c r="F36" s="402"/>
      <x:c r="G36" s="402"/>
      <x:c r="H36" s="402"/>
      <x:c r="I36" s="402"/>
      <x:c r="J36" s="402"/>
      <x:c r="K36" s="402"/>
      <x:c r="L36" s="402"/>
      <x:c r="M36" s="402"/>
      <x:c r="N36" s="402"/>
      <x:c r="O36" s="402"/>
      <x:c r="P36" s="402"/>
      <x:c r="Q36" s="402"/>
      <x:c r="R36" s="402"/>
      <x:c r="S36" s="402"/>
      <x:c r="T36" s="402"/>
      <x:c r="U36" s="402"/>
      <x:c r="V36" s="402"/>
      <x:c r="W36" s="402"/>
      <x:c r="X36" s="402"/>
      <x:c r="Y36" s="402"/>
      <x:c r="Z36" s="402"/>
    </x:row>
    <x:row r="37">
      <x:c r="A37" s="402"/>
      <x:c r="B37" s="402"/>
      <x:c r="C37" s="402"/>
      <x:c r="D37" s="402"/>
      <x:c r="E37" s="402"/>
      <x:c r="F37" s="402"/>
      <x:c r="G37" s="402"/>
      <x:c r="H37" s="402"/>
      <x:c r="I37" s="402"/>
      <x:c r="J37" s="402"/>
      <x:c r="K37" s="402"/>
      <x:c r="L37" s="402"/>
      <x:c r="M37" s="402"/>
      <x:c r="N37" s="402"/>
      <x:c r="O37" s="402"/>
      <x:c r="P37" s="402"/>
      <x:c r="Q37" s="402"/>
      <x:c r="R37" s="402"/>
      <x:c r="S37" s="402"/>
      <x:c r="T37" s="402"/>
      <x:c r="U37" s="402"/>
      <x:c r="V37" s="402"/>
      <x:c r="W37" s="402"/>
      <x:c r="X37" s="402"/>
      <x:c r="Y37" s="402"/>
      <x:c r="Z37" s="402"/>
    </x:row>
    <x:row r="38">
      <x:c r="A38" s="402"/>
      <x:c r="B38" s="402"/>
      <x:c r="C38" s="402"/>
      <x:c r="D38" s="402"/>
      <x:c r="E38" s="402"/>
      <x:c r="F38" s="402"/>
      <x:c r="G38" s="402"/>
      <x:c r="H38" s="402"/>
      <x:c r="I38" s="402"/>
      <x:c r="J38" s="402"/>
      <x:c r="K38" s="402"/>
      <x:c r="L38" s="402"/>
      <x:c r="M38" s="402"/>
      <x:c r="N38" s="402"/>
      <x:c r="O38" s="402"/>
      <x:c r="P38" s="402"/>
      <x:c r="Q38" s="402"/>
      <x:c r="R38" s="402"/>
      <x:c r="S38" s="402"/>
      <x:c r="T38" s="402"/>
      <x:c r="U38" s="402"/>
      <x:c r="V38" s="402"/>
      <x:c r="W38" s="402"/>
      <x:c r="X38" s="402"/>
      <x:c r="Y38" s="402"/>
      <x:c r="Z38" s="402"/>
    </x:row>
    <x:row r="39">
      <x:c r="A39" s="402"/>
      <x:c r="B39" s="402"/>
      <x:c r="C39" s="402"/>
      <x:c r="D39" s="402"/>
      <x:c r="E39" s="402"/>
      <x:c r="F39" s="402"/>
      <x:c r="G39" s="402"/>
      <x:c r="H39" s="402"/>
      <x:c r="I39" s="402"/>
      <x:c r="J39" s="402"/>
      <x:c r="K39" s="402"/>
      <x:c r="L39" s="402"/>
      <x:c r="M39" s="402"/>
      <x:c r="N39" s="402"/>
      <x:c r="O39" s="402"/>
      <x:c r="P39" s="402"/>
      <x:c r="Q39" s="402"/>
      <x:c r="R39" s="402"/>
      <x:c r="S39" s="402"/>
      <x:c r="T39" s="402"/>
      <x:c r="U39" s="402"/>
      <x:c r="V39" s="402"/>
      <x:c r="W39" s="402"/>
      <x:c r="X39" s="402"/>
      <x:c r="Y39" s="402"/>
      <x:c r="Z39" s="402"/>
    </x:row>
    <x:row r="40">
      <x:c r="A40" s="402"/>
      <x:c r="B40" s="402"/>
      <x:c r="C40" s="402"/>
      <x:c r="D40" s="402"/>
      <x:c r="E40" s="402"/>
      <x:c r="F40" s="402"/>
      <x:c r="G40" s="402"/>
      <x:c r="H40" s="402"/>
      <x:c r="I40" s="402"/>
      <x:c r="J40" s="402"/>
      <x:c r="K40" s="402"/>
      <x:c r="L40" s="402"/>
      <x:c r="M40" s="402"/>
      <x:c r="N40" s="402"/>
      <x:c r="O40" s="402"/>
      <x:c r="P40" s="402"/>
      <x:c r="Q40" s="402"/>
      <x:c r="R40" s="402"/>
      <x:c r="S40" s="402"/>
      <x:c r="T40" s="402"/>
      <x:c r="U40" s="402"/>
      <x:c r="V40" s="402"/>
      <x:c r="W40" s="402"/>
      <x:c r="X40" s="402"/>
      <x:c r="Y40" s="402"/>
      <x:c r="Z40" s="402"/>
    </x:row>
    <x:row r="41">
      <x:c r="A41" s="402"/>
      <x:c r="B41" s="402"/>
      <x:c r="C41" s="402"/>
      <x:c r="D41" s="402"/>
      <x:c r="E41" s="402"/>
      <x:c r="F41" s="402"/>
      <x:c r="G41" s="402"/>
      <x:c r="H41" s="402"/>
      <x:c r="I41" s="402"/>
      <x:c r="J41" s="402"/>
      <x:c r="K41" s="402"/>
      <x:c r="L41" s="402"/>
      <x:c r="M41" s="402"/>
      <x:c r="N41" s="402"/>
      <x:c r="O41" s="402"/>
      <x:c r="P41" s="402"/>
      <x:c r="Q41" s="402"/>
      <x:c r="R41" s="402"/>
      <x:c r="S41" s="402"/>
      <x:c r="T41" s="402"/>
      <x:c r="U41" s="402"/>
      <x:c r="V41" s="402"/>
      <x:c r="W41" s="402"/>
      <x:c r="X41" s="402"/>
      <x:c r="Y41" s="402"/>
      <x:c r="Z41" s="402"/>
    </x:row>
    <x:row r="42">
      <x:c r="A42" s="402"/>
      <x:c r="B42" s="402"/>
      <x:c r="C42" s="402"/>
      <x:c r="D42" s="402"/>
      <x:c r="E42" s="402"/>
      <x:c r="F42" s="402"/>
      <x:c r="G42" s="402"/>
      <x:c r="H42" s="402"/>
      <x:c r="I42" s="402"/>
      <x:c r="J42" s="402"/>
      <x:c r="K42" s="402"/>
      <x:c r="L42" s="402"/>
      <x:c r="M42" s="402"/>
      <x:c r="N42" s="402"/>
      <x:c r="O42" s="402"/>
      <x:c r="P42" s="402"/>
      <x:c r="Q42" s="402"/>
      <x:c r="R42" s="402"/>
      <x:c r="S42" s="402"/>
      <x:c r="T42" s="402"/>
      <x:c r="U42" s="402"/>
      <x:c r="V42" s="402"/>
      <x:c r="W42" s="402"/>
      <x:c r="X42" s="402"/>
      <x:c r="Y42" s="402"/>
      <x:c r="Z42" s="402"/>
    </x:row>
    <x:row r="43">
      <x:c r="A43" s="402"/>
      <x:c r="B43" s="402"/>
      <x:c r="C43" s="402"/>
      <x:c r="D43" s="402"/>
      <x:c r="E43" s="402"/>
      <x:c r="F43" s="402"/>
      <x:c r="G43" s="402"/>
      <x:c r="H43" s="402"/>
      <x:c r="I43" s="402"/>
      <x:c r="J43" s="402"/>
      <x:c r="K43" s="402"/>
      <x:c r="L43" s="402"/>
      <x:c r="M43" s="402"/>
      <x:c r="N43" s="402"/>
      <x:c r="O43" s="402"/>
      <x:c r="P43" s="402"/>
      <x:c r="Q43" s="402"/>
      <x:c r="R43" s="402"/>
      <x:c r="S43" s="402"/>
      <x:c r="T43" s="402"/>
      <x:c r="U43" s="402"/>
      <x:c r="V43" s="402"/>
      <x:c r="W43" s="402"/>
      <x:c r="X43" s="402"/>
      <x:c r="Y43" s="402"/>
      <x:c r="Z43" s="402"/>
    </x:row>
    <x:row r="44">
      <x:c r="A44" s="402"/>
      <x:c r="B44" s="402"/>
      <x:c r="C44" s="402"/>
      <x:c r="D44" s="402"/>
      <x:c r="E44" s="402"/>
      <x:c r="F44" s="402"/>
      <x:c r="G44" s="402"/>
      <x:c r="H44" s="402"/>
      <x:c r="I44" s="402"/>
      <x:c r="J44" s="402"/>
      <x:c r="K44" s="402"/>
      <x:c r="L44" s="402"/>
      <x:c r="M44" s="402"/>
      <x:c r="N44" s="402"/>
      <x:c r="O44" s="402"/>
      <x:c r="P44" s="402"/>
      <x:c r="Q44" s="402"/>
      <x:c r="R44" s="402"/>
      <x:c r="S44" s="402"/>
      <x:c r="T44" s="402"/>
      <x:c r="U44" s="402"/>
      <x:c r="V44" s="402"/>
      <x:c r="W44" s="402"/>
      <x:c r="X44" s="402"/>
      <x:c r="Y44" s="402"/>
      <x:c r="Z44" s="402"/>
    </x:row>
    <x:row r="45">
      <x:c r="A45" s="402"/>
      <x:c r="B45" s="402"/>
      <x:c r="C45" s="402"/>
      <x:c r="D45" s="402"/>
      <x:c r="E45" s="402"/>
      <x:c r="F45" s="402"/>
      <x:c r="G45" s="402"/>
      <x:c r="H45" s="402"/>
      <x:c r="I45" s="402"/>
      <x:c r="J45" s="402"/>
      <x:c r="K45" s="402"/>
      <x:c r="L45" s="402"/>
      <x:c r="M45" s="402"/>
      <x:c r="N45" s="402"/>
      <x:c r="O45" s="402"/>
      <x:c r="P45" s="402"/>
      <x:c r="Q45" s="402"/>
      <x:c r="R45" s="402"/>
      <x:c r="S45" s="402"/>
      <x:c r="T45" s="402"/>
      <x:c r="U45" s="402"/>
      <x:c r="V45" s="402"/>
      <x:c r="W45" s="402"/>
      <x:c r="X45" s="402"/>
      <x:c r="Y45" s="402"/>
      <x:c r="Z45" s="402"/>
    </x:row>
    <x:row r="46">
      <x:c r="A46" s="402"/>
      <x:c r="B46" s="402"/>
      <x:c r="C46" s="402"/>
      <x:c r="D46" s="402"/>
      <x:c r="E46" s="402"/>
      <x:c r="F46" s="402"/>
      <x:c r="G46" s="402"/>
      <x:c r="H46" s="402"/>
      <x:c r="I46" s="402"/>
      <x:c r="J46" s="402"/>
      <x:c r="K46" s="402"/>
      <x:c r="L46" s="402"/>
      <x:c r="M46" s="402"/>
      <x:c r="N46" s="402"/>
      <x:c r="O46" s="402"/>
      <x:c r="P46" s="402"/>
      <x:c r="Q46" s="402"/>
      <x:c r="R46" s="402"/>
      <x:c r="S46" s="402"/>
      <x:c r="T46" s="402"/>
      <x:c r="U46" s="402"/>
      <x:c r="V46" s="402"/>
      <x:c r="W46" s="402"/>
      <x:c r="X46" s="402"/>
      <x:c r="Y46" s="402"/>
      <x:c r="Z46" s="402"/>
    </x:row>
    <x:row r="47">
      <x:c r="A47" s="402"/>
      <x:c r="B47" s="402"/>
      <x:c r="C47" s="402"/>
      <x:c r="D47" s="402"/>
      <x:c r="E47" s="402"/>
      <x:c r="F47" s="402"/>
      <x:c r="G47" s="402"/>
      <x:c r="H47" s="402"/>
      <x:c r="I47" s="402"/>
      <x:c r="J47" s="402"/>
      <x:c r="K47" s="402"/>
      <x:c r="L47" s="402"/>
      <x:c r="M47" s="402"/>
      <x:c r="N47" s="402"/>
      <x:c r="O47" s="402"/>
      <x:c r="P47" s="402"/>
      <x:c r="Q47" s="402"/>
      <x:c r="R47" s="402"/>
      <x:c r="S47" s="402"/>
      <x:c r="T47" s="402"/>
      <x:c r="U47" s="402"/>
      <x:c r="V47" s="402"/>
      <x:c r="W47" s="402"/>
      <x:c r="X47" s="402"/>
      <x:c r="Y47" s="402"/>
      <x:c r="Z47" s="402"/>
    </x:row>
    <x:row r="48">
      <x:c r="A48" s="402"/>
      <x:c r="B48" s="402"/>
      <x:c r="C48" s="402"/>
      <x:c r="D48" s="402"/>
      <x:c r="E48" s="402"/>
      <x:c r="F48" s="402"/>
      <x:c r="G48" s="402"/>
      <x:c r="H48" s="402"/>
      <x:c r="I48" s="402"/>
      <x:c r="J48" s="402"/>
      <x:c r="K48" s="402"/>
      <x:c r="L48" s="402"/>
      <x:c r="M48" s="402"/>
      <x:c r="N48" s="402"/>
      <x:c r="O48" s="402"/>
      <x:c r="P48" s="402"/>
      <x:c r="Q48" s="402"/>
      <x:c r="R48" s="402"/>
      <x:c r="S48" s="402"/>
      <x:c r="T48" s="402"/>
      <x:c r="U48" s="402"/>
      <x:c r="V48" s="402"/>
      <x:c r="W48" s="402"/>
      <x:c r="X48" s="402"/>
      <x:c r="Y48" s="402"/>
      <x:c r="Z48" s="402"/>
    </x:row>
    <x:row r="49">
      <x:c r="A49" s="402"/>
      <x:c r="B49" s="402"/>
      <x:c r="C49" s="402"/>
      <x:c r="D49" s="402"/>
      <x:c r="E49" s="402"/>
      <x:c r="F49" s="402"/>
      <x:c r="G49" s="402"/>
      <x:c r="H49" s="402"/>
      <x:c r="I49" s="402"/>
      <x:c r="J49" s="402"/>
      <x:c r="K49" s="402"/>
      <x:c r="L49" s="402"/>
      <x:c r="M49" s="402"/>
      <x:c r="N49" s="402"/>
      <x:c r="O49" s="402"/>
      <x:c r="P49" s="402"/>
      <x:c r="Q49" s="402"/>
      <x:c r="R49" s="402"/>
      <x:c r="S49" s="402"/>
      <x:c r="T49" s="402"/>
      <x:c r="U49" s="402"/>
      <x:c r="V49" s="402"/>
      <x:c r="W49" s="402"/>
      <x:c r="X49" s="402"/>
      <x:c r="Y49" s="402"/>
      <x:c r="Z49" s="402"/>
    </x:row>
    <x:row r="50">
      <x:c r="A50" s="402"/>
      <x:c r="B50" s="402"/>
      <x:c r="C50" s="402"/>
      <x:c r="D50" s="402"/>
      <x:c r="E50" s="402"/>
      <x:c r="F50" s="402"/>
      <x:c r="G50" s="402"/>
      <x:c r="H50" s="402"/>
      <x:c r="I50" s="402"/>
      <x:c r="J50" s="402"/>
      <x:c r="K50" s="402"/>
      <x:c r="L50" s="402"/>
      <x:c r="M50" s="402"/>
      <x:c r="N50" s="402"/>
      <x:c r="O50" s="402"/>
      <x:c r="P50" s="402"/>
      <x:c r="Q50" s="402"/>
      <x:c r="R50" s="402"/>
      <x:c r="S50" s="402"/>
      <x:c r="T50" s="402"/>
      <x:c r="U50" s="402"/>
      <x:c r="V50" s="402"/>
      <x:c r="W50" s="402"/>
      <x:c r="X50" s="402"/>
      <x:c r="Y50" s="402"/>
      <x:c r="Z50" s="402"/>
    </x:row>
    <x:row r="51">
      <x:c r="A51" s="402"/>
      <x:c r="B51" s="402"/>
      <x:c r="C51" s="402"/>
      <x:c r="D51" s="402"/>
      <x:c r="E51" s="402"/>
      <x:c r="F51" s="402"/>
      <x:c r="G51" s="402"/>
      <x:c r="H51" s="402"/>
      <x:c r="I51" s="402"/>
      <x:c r="J51" s="402"/>
      <x:c r="K51" s="402"/>
      <x:c r="L51" s="402"/>
      <x:c r="M51" s="402"/>
      <x:c r="N51" s="402"/>
      <x:c r="O51" s="402"/>
      <x:c r="P51" s="402"/>
      <x:c r="Q51" s="402"/>
      <x:c r="R51" s="402"/>
      <x:c r="S51" s="402"/>
      <x:c r="T51" s="402"/>
      <x:c r="U51" s="402"/>
      <x:c r="V51" s="402"/>
      <x:c r="W51" s="402"/>
      <x:c r="X51" s="402"/>
      <x:c r="Y51" s="402"/>
      <x:c r="Z51" s="402"/>
    </x:row>
    <x:row r="52">
      <x:c r="A52" s="402"/>
      <x:c r="B52" s="402"/>
      <x:c r="C52" s="402"/>
      <x:c r="D52" s="402"/>
      <x:c r="E52" s="402"/>
      <x:c r="F52" s="402"/>
      <x:c r="G52" s="402"/>
      <x:c r="H52" s="402"/>
      <x:c r="I52" s="402"/>
      <x:c r="J52" s="402"/>
      <x:c r="K52" s="402"/>
      <x:c r="L52" s="402"/>
      <x:c r="M52" s="402"/>
      <x:c r="N52" s="402"/>
      <x:c r="O52" s="402"/>
      <x:c r="P52" s="402"/>
      <x:c r="Q52" s="402"/>
      <x:c r="R52" s="402"/>
      <x:c r="S52" s="402"/>
      <x:c r="T52" s="402"/>
      <x:c r="U52" s="402"/>
      <x:c r="V52" s="402"/>
      <x:c r="W52" s="402"/>
      <x:c r="X52" s="402"/>
      <x:c r="Y52" s="402"/>
      <x:c r="Z52" s="402"/>
    </x:row>
    <x:row r="53">
      <x:c r="A53" s="402"/>
      <x:c r="B53" s="402"/>
      <x:c r="C53" s="402"/>
      <x:c r="D53" s="402"/>
      <x:c r="E53" s="402"/>
      <x:c r="F53" s="402"/>
      <x:c r="G53" s="402"/>
      <x:c r="H53" s="402"/>
      <x:c r="I53" s="402"/>
      <x:c r="J53" s="402"/>
      <x:c r="K53" s="402"/>
      <x:c r="L53" s="402"/>
      <x:c r="M53" s="402"/>
      <x:c r="N53" s="402"/>
      <x:c r="O53" s="402"/>
      <x:c r="P53" s="402"/>
      <x:c r="Q53" s="402"/>
      <x:c r="R53" s="402"/>
      <x:c r="S53" s="402"/>
      <x:c r="T53" s="402"/>
      <x:c r="U53" s="402"/>
      <x:c r="V53" s="402"/>
      <x:c r="W53" s="402"/>
      <x:c r="X53" s="402"/>
      <x:c r="Y53" s="402"/>
      <x:c r="Z53" s="402"/>
    </x:row>
    <x:row r="54">
      <x:c r="A54" s="402"/>
      <x:c r="B54" s="402"/>
      <x:c r="C54" s="402"/>
      <x:c r="D54" s="402"/>
      <x:c r="E54" s="402"/>
      <x:c r="F54" s="402"/>
      <x:c r="G54" s="402"/>
      <x:c r="H54" s="402"/>
      <x:c r="I54" s="402"/>
      <x:c r="J54" s="402"/>
      <x:c r="K54" s="402"/>
      <x:c r="L54" s="402"/>
      <x:c r="M54" s="402"/>
      <x:c r="N54" s="402"/>
      <x:c r="O54" s="402"/>
      <x:c r="P54" s="402"/>
      <x:c r="Q54" s="402"/>
      <x:c r="R54" s="402"/>
      <x:c r="S54" s="402"/>
      <x:c r="T54" s="402"/>
      <x:c r="U54" s="402"/>
      <x:c r="V54" s="402"/>
      <x:c r="W54" s="402"/>
      <x:c r="X54" s="402"/>
      <x:c r="Y54" s="402"/>
      <x:c r="Z54" s="402"/>
    </x:row>
    <x:row r="55">
      <x:c r="A55" s="402"/>
      <x:c r="B55" s="402"/>
      <x:c r="C55" s="402"/>
      <x:c r="D55" s="402"/>
      <x:c r="E55" s="402"/>
      <x:c r="F55" s="402"/>
      <x:c r="G55" s="402"/>
      <x:c r="H55" s="402"/>
      <x:c r="I55" s="402"/>
      <x:c r="J55" s="402"/>
      <x:c r="K55" s="402"/>
      <x:c r="L55" s="402"/>
      <x:c r="M55" s="402"/>
      <x:c r="N55" s="402"/>
      <x:c r="O55" s="402"/>
      <x:c r="P55" s="402"/>
      <x:c r="Q55" s="402"/>
      <x:c r="R55" s="402"/>
      <x:c r="S55" s="402"/>
      <x:c r="T55" s="402"/>
      <x:c r="U55" s="402"/>
      <x:c r="V55" s="402"/>
      <x:c r="W55" s="402"/>
      <x:c r="X55" s="402"/>
      <x:c r="Y55" s="402"/>
      <x:c r="Z55" s="402"/>
    </x:row>
    <x:row r="56">
      <x:c r="A56" s="402"/>
      <x:c r="B56" s="402"/>
      <x:c r="C56" s="402"/>
      <x:c r="D56" s="402"/>
      <x:c r="E56" s="402"/>
      <x:c r="F56" s="402"/>
      <x:c r="G56" s="402"/>
      <x:c r="H56" s="402"/>
      <x:c r="I56" s="402"/>
      <x:c r="J56" s="402"/>
      <x:c r="K56" s="402"/>
      <x:c r="L56" s="402"/>
      <x:c r="M56" s="402"/>
      <x:c r="N56" s="402"/>
      <x:c r="O56" s="402"/>
      <x:c r="P56" s="402"/>
      <x:c r="Q56" s="402"/>
      <x:c r="R56" s="402"/>
      <x:c r="S56" s="402"/>
      <x:c r="T56" s="402"/>
      <x:c r="U56" s="402"/>
      <x:c r="V56" s="402"/>
      <x:c r="W56" s="402"/>
      <x:c r="X56" s="402"/>
      <x:c r="Y56" s="402"/>
      <x:c r="Z56" s="402"/>
    </x:row>
    <x:row r="57">
      <x:c r="A57" s="402"/>
      <x:c r="B57" s="402"/>
      <x:c r="C57" s="402"/>
      <x:c r="D57" s="402"/>
      <x:c r="E57" s="402"/>
      <x:c r="F57" s="402"/>
      <x:c r="G57" s="402"/>
      <x:c r="H57" s="402"/>
      <x:c r="I57" s="402"/>
      <x:c r="J57" s="402"/>
      <x:c r="K57" s="402"/>
      <x:c r="L57" s="402"/>
      <x:c r="M57" s="402"/>
      <x:c r="N57" s="402"/>
      <x:c r="O57" s="402"/>
      <x:c r="P57" s="402"/>
      <x:c r="Q57" s="402"/>
      <x:c r="R57" s="402"/>
      <x:c r="S57" s="402"/>
      <x:c r="T57" s="402"/>
      <x:c r="U57" s="402"/>
      <x:c r="V57" s="402"/>
      <x:c r="W57" s="402"/>
      <x:c r="X57" s="402"/>
      <x:c r="Y57" s="402"/>
      <x:c r="Z57" s="402"/>
    </x:row>
    <x:row r="58">
      <x:c r="A58" s="402"/>
      <x:c r="B58" s="402"/>
      <x:c r="C58" s="402"/>
      <x:c r="D58" s="402"/>
      <x:c r="E58" s="402"/>
      <x:c r="F58" s="402"/>
      <x:c r="G58" s="402"/>
      <x:c r="H58" s="402"/>
      <x:c r="I58" s="402"/>
      <x:c r="J58" s="402"/>
      <x:c r="K58" s="402"/>
      <x:c r="L58" s="402"/>
      <x:c r="M58" s="402"/>
      <x:c r="N58" s="402"/>
      <x:c r="O58" s="402"/>
      <x:c r="P58" s="402"/>
      <x:c r="Q58" s="402"/>
      <x:c r="R58" s="402"/>
      <x:c r="S58" s="402"/>
      <x:c r="T58" s="402"/>
      <x:c r="U58" s="402"/>
      <x:c r="V58" s="402"/>
      <x:c r="W58" s="402"/>
      <x:c r="X58" s="402"/>
      <x:c r="Y58" s="402"/>
      <x:c r="Z58" s="402"/>
    </x:row>
    <x:row r="59">
      <x:c r="A59" s="402"/>
      <x:c r="B59" s="402"/>
      <x:c r="C59" s="402"/>
      <x:c r="D59" s="402"/>
      <x:c r="E59" s="402"/>
      <x:c r="F59" s="402"/>
      <x:c r="G59" s="402"/>
      <x:c r="H59" s="402"/>
      <x:c r="I59" s="402"/>
      <x:c r="J59" s="402"/>
      <x:c r="K59" s="402"/>
      <x:c r="L59" s="402"/>
      <x:c r="M59" s="402"/>
      <x:c r="N59" s="402"/>
      <x:c r="O59" s="402"/>
      <x:c r="P59" s="402"/>
      <x:c r="Q59" s="402"/>
      <x:c r="R59" s="402"/>
      <x:c r="S59" s="402"/>
      <x:c r="T59" s="402"/>
      <x:c r="U59" s="402"/>
      <x:c r="V59" s="402"/>
      <x:c r="W59" s="402"/>
      <x:c r="X59" s="402"/>
      <x:c r="Y59" s="402"/>
      <x:c r="Z59" s="402"/>
    </x:row>
    <x:row r="60">
      <x:c r="A60" s="402"/>
      <x:c r="B60" s="402"/>
      <x:c r="C60" s="402"/>
      <x:c r="D60" s="402"/>
      <x:c r="E60" s="402"/>
      <x:c r="F60" s="402"/>
      <x:c r="G60" s="402"/>
      <x:c r="H60" s="402"/>
      <x:c r="I60" s="402"/>
      <x:c r="J60" s="402"/>
      <x:c r="K60" s="402"/>
      <x:c r="L60" s="402"/>
      <x:c r="M60" s="402"/>
      <x:c r="N60" s="402"/>
      <x:c r="O60" s="402"/>
      <x:c r="P60" s="402"/>
      <x:c r="Q60" s="402"/>
      <x:c r="R60" s="402"/>
      <x:c r="S60" s="402"/>
      <x:c r="T60" s="402"/>
      <x:c r="U60" s="402"/>
      <x:c r="V60" s="402"/>
      <x:c r="W60" s="402"/>
      <x:c r="X60" s="402"/>
      <x:c r="Y60" s="402"/>
      <x:c r="Z60" s="402"/>
    </x:row>
    <x:row r="61">
      <x:c r="A61" s="402"/>
      <x:c r="B61" s="402"/>
      <x:c r="C61" s="402"/>
      <x:c r="D61" s="402"/>
      <x:c r="E61" s="402"/>
      <x:c r="F61" s="402"/>
      <x:c r="G61" s="402"/>
      <x:c r="H61" s="402"/>
      <x:c r="I61" s="402"/>
      <x:c r="J61" s="402"/>
      <x:c r="K61" s="402"/>
      <x:c r="L61" s="402"/>
      <x:c r="M61" s="402"/>
      <x:c r="N61" s="402"/>
      <x:c r="O61" s="402"/>
      <x:c r="P61" s="402"/>
      <x:c r="Q61" s="402"/>
      <x:c r="R61" s="402"/>
      <x:c r="S61" s="402"/>
      <x:c r="T61" s="402"/>
      <x:c r="U61" s="402"/>
      <x:c r="V61" s="402"/>
      <x:c r="W61" s="402"/>
      <x:c r="X61" s="402"/>
      <x:c r="Y61" s="402"/>
      <x:c r="Z61" s="402"/>
    </x:row>
    <x:row r="62">
      <x:c r="A62" s="402"/>
      <x:c r="B62" s="402"/>
      <x:c r="C62" s="402"/>
      <x:c r="D62" s="402"/>
      <x:c r="E62" s="402"/>
      <x:c r="F62" s="402"/>
      <x:c r="G62" s="402"/>
      <x:c r="H62" s="402"/>
      <x:c r="I62" s="402"/>
      <x:c r="J62" s="402"/>
      <x:c r="K62" s="402"/>
      <x:c r="L62" s="402"/>
      <x:c r="M62" s="402"/>
      <x:c r="N62" s="402"/>
      <x:c r="O62" s="402"/>
      <x:c r="P62" s="402"/>
      <x:c r="Q62" s="402"/>
      <x:c r="R62" s="402"/>
      <x:c r="S62" s="402"/>
      <x:c r="T62" s="402"/>
      <x:c r="U62" s="402"/>
      <x:c r="V62" s="402"/>
      <x:c r="W62" s="402"/>
      <x:c r="X62" s="402"/>
      <x:c r="Y62" s="402"/>
      <x:c r="Z62" s="402"/>
    </x:row>
    <x:row r="63">
      <x:c r="A63" s="402"/>
      <x:c r="B63" s="402"/>
      <x:c r="C63" s="402"/>
      <x:c r="D63" s="402"/>
      <x:c r="E63" s="402"/>
      <x:c r="F63" s="402"/>
      <x:c r="G63" s="402"/>
      <x:c r="H63" s="402"/>
      <x:c r="I63" s="402"/>
      <x:c r="J63" s="402"/>
      <x:c r="K63" s="402"/>
      <x:c r="L63" s="402"/>
      <x:c r="M63" s="402"/>
      <x:c r="N63" s="402"/>
      <x:c r="O63" s="402"/>
      <x:c r="P63" s="402"/>
      <x:c r="Q63" s="402"/>
      <x:c r="R63" s="402"/>
      <x:c r="S63" s="402"/>
      <x:c r="T63" s="402"/>
      <x:c r="U63" s="402"/>
      <x:c r="V63" s="402"/>
      <x:c r="W63" s="402"/>
      <x:c r="X63" s="402"/>
      <x:c r="Y63" s="402"/>
      <x:c r="Z63" s="402"/>
    </x:row>
    <x:row r="64">
      <x:c r="A64" s="402"/>
      <x:c r="B64" s="402"/>
      <x:c r="C64" s="402"/>
      <x:c r="D64" s="402"/>
      <x:c r="E64" s="402"/>
      <x:c r="F64" s="402"/>
      <x:c r="G64" s="402"/>
      <x:c r="H64" s="402"/>
      <x:c r="I64" s="402"/>
      <x:c r="J64" s="402"/>
      <x:c r="K64" s="402"/>
      <x:c r="L64" s="402"/>
      <x:c r="M64" s="402"/>
      <x:c r="N64" s="402"/>
      <x:c r="O64" s="402"/>
      <x:c r="P64" s="402"/>
      <x:c r="Q64" s="402"/>
      <x:c r="R64" s="402"/>
      <x:c r="S64" s="402"/>
      <x:c r="T64" s="402"/>
      <x:c r="U64" s="402"/>
      <x:c r="V64" s="402"/>
      <x:c r="W64" s="402"/>
      <x:c r="X64" s="402"/>
      <x:c r="Y64" s="402"/>
      <x:c r="Z64" s="402"/>
    </x:row>
    <x:row r="65">
      <x:c r="A65" s="402"/>
      <x:c r="B65" s="402"/>
      <x:c r="C65" s="402"/>
      <x:c r="D65" s="402"/>
      <x:c r="E65" s="402"/>
      <x:c r="F65" s="402"/>
      <x:c r="G65" s="402"/>
      <x:c r="H65" s="402"/>
      <x:c r="I65" s="402"/>
      <x:c r="J65" s="402"/>
      <x:c r="K65" s="402"/>
      <x:c r="L65" s="402"/>
      <x:c r="M65" s="402"/>
      <x:c r="N65" s="402"/>
      <x:c r="O65" s="402"/>
      <x:c r="P65" s="402"/>
      <x:c r="Q65" s="402"/>
      <x:c r="R65" s="402"/>
      <x:c r="S65" s="402"/>
      <x:c r="T65" s="402"/>
      <x:c r="U65" s="402"/>
      <x:c r="V65" s="402"/>
      <x:c r="W65" s="402"/>
      <x:c r="X65" s="402"/>
      <x:c r="Y65" s="402"/>
      <x:c r="Z65" s="402"/>
    </x:row>
    <x:row r="66">
      <x:c r="A66" s="402"/>
      <x:c r="B66" s="402"/>
      <x:c r="C66" s="402"/>
      <x:c r="D66" s="402"/>
      <x:c r="E66" s="402"/>
      <x:c r="F66" s="402"/>
      <x:c r="G66" s="402"/>
      <x:c r="H66" s="402"/>
      <x:c r="I66" s="402"/>
      <x:c r="J66" s="402"/>
      <x:c r="K66" s="402"/>
      <x:c r="L66" s="402"/>
      <x:c r="M66" s="402"/>
      <x:c r="N66" s="402"/>
      <x:c r="O66" s="402"/>
      <x:c r="P66" s="402"/>
      <x:c r="Q66" s="402"/>
      <x:c r="R66" s="402"/>
      <x:c r="S66" s="402"/>
      <x:c r="T66" s="402"/>
      <x:c r="U66" s="402"/>
      <x:c r="V66" s="402"/>
      <x:c r="W66" s="402"/>
      <x:c r="X66" s="402"/>
      <x:c r="Y66" s="402"/>
      <x:c r="Z66" s="402"/>
    </x:row>
    <x:row r="67">
      <x:c r="A67" s="402"/>
      <x:c r="B67" s="402"/>
      <x:c r="C67" s="402"/>
      <x:c r="D67" s="402"/>
      <x:c r="E67" s="402"/>
      <x:c r="F67" s="402"/>
      <x:c r="G67" s="402"/>
      <x:c r="H67" s="402"/>
      <x:c r="I67" s="402"/>
      <x:c r="J67" s="402"/>
      <x:c r="K67" s="402"/>
      <x:c r="L67" s="402"/>
      <x:c r="M67" s="402"/>
      <x:c r="N67" s="402"/>
      <x:c r="O67" s="402"/>
      <x:c r="P67" s="402"/>
      <x:c r="Q67" s="402"/>
      <x:c r="R67" s="402"/>
      <x:c r="S67" s="402"/>
      <x:c r="T67" s="402"/>
      <x:c r="U67" s="402"/>
      <x:c r="V67" s="402"/>
      <x:c r="W67" s="402"/>
      <x:c r="X67" s="402"/>
      <x:c r="Y67" s="402"/>
      <x:c r="Z67" s="402"/>
    </x:row>
    <x:row r="68">
      <x:c r="A68" s="402"/>
      <x:c r="B68" s="402"/>
      <x:c r="C68" s="402"/>
      <x:c r="D68" s="402"/>
      <x:c r="E68" s="402"/>
      <x:c r="F68" s="402"/>
      <x:c r="G68" s="402"/>
      <x:c r="H68" s="402"/>
      <x:c r="I68" s="402"/>
      <x:c r="J68" s="402"/>
      <x:c r="K68" s="402"/>
      <x:c r="L68" s="402"/>
      <x:c r="M68" s="402"/>
      <x:c r="N68" s="402"/>
      <x:c r="O68" s="402"/>
      <x:c r="P68" s="402"/>
      <x:c r="Q68" s="402"/>
      <x:c r="R68" s="402"/>
      <x:c r="S68" s="402"/>
      <x:c r="T68" s="402"/>
      <x:c r="U68" s="402"/>
      <x:c r="V68" s="402"/>
      <x:c r="W68" s="402"/>
      <x:c r="X68" s="402"/>
      <x:c r="Y68" s="402"/>
      <x:c r="Z68" s="402"/>
    </x:row>
    <x:row r="69">
      <x:c r="A69" s="402"/>
      <x:c r="B69" s="402"/>
      <x:c r="C69" s="402"/>
      <x:c r="D69" s="402"/>
      <x:c r="E69" s="402"/>
      <x:c r="F69" s="402"/>
      <x:c r="G69" s="402"/>
      <x:c r="H69" s="402"/>
      <x:c r="I69" s="402"/>
      <x:c r="J69" s="402"/>
      <x:c r="K69" s="402"/>
      <x:c r="L69" s="402"/>
      <x:c r="M69" s="402"/>
      <x:c r="N69" s="402"/>
      <x:c r="O69" s="402"/>
      <x:c r="P69" s="402"/>
      <x:c r="Q69" s="402"/>
      <x:c r="R69" s="402"/>
      <x:c r="S69" s="402"/>
      <x:c r="T69" s="402"/>
      <x:c r="U69" s="402"/>
      <x:c r="V69" s="402"/>
      <x:c r="W69" s="402"/>
      <x:c r="X69" s="402"/>
      <x:c r="Y69" s="402"/>
      <x:c r="Z69" s="402"/>
    </x:row>
    <x:row r="70">
      <x:c r="A70" s="402"/>
      <x:c r="B70" s="402"/>
      <x:c r="C70" s="402"/>
      <x:c r="D70" s="402"/>
      <x:c r="E70" s="402"/>
      <x:c r="F70" s="402"/>
      <x:c r="G70" s="402"/>
      <x:c r="H70" s="402"/>
      <x:c r="I70" s="402"/>
      <x:c r="J70" s="402"/>
      <x:c r="K70" s="402"/>
      <x:c r="L70" s="402"/>
      <x:c r="M70" s="402"/>
      <x:c r="N70" s="402"/>
      <x:c r="O70" s="402"/>
      <x:c r="P70" s="402"/>
      <x:c r="Q70" s="402"/>
      <x:c r="R70" s="402"/>
      <x:c r="S70" s="402"/>
      <x:c r="T70" s="402"/>
      <x:c r="U70" s="402"/>
      <x:c r="V70" s="402"/>
      <x:c r="W70" s="402"/>
      <x:c r="X70" s="402"/>
      <x:c r="Y70" s="402"/>
      <x:c r="Z70" s="402"/>
    </x:row>
    <x:row r="71">
      <x:c r="A71" s="402"/>
      <x:c r="B71" s="402"/>
      <x:c r="C71" s="402"/>
      <x:c r="D71" s="402"/>
      <x:c r="E71" s="402"/>
      <x:c r="F71" s="402"/>
      <x:c r="G71" s="402"/>
      <x:c r="H71" s="402"/>
      <x:c r="I71" s="402"/>
      <x:c r="J71" s="402"/>
      <x:c r="K71" s="402"/>
      <x:c r="L71" s="402"/>
      <x:c r="M71" s="402"/>
      <x:c r="N71" s="402"/>
      <x:c r="O71" s="402"/>
      <x:c r="P71" s="402"/>
      <x:c r="Q71" s="402"/>
      <x:c r="R71" s="402"/>
      <x:c r="S71" s="402"/>
      <x:c r="T71" s="402"/>
      <x:c r="U71" s="402"/>
      <x:c r="V71" s="402"/>
      <x:c r="W71" s="402"/>
      <x:c r="X71" s="402"/>
      <x:c r="Y71" s="402"/>
      <x:c r="Z71" s="402"/>
    </x:row>
    <x:row r="72">
      <x:c r="A72" s="402"/>
      <x:c r="B72" s="402"/>
      <x:c r="C72" s="402"/>
      <x:c r="D72" s="402"/>
      <x:c r="E72" s="402"/>
      <x:c r="F72" s="402"/>
      <x:c r="G72" s="402"/>
      <x:c r="H72" s="402"/>
      <x:c r="I72" s="402"/>
      <x:c r="J72" s="402"/>
      <x:c r="K72" s="402"/>
      <x:c r="L72" s="402"/>
      <x:c r="M72" s="402"/>
      <x:c r="N72" s="402"/>
      <x:c r="O72" s="402"/>
      <x:c r="P72" s="402"/>
      <x:c r="Q72" s="402"/>
      <x:c r="R72" s="402"/>
      <x:c r="S72" s="402"/>
      <x:c r="T72" s="402"/>
      <x:c r="U72" s="402"/>
      <x:c r="V72" s="402"/>
      <x:c r="W72" s="402"/>
      <x:c r="X72" s="402"/>
      <x:c r="Y72" s="402"/>
      <x:c r="Z72" s="402"/>
    </x:row>
    <x:row r="73">
      <x:c r="A73" s="402"/>
      <x:c r="B73" s="402"/>
      <x:c r="C73" s="402"/>
      <x:c r="D73" s="402"/>
      <x:c r="E73" s="402"/>
      <x:c r="F73" s="402"/>
      <x:c r="G73" s="402"/>
      <x:c r="H73" s="402"/>
      <x:c r="I73" s="402"/>
      <x:c r="J73" s="402"/>
      <x:c r="K73" s="402"/>
      <x:c r="L73" s="402"/>
      <x:c r="M73" s="402"/>
      <x:c r="N73" s="402"/>
      <x:c r="O73" s="402"/>
      <x:c r="P73" s="402"/>
      <x:c r="Q73" s="402"/>
      <x:c r="R73" s="402"/>
      <x:c r="S73" s="402"/>
      <x:c r="T73" s="402"/>
      <x:c r="U73" s="402"/>
      <x:c r="V73" s="402"/>
      <x:c r="W73" s="402"/>
      <x:c r="X73" s="402"/>
      <x:c r="Y73" s="402"/>
      <x:c r="Z73" s="402"/>
    </x:row>
    <x:row r="74">
      <x:c r="A74" s="402"/>
      <x:c r="B74" s="402"/>
      <x:c r="C74" s="402"/>
      <x:c r="D74" s="402"/>
      <x:c r="E74" s="402"/>
      <x:c r="F74" s="402"/>
      <x:c r="G74" s="402"/>
      <x:c r="H74" s="402"/>
      <x:c r="I74" s="402"/>
      <x:c r="J74" s="402"/>
      <x:c r="K74" s="402"/>
      <x:c r="L74" s="402"/>
      <x:c r="M74" s="402"/>
      <x:c r="N74" s="402"/>
      <x:c r="O74" s="402"/>
      <x:c r="P74" s="402"/>
      <x:c r="Q74" s="402"/>
      <x:c r="R74" s="402"/>
      <x:c r="S74" s="402"/>
      <x:c r="T74" s="402"/>
      <x:c r="U74" s="402"/>
      <x:c r="V74" s="402"/>
      <x:c r="W74" s="402"/>
      <x:c r="X74" s="402"/>
      <x:c r="Y74" s="402"/>
      <x:c r="Z74" s="402"/>
    </x:row>
    <x:row r="75">
      <x:c r="A75" s="402"/>
      <x:c r="B75" s="402"/>
      <x:c r="C75" s="402"/>
      <x:c r="D75" s="402"/>
      <x:c r="E75" s="402"/>
      <x:c r="F75" s="402"/>
      <x:c r="G75" s="402"/>
      <x:c r="H75" s="402"/>
      <x:c r="I75" s="402"/>
      <x:c r="J75" s="402"/>
      <x:c r="K75" s="402"/>
      <x:c r="L75" s="402"/>
      <x:c r="M75" s="402"/>
      <x:c r="N75" s="402"/>
      <x:c r="O75" s="402"/>
      <x:c r="P75" s="402"/>
      <x:c r="Q75" s="402"/>
      <x:c r="R75" s="402"/>
      <x:c r="S75" s="402"/>
      <x:c r="T75" s="402"/>
      <x:c r="U75" s="402"/>
      <x:c r="V75" s="402"/>
      <x:c r="W75" s="402"/>
      <x:c r="X75" s="402"/>
      <x:c r="Y75" s="402"/>
      <x:c r="Z75" s="402"/>
    </x:row>
    <x:row r="76">
      <x:c r="A76" s="402"/>
      <x:c r="B76" s="402"/>
      <x:c r="C76" s="402"/>
      <x:c r="D76" s="402"/>
      <x:c r="E76" s="402"/>
      <x:c r="F76" s="402"/>
      <x:c r="G76" s="402"/>
      <x:c r="H76" s="402"/>
      <x:c r="I76" s="402"/>
      <x:c r="J76" s="402"/>
      <x:c r="K76" s="402"/>
      <x:c r="L76" s="402"/>
      <x:c r="M76" s="402"/>
      <x:c r="N76" s="402"/>
      <x:c r="O76" s="402"/>
      <x:c r="P76" s="402"/>
      <x:c r="Q76" s="402"/>
      <x:c r="R76" s="402"/>
      <x:c r="S76" s="402"/>
      <x:c r="T76" s="402"/>
      <x:c r="U76" s="402"/>
      <x:c r="V76" s="402"/>
      <x:c r="W76" s="402"/>
      <x:c r="X76" s="402"/>
      <x:c r="Y76" s="402"/>
      <x:c r="Z76" s="402"/>
    </x:row>
    <x:row r="77">
      <x:c r="A77" s="402"/>
      <x:c r="B77" s="402"/>
      <x:c r="C77" s="402"/>
      <x:c r="D77" s="402"/>
      <x:c r="E77" s="402"/>
      <x:c r="F77" s="402"/>
      <x:c r="G77" s="402"/>
      <x:c r="H77" s="402"/>
      <x:c r="I77" s="402"/>
      <x:c r="J77" s="402"/>
      <x:c r="K77" s="402"/>
      <x:c r="L77" s="402"/>
      <x:c r="M77" s="402"/>
      <x:c r="N77" s="402"/>
      <x:c r="O77" s="402"/>
      <x:c r="P77" s="402"/>
      <x:c r="Q77" s="402"/>
      <x:c r="R77" s="402"/>
      <x:c r="S77" s="402"/>
      <x:c r="T77" s="402"/>
      <x:c r="U77" s="402"/>
      <x:c r="V77" s="402"/>
      <x:c r="W77" s="402"/>
      <x:c r="X77" s="402"/>
      <x:c r="Y77" s="402"/>
      <x:c r="Z77" s="402"/>
    </x:row>
    <x:row r="78">
      <x:c r="A78" s="402"/>
      <x:c r="B78" s="402"/>
      <x:c r="C78" s="402"/>
      <x:c r="D78" s="402"/>
      <x:c r="E78" s="402"/>
      <x:c r="F78" s="402"/>
      <x:c r="G78" s="402"/>
      <x:c r="H78" s="402"/>
      <x:c r="I78" s="402"/>
      <x:c r="J78" s="402"/>
      <x:c r="K78" s="402"/>
      <x:c r="L78" s="402"/>
      <x:c r="M78" s="402"/>
      <x:c r="N78" s="402"/>
      <x:c r="O78" s="402"/>
      <x:c r="P78" s="402"/>
      <x:c r="Q78" s="402"/>
      <x:c r="R78" s="402"/>
      <x:c r="S78" s="402"/>
      <x:c r="T78" s="402"/>
      <x:c r="U78" s="402"/>
      <x:c r="V78" s="402"/>
      <x:c r="W78" s="402"/>
      <x:c r="X78" s="402"/>
      <x:c r="Y78" s="402"/>
      <x:c r="Z78" s="402"/>
    </x:row>
    <x:row r="79">
      <x:c r="A79" s="402"/>
      <x:c r="B79" s="402"/>
      <x:c r="C79" s="402"/>
      <x:c r="D79" s="402"/>
      <x:c r="E79" s="402"/>
      <x:c r="F79" s="402"/>
      <x:c r="G79" s="402"/>
      <x:c r="H79" s="402"/>
      <x:c r="I79" s="402"/>
      <x:c r="J79" s="402"/>
      <x:c r="K79" s="402"/>
      <x:c r="L79" s="402"/>
      <x:c r="M79" s="402"/>
      <x:c r="N79" s="402"/>
      <x:c r="O79" s="402"/>
      <x:c r="P79" s="402"/>
      <x:c r="Q79" s="402"/>
      <x:c r="R79" s="402"/>
      <x:c r="S79" s="402"/>
      <x:c r="T79" s="402"/>
      <x:c r="U79" s="402"/>
      <x:c r="V79" s="402"/>
      <x:c r="W79" s="402"/>
      <x:c r="X79" s="402"/>
      <x:c r="Y79" s="402"/>
      <x:c r="Z79" s="402"/>
    </x:row>
    <x:row r="80">
      <x:c r="A80" s="402"/>
      <x:c r="B80" s="402"/>
      <x:c r="C80" s="402"/>
      <x:c r="D80" s="402"/>
      <x:c r="E80" s="402"/>
      <x:c r="F80" s="402"/>
      <x:c r="G80" s="402"/>
      <x:c r="H80" s="402"/>
      <x:c r="I80" s="402"/>
      <x:c r="J80" s="402"/>
      <x:c r="K80" s="402"/>
      <x:c r="L80" s="402"/>
      <x:c r="M80" s="402"/>
      <x:c r="N80" s="402"/>
      <x:c r="O80" s="402"/>
      <x:c r="P80" s="402"/>
      <x:c r="Q80" s="402"/>
      <x:c r="R80" s="402"/>
      <x:c r="S80" s="402"/>
      <x:c r="T80" s="402"/>
      <x:c r="U80" s="402"/>
      <x:c r="V80" s="402"/>
      <x:c r="W80" s="402"/>
      <x:c r="X80" s="402"/>
      <x:c r="Y80" s="402"/>
      <x:c r="Z80" s="402"/>
    </x:row>
    <x:row r="81">
      <x:c r="A81" s="402"/>
      <x:c r="B81" s="402"/>
      <x:c r="C81" s="402"/>
      <x:c r="D81" s="402"/>
      <x:c r="E81" s="402"/>
      <x:c r="F81" s="402"/>
      <x:c r="G81" s="402"/>
      <x:c r="H81" s="402"/>
      <x:c r="I81" s="402"/>
      <x:c r="J81" s="402"/>
      <x:c r="K81" s="402"/>
      <x:c r="L81" s="402"/>
      <x:c r="M81" s="402"/>
      <x:c r="N81" s="402"/>
      <x:c r="O81" s="402"/>
      <x:c r="P81" s="402"/>
      <x:c r="Q81" s="402"/>
      <x:c r="R81" s="402"/>
      <x:c r="S81" s="402"/>
      <x:c r="T81" s="402"/>
      <x:c r="U81" s="402"/>
      <x:c r="V81" s="402"/>
      <x:c r="W81" s="402"/>
      <x:c r="X81" s="402"/>
      <x:c r="Y81" s="402"/>
      <x:c r="Z81" s="402"/>
    </x:row>
    <x:row r="82">
      <x:c r="A82" s="402"/>
      <x:c r="B82" s="402"/>
      <x:c r="C82" s="402"/>
      <x:c r="D82" s="402"/>
      <x:c r="E82" s="402"/>
      <x:c r="F82" s="402"/>
      <x:c r="G82" s="402"/>
      <x:c r="H82" s="402"/>
      <x:c r="I82" s="402"/>
      <x:c r="J82" s="402"/>
      <x:c r="K82" s="402"/>
      <x:c r="L82" s="402"/>
      <x:c r="M82" s="402"/>
      <x:c r="N82" s="402"/>
      <x:c r="O82" s="402"/>
      <x:c r="P82" s="402"/>
      <x:c r="Q82" s="402"/>
      <x:c r="R82" s="402"/>
      <x:c r="S82" s="402"/>
      <x:c r="T82" s="402"/>
      <x:c r="U82" s="402"/>
      <x:c r="V82" s="402"/>
      <x:c r="W82" s="402"/>
      <x:c r="X82" s="402"/>
      <x:c r="Y82" s="402"/>
      <x:c r="Z82" s="402"/>
    </x:row>
    <x:row r="83">
      <x:c r="A83" s="402"/>
      <x:c r="B83" s="402"/>
      <x:c r="C83" s="402"/>
      <x:c r="D83" s="402"/>
      <x:c r="E83" s="402"/>
      <x:c r="F83" s="402"/>
      <x:c r="G83" s="402"/>
      <x:c r="H83" s="402"/>
      <x:c r="I83" s="402"/>
      <x:c r="J83" s="402"/>
      <x:c r="K83" s="402"/>
      <x:c r="L83" s="402"/>
      <x:c r="M83" s="402"/>
      <x:c r="N83" s="402"/>
      <x:c r="O83" s="402"/>
      <x:c r="P83" s="402"/>
      <x:c r="Q83" s="402"/>
      <x:c r="R83" s="402"/>
      <x:c r="S83" s="402"/>
      <x:c r="T83" s="402"/>
      <x:c r="U83" s="402"/>
      <x:c r="V83" s="402"/>
      <x:c r="W83" s="402"/>
      <x:c r="X83" s="402"/>
      <x:c r="Y83" s="402"/>
      <x:c r="Z83" s="402"/>
    </x:row>
    <x:row r="84">
      <x:c r="A84" s="402"/>
      <x:c r="B84" s="402"/>
      <x:c r="C84" s="402"/>
      <x:c r="D84" s="402"/>
      <x:c r="E84" s="402"/>
      <x:c r="F84" s="402"/>
      <x:c r="G84" s="402"/>
      <x:c r="H84" s="402"/>
      <x:c r="I84" s="402"/>
      <x:c r="J84" s="402"/>
      <x:c r="K84" s="402"/>
      <x:c r="L84" s="402"/>
      <x:c r="M84" s="402"/>
      <x:c r="N84" s="402"/>
      <x:c r="O84" s="402"/>
      <x:c r="P84" s="402"/>
      <x:c r="Q84" s="402"/>
      <x:c r="R84" s="402"/>
      <x:c r="S84" s="402"/>
      <x:c r="T84" s="402"/>
      <x:c r="U84" s="402"/>
      <x:c r="V84" s="402"/>
      <x:c r="W84" s="402"/>
      <x:c r="X84" s="402"/>
      <x:c r="Y84" s="402"/>
      <x:c r="Z84" s="402"/>
    </x:row>
    <x:row r="85">
      <x:c r="A85" s="402"/>
      <x:c r="B85" s="402"/>
      <x:c r="C85" s="402"/>
      <x:c r="D85" s="402"/>
      <x:c r="E85" s="402"/>
      <x:c r="F85" s="402"/>
      <x:c r="G85" s="402"/>
      <x:c r="H85" s="402"/>
      <x:c r="I85" s="402"/>
      <x:c r="J85" s="402"/>
      <x:c r="K85" s="402"/>
      <x:c r="L85" s="402"/>
      <x:c r="M85" s="402"/>
      <x:c r="N85" s="402"/>
      <x:c r="O85" s="402"/>
      <x:c r="P85" s="402"/>
      <x:c r="Q85" s="402"/>
      <x:c r="R85" s="402"/>
      <x:c r="S85" s="402"/>
      <x:c r="T85" s="402"/>
      <x:c r="U85" s="402"/>
      <x:c r="V85" s="402"/>
      <x:c r="W85" s="402"/>
      <x:c r="X85" s="402"/>
      <x:c r="Y85" s="402"/>
      <x:c r="Z85" s="402"/>
    </x:row>
    <x:row r="86">
      <x:c r="A86" s="402"/>
      <x:c r="B86" s="402"/>
      <x:c r="C86" s="402"/>
      <x:c r="D86" s="402"/>
      <x:c r="E86" s="402"/>
      <x:c r="F86" s="402"/>
      <x:c r="G86" s="402"/>
      <x:c r="H86" s="402"/>
      <x:c r="I86" s="402"/>
      <x:c r="J86" s="402"/>
      <x:c r="K86" s="402"/>
      <x:c r="L86" s="402"/>
      <x:c r="M86" s="402"/>
      <x:c r="N86" s="402"/>
      <x:c r="O86" s="402"/>
      <x:c r="P86" s="402"/>
      <x:c r="Q86" s="402"/>
      <x:c r="R86" s="402"/>
      <x:c r="S86" s="402"/>
      <x:c r="T86" s="402"/>
      <x:c r="U86" s="402"/>
      <x:c r="V86" s="402"/>
      <x:c r="W86" s="402"/>
      <x:c r="X86" s="402"/>
      <x:c r="Y86" s="402"/>
      <x:c r="Z86" s="402"/>
    </x:row>
    <x:row r="87">
      <x:c r="A87" s="402"/>
      <x:c r="B87" s="402"/>
      <x:c r="C87" s="402"/>
      <x:c r="D87" s="402"/>
      <x:c r="E87" s="402"/>
      <x:c r="F87" s="402"/>
      <x:c r="G87" s="402"/>
      <x:c r="H87" s="402"/>
      <x:c r="I87" s="402"/>
      <x:c r="J87" s="402"/>
      <x:c r="K87" s="402"/>
      <x:c r="L87" s="402"/>
      <x:c r="M87" s="402"/>
      <x:c r="N87" s="402"/>
      <x:c r="O87" s="402"/>
      <x:c r="P87" s="402"/>
      <x:c r="Q87" s="402"/>
      <x:c r="R87" s="402"/>
      <x:c r="S87" s="402"/>
      <x:c r="T87" s="402"/>
      <x:c r="U87" s="402"/>
      <x:c r="V87" s="402"/>
      <x:c r="W87" s="402"/>
      <x:c r="X87" s="402"/>
      <x:c r="Y87" s="402"/>
      <x:c r="Z87" s="402"/>
    </x:row>
    <x:row r="88">
      <x:c r="A88" s="402"/>
      <x:c r="B88" s="402"/>
      <x:c r="C88" s="402"/>
      <x:c r="D88" s="402"/>
      <x:c r="E88" s="402"/>
      <x:c r="F88" s="402"/>
      <x:c r="G88" s="402"/>
      <x:c r="H88" s="402"/>
      <x:c r="I88" s="402"/>
      <x:c r="J88" s="402"/>
      <x:c r="K88" s="402"/>
      <x:c r="L88" s="402"/>
      <x:c r="M88" s="402"/>
      <x:c r="N88" s="402"/>
      <x:c r="O88" s="402"/>
      <x:c r="P88" s="402"/>
      <x:c r="Q88" s="402"/>
      <x:c r="R88" s="402"/>
      <x:c r="S88" s="402"/>
      <x:c r="T88" s="402"/>
      <x:c r="U88" s="402"/>
      <x:c r="V88" s="402"/>
      <x:c r="W88" s="402"/>
      <x:c r="X88" s="402"/>
      <x:c r="Y88" s="402"/>
      <x:c r="Z88" s="402"/>
    </x:row>
    <x:row r="89">
      <x:c r="A89" s="402"/>
      <x:c r="B89" s="402"/>
      <x:c r="C89" s="402"/>
      <x:c r="D89" s="402"/>
      <x:c r="E89" s="402"/>
      <x:c r="F89" s="402"/>
      <x:c r="G89" s="402"/>
      <x:c r="H89" s="402"/>
      <x:c r="I89" s="402"/>
      <x:c r="J89" s="402"/>
      <x:c r="K89" s="402"/>
      <x:c r="L89" s="402"/>
      <x:c r="M89" s="402"/>
      <x:c r="N89" s="402"/>
      <x:c r="O89" s="402"/>
      <x:c r="P89" s="402"/>
      <x:c r="Q89" s="402"/>
      <x:c r="R89" s="402"/>
      <x:c r="S89" s="402"/>
      <x:c r="T89" s="402"/>
      <x:c r="U89" s="402"/>
      <x:c r="V89" s="402"/>
      <x:c r="W89" s="402"/>
      <x:c r="X89" s="402"/>
      <x:c r="Y89" s="402"/>
      <x:c r="Z89" s="402"/>
    </x:row>
    <x:row r="90">
      <x:c r="A90" s="402"/>
      <x:c r="B90" s="402"/>
      <x:c r="C90" s="402"/>
      <x:c r="D90" s="402"/>
      <x:c r="E90" s="402"/>
      <x:c r="F90" s="402"/>
      <x:c r="G90" s="402"/>
      <x:c r="H90" s="402"/>
      <x:c r="I90" s="402"/>
      <x:c r="J90" s="402"/>
      <x:c r="K90" s="402"/>
      <x:c r="L90" s="402"/>
      <x:c r="M90" s="402"/>
      <x:c r="N90" s="402"/>
      <x:c r="O90" s="402"/>
      <x:c r="P90" s="402"/>
      <x:c r="Q90" s="402"/>
      <x:c r="R90" s="402"/>
      <x:c r="S90" s="402"/>
      <x:c r="T90" s="402"/>
      <x:c r="U90" s="402"/>
      <x:c r="V90" s="402"/>
      <x:c r="W90" s="402"/>
      <x:c r="X90" s="402"/>
      <x:c r="Y90" s="402"/>
      <x:c r="Z90" s="402"/>
    </x:row>
    <x:row r="91">
      <x:c r="A91" s="402"/>
      <x:c r="B91" s="402"/>
      <x:c r="C91" s="402"/>
      <x:c r="D91" s="402"/>
      <x:c r="E91" s="402"/>
      <x:c r="F91" s="402"/>
      <x:c r="G91" s="402"/>
      <x:c r="H91" s="402"/>
      <x:c r="I91" s="402"/>
      <x:c r="J91" s="402"/>
      <x:c r="K91" s="402"/>
      <x:c r="L91" s="402"/>
      <x:c r="M91" s="402"/>
      <x:c r="N91" s="402"/>
      <x:c r="O91" s="402"/>
      <x:c r="P91" s="402"/>
      <x:c r="Q91" s="402"/>
      <x:c r="R91" s="402"/>
      <x:c r="S91" s="402"/>
      <x:c r="T91" s="402"/>
      <x:c r="U91" s="402"/>
      <x:c r="V91" s="402"/>
      <x:c r="W91" s="402"/>
      <x:c r="X91" s="402"/>
      <x:c r="Y91" s="402"/>
      <x:c r="Z91" s="402"/>
    </x:row>
    <x:row r="92">
      <x:c r="A92" s="402"/>
      <x:c r="B92" s="402"/>
      <x:c r="C92" s="402"/>
      <x:c r="D92" s="402"/>
      <x:c r="E92" s="402"/>
      <x:c r="F92" s="402"/>
      <x:c r="G92" s="402"/>
      <x:c r="H92" s="402"/>
      <x:c r="I92" s="402"/>
      <x:c r="J92" s="402"/>
      <x:c r="K92" s="402"/>
      <x:c r="L92" s="402"/>
      <x:c r="M92" s="402"/>
      <x:c r="N92" s="402"/>
      <x:c r="O92" s="402"/>
      <x:c r="P92" s="402"/>
      <x:c r="Q92" s="402"/>
      <x:c r="R92" s="402"/>
      <x:c r="S92" s="402"/>
      <x:c r="T92" s="402"/>
      <x:c r="U92" s="402"/>
      <x:c r="V92" s="402"/>
      <x:c r="W92" s="402"/>
      <x:c r="X92" s="402"/>
      <x:c r="Y92" s="402"/>
      <x:c r="Z92" s="402"/>
    </x:row>
    <x:row r="93">
      <x:c r="A93" s="402"/>
      <x:c r="B93" s="402"/>
      <x:c r="C93" s="402"/>
      <x:c r="D93" s="402"/>
      <x:c r="E93" s="402"/>
      <x:c r="F93" s="402"/>
      <x:c r="G93" s="402"/>
      <x:c r="H93" s="402"/>
      <x:c r="I93" s="402"/>
      <x:c r="J93" s="402"/>
      <x:c r="K93" s="402"/>
      <x:c r="L93" s="402"/>
      <x:c r="M93" s="402"/>
      <x:c r="N93" s="402"/>
      <x:c r="O93" s="402"/>
      <x:c r="P93" s="402"/>
      <x:c r="Q93" s="402"/>
      <x:c r="R93" s="402"/>
      <x:c r="S93" s="402"/>
      <x:c r="T93" s="402"/>
      <x:c r="U93" s="402"/>
      <x:c r="V93" s="402"/>
      <x:c r="W93" s="402"/>
      <x:c r="X93" s="402"/>
      <x:c r="Y93" s="402"/>
      <x:c r="Z93" s="402"/>
    </x:row>
    <x:row r="94">
      <x:c r="A94" s="402"/>
      <x:c r="B94" s="402"/>
      <x:c r="C94" s="402"/>
      <x:c r="D94" s="402"/>
      <x:c r="E94" s="402"/>
      <x:c r="F94" s="402"/>
      <x:c r="G94" s="402"/>
      <x:c r="H94" s="402"/>
      <x:c r="I94" s="402"/>
      <x:c r="J94" s="402"/>
      <x:c r="K94" s="402"/>
      <x:c r="L94" s="402"/>
      <x:c r="M94" s="402"/>
      <x:c r="N94" s="402"/>
      <x:c r="O94" s="402"/>
      <x:c r="P94" s="402"/>
      <x:c r="Q94" s="402"/>
      <x:c r="R94" s="402"/>
      <x:c r="S94" s="402"/>
      <x:c r="T94" s="402"/>
      <x:c r="U94" s="402"/>
      <x:c r="V94" s="402"/>
      <x:c r="W94" s="402"/>
      <x:c r="X94" s="402"/>
      <x:c r="Y94" s="402"/>
      <x:c r="Z94" s="402"/>
    </x:row>
    <x:row r="95">
      <x:c r="A95" s="402"/>
      <x:c r="B95" s="402"/>
      <x:c r="C95" s="402"/>
      <x:c r="D95" s="402"/>
      <x:c r="E95" s="402"/>
      <x:c r="F95" s="402"/>
      <x:c r="G95" s="402"/>
      <x:c r="H95" s="402"/>
      <x:c r="I95" s="402"/>
      <x:c r="J95" s="402"/>
      <x:c r="K95" s="402"/>
      <x:c r="L95" s="402"/>
      <x:c r="M95" s="402"/>
      <x:c r="N95" s="402"/>
      <x:c r="O95" s="402"/>
      <x:c r="P95" s="402"/>
      <x:c r="Q95" s="402"/>
      <x:c r="R95" s="402"/>
      <x:c r="S95" s="402"/>
      <x:c r="T95" s="402"/>
      <x:c r="U95" s="402"/>
      <x:c r="V95" s="402"/>
      <x:c r="W95" s="402"/>
      <x:c r="X95" s="402"/>
      <x:c r="Y95" s="402"/>
      <x:c r="Z95" s="402"/>
    </x:row>
    <x:row r="96">
      <x:c r="A96" s="402"/>
      <x:c r="B96" s="402"/>
      <x:c r="C96" s="402"/>
      <x:c r="D96" s="402"/>
      <x:c r="E96" s="402"/>
      <x:c r="F96" s="402"/>
      <x:c r="G96" s="402"/>
      <x:c r="H96" s="402"/>
      <x:c r="I96" s="402"/>
      <x:c r="J96" s="402"/>
      <x:c r="K96" s="402"/>
      <x:c r="L96" s="402"/>
      <x:c r="M96" s="402"/>
      <x:c r="N96" s="402"/>
      <x:c r="O96" s="402"/>
      <x:c r="P96" s="402"/>
      <x:c r="Q96" s="402"/>
      <x:c r="R96" s="402"/>
      <x:c r="S96" s="402"/>
      <x:c r="T96" s="402"/>
      <x:c r="U96" s="402"/>
      <x:c r="V96" s="402"/>
      <x:c r="W96" s="402"/>
      <x:c r="X96" s="402"/>
      <x:c r="Y96" s="402"/>
      <x:c r="Z96" s="402"/>
    </x:row>
    <x:row r="97">
      <x:c r="A97" s="402"/>
      <x:c r="B97" s="402"/>
      <x:c r="C97" s="402"/>
      <x:c r="D97" s="402"/>
      <x:c r="E97" s="402"/>
      <x:c r="F97" s="402"/>
      <x:c r="G97" s="402"/>
      <x:c r="H97" s="402"/>
      <x:c r="I97" s="402"/>
      <x:c r="J97" s="402"/>
      <x:c r="K97" s="402"/>
      <x:c r="L97" s="402"/>
      <x:c r="M97" s="402"/>
      <x:c r="N97" s="402"/>
      <x:c r="O97" s="402"/>
      <x:c r="P97" s="402"/>
      <x:c r="Q97" s="402"/>
      <x:c r="R97" s="402"/>
      <x:c r="S97" s="402"/>
      <x:c r="T97" s="402"/>
      <x:c r="U97" s="402"/>
      <x:c r="V97" s="402"/>
      <x:c r="W97" s="402"/>
      <x:c r="X97" s="402"/>
      <x:c r="Y97" s="402"/>
      <x:c r="Z97" s="402"/>
    </x:row>
    <x:row r="98">
      <x:c r="A98" s="402"/>
      <x:c r="B98" s="402"/>
      <x:c r="C98" s="402"/>
      <x:c r="D98" s="402"/>
      <x:c r="E98" s="402"/>
      <x:c r="F98" s="402"/>
      <x:c r="G98" s="402"/>
      <x:c r="H98" s="402"/>
      <x:c r="I98" s="402"/>
      <x:c r="J98" s="402"/>
      <x:c r="K98" s="402"/>
      <x:c r="L98" s="402"/>
      <x:c r="M98" s="402"/>
      <x:c r="N98" s="402"/>
      <x:c r="O98" s="402"/>
      <x:c r="P98" s="402"/>
      <x:c r="Q98" s="402"/>
      <x:c r="R98" s="402"/>
      <x:c r="S98" s="402"/>
      <x:c r="T98" s="402"/>
      <x:c r="U98" s="402"/>
      <x:c r="V98" s="402"/>
      <x:c r="W98" s="402"/>
      <x:c r="X98" s="402"/>
      <x:c r="Y98" s="402"/>
      <x:c r="Z98" s="402"/>
    </x:row>
    <x:row r="99">
      <x:c r="A99" s="402"/>
      <x:c r="B99" s="402"/>
      <x:c r="C99" s="402"/>
      <x:c r="D99" s="402"/>
      <x:c r="E99" s="402"/>
      <x:c r="F99" s="402"/>
      <x:c r="G99" s="402"/>
      <x:c r="H99" s="402"/>
      <x:c r="I99" s="402"/>
      <x:c r="J99" s="402"/>
      <x:c r="K99" s="402"/>
      <x:c r="L99" s="402"/>
      <x:c r="M99" s="402"/>
      <x:c r="N99" s="402"/>
      <x:c r="O99" s="402"/>
      <x:c r="P99" s="402"/>
      <x:c r="Q99" s="402"/>
      <x:c r="R99" s="402"/>
      <x:c r="S99" s="402"/>
      <x:c r="T99" s="402"/>
      <x:c r="U99" s="402"/>
      <x:c r="V99" s="402"/>
      <x:c r="W99" s="402"/>
      <x:c r="X99" s="402"/>
      <x:c r="Y99" s="402"/>
      <x:c r="Z99" s="402"/>
    </x:row>
    <x:row r="100">
      <x:c r="A100" s="402"/>
      <x:c r="B100" s="402"/>
      <x:c r="C100" s="402"/>
      <x:c r="D100" s="402"/>
      <x:c r="E100" s="402"/>
      <x:c r="F100" s="402"/>
      <x:c r="G100" s="402"/>
      <x:c r="H100" s="402"/>
      <x:c r="I100" s="402"/>
      <x:c r="J100" s="402"/>
      <x:c r="K100" s="402"/>
      <x:c r="L100" s="402"/>
      <x:c r="M100" s="402"/>
      <x:c r="N100" s="402"/>
      <x:c r="O100" s="402"/>
      <x:c r="P100" s="402"/>
      <x:c r="Q100" s="402"/>
      <x:c r="R100" s="402"/>
      <x:c r="S100" s="402"/>
      <x:c r="T100" s="402"/>
      <x:c r="U100" s="402"/>
      <x:c r="V100" s="402"/>
      <x:c r="W100" s="402"/>
      <x:c r="X100" s="402"/>
      <x:c r="Y100" s="402"/>
      <x:c r="Z100" s="402"/>
    </x:row>
    <x:row r="101">
      <x:c r="A101" s="402"/>
      <x:c r="B101" s="402"/>
      <x:c r="C101" s="402"/>
      <x:c r="D101" s="402"/>
      <x:c r="E101" s="402"/>
      <x:c r="F101" s="402"/>
      <x:c r="G101" s="402"/>
      <x:c r="H101" s="402"/>
      <x:c r="I101" s="402"/>
      <x:c r="J101" s="402"/>
      <x:c r="K101" s="402"/>
      <x:c r="L101" s="402"/>
      <x:c r="M101" s="402"/>
      <x:c r="N101" s="402"/>
      <x:c r="O101" s="402"/>
      <x:c r="P101" s="402"/>
      <x:c r="Q101" s="402"/>
      <x:c r="R101" s="402"/>
      <x:c r="S101" s="402"/>
      <x:c r="T101" s="402"/>
      <x:c r="U101" s="402"/>
      <x:c r="V101" s="402"/>
      <x:c r="W101" s="402"/>
      <x:c r="X101" s="402"/>
      <x:c r="Y101" s="402"/>
      <x:c r="Z101" s="402"/>
    </x:row>
    <x:row r="102">
      <x:c r="A102" s="402"/>
      <x:c r="B102" s="402"/>
      <x:c r="C102" s="402"/>
      <x:c r="D102" s="402"/>
      <x:c r="E102" s="402"/>
      <x:c r="F102" s="402"/>
      <x:c r="G102" s="402"/>
      <x:c r="H102" s="402"/>
      <x:c r="I102" s="402"/>
      <x:c r="J102" s="402"/>
      <x:c r="K102" s="402"/>
      <x:c r="L102" s="402"/>
      <x:c r="M102" s="402"/>
      <x:c r="N102" s="402"/>
      <x:c r="O102" s="402"/>
      <x:c r="P102" s="402"/>
      <x:c r="Q102" s="402"/>
      <x:c r="R102" s="402"/>
      <x:c r="S102" s="402"/>
      <x:c r="T102" s="402"/>
      <x:c r="U102" s="402"/>
      <x:c r="V102" s="402"/>
      <x:c r="W102" s="402"/>
      <x:c r="X102" s="402"/>
      <x:c r="Y102" s="402"/>
      <x:c r="Z102" s="402"/>
    </x:row>
    <x:row r="103">
      <x:c r="A103" s="402"/>
      <x:c r="B103" s="402"/>
      <x:c r="C103" s="402"/>
      <x:c r="D103" s="402"/>
      <x:c r="E103" s="402"/>
      <x:c r="F103" s="402"/>
      <x:c r="G103" s="402"/>
      <x:c r="H103" s="402"/>
      <x:c r="I103" s="402"/>
      <x:c r="J103" s="402"/>
      <x:c r="K103" s="402"/>
      <x:c r="L103" s="402"/>
      <x:c r="M103" s="402"/>
      <x:c r="N103" s="402"/>
      <x:c r="O103" s="402"/>
      <x:c r="P103" s="402"/>
      <x:c r="Q103" s="402"/>
      <x:c r="R103" s="402"/>
      <x:c r="S103" s="402"/>
      <x:c r="T103" s="402"/>
      <x:c r="U103" s="402"/>
      <x:c r="V103" s="402"/>
      <x:c r="W103" s="402"/>
      <x:c r="X103" s="402"/>
      <x:c r="Y103" s="402"/>
      <x:c r="Z103" s="402"/>
    </x:row>
    <x:row r="104">
      <x:c r="A104" s="402"/>
      <x:c r="B104" s="402"/>
      <x:c r="C104" s="402"/>
      <x:c r="D104" s="402"/>
      <x:c r="E104" s="402"/>
      <x:c r="F104" s="402"/>
      <x:c r="G104" s="402"/>
      <x:c r="H104" s="402"/>
      <x:c r="I104" s="402"/>
      <x:c r="J104" s="402"/>
      <x:c r="K104" s="402"/>
      <x:c r="L104" s="402"/>
      <x:c r="M104" s="402"/>
      <x:c r="N104" s="402"/>
      <x:c r="O104" s="402"/>
      <x:c r="P104" s="402"/>
      <x:c r="Q104" s="402"/>
      <x:c r="R104" s="402"/>
      <x:c r="S104" s="402"/>
      <x:c r="T104" s="402"/>
      <x:c r="U104" s="402"/>
      <x:c r="V104" s="402"/>
      <x:c r="W104" s="402"/>
      <x:c r="X104" s="402"/>
      <x:c r="Y104" s="402"/>
      <x:c r="Z104" s="402"/>
    </x:row>
    <x:row r="105">
      <x:c r="A105" s="402"/>
      <x:c r="B105" s="402"/>
      <x:c r="C105" s="402"/>
      <x:c r="D105" s="402"/>
      <x:c r="E105" s="402"/>
      <x:c r="F105" s="402"/>
      <x:c r="G105" s="402"/>
      <x:c r="H105" s="402"/>
      <x:c r="I105" s="402"/>
      <x:c r="J105" s="402"/>
      <x:c r="K105" s="402"/>
      <x:c r="L105" s="402"/>
      <x:c r="M105" s="402"/>
      <x:c r="N105" s="402"/>
      <x:c r="O105" s="402"/>
      <x:c r="P105" s="402"/>
      <x:c r="Q105" s="402"/>
      <x:c r="R105" s="402"/>
      <x:c r="S105" s="402"/>
      <x:c r="T105" s="402"/>
      <x:c r="U105" s="402"/>
      <x:c r="V105" s="402"/>
      <x:c r="W105" s="402"/>
      <x:c r="X105" s="402"/>
      <x:c r="Y105" s="402"/>
      <x:c r="Z105" s="402"/>
    </x:row>
    <x:row r="106">
      <x:c r="A106" s="402"/>
      <x:c r="B106" s="402"/>
      <x:c r="C106" s="402"/>
      <x:c r="D106" s="402"/>
      <x:c r="E106" s="402"/>
      <x:c r="F106" s="402"/>
      <x:c r="G106" s="402"/>
      <x:c r="H106" s="402"/>
      <x:c r="I106" s="402"/>
      <x:c r="J106" s="402"/>
      <x:c r="K106" s="402"/>
      <x:c r="L106" s="402"/>
      <x:c r="M106" s="402"/>
      <x:c r="N106" s="402"/>
      <x:c r="O106" s="402"/>
      <x:c r="P106" s="402"/>
      <x:c r="Q106" s="402"/>
      <x:c r="R106" s="402"/>
      <x:c r="S106" s="402"/>
      <x:c r="T106" s="402"/>
      <x:c r="U106" s="402"/>
      <x:c r="V106" s="402"/>
      <x:c r="W106" s="402"/>
      <x:c r="X106" s="402"/>
      <x:c r="Y106" s="402"/>
      <x:c r="Z106" s="402"/>
    </x:row>
    <x:row r="107">
      <x:c r="A107" s="402"/>
      <x:c r="B107" s="402"/>
      <x:c r="C107" s="402"/>
      <x:c r="D107" s="402"/>
      <x:c r="E107" s="402"/>
      <x:c r="F107" s="402"/>
      <x:c r="G107" s="402"/>
      <x:c r="H107" s="402"/>
      <x:c r="I107" s="402"/>
      <x:c r="J107" s="402"/>
      <x:c r="K107" s="402"/>
      <x:c r="L107" s="402"/>
      <x:c r="M107" s="402"/>
      <x:c r="N107" s="402"/>
      <x:c r="O107" s="402"/>
      <x:c r="P107" s="402"/>
      <x:c r="Q107" s="402"/>
      <x:c r="R107" s="402"/>
      <x:c r="S107" s="402"/>
      <x:c r="T107" s="402"/>
      <x:c r="U107" s="402"/>
      <x:c r="V107" s="402"/>
      <x:c r="W107" s="402"/>
      <x:c r="X107" s="402"/>
      <x:c r="Y107" s="402"/>
      <x:c r="Z107" s="402"/>
    </x:row>
    <x:row r="108">
      <x:c r="A108" s="402"/>
      <x:c r="B108" s="402"/>
      <x:c r="C108" s="402"/>
      <x:c r="D108" s="402"/>
      <x:c r="E108" s="402"/>
      <x:c r="F108" s="402"/>
      <x:c r="G108" s="402"/>
      <x:c r="H108" s="402"/>
      <x:c r="I108" s="402"/>
      <x:c r="J108" s="402"/>
      <x:c r="K108" s="402"/>
      <x:c r="L108" s="402"/>
      <x:c r="M108" s="402"/>
      <x:c r="N108" s="402"/>
      <x:c r="O108" s="402"/>
      <x:c r="P108" s="402"/>
      <x:c r="Q108" s="402"/>
      <x:c r="R108" s="402"/>
      <x:c r="S108" s="402"/>
      <x:c r="T108" s="402"/>
      <x:c r="U108" s="402"/>
      <x:c r="V108" s="402"/>
      <x:c r="W108" s="402"/>
      <x:c r="X108" s="402"/>
      <x:c r="Y108" s="402"/>
      <x:c r="Z108" s="402"/>
    </x:row>
    <x:row r="109">
      <x:c r="A109" s="402"/>
      <x:c r="B109" s="402"/>
      <x:c r="C109" s="402"/>
      <x:c r="D109" s="402"/>
      <x:c r="E109" s="402"/>
      <x:c r="F109" s="402"/>
      <x:c r="G109" s="402"/>
      <x:c r="H109" s="402"/>
      <x:c r="I109" s="402"/>
      <x:c r="J109" s="402"/>
      <x:c r="K109" s="402"/>
      <x:c r="L109" s="402"/>
      <x:c r="M109" s="402"/>
      <x:c r="N109" s="402"/>
      <x:c r="O109" s="402"/>
      <x:c r="P109" s="402"/>
      <x:c r="Q109" s="402"/>
      <x:c r="R109" s="402"/>
      <x:c r="S109" s="402"/>
      <x:c r="T109" s="402"/>
      <x:c r="U109" s="402"/>
      <x:c r="V109" s="402"/>
      <x:c r="W109" s="402"/>
      <x:c r="X109" s="402"/>
      <x:c r="Y109" s="402"/>
      <x:c r="Z109" s="402"/>
    </x:row>
    <x:row r="110">
      <x:c r="A110" s="402"/>
      <x:c r="B110" s="402"/>
      <x:c r="C110" s="402"/>
      <x:c r="D110" s="402"/>
      <x:c r="E110" s="402"/>
      <x:c r="F110" s="402"/>
      <x:c r="G110" s="402"/>
      <x:c r="H110" s="402"/>
      <x:c r="I110" s="402"/>
      <x:c r="J110" s="402"/>
      <x:c r="K110" s="402"/>
      <x:c r="L110" s="402"/>
      <x:c r="M110" s="402"/>
      <x:c r="N110" s="402"/>
      <x:c r="O110" s="402"/>
      <x:c r="P110" s="402"/>
      <x:c r="Q110" s="402"/>
      <x:c r="R110" s="402"/>
      <x:c r="S110" s="402"/>
      <x:c r="T110" s="402"/>
      <x:c r="U110" s="402"/>
      <x:c r="V110" s="402"/>
      <x:c r="W110" s="402"/>
      <x:c r="X110" s="402"/>
      <x:c r="Y110" s="402"/>
      <x:c r="Z110" s="402"/>
    </x:row>
    <x:row r="111">
      <x:c r="A111" s="402"/>
      <x:c r="B111" s="402"/>
      <x:c r="C111" s="402"/>
      <x:c r="D111" s="402"/>
      <x:c r="E111" s="402"/>
      <x:c r="F111" s="402"/>
      <x:c r="G111" s="402"/>
      <x:c r="H111" s="402"/>
      <x:c r="I111" s="402"/>
      <x:c r="J111" s="402"/>
      <x:c r="K111" s="402"/>
      <x:c r="L111" s="402"/>
      <x:c r="M111" s="402"/>
      <x:c r="N111" s="402"/>
      <x:c r="O111" s="402"/>
      <x:c r="P111" s="402"/>
      <x:c r="Q111" s="402"/>
      <x:c r="R111" s="402"/>
      <x:c r="S111" s="402"/>
      <x:c r="T111" s="402"/>
      <x:c r="U111" s="402"/>
      <x:c r="V111" s="402"/>
      <x:c r="W111" s="402"/>
      <x:c r="X111" s="402"/>
      <x:c r="Y111" s="402"/>
      <x:c r="Z111" s="402"/>
    </x:row>
    <x:row r="112">
      <x:c r="A112" s="402"/>
      <x:c r="B112" s="402"/>
      <x:c r="C112" s="402"/>
      <x:c r="D112" s="402"/>
      <x:c r="E112" s="402"/>
      <x:c r="F112" s="402"/>
      <x:c r="G112" s="402"/>
      <x:c r="H112" s="402"/>
      <x:c r="I112" s="402"/>
      <x:c r="J112" s="402"/>
      <x:c r="K112" s="402"/>
      <x:c r="L112" s="402"/>
      <x:c r="M112" s="402"/>
      <x:c r="N112" s="402"/>
      <x:c r="O112" s="402"/>
      <x:c r="P112" s="402"/>
      <x:c r="Q112" s="402"/>
      <x:c r="R112" s="402"/>
      <x:c r="S112" s="402"/>
      <x:c r="T112" s="402"/>
      <x:c r="U112" s="402"/>
      <x:c r="V112" s="402"/>
      <x:c r="W112" s="402"/>
      <x:c r="X112" s="402"/>
      <x:c r="Y112" s="402"/>
      <x:c r="Z112" s="402"/>
    </x:row>
    <x:row r="113">
      <x:c r="A113" s="402"/>
      <x:c r="B113" s="402"/>
      <x:c r="C113" s="402"/>
      <x:c r="D113" s="402"/>
      <x:c r="E113" s="402"/>
      <x:c r="F113" s="402"/>
      <x:c r="G113" s="402"/>
      <x:c r="H113" s="402"/>
      <x:c r="I113" s="402"/>
      <x:c r="J113" s="402"/>
      <x:c r="K113" s="402"/>
      <x:c r="L113" s="402"/>
      <x:c r="M113" s="402"/>
      <x:c r="N113" s="402"/>
      <x:c r="O113" s="402"/>
      <x:c r="P113" s="402"/>
      <x:c r="Q113" s="402"/>
      <x:c r="R113" s="402"/>
      <x:c r="S113" s="402"/>
      <x:c r="T113" s="402"/>
      <x:c r="U113" s="402"/>
      <x:c r="V113" s="402"/>
      <x:c r="W113" s="402"/>
      <x:c r="X113" s="402"/>
      <x:c r="Y113" s="402"/>
      <x:c r="Z113" s="402"/>
    </x:row>
    <x:row r="114">
      <x:c r="A114" s="402"/>
      <x:c r="B114" s="402"/>
      <x:c r="C114" s="402"/>
      <x:c r="D114" s="402"/>
      <x:c r="E114" s="402"/>
      <x:c r="F114" s="402"/>
      <x:c r="G114" s="402"/>
      <x:c r="H114" s="402"/>
      <x:c r="I114" s="402"/>
      <x:c r="J114" s="402"/>
      <x:c r="K114" s="402"/>
      <x:c r="L114" s="402"/>
      <x:c r="M114" s="402"/>
      <x:c r="N114" s="402"/>
      <x:c r="O114" s="402"/>
      <x:c r="P114" s="402"/>
      <x:c r="Q114" s="402"/>
      <x:c r="R114" s="402"/>
      <x:c r="S114" s="402"/>
      <x:c r="T114" s="402"/>
      <x:c r="U114" s="402"/>
      <x:c r="V114" s="402"/>
      <x:c r="W114" s="402"/>
      <x:c r="X114" s="402"/>
      <x:c r="Y114" s="402"/>
      <x:c r="Z114" s="402"/>
    </x:row>
    <x:row r="115">
      <x:c r="A115" s="402"/>
      <x:c r="B115" s="402"/>
      <x:c r="C115" s="402"/>
      <x:c r="D115" s="402"/>
      <x:c r="E115" s="402"/>
      <x:c r="F115" s="402"/>
      <x:c r="G115" s="402"/>
      <x:c r="H115" s="402"/>
      <x:c r="I115" s="402"/>
      <x:c r="J115" s="402"/>
      <x:c r="K115" s="402"/>
      <x:c r="L115" s="402"/>
      <x:c r="M115" s="402"/>
      <x:c r="N115" s="402"/>
      <x:c r="O115" s="402"/>
      <x:c r="P115" s="402"/>
      <x:c r="Q115" s="402"/>
      <x:c r="R115" s="402"/>
      <x:c r="S115" s="402"/>
      <x:c r="T115" s="402"/>
      <x:c r="U115" s="402"/>
      <x:c r="V115" s="402"/>
      <x:c r="W115" s="402"/>
      <x:c r="X115" s="402"/>
      <x:c r="Y115" s="402"/>
      <x:c r="Z115" s="402"/>
    </x:row>
    <x:row r="116">
      <x:c r="A116" s="402"/>
      <x:c r="B116" s="402"/>
      <x:c r="C116" s="402"/>
      <x:c r="D116" s="402"/>
      <x:c r="E116" s="402"/>
      <x:c r="F116" s="402"/>
      <x:c r="G116" s="402"/>
      <x:c r="H116" s="402"/>
      <x:c r="I116" s="402"/>
      <x:c r="J116" s="402"/>
      <x:c r="K116" s="402"/>
      <x:c r="L116" s="402"/>
      <x:c r="M116" s="402"/>
      <x:c r="N116" s="402"/>
      <x:c r="O116" s="402"/>
      <x:c r="P116" s="402"/>
      <x:c r="Q116" s="402"/>
      <x:c r="R116" s="402"/>
      <x:c r="S116" s="402"/>
      <x:c r="T116" s="402"/>
      <x:c r="U116" s="402"/>
      <x:c r="V116" s="402"/>
      <x:c r="W116" s="402"/>
      <x:c r="X116" s="402"/>
      <x:c r="Y116" s="402"/>
      <x:c r="Z116" s="402"/>
    </x:row>
    <x:row r="117">
      <x:c r="A117" s="402"/>
      <x:c r="B117" s="402"/>
      <x:c r="C117" s="402"/>
      <x:c r="D117" s="402"/>
      <x:c r="E117" s="402"/>
      <x:c r="F117" s="402"/>
      <x:c r="G117" s="402"/>
      <x:c r="H117" s="402"/>
      <x:c r="I117" s="402"/>
      <x:c r="J117" s="402"/>
      <x:c r="K117" s="402"/>
      <x:c r="L117" s="402"/>
      <x:c r="M117" s="402"/>
      <x:c r="N117" s="402"/>
      <x:c r="O117" s="402"/>
      <x:c r="P117" s="402"/>
      <x:c r="Q117" s="402"/>
      <x:c r="R117" s="402"/>
      <x:c r="S117" s="402"/>
      <x:c r="T117" s="402"/>
      <x:c r="U117" s="402"/>
      <x:c r="V117" s="402"/>
      <x:c r="W117" s="402"/>
      <x:c r="X117" s="402"/>
      <x:c r="Y117" s="402"/>
      <x:c r="Z117" s="402"/>
    </x:row>
    <x:row r="118">
      <x:c r="A118" s="402"/>
      <x:c r="B118" s="402"/>
      <x:c r="C118" s="402"/>
      <x:c r="D118" s="402"/>
      <x:c r="E118" s="402"/>
      <x:c r="F118" s="402"/>
      <x:c r="G118" s="402"/>
      <x:c r="H118" s="402"/>
      <x:c r="I118" s="402"/>
      <x:c r="J118" s="402"/>
      <x:c r="K118" s="402"/>
      <x:c r="L118" s="402"/>
      <x:c r="M118" s="402"/>
      <x:c r="N118" s="402"/>
      <x:c r="O118" s="402"/>
      <x:c r="P118" s="402"/>
      <x:c r="Q118" s="402"/>
      <x:c r="R118" s="402"/>
      <x:c r="S118" s="402"/>
      <x:c r="T118" s="402"/>
      <x:c r="U118" s="402"/>
      <x:c r="V118" s="402"/>
      <x:c r="W118" s="402"/>
      <x:c r="X118" s="402"/>
      <x:c r="Y118" s="402"/>
      <x:c r="Z118" s="402"/>
    </x:row>
    <x:row r="119">
      <x:c r="A119" s="402"/>
      <x:c r="B119" s="402"/>
      <x:c r="C119" s="402"/>
      <x:c r="D119" s="402"/>
      <x:c r="E119" s="402"/>
      <x:c r="F119" s="402"/>
      <x:c r="G119" s="402"/>
      <x:c r="H119" s="402"/>
      <x:c r="I119" s="402"/>
      <x:c r="J119" s="402"/>
      <x:c r="K119" s="402"/>
      <x:c r="L119" s="402"/>
      <x:c r="M119" s="402"/>
      <x:c r="N119" s="402"/>
      <x:c r="O119" s="402"/>
      <x:c r="P119" s="402"/>
      <x:c r="Q119" s="402"/>
      <x:c r="R119" s="402"/>
      <x:c r="S119" s="402"/>
      <x:c r="T119" s="402"/>
      <x:c r="U119" s="402"/>
      <x:c r="V119" s="402"/>
      <x:c r="W119" s="402"/>
      <x:c r="X119" s="402"/>
      <x:c r="Y119" s="402"/>
      <x:c r="Z119" s="402"/>
    </x:row>
    <x:row r="120">
      <x:c r="A120" s="402"/>
      <x:c r="B120" s="402"/>
      <x:c r="C120" s="402"/>
      <x:c r="D120" s="402"/>
      <x:c r="E120" s="402"/>
      <x:c r="F120" s="402"/>
      <x:c r="G120" s="402"/>
      <x:c r="H120" s="402"/>
      <x:c r="I120" s="402"/>
      <x:c r="J120" s="402"/>
      <x:c r="K120" s="402"/>
      <x:c r="L120" s="402"/>
      <x:c r="M120" s="402"/>
      <x:c r="N120" s="402"/>
      <x:c r="O120" s="402"/>
      <x:c r="P120" s="402"/>
      <x:c r="Q120" s="402"/>
      <x:c r="R120" s="402"/>
      <x:c r="S120" s="402"/>
      <x:c r="T120" s="402"/>
      <x:c r="U120" s="402"/>
      <x:c r="V120" s="402"/>
      <x:c r="W120" s="402"/>
      <x:c r="X120" s="402"/>
      <x:c r="Y120" s="402"/>
      <x:c r="Z120" s="402"/>
    </x:row>
    <x:row r="121">
      <x:c r="A121" s="402"/>
      <x:c r="B121" s="402"/>
      <x:c r="C121" s="402"/>
      <x:c r="D121" s="402"/>
      <x:c r="E121" s="402"/>
      <x:c r="F121" s="402"/>
      <x:c r="G121" s="402"/>
      <x:c r="H121" s="402"/>
      <x:c r="I121" s="402"/>
      <x:c r="J121" s="402"/>
      <x:c r="K121" s="402"/>
      <x:c r="L121" s="402"/>
      <x:c r="M121" s="402"/>
      <x:c r="N121" s="402"/>
      <x:c r="O121" s="402"/>
      <x:c r="P121" s="402"/>
      <x:c r="Q121" s="402"/>
      <x:c r="R121" s="402"/>
      <x:c r="S121" s="402"/>
      <x:c r="T121" s="402"/>
      <x:c r="U121" s="402"/>
      <x:c r="V121" s="402"/>
      <x:c r="W121" s="402"/>
      <x:c r="X121" s="402"/>
      <x:c r="Y121" s="402"/>
      <x:c r="Z121" s="402"/>
    </x:row>
    <x:row r="122">
      <x:c r="A122" s="402"/>
      <x:c r="B122" s="402"/>
      <x:c r="C122" s="402"/>
      <x:c r="D122" s="402"/>
      <x:c r="E122" s="402"/>
      <x:c r="F122" s="402"/>
      <x:c r="G122" s="402"/>
      <x:c r="H122" s="402"/>
      <x:c r="I122" s="402"/>
      <x:c r="J122" s="402"/>
      <x:c r="K122" s="402"/>
      <x:c r="L122" s="402"/>
      <x:c r="M122" s="402"/>
      <x:c r="N122" s="402"/>
      <x:c r="O122" s="402"/>
      <x:c r="P122" s="402"/>
      <x:c r="Q122" s="402"/>
      <x:c r="R122" s="402"/>
      <x:c r="S122" s="402"/>
      <x:c r="T122" s="402"/>
      <x:c r="U122" s="402"/>
      <x:c r="V122" s="402"/>
      <x:c r="W122" s="402"/>
      <x:c r="X122" s="402"/>
      <x:c r="Y122" s="402"/>
      <x:c r="Z122" s="402"/>
    </x:row>
    <x:row r="123">
      <x:c r="A123" s="402"/>
      <x:c r="B123" s="402"/>
      <x:c r="C123" s="402"/>
      <x:c r="D123" s="402"/>
      <x:c r="E123" s="402"/>
      <x:c r="F123" s="402"/>
      <x:c r="G123" s="402"/>
      <x:c r="H123" s="402"/>
      <x:c r="I123" s="402"/>
      <x:c r="J123" s="402"/>
      <x:c r="K123" s="402"/>
      <x:c r="L123" s="402"/>
      <x:c r="M123" s="402"/>
      <x:c r="N123" s="402"/>
      <x:c r="O123" s="402"/>
      <x:c r="P123" s="402"/>
      <x:c r="Q123" s="402"/>
      <x:c r="R123" s="402"/>
      <x:c r="S123" s="402"/>
      <x:c r="T123" s="402"/>
      <x:c r="U123" s="402"/>
      <x:c r="V123" s="402"/>
      <x:c r="W123" s="402"/>
      <x:c r="X123" s="402"/>
      <x:c r="Y123" s="402"/>
      <x:c r="Z123" s="402"/>
    </x:row>
    <x:row r="124">
      <x:c r="A124" s="402"/>
      <x:c r="B124" s="402"/>
      <x:c r="C124" s="402"/>
      <x:c r="D124" s="402"/>
      <x:c r="E124" s="402"/>
      <x:c r="F124" s="402"/>
      <x:c r="G124" s="402"/>
      <x:c r="H124" s="402"/>
      <x:c r="I124" s="402"/>
      <x:c r="J124" s="402"/>
      <x:c r="K124" s="402"/>
      <x:c r="L124" s="402"/>
      <x:c r="M124" s="402"/>
      <x:c r="N124" s="402"/>
      <x:c r="O124" s="402"/>
      <x:c r="P124" s="402"/>
      <x:c r="Q124" s="402"/>
      <x:c r="R124" s="402"/>
      <x:c r="S124" s="402"/>
      <x:c r="T124" s="402"/>
      <x:c r="U124" s="402"/>
      <x:c r="V124" s="402"/>
      <x:c r="W124" s="402"/>
      <x:c r="X124" s="402"/>
      <x:c r="Y124" s="402"/>
      <x:c r="Z124" s="402"/>
    </x:row>
    <x:row r="125">
      <x:c r="A125" s="402"/>
      <x:c r="B125" s="402"/>
      <x:c r="C125" s="402"/>
      <x:c r="D125" s="402"/>
      <x:c r="E125" s="402"/>
      <x:c r="F125" s="402"/>
      <x:c r="G125" s="402"/>
      <x:c r="H125" s="402"/>
      <x:c r="I125" s="402"/>
      <x:c r="J125" s="402"/>
      <x:c r="K125" s="402"/>
      <x:c r="L125" s="402"/>
      <x:c r="M125" s="402"/>
      <x:c r="N125" s="402"/>
      <x:c r="O125" s="402"/>
      <x:c r="P125" s="402"/>
      <x:c r="Q125" s="402"/>
      <x:c r="R125" s="402"/>
      <x:c r="S125" s="402"/>
      <x:c r="T125" s="402"/>
      <x:c r="U125" s="402"/>
      <x:c r="V125" s="402"/>
      <x:c r="W125" s="402"/>
      <x:c r="X125" s="402"/>
      <x:c r="Y125" s="402"/>
      <x:c r="Z125" s="402"/>
    </x:row>
    <x:row r="126">
      <x:c r="A126" s="402"/>
      <x:c r="B126" s="402"/>
      <x:c r="C126" s="402"/>
      <x:c r="D126" s="402"/>
      <x:c r="E126" s="402"/>
      <x:c r="F126" s="402"/>
      <x:c r="G126" s="402"/>
      <x:c r="H126" s="402"/>
      <x:c r="I126" s="402"/>
      <x:c r="J126" s="402"/>
      <x:c r="K126" s="402"/>
      <x:c r="L126" s="402"/>
      <x:c r="M126" s="402"/>
      <x:c r="N126" s="402"/>
      <x:c r="O126" s="402"/>
      <x:c r="P126" s="402"/>
      <x:c r="Q126" s="402"/>
      <x:c r="R126" s="402"/>
      <x:c r="S126" s="402"/>
      <x:c r="T126" s="402"/>
      <x:c r="U126" s="402"/>
      <x:c r="V126" s="402"/>
      <x:c r="W126" s="402"/>
      <x:c r="X126" s="402"/>
      <x:c r="Y126" s="402"/>
      <x:c r="Z126" s="402"/>
    </x:row>
    <x:row r="127">
      <x:c r="A127" s="402"/>
      <x:c r="B127" s="402"/>
      <x:c r="C127" s="402"/>
      <x:c r="D127" s="402"/>
      <x:c r="E127" s="402"/>
      <x:c r="F127" s="402"/>
      <x:c r="G127" s="402"/>
      <x:c r="H127" s="402"/>
      <x:c r="I127" s="402"/>
      <x:c r="J127" s="402"/>
      <x:c r="K127" s="402"/>
      <x:c r="L127" s="402"/>
      <x:c r="M127" s="402"/>
      <x:c r="N127" s="402"/>
      <x:c r="O127" s="402"/>
      <x:c r="P127" s="402"/>
      <x:c r="Q127" s="402"/>
      <x:c r="R127" s="402"/>
      <x:c r="S127" s="402"/>
      <x:c r="T127" s="402"/>
      <x:c r="U127" s="402"/>
      <x:c r="V127" s="402"/>
      <x:c r="W127" s="402"/>
      <x:c r="X127" s="402"/>
      <x:c r="Y127" s="402"/>
      <x:c r="Z127" s="402"/>
    </x:row>
    <x:row r="128">
      <x:c r="A128" s="402"/>
      <x:c r="B128" s="402"/>
      <x:c r="C128" s="402"/>
      <x:c r="D128" s="402"/>
      <x:c r="E128" s="402"/>
      <x:c r="F128" s="402"/>
      <x:c r="G128" s="402"/>
      <x:c r="H128" s="402"/>
      <x:c r="I128" s="402"/>
      <x:c r="J128" s="402"/>
      <x:c r="K128" s="402"/>
      <x:c r="L128" s="402"/>
      <x:c r="M128" s="402"/>
      <x:c r="N128" s="402"/>
      <x:c r="O128" s="402"/>
      <x:c r="P128" s="402"/>
      <x:c r="Q128" s="402"/>
      <x:c r="R128" s="402"/>
      <x:c r="S128" s="402"/>
      <x:c r="T128" s="402"/>
      <x:c r="U128" s="402"/>
      <x:c r="V128" s="402"/>
      <x:c r="W128" s="402"/>
      <x:c r="X128" s="402"/>
      <x:c r="Y128" s="402"/>
      <x:c r="Z128" s="402"/>
    </x:row>
    <x:row r="129">
      <x:c r="A129" s="402"/>
      <x:c r="B129" s="402"/>
      <x:c r="C129" s="402"/>
      <x:c r="D129" s="402"/>
      <x:c r="E129" s="402"/>
      <x:c r="F129" s="402"/>
      <x:c r="G129" s="402"/>
      <x:c r="H129" s="402"/>
      <x:c r="I129" s="402"/>
      <x:c r="J129" s="402"/>
      <x:c r="K129" s="402"/>
      <x:c r="L129" s="402"/>
      <x:c r="M129" s="402"/>
      <x:c r="N129" s="402"/>
      <x:c r="O129" s="402"/>
      <x:c r="P129" s="402"/>
      <x:c r="Q129" s="402"/>
      <x:c r="R129" s="402"/>
      <x:c r="S129" s="402"/>
      <x:c r="T129" s="402"/>
      <x:c r="U129" s="402"/>
      <x:c r="V129" s="402"/>
      <x:c r="W129" s="402"/>
      <x:c r="X129" s="402"/>
      <x:c r="Y129" s="402"/>
      <x:c r="Z129" s="402"/>
    </x:row>
    <x:row r="130">
      <x:c r="A130" s="402"/>
      <x:c r="B130" s="402"/>
      <x:c r="C130" s="402"/>
      <x:c r="D130" s="402"/>
      <x:c r="E130" s="402"/>
      <x:c r="F130" s="402"/>
      <x:c r="G130" s="402"/>
      <x:c r="H130" s="402"/>
      <x:c r="I130" s="402"/>
      <x:c r="J130" s="402"/>
      <x:c r="K130" s="402"/>
      <x:c r="L130" s="402"/>
      <x:c r="M130" s="402"/>
      <x:c r="N130" s="402"/>
      <x:c r="O130" s="402"/>
      <x:c r="P130" s="402"/>
      <x:c r="Q130" s="402"/>
      <x:c r="R130" s="402"/>
      <x:c r="S130" s="402"/>
      <x:c r="T130" s="402"/>
      <x:c r="U130" s="402"/>
      <x:c r="V130" s="402"/>
      <x:c r="W130" s="402"/>
      <x:c r="X130" s="402"/>
      <x:c r="Y130" s="402"/>
      <x:c r="Z130" s="402"/>
    </x:row>
    <x:row r="131">
      <x:c r="A131" s="402"/>
      <x:c r="B131" s="402"/>
      <x:c r="C131" s="402"/>
      <x:c r="D131" s="402"/>
      <x:c r="E131" s="402"/>
      <x:c r="F131" s="402"/>
      <x:c r="G131" s="402"/>
      <x:c r="H131" s="402"/>
      <x:c r="I131" s="402"/>
      <x:c r="J131" s="402"/>
      <x:c r="K131" s="402"/>
      <x:c r="L131" s="402"/>
      <x:c r="M131" s="402"/>
      <x:c r="N131" s="402"/>
      <x:c r="O131" s="402"/>
      <x:c r="P131" s="402"/>
      <x:c r="Q131" s="402"/>
      <x:c r="R131" s="402"/>
      <x:c r="S131" s="402"/>
      <x:c r="T131" s="402"/>
      <x:c r="U131" s="402"/>
      <x:c r="V131" s="402"/>
      <x:c r="W131" s="402"/>
      <x:c r="X131" s="402"/>
      <x:c r="Y131" s="402"/>
      <x:c r="Z131" s="402"/>
    </x:row>
    <x:row r="132">
      <x:c r="A132" s="402"/>
      <x:c r="B132" s="402"/>
      <x:c r="C132" s="402"/>
      <x:c r="D132" s="402"/>
      <x:c r="E132" s="402"/>
      <x:c r="F132" s="402"/>
      <x:c r="G132" s="402"/>
      <x:c r="H132" s="402"/>
      <x:c r="I132" s="402"/>
      <x:c r="J132" s="402"/>
      <x:c r="K132" s="402"/>
      <x:c r="L132" s="402"/>
      <x:c r="M132" s="402"/>
      <x:c r="N132" s="402"/>
      <x:c r="O132" s="402"/>
      <x:c r="P132" s="402"/>
      <x:c r="Q132" s="402"/>
      <x:c r="R132" s="402"/>
      <x:c r="S132" s="402"/>
      <x:c r="T132" s="402"/>
      <x:c r="U132" s="402"/>
      <x:c r="V132" s="402"/>
      <x:c r="W132" s="402"/>
      <x:c r="X132" s="402"/>
      <x:c r="Y132" s="402"/>
      <x:c r="Z132" s="402"/>
    </x:row>
    <x:row r="133">
      <x:c r="A133" s="402"/>
      <x:c r="B133" s="402"/>
      <x:c r="C133" s="402"/>
      <x:c r="D133" s="402"/>
      <x:c r="E133" s="402"/>
      <x:c r="F133" s="402"/>
      <x:c r="G133" s="402"/>
      <x:c r="H133" s="402"/>
      <x:c r="I133" s="402"/>
      <x:c r="J133" s="402"/>
      <x:c r="K133" s="402"/>
      <x:c r="L133" s="402"/>
      <x:c r="M133" s="402"/>
      <x:c r="N133" s="402"/>
      <x:c r="O133" s="402"/>
      <x:c r="P133" s="402"/>
      <x:c r="Q133" s="402"/>
      <x:c r="R133" s="402"/>
      <x:c r="S133" s="402"/>
      <x:c r="T133" s="402"/>
      <x:c r="U133" s="402"/>
      <x:c r="V133" s="402"/>
      <x:c r="W133" s="402"/>
      <x:c r="X133" s="402"/>
      <x:c r="Y133" s="402"/>
      <x:c r="Z133" s="402"/>
    </x:row>
    <x:row r="134">
      <x:c r="A134" s="402"/>
      <x:c r="B134" s="402"/>
      <x:c r="C134" s="402"/>
      <x:c r="D134" s="402"/>
      <x:c r="E134" s="402"/>
      <x:c r="F134" s="402"/>
      <x:c r="G134" s="402"/>
      <x:c r="H134" s="402"/>
      <x:c r="I134" s="402"/>
      <x:c r="J134" s="402"/>
      <x:c r="K134" s="402"/>
      <x:c r="L134" s="402"/>
      <x:c r="M134" s="402"/>
      <x:c r="N134" s="402"/>
      <x:c r="O134" s="402"/>
      <x:c r="P134" s="402"/>
      <x:c r="Q134" s="402"/>
      <x:c r="R134" s="402"/>
      <x:c r="S134" s="402"/>
      <x:c r="T134" s="402"/>
      <x:c r="U134" s="402"/>
      <x:c r="V134" s="402"/>
      <x:c r="W134" s="402"/>
      <x:c r="X134" s="402"/>
      <x:c r="Y134" s="402"/>
      <x:c r="Z134" s="402"/>
    </x:row>
    <x:row r="135">
      <x:c r="A135" s="402"/>
      <x:c r="B135" s="402"/>
      <x:c r="C135" s="402"/>
      <x:c r="D135" s="402"/>
      <x:c r="E135" s="402"/>
      <x:c r="F135" s="402"/>
      <x:c r="G135" s="402"/>
      <x:c r="H135" s="402"/>
      <x:c r="I135" s="402"/>
      <x:c r="J135" s="402"/>
      <x:c r="K135" s="402"/>
      <x:c r="L135" s="402"/>
      <x:c r="M135" s="402"/>
      <x:c r="N135" s="402"/>
      <x:c r="O135" s="402"/>
      <x:c r="P135" s="402"/>
      <x:c r="Q135" s="402"/>
      <x:c r="R135" s="402"/>
      <x:c r="S135" s="402"/>
      <x:c r="T135" s="402"/>
      <x:c r="U135" s="402"/>
      <x:c r="V135" s="402"/>
      <x:c r="W135" s="402"/>
      <x:c r="X135" s="402"/>
      <x:c r="Y135" s="402"/>
      <x:c r="Z135" s="402"/>
    </x:row>
    <x:row r="136">
      <x:c r="A136" s="402"/>
      <x:c r="B136" s="402"/>
      <x:c r="C136" s="402"/>
      <x:c r="D136" s="402"/>
      <x:c r="E136" s="402"/>
      <x:c r="F136" s="402"/>
      <x:c r="G136" s="402"/>
      <x:c r="H136" s="402"/>
      <x:c r="I136" s="402"/>
      <x:c r="J136" s="402"/>
      <x:c r="K136" s="402"/>
      <x:c r="L136" s="402"/>
      <x:c r="M136" s="402"/>
      <x:c r="N136" s="402"/>
      <x:c r="O136" s="402"/>
      <x:c r="P136" s="402"/>
      <x:c r="Q136" s="402"/>
      <x:c r="R136" s="402"/>
      <x:c r="S136" s="402"/>
      <x:c r="T136" s="402"/>
      <x:c r="U136" s="402"/>
      <x:c r="V136" s="402"/>
      <x:c r="W136" s="402"/>
      <x:c r="X136" s="402"/>
      <x:c r="Y136" s="402"/>
      <x:c r="Z136" s="402"/>
    </x:row>
    <x:row r="137">
      <x:c r="A137" s="402"/>
      <x:c r="B137" s="402"/>
      <x:c r="C137" s="402"/>
      <x:c r="D137" s="402"/>
      <x:c r="E137" s="402"/>
      <x:c r="F137" s="402"/>
      <x:c r="G137" s="402"/>
      <x:c r="H137" s="402"/>
      <x:c r="I137" s="402"/>
      <x:c r="J137" s="402"/>
      <x:c r="K137" s="402"/>
      <x:c r="L137" s="402"/>
      <x:c r="M137" s="402"/>
      <x:c r="N137" s="402"/>
      <x:c r="O137" s="402"/>
      <x:c r="P137" s="402"/>
      <x:c r="Q137" s="402"/>
      <x:c r="R137" s="402"/>
      <x:c r="S137" s="402"/>
      <x:c r="T137" s="402"/>
      <x:c r="U137" s="402"/>
      <x:c r="V137" s="402"/>
      <x:c r="W137" s="402"/>
      <x:c r="X137" s="402"/>
      <x:c r="Y137" s="402"/>
      <x:c r="Z137" s="402"/>
    </x:row>
    <x:row r="138">
      <x:c r="A138" s="402"/>
      <x:c r="B138" s="402"/>
      <x:c r="C138" s="402"/>
      <x:c r="D138" s="402"/>
      <x:c r="E138" s="402"/>
      <x:c r="F138" s="402"/>
      <x:c r="G138" s="402"/>
      <x:c r="H138" s="402"/>
      <x:c r="I138" s="402"/>
      <x:c r="J138" s="402"/>
      <x:c r="K138" s="402"/>
      <x:c r="L138" s="402"/>
      <x:c r="M138" s="402"/>
      <x:c r="N138" s="402"/>
      <x:c r="O138" s="402"/>
      <x:c r="P138" s="402"/>
      <x:c r="Q138" s="402"/>
      <x:c r="R138" s="402"/>
      <x:c r="S138" s="402"/>
      <x:c r="T138" s="402"/>
      <x:c r="U138" s="402"/>
      <x:c r="V138" s="402"/>
      <x:c r="W138" s="402"/>
      <x:c r="X138" s="402"/>
      <x:c r="Y138" s="402"/>
      <x:c r="Z138" s="402"/>
    </x:row>
    <x:row r="139">
      <x:c r="A139" s="402"/>
      <x:c r="B139" s="402"/>
      <x:c r="C139" s="402"/>
      <x:c r="D139" s="402"/>
      <x:c r="E139" s="402"/>
      <x:c r="F139" s="402"/>
      <x:c r="G139" s="402"/>
      <x:c r="H139" s="402"/>
      <x:c r="I139" s="402"/>
      <x:c r="J139" s="402"/>
      <x:c r="K139" s="402"/>
      <x:c r="L139" s="402"/>
      <x:c r="M139" s="402"/>
      <x:c r="N139" s="402"/>
      <x:c r="O139" s="402"/>
      <x:c r="P139" s="402"/>
      <x:c r="Q139" s="402"/>
      <x:c r="R139" s="402"/>
      <x:c r="S139" s="402"/>
      <x:c r="T139" s="402"/>
      <x:c r="U139" s="402"/>
      <x:c r="V139" s="402"/>
      <x:c r="W139" s="402"/>
      <x:c r="X139" s="402"/>
      <x:c r="Y139" s="402"/>
      <x:c r="Z139" s="402"/>
    </x:row>
    <x:row r="140">
      <x:c r="A140" s="402"/>
      <x:c r="B140" s="402"/>
      <x:c r="C140" s="402"/>
      <x:c r="D140" s="402"/>
      <x:c r="E140" s="402"/>
      <x:c r="F140" s="402"/>
      <x:c r="G140" s="402"/>
      <x:c r="H140" s="402"/>
      <x:c r="I140" s="402"/>
      <x:c r="J140" s="402"/>
      <x:c r="K140" s="402"/>
      <x:c r="L140" s="402"/>
      <x:c r="M140" s="402"/>
      <x:c r="N140" s="402"/>
      <x:c r="O140" s="402"/>
      <x:c r="P140" s="402"/>
      <x:c r="Q140" s="402"/>
      <x:c r="R140" s="402"/>
      <x:c r="S140" s="402"/>
      <x:c r="T140" s="402"/>
      <x:c r="U140" s="402"/>
      <x:c r="V140" s="402"/>
      <x:c r="W140" s="402"/>
      <x:c r="X140" s="402"/>
      <x:c r="Y140" s="402"/>
      <x:c r="Z140" s="402"/>
    </x:row>
    <x:row r="141">
      <x:c r="A141" s="402"/>
      <x:c r="B141" s="402"/>
      <x:c r="C141" s="402"/>
      <x:c r="D141" s="402"/>
      <x:c r="E141" s="402"/>
      <x:c r="F141" s="402"/>
      <x:c r="G141" s="402"/>
      <x:c r="H141" s="402"/>
      <x:c r="I141" s="402"/>
      <x:c r="J141" s="402"/>
      <x:c r="K141" s="402"/>
      <x:c r="L141" s="402"/>
      <x:c r="M141" s="402"/>
      <x:c r="N141" s="402"/>
      <x:c r="O141" s="402"/>
      <x:c r="P141" s="402"/>
      <x:c r="Q141" s="402"/>
      <x:c r="R141" s="402"/>
      <x:c r="S141" s="402"/>
      <x:c r="T141" s="402"/>
      <x:c r="U141" s="402"/>
      <x:c r="V141" s="402"/>
      <x:c r="W141" s="402"/>
      <x:c r="X141" s="402"/>
      <x:c r="Y141" s="402"/>
      <x:c r="Z141" s="402"/>
    </x:row>
    <x:row r="142">
      <x:c r="A142" s="402"/>
      <x:c r="B142" s="402"/>
      <x:c r="C142" s="402"/>
      <x:c r="D142" s="402"/>
      <x:c r="E142" s="402"/>
      <x:c r="F142" s="402"/>
      <x:c r="G142" s="402"/>
      <x:c r="H142" s="402"/>
      <x:c r="I142" s="402"/>
      <x:c r="J142" s="402"/>
      <x:c r="K142" s="402"/>
      <x:c r="L142" s="402"/>
      <x:c r="M142" s="402"/>
      <x:c r="N142" s="402"/>
      <x:c r="O142" s="402"/>
      <x:c r="P142" s="402"/>
      <x:c r="Q142" s="402"/>
      <x:c r="R142" s="402"/>
      <x:c r="S142" s="402"/>
      <x:c r="T142" s="402"/>
      <x:c r="U142" s="402"/>
      <x:c r="V142" s="402"/>
      <x:c r="W142" s="402"/>
      <x:c r="X142" s="402"/>
      <x:c r="Y142" s="402"/>
      <x:c r="Z142" s="402"/>
    </x:row>
    <x:row r="143">
      <x:c r="A143" s="402"/>
      <x:c r="B143" s="402"/>
      <x:c r="C143" s="402"/>
      <x:c r="D143" s="402"/>
      <x:c r="E143" s="402"/>
      <x:c r="F143" s="402"/>
      <x:c r="G143" s="402"/>
      <x:c r="H143" s="402"/>
      <x:c r="I143" s="402"/>
      <x:c r="J143" s="402"/>
      <x:c r="K143" s="402"/>
      <x:c r="L143" s="402"/>
      <x:c r="M143" s="402"/>
      <x:c r="N143" s="402"/>
      <x:c r="O143" s="402"/>
      <x:c r="P143" s="402"/>
      <x:c r="Q143" s="402"/>
      <x:c r="R143" s="402"/>
      <x:c r="S143" s="402"/>
      <x:c r="T143" s="402"/>
      <x:c r="U143" s="402"/>
      <x:c r="V143" s="402"/>
      <x:c r="W143" s="402"/>
      <x:c r="X143" s="402"/>
      <x:c r="Y143" s="402"/>
      <x:c r="Z143" s="402"/>
    </x:row>
    <x:row r="144">
      <x:c r="A144" s="402"/>
      <x:c r="B144" s="402"/>
      <x:c r="C144" s="402"/>
      <x:c r="D144" s="402"/>
      <x:c r="E144" s="402"/>
      <x:c r="F144" s="402"/>
      <x:c r="G144" s="402"/>
      <x:c r="H144" s="402"/>
      <x:c r="I144" s="402"/>
      <x:c r="J144" s="402"/>
      <x:c r="K144" s="402"/>
      <x:c r="L144" s="402"/>
      <x:c r="M144" s="402"/>
      <x:c r="N144" s="402"/>
      <x:c r="O144" s="402"/>
      <x:c r="P144" s="402"/>
      <x:c r="Q144" s="402"/>
      <x:c r="R144" s="402"/>
      <x:c r="S144" s="402"/>
      <x:c r="T144" s="402"/>
      <x:c r="U144" s="402"/>
      <x:c r="V144" s="402"/>
      <x:c r="W144" s="402"/>
      <x:c r="X144" s="402"/>
      <x:c r="Y144" s="402"/>
      <x:c r="Z144" s="402"/>
    </x:row>
    <x:row r="145">
      <x:c r="A145" s="402"/>
      <x:c r="B145" s="402"/>
      <x:c r="C145" s="402"/>
      <x:c r="D145" s="402"/>
      <x:c r="E145" s="402"/>
      <x:c r="F145" s="402"/>
      <x:c r="G145" s="402"/>
      <x:c r="H145" s="402"/>
      <x:c r="I145" s="402"/>
      <x:c r="J145" s="402"/>
      <x:c r="K145" s="402"/>
      <x:c r="L145" s="402"/>
      <x:c r="M145" s="402"/>
      <x:c r="N145" s="402"/>
      <x:c r="O145" s="402"/>
      <x:c r="P145" s="402"/>
      <x:c r="Q145" s="402"/>
      <x:c r="R145" s="402"/>
      <x:c r="S145" s="402"/>
      <x:c r="T145" s="402"/>
      <x:c r="U145" s="402"/>
      <x:c r="V145" s="402"/>
      <x:c r="W145" s="402"/>
      <x:c r="X145" s="402"/>
      <x:c r="Y145" s="402"/>
      <x:c r="Z145" s="402"/>
    </x:row>
    <x:row r="146">
      <x:c r="A146" s="402"/>
      <x:c r="B146" s="402"/>
      <x:c r="C146" s="402"/>
      <x:c r="D146" s="402"/>
      <x:c r="E146" s="402"/>
      <x:c r="F146" s="402"/>
      <x:c r="G146" s="402"/>
      <x:c r="H146" s="402"/>
      <x:c r="I146" s="402"/>
      <x:c r="J146" s="402"/>
      <x:c r="K146" s="402"/>
      <x:c r="L146" s="402"/>
      <x:c r="M146" s="402"/>
      <x:c r="N146" s="402"/>
      <x:c r="O146" s="402"/>
      <x:c r="P146" s="402"/>
      <x:c r="Q146" s="402"/>
      <x:c r="R146" s="402"/>
      <x:c r="S146" s="402"/>
      <x:c r="T146" s="402"/>
      <x:c r="U146" s="402"/>
      <x:c r="V146" s="402"/>
      <x:c r="W146" s="402"/>
      <x:c r="X146" s="402"/>
      <x:c r="Y146" s="402"/>
      <x:c r="Z146" s="402"/>
    </x:row>
    <x:row r="147">
      <x:c r="A147" s="402"/>
      <x:c r="B147" s="402"/>
      <x:c r="C147" s="402"/>
      <x:c r="D147" s="402"/>
      <x:c r="E147" s="402"/>
      <x:c r="F147" s="402"/>
      <x:c r="G147" s="402"/>
      <x:c r="H147" s="402"/>
      <x:c r="I147" s="402"/>
      <x:c r="J147" s="402"/>
      <x:c r="K147" s="402"/>
      <x:c r="L147" s="402"/>
      <x:c r="M147" s="402"/>
      <x:c r="N147" s="402"/>
      <x:c r="O147" s="402"/>
      <x:c r="P147" s="402"/>
      <x:c r="Q147" s="402"/>
      <x:c r="R147" s="402"/>
      <x:c r="S147" s="402"/>
      <x:c r="T147" s="402"/>
      <x:c r="U147" s="402"/>
      <x:c r="V147" s="402"/>
      <x:c r="W147" s="402"/>
      <x:c r="X147" s="402"/>
      <x:c r="Y147" s="402"/>
      <x:c r="Z147" s="402"/>
    </x:row>
    <x:row r="148">
      <x:c r="A148" s="402"/>
      <x:c r="B148" s="402"/>
      <x:c r="C148" s="402"/>
      <x:c r="D148" s="402"/>
      <x:c r="E148" s="402"/>
      <x:c r="F148" s="402"/>
      <x:c r="G148" s="402"/>
      <x:c r="H148" s="402"/>
      <x:c r="I148" s="402"/>
      <x:c r="J148" s="402"/>
      <x:c r="K148" s="402"/>
      <x:c r="L148" s="402"/>
      <x:c r="M148" s="402"/>
      <x:c r="N148" s="402"/>
      <x:c r="O148" s="402"/>
      <x:c r="P148" s="402"/>
      <x:c r="Q148" s="402"/>
      <x:c r="R148" s="402"/>
      <x:c r="S148" s="402"/>
      <x:c r="T148" s="402"/>
      <x:c r="U148" s="402"/>
      <x:c r="V148" s="402"/>
      <x:c r="W148" s="402"/>
      <x:c r="X148" s="402"/>
      <x:c r="Y148" s="402"/>
      <x:c r="Z148" s="402"/>
    </x:row>
    <x:row r="149">
      <x:c r="A149" s="402"/>
      <x:c r="B149" s="402"/>
      <x:c r="C149" s="402"/>
      <x:c r="D149" s="402"/>
      <x:c r="E149" s="402"/>
      <x:c r="F149" s="402"/>
      <x:c r="G149" s="402"/>
      <x:c r="H149" s="402"/>
      <x:c r="I149" s="402"/>
      <x:c r="J149" s="402"/>
      <x:c r="K149" s="402"/>
      <x:c r="L149" s="402"/>
      <x:c r="M149" s="402"/>
      <x:c r="N149" s="402"/>
      <x:c r="O149" s="402"/>
      <x:c r="P149" s="402"/>
      <x:c r="Q149" s="402"/>
      <x:c r="R149" s="402"/>
      <x:c r="S149" s="402"/>
      <x:c r="T149" s="402"/>
      <x:c r="U149" s="402"/>
      <x:c r="V149" s="402"/>
      <x:c r="W149" s="402"/>
      <x:c r="X149" s="402"/>
      <x:c r="Y149" s="402"/>
      <x:c r="Z149" s="402"/>
    </x:row>
    <x:row r="150">
      <x:c r="A150" s="402"/>
      <x:c r="B150" s="402"/>
      <x:c r="C150" s="402"/>
      <x:c r="D150" s="402"/>
      <x:c r="E150" s="402"/>
      <x:c r="F150" s="402"/>
      <x:c r="G150" s="402"/>
      <x:c r="H150" s="402"/>
      <x:c r="I150" s="402"/>
      <x:c r="J150" s="402"/>
      <x:c r="K150" s="402"/>
      <x:c r="L150" s="402"/>
      <x:c r="M150" s="402"/>
      <x:c r="N150" s="402"/>
      <x:c r="O150" s="402"/>
      <x:c r="P150" s="402"/>
      <x:c r="Q150" s="402"/>
      <x:c r="R150" s="402"/>
      <x:c r="S150" s="402"/>
      <x:c r="T150" s="402"/>
      <x:c r="U150" s="402"/>
      <x:c r="V150" s="402"/>
      <x:c r="W150" s="402"/>
      <x:c r="X150" s="402"/>
      <x:c r="Y150" s="402"/>
      <x:c r="Z150" s="402"/>
    </x:row>
    <x:row r="151">
      <x:c r="A151" s="402"/>
      <x:c r="B151" s="402"/>
      <x:c r="C151" s="402"/>
      <x:c r="D151" s="402"/>
      <x:c r="E151" s="402"/>
      <x:c r="F151" s="402"/>
      <x:c r="G151" s="402"/>
      <x:c r="H151" s="402"/>
      <x:c r="I151" s="402"/>
      <x:c r="J151" s="402"/>
      <x:c r="K151" s="402"/>
      <x:c r="L151" s="402"/>
      <x:c r="M151" s="402"/>
      <x:c r="N151" s="402"/>
      <x:c r="O151" s="402"/>
      <x:c r="P151" s="402"/>
      <x:c r="Q151" s="402"/>
      <x:c r="R151" s="402"/>
      <x:c r="S151" s="402"/>
      <x:c r="T151" s="402"/>
      <x:c r="U151" s="402"/>
      <x:c r="V151" s="402"/>
      <x:c r="W151" s="402"/>
      <x:c r="X151" s="402"/>
      <x:c r="Y151" s="402"/>
      <x:c r="Z151" s="402"/>
    </x:row>
    <x:row r="152">
      <x:c r="A152" s="402"/>
      <x:c r="B152" s="402"/>
      <x:c r="C152" s="402"/>
      <x:c r="D152" s="402"/>
      <x:c r="E152" s="402"/>
      <x:c r="F152" s="402"/>
      <x:c r="G152" s="402"/>
      <x:c r="H152" s="402"/>
      <x:c r="I152" s="402"/>
      <x:c r="J152" s="402"/>
      <x:c r="K152" s="402"/>
      <x:c r="L152" s="402"/>
      <x:c r="M152" s="402"/>
      <x:c r="N152" s="402"/>
      <x:c r="O152" s="402"/>
      <x:c r="P152" s="402"/>
      <x:c r="Q152" s="402"/>
      <x:c r="R152" s="402"/>
      <x:c r="S152" s="402"/>
      <x:c r="T152" s="402"/>
      <x:c r="U152" s="402"/>
      <x:c r="V152" s="402"/>
      <x:c r="W152" s="402"/>
      <x:c r="X152" s="402"/>
      <x:c r="Y152" s="402"/>
      <x:c r="Z152" s="402"/>
    </x:row>
    <x:row r="153">
      <x:c r="A153" s="402"/>
      <x:c r="B153" s="402"/>
      <x:c r="C153" s="402"/>
      <x:c r="D153" s="402"/>
      <x:c r="E153" s="402"/>
      <x:c r="F153" s="402"/>
      <x:c r="G153" s="402"/>
      <x:c r="H153" s="402"/>
      <x:c r="I153" s="402"/>
      <x:c r="J153" s="402"/>
      <x:c r="K153" s="402"/>
      <x:c r="L153" s="402"/>
      <x:c r="M153" s="402"/>
      <x:c r="N153" s="402"/>
      <x:c r="O153" s="402"/>
      <x:c r="P153" s="402"/>
      <x:c r="Q153" s="402"/>
      <x:c r="R153" s="402"/>
      <x:c r="S153" s="402"/>
      <x:c r="T153" s="402"/>
      <x:c r="U153" s="402"/>
      <x:c r="V153" s="402"/>
      <x:c r="W153" s="402"/>
      <x:c r="X153" s="402"/>
      <x:c r="Y153" s="402"/>
      <x:c r="Z153" s="402"/>
    </x:row>
    <x:row r="154">
      <x:c r="A154" s="402"/>
      <x:c r="B154" s="402"/>
      <x:c r="C154" s="402"/>
      <x:c r="D154" s="402"/>
      <x:c r="E154" s="402"/>
      <x:c r="F154" s="402"/>
      <x:c r="G154" s="402"/>
      <x:c r="H154" s="402"/>
      <x:c r="I154" s="402"/>
      <x:c r="J154" s="402"/>
      <x:c r="K154" s="402"/>
      <x:c r="L154" s="402"/>
      <x:c r="M154" s="402"/>
      <x:c r="N154" s="402"/>
      <x:c r="O154" s="402"/>
      <x:c r="P154" s="402"/>
      <x:c r="Q154" s="402"/>
      <x:c r="R154" s="402"/>
      <x:c r="S154" s="402"/>
      <x:c r="T154" s="402"/>
      <x:c r="U154" s="402"/>
      <x:c r="V154" s="402"/>
      <x:c r="W154" s="402"/>
      <x:c r="X154" s="402"/>
      <x:c r="Y154" s="402"/>
      <x:c r="Z154" s="402"/>
    </x:row>
    <x:row r="155">
      <x:c r="A155" s="402"/>
      <x:c r="B155" s="402"/>
      <x:c r="C155" s="402"/>
      <x:c r="D155" s="402"/>
      <x:c r="E155" s="402"/>
      <x:c r="F155" s="402"/>
      <x:c r="G155" s="402"/>
      <x:c r="H155" s="402"/>
      <x:c r="I155" s="402"/>
      <x:c r="J155" s="402"/>
      <x:c r="K155" s="402"/>
      <x:c r="L155" s="402"/>
      <x:c r="M155" s="402"/>
      <x:c r="N155" s="402"/>
      <x:c r="O155" s="402"/>
      <x:c r="P155" s="402"/>
      <x:c r="Q155" s="402"/>
      <x:c r="R155" s="402"/>
      <x:c r="S155" s="402"/>
      <x:c r="T155" s="402"/>
      <x:c r="U155" s="402"/>
      <x:c r="V155" s="402"/>
      <x:c r="W155" s="402"/>
      <x:c r="X155" s="402"/>
      <x:c r="Y155" s="402"/>
      <x:c r="Z155" s="402"/>
    </x:row>
    <x:row r="156">
      <x:c r="A156" s="402"/>
      <x:c r="B156" s="402"/>
      <x:c r="C156" s="402"/>
      <x:c r="D156" s="402"/>
      <x:c r="E156" s="402"/>
      <x:c r="F156" s="402"/>
      <x:c r="G156" s="402"/>
      <x:c r="H156" s="402"/>
      <x:c r="I156" s="402"/>
      <x:c r="J156" s="402"/>
      <x:c r="K156" s="402"/>
      <x:c r="L156" s="402"/>
      <x:c r="M156" s="402"/>
      <x:c r="N156" s="402"/>
      <x:c r="O156" s="402"/>
      <x:c r="P156" s="402"/>
      <x:c r="Q156" s="402"/>
      <x:c r="R156" s="402"/>
      <x:c r="S156" s="402"/>
      <x:c r="T156" s="402"/>
      <x:c r="U156" s="402"/>
      <x:c r="V156" s="402"/>
      <x:c r="W156" s="402"/>
      <x:c r="X156" s="402"/>
      <x:c r="Y156" s="402"/>
      <x:c r="Z156" s="402"/>
    </x:row>
    <x:row r="157">
      <x:c r="A157" s="402"/>
      <x:c r="B157" s="402"/>
      <x:c r="C157" s="402"/>
      <x:c r="D157" s="402"/>
      <x:c r="E157" s="402"/>
      <x:c r="F157" s="402"/>
      <x:c r="G157" s="402"/>
      <x:c r="H157" s="402"/>
      <x:c r="I157" s="402"/>
      <x:c r="J157" s="402"/>
      <x:c r="K157" s="402"/>
      <x:c r="L157" s="402"/>
      <x:c r="M157" s="402"/>
      <x:c r="N157" s="402"/>
      <x:c r="O157" s="402"/>
      <x:c r="P157" s="402"/>
      <x:c r="Q157" s="402"/>
      <x:c r="R157" s="402"/>
      <x:c r="S157" s="402"/>
      <x:c r="T157" s="402"/>
      <x:c r="U157" s="402"/>
      <x:c r="V157" s="402"/>
      <x:c r="W157" s="402"/>
      <x:c r="X157" s="402"/>
      <x:c r="Y157" s="402"/>
      <x:c r="Z157" s="402"/>
    </x:row>
    <x:row r="158">
      <x:c r="A158" s="402"/>
      <x:c r="B158" s="402"/>
      <x:c r="C158" s="402"/>
      <x:c r="D158" s="402"/>
      <x:c r="E158" s="402"/>
      <x:c r="F158" s="402"/>
      <x:c r="G158" s="402"/>
      <x:c r="H158" s="402"/>
      <x:c r="I158" s="402"/>
      <x:c r="J158" s="402"/>
      <x:c r="K158" s="402"/>
      <x:c r="L158" s="402"/>
      <x:c r="M158" s="402"/>
      <x:c r="N158" s="402"/>
      <x:c r="O158" s="402"/>
      <x:c r="P158" s="402"/>
      <x:c r="Q158" s="402"/>
      <x:c r="R158" s="402"/>
      <x:c r="S158" s="402"/>
      <x:c r="T158" s="402"/>
      <x:c r="U158" s="402"/>
      <x:c r="V158" s="402"/>
      <x:c r="W158" s="402"/>
      <x:c r="X158" s="402"/>
      <x:c r="Y158" s="402"/>
      <x:c r="Z158" s="402"/>
    </x:row>
    <x:row r="159">
      <x:c r="A159" s="402"/>
      <x:c r="B159" s="402"/>
      <x:c r="C159" s="402"/>
      <x:c r="D159" s="402"/>
      <x:c r="E159" s="402"/>
      <x:c r="F159" s="402"/>
      <x:c r="G159" s="402"/>
      <x:c r="H159" s="402"/>
      <x:c r="I159" s="402"/>
      <x:c r="J159" s="402"/>
      <x:c r="K159" s="402"/>
      <x:c r="L159" s="402"/>
      <x:c r="M159" s="402"/>
      <x:c r="N159" s="402"/>
      <x:c r="O159" s="402"/>
      <x:c r="P159" s="402"/>
      <x:c r="Q159" s="402"/>
      <x:c r="R159" s="402"/>
      <x:c r="S159" s="402"/>
      <x:c r="T159" s="402"/>
      <x:c r="U159" s="402"/>
      <x:c r="V159" s="402"/>
      <x:c r="W159" s="402"/>
      <x:c r="X159" s="402"/>
      <x:c r="Y159" s="402"/>
      <x:c r="Z159" s="402"/>
    </x:row>
    <x:row r="160">
      <x:c r="A160" s="402"/>
      <x:c r="B160" s="402"/>
      <x:c r="C160" s="402"/>
      <x:c r="D160" s="402"/>
      <x:c r="E160" s="402"/>
      <x:c r="F160" s="402"/>
      <x:c r="G160" s="402"/>
      <x:c r="H160" s="402"/>
      <x:c r="I160" s="402"/>
      <x:c r="J160" s="402"/>
      <x:c r="K160" s="402"/>
      <x:c r="L160" s="402"/>
      <x:c r="M160" s="402"/>
      <x:c r="N160" s="402"/>
      <x:c r="O160" s="402"/>
      <x:c r="P160" s="402"/>
      <x:c r="Q160" s="402"/>
      <x:c r="R160" s="402"/>
      <x:c r="S160" s="402"/>
      <x:c r="T160" s="402"/>
      <x:c r="U160" s="402"/>
      <x:c r="V160" s="402"/>
      <x:c r="W160" s="402"/>
      <x:c r="X160" s="402"/>
      <x:c r="Y160" s="402"/>
      <x:c r="Z160" s="402"/>
    </x:row>
    <x:row r="161">
      <x:c r="A161" s="402"/>
      <x:c r="B161" s="402"/>
      <x:c r="C161" s="402"/>
      <x:c r="D161" s="402"/>
      <x:c r="E161" s="402"/>
      <x:c r="F161" s="402"/>
      <x:c r="G161" s="402"/>
      <x:c r="H161" s="402"/>
      <x:c r="I161" s="402"/>
      <x:c r="J161" s="402"/>
      <x:c r="K161" s="402"/>
      <x:c r="L161" s="402"/>
      <x:c r="M161" s="402"/>
      <x:c r="N161" s="402"/>
      <x:c r="O161" s="402"/>
      <x:c r="P161" s="402"/>
      <x:c r="Q161" s="402"/>
      <x:c r="R161" s="402"/>
      <x:c r="S161" s="402"/>
      <x:c r="T161" s="402"/>
      <x:c r="U161" s="402"/>
      <x:c r="V161" s="402"/>
      <x:c r="W161" s="402"/>
      <x:c r="X161" s="402"/>
      <x:c r="Y161" s="402"/>
      <x:c r="Z161" s="402"/>
    </x:row>
    <x:row r="162">
      <x:c r="A162" s="402"/>
      <x:c r="B162" s="402"/>
      <x:c r="C162" s="402"/>
      <x:c r="D162" s="402"/>
      <x:c r="E162" s="402"/>
      <x:c r="F162" s="402"/>
      <x:c r="G162" s="402"/>
      <x:c r="H162" s="402"/>
      <x:c r="I162" s="402"/>
      <x:c r="J162" s="402"/>
      <x:c r="K162" s="402"/>
      <x:c r="L162" s="402"/>
      <x:c r="M162" s="402"/>
      <x:c r="N162" s="402"/>
      <x:c r="O162" s="402"/>
      <x:c r="P162" s="402"/>
      <x:c r="Q162" s="402"/>
      <x:c r="R162" s="402"/>
      <x:c r="S162" s="402"/>
      <x:c r="T162" s="402"/>
      <x:c r="U162" s="402"/>
      <x:c r="V162" s="402"/>
      <x:c r="W162" s="402"/>
      <x:c r="X162" s="402"/>
      <x:c r="Y162" s="402"/>
      <x:c r="Z162" s="402"/>
    </x:row>
    <x:row r="163">
      <x:c r="A163" s="402"/>
      <x:c r="B163" s="402"/>
      <x:c r="C163" s="402"/>
      <x:c r="D163" s="402"/>
      <x:c r="E163" s="402"/>
      <x:c r="F163" s="402"/>
      <x:c r="G163" s="402"/>
      <x:c r="H163" s="402"/>
      <x:c r="I163" s="402"/>
      <x:c r="J163" s="402"/>
      <x:c r="K163" s="402"/>
      <x:c r="L163" s="402"/>
      <x:c r="M163" s="402"/>
      <x:c r="N163" s="402"/>
      <x:c r="O163" s="402"/>
      <x:c r="P163" s="402"/>
      <x:c r="Q163" s="402"/>
      <x:c r="R163" s="402"/>
      <x:c r="S163" s="402"/>
      <x:c r="T163" s="402"/>
      <x:c r="U163" s="402"/>
      <x:c r="V163" s="402"/>
      <x:c r="W163" s="402"/>
      <x:c r="X163" s="402"/>
      <x:c r="Y163" s="402"/>
      <x:c r="Z163" s="402"/>
    </x:row>
    <x:row r="164">
      <x:c r="A164" s="402"/>
      <x:c r="B164" s="402"/>
      <x:c r="C164" s="402"/>
      <x:c r="D164" s="402"/>
      <x:c r="E164" s="402"/>
      <x:c r="F164" s="402"/>
      <x:c r="G164" s="402"/>
      <x:c r="H164" s="402"/>
      <x:c r="I164" s="402"/>
      <x:c r="J164" s="402"/>
      <x:c r="K164" s="402"/>
      <x:c r="L164" s="402"/>
      <x:c r="M164" s="402"/>
      <x:c r="N164" s="402"/>
      <x:c r="O164" s="402"/>
      <x:c r="P164" s="402"/>
      <x:c r="Q164" s="402"/>
      <x:c r="R164" s="402"/>
      <x:c r="S164" s="402"/>
      <x:c r="T164" s="402"/>
      <x:c r="U164" s="402"/>
      <x:c r="V164" s="402"/>
      <x:c r="W164" s="402"/>
      <x:c r="X164" s="402"/>
      <x:c r="Y164" s="402"/>
      <x:c r="Z164" s="402"/>
    </x:row>
    <x:row r="165">
      <x:c r="A165" s="402"/>
      <x:c r="B165" s="402"/>
      <x:c r="C165" s="402"/>
      <x:c r="D165" s="402"/>
      <x:c r="E165" s="402"/>
      <x:c r="F165" s="402"/>
      <x:c r="G165" s="402"/>
      <x:c r="H165" s="402"/>
      <x:c r="I165" s="402"/>
      <x:c r="J165" s="402"/>
      <x:c r="K165" s="402"/>
      <x:c r="L165" s="402"/>
      <x:c r="M165" s="402"/>
      <x:c r="N165" s="402"/>
      <x:c r="O165" s="402"/>
      <x:c r="P165" s="402"/>
      <x:c r="Q165" s="402"/>
      <x:c r="R165" s="402"/>
      <x:c r="S165" s="402"/>
      <x:c r="T165" s="402"/>
      <x:c r="U165" s="402"/>
      <x:c r="V165" s="402"/>
      <x:c r="W165" s="402"/>
      <x:c r="X165" s="402"/>
      <x:c r="Y165" s="402"/>
      <x:c r="Z165" s="402"/>
    </x:row>
    <x:row r="166">
      <x:c r="A166" s="402"/>
      <x:c r="B166" s="402"/>
      <x:c r="C166" s="402"/>
      <x:c r="D166" s="402"/>
      <x:c r="E166" s="402"/>
      <x:c r="F166" s="402"/>
      <x:c r="G166" s="402"/>
      <x:c r="H166" s="402"/>
      <x:c r="I166" s="402"/>
      <x:c r="J166" s="402"/>
      <x:c r="K166" s="402"/>
      <x:c r="L166" s="402"/>
      <x:c r="M166" s="402"/>
      <x:c r="N166" s="402"/>
      <x:c r="O166" s="402"/>
      <x:c r="P166" s="402"/>
      <x:c r="Q166" s="402"/>
      <x:c r="R166" s="402"/>
      <x:c r="S166" s="402"/>
      <x:c r="T166" s="402"/>
      <x:c r="U166" s="402"/>
      <x:c r="V166" s="402"/>
      <x:c r="W166" s="402"/>
      <x:c r="X166" s="402"/>
      <x:c r="Y166" s="402"/>
      <x:c r="Z166" s="402"/>
    </x:row>
    <x:row r="167">
      <x:c r="A167" s="402"/>
      <x:c r="B167" s="402"/>
      <x:c r="C167" s="402"/>
      <x:c r="D167" s="402"/>
      <x:c r="E167" s="402"/>
      <x:c r="F167" s="402"/>
      <x:c r="G167" s="402"/>
      <x:c r="H167" s="402"/>
      <x:c r="I167" s="402"/>
      <x:c r="J167" s="402"/>
      <x:c r="K167" s="402"/>
      <x:c r="L167" s="402"/>
      <x:c r="M167" s="402"/>
      <x:c r="N167" s="402"/>
      <x:c r="O167" s="402"/>
      <x:c r="P167" s="402"/>
      <x:c r="Q167" s="402"/>
      <x:c r="R167" s="402"/>
      <x:c r="S167" s="402"/>
      <x:c r="T167" s="402"/>
      <x:c r="U167" s="402"/>
      <x:c r="V167" s="402"/>
      <x:c r="W167" s="402"/>
      <x:c r="X167" s="402"/>
      <x:c r="Y167" s="402"/>
      <x:c r="Z167" s="402"/>
    </x:row>
    <x:row r="168">
      <x:c r="A168" s="402"/>
      <x:c r="B168" s="402"/>
      <x:c r="C168" s="402"/>
      <x:c r="D168" s="402"/>
      <x:c r="E168" s="402"/>
      <x:c r="F168" s="402"/>
      <x:c r="G168" s="402"/>
      <x:c r="H168" s="402"/>
      <x:c r="I168" s="402"/>
      <x:c r="J168" s="402"/>
      <x:c r="K168" s="402"/>
      <x:c r="L168" s="402"/>
      <x:c r="M168" s="402"/>
      <x:c r="N168" s="402"/>
      <x:c r="O168" s="402"/>
      <x:c r="P168" s="402"/>
      <x:c r="Q168" s="402"/>
      <x:c r="R168" s="402"/>
      <x:c r="S168" s="402"/>
      <x:c r="T168" s="402"/>
      <x:c r="U168" s="402"/>
      <x:c r="V168" s="402"/>
      <x:c r="W168" s="402"/>
      <x:c r="X168" s="402"/>
      <x:c r="Y168" s="402"/>
      <x:c r="Z168" s="402"/>
    </x:row>
    <x:row r="169">
      <x:c r="A169" s="402"/>
      <x:c r="B169" s="402"/>
      <x:c r="C169" s="402"/>
      <x:c r="D169" s="402"/>
      <x:c r="E169" s="402"/>
      <x:c r="F169" s="402"/>
      <x:c r="G169" s="402"/>
      <x:c r="H169" s="402"/>
      <x:c r="I169" s="402"/>
      <x:c r="J169" s="402"/>
      <x:c r="K169" s="402"/>
      <x:c r="L169" s="402"/>
      <x:c r="M169" s="402"/>
      <x:c r="N169" s="402"/>
      <x:c r="O169" s="402"/>
      <x:c r="P169" s="402"/>
      <x:c r="Q169" s="402"/>
      <x:c r="R169" s="402"/>
      <x:c r="S169" s="402"/>
      <x:c r="T169" s="402"/>
      <x:c r="U169" s="402"/>
      <x:c r="V169" s="402"/>
      <x:c r="W169" s="402"/>
      <x:c r="X169" s="402"/>
      <x:c r="Y169" s="402"/>
      <x:c r="Z169" s="402"/>
    </x:row>
    <x:row r="170">
      <x:c r="A170" s="402"/>
      <x:c r="B170" s="402"/>
      <x:c r="C170" s="402"/>
      <x:c r="D170" s="402"/>
      <x:c r="E170" s="402"/>
      <x:c r="F170" s="402"/>
      <x:c r="G170" s="402"/>
      <x:c r="H170" s="402"/>
      <x:c r="I170" s="402"/>
      <x:c r="J170" s="402"/>
      <x:c r="K170" s="402"/>
      <x:c r="L170" s="402"/>
      <x:c r="M170" s="402"/>
      <x:c r="N170" s="402"/>
      <x:c r="O170" s="402"/>
      <x:c r="P170" s="402"/>
      <x:c r="Q170" s="402"/>
      <x:c r="R170" s="402"/>
      <x:c r="S170" s="402"/>
      <x:c r="T170" s="402"/>
      <x:c r="U170" s="402"/>
      <x:c r="V170" s="402"/>
      <x:c r="W170" s="402"/>
      <x:c r="X170" s="402"/>
      <x:c r="Y170" s="402"/>
      <x:c r="Z170" s="402"/>
    </x:row>
    <x:row r="171">
      <x:c r="A171" s="402"/>
      <x:c r="B171" s="402"/>
      <x:c r="C171" s="402"/>
      <x:c r="D171" s="402"/>
      <x:c r="E171" s="402"/>
      <x:c r="F171" s="402"/>
      <x:c r="G171" s="402"/>
      <x:c r="H171" s="402"/>
      <x:c r="I171" s="402"/>
      <x:c r="J171" s="402"/>
      <x:c r="K171" s="402"/>
      <x:c r="L171" s="402"/>
      <x:c r="M171" s="402"/>
      <x:c r="N171" s="402"/>
      <x:c r="O171" s="402"/>
      <x:c r="P171" s="402"/>
      <x:c r="Q171" s="402"/>
      <x:c r="R171" s="402"/>
      <x:c r="S171" s="402"/>
      <x:c r="T171" s="402"/>
      <x:c r="U171" s="402"/>
      <x:c r="V171" s="402"/>
      <x:c r="W171" s="402"/>
      <x:c r="X171" s="402"/>
      <x:c r="Y171" s="402"/>
      <x:c r="Z171" s="402"/>
    </x:row>
    <x:row r="172">
      <x:c r="A172" s="402"/>
      <x:c r="B172" s="402"/>
      <x:c r="C172" s="402"/>
      <x:c r="D172" s="402"/>
      <x:c r="E172" s="402"/>
      <x:c r="F172" s="402"/>
      <x:c r="G172" s="402"/>
      <x:c r="H172" s="402"/>
      <x:c r="I172" s="402"/>
      <x:c r="J172" s="402"/>
      <x:c r="K172" s="402"/>
      <x:c r="L172" s="402"/>
      <x:c r="M172" s="402"/>
      <x:c r="N172" s="402"/>
      <x:c r="O172" s="402"/>
      <x:c r="P172" s="402"/>
      <x:c r="Q172" s="402"/>
      <x:c r="R172" s="402"/>
      <x:c r="S172" s="402"/>
      <x:c r="T172" s="402"/>
      <x:c r="U172" s="402"/>
      <x:c r="V172" s="402"/>
      <x:c r="W172" s="402"/>
      <x:c r="X172" s="402"/>
      <x:c r="Y172" s="402"/>
      <x:c r="Z172" s="402"/>
    </x:row>
    <x:row r="173">
      <x:c r="A173" s="402"/>
      <x:c r="B173" s="402"/>
      <x:c r="C173" s="402"/>
      <x:c r="D173" s="402"/>
      <x:c r="E173" s="402"/>
      <x:c r="F173" s="402"/>
      <x:c r="G173" s="402"/>
      <x:c r="H173" s="402"/>
      <x:c r="I173" s="402"/>
      <x:c r="J173" s="402"/>
      <x:c r="K173" s="402"/>
      <x:c r="L173" s="402"/>
      <x:c r="M173" s="402"/>
      <x:c r="N173" s="402"/>
      <x:c r="O173" s="402"/>
      <x:c r="P173" s="402"/>
      <x:c r="Q173" s="402"/>
      <x:c r="R173" s="402"/>
      <x:c r="S173" s="402"/>
      <x:c r="T173" s="402"/>
      <x:c r="U173" s="402"/>
      <x:c r="V173" s="402"/>
      <x:c r="W173" s="402"/>
      <x:c r="X173" s="402"/>
      <x:c r="Y173" s="402"/>
      <x:c r="Z173" s="402"/>
    </x:row>
    <x:row r="174">
      <x:c r="A174" s="402"/>
      <x:c r="B174" s="402"/>
      <x:c r="C174" s="402"/>
      <x:c r="D174" s="402"/>
      <x:c r="E174" s="402"/>
      <x:c r="F174" s="402"/>
      <x:c r="G174" s="402"/>
      <x:c r="H174" s="402"/>
      <x:c r="I174" s="402"/>
      <x:c r="J174" s="402"/>
      <x:c r="K174" s="402"/>
      <x:c r="L174" s="402"/>
      <x:c r="M174" s="402"/>
      <x:c r="N174" s="402"/>
      <x:c r="O174" s="402"/>
      <x:c r="P174" s="402"/>
      <x:c r="Q174" s="402"/>
      <x:c r="R174" s="402"/>
      <x:c r="S174" s="402"/>
      <x:c r="T174" s="402"/>
      <x:c r="U174" s="402"/>
      <x:c r="V174" s="402"/>
      <x:c r="W174" s="402"/>
      <x:c r="X174" s="402"/>
      <x:c r="Y174" s="402"/>
      <x:c r="Z174" s="402"/>
    </x:row>
    <x:row r="175">
      <x:c r="A175" s="402"/>
      <x:c r="B175" s="402"/>
      <x:c r="C175" s="402"/>
      <x:c r="D175" s="402"/>
      <x:c r="E175" s="402"/>
      <x:c r="F175" s="402"/>
      <x:c r="G175" s="402"/>
      <x:c r="H175" s="402"/>
      <x:c r="I175" s="402"/>
      <x:c r="J175" s="402"/>
      <x:c r="K175" s="402"/>
      <x:c r="L175" s="402"/>
      <x:c r="M175" s="402"/>
      <x:c r="N175" s="402"/>
      <x:c r="O175" s="402"/>
      <x:c r="P175" s="402"/>
      <x:c r="Q175" s="402"/>
      <x:c r="R175" s="402"/>
      <x:c r="S175" s="402"/>
      <x:c r="T175" s="402"/>
      <x:c r="U175" s="402"/>
      <x:c r="V175" s="402"/>
      <x:c r="W175" s="402"/>
      <x:c r="X175" s="402"/>
      <x:c r="Y175" s="402"/>
      <x:c r="Z175" s="402"/>
    </x:row>
    <x:row r="176">
      <x:c r="A176" s="402"/>
      <x:c r="B176" s="402"/>
      <x:c r="C176" s="402"/>
      <x:c r="D176" s="402"/>
      <x:c r="E176" s="402"/>
      <x:c r="F176" s="402"/>
      <x:c r="G176" s="402"/>
      <x:c r="H176" s="402"/>
      <x:c r="I176" s="402"/>
      <x:c r="J176" s="402"/>
      <x:c r="K176" s="402"/>
      <x:c r="L176" s="402"/>
      <x:c r="M176" s="402"/>
      <x:c r="N176" s="402"/>
      <x:c r="O176" s="402"/>
      <x:c r="P176" s="402"/>
      <x:c r="Q176" s="402"/>
      <x:c r="R176" s="402"/>
      <x:c r="S176" s="402"/>
      <x:c r="T176" s="402"/>
      <x:c r="U176" s="402"/>
      <x:c r="V176" s="402"/>
      <x:c r="W176" s="402"/>
      <x:c r="X176" s="402"/>
      <x:c r="Y176" s="402"/>
      <x:c r="Z176" s="402"/>
    </x:row>
    <x:row r="177">
      <x:c r="A177" s="402"/>
      <x:c r="B177" s="402"/>
      <x:c r="C177" s="402"/>
      <x:c r="D177" s="402"/>
      <x:c r="E177" s="402"/>
      <x:c r="F177" s="402"/>
      <x:c r="G177" s="402"/>
      <x:c r="H177" s="402"/>
      <x:c r="I177" s="402"/>
      <x:c r="J177" s="402"/>
      <x:c r="K177" s="402"/>
      <x:c r="L177" s="402"/>
      <x:c r="M177" s="402"/>
      <x:c r="N177" s="402"/>
      <x:c r="O177" s="402"/>
      <x:c r="P177" s="402"/>
      <x:c r="Q177" s="402"/>
      <x:c r="R177" s="402"/>
      <x:c r="S177" s="402"/>
      <x:c r="T177" s="402"/>
      <x:c r="U177" s="402"/>
      <x:c r="V177" s="402"/>
      <x:c r="W177" s="402"/>
      <x:c r="X177" s="402"/>
      <x:c r="Y177" s="402"/>
      <x:c r="Z177" s="402"/>
    </x:row>
    <x:row r="178">
      <x:c r="A178" s="402"/>
      <x:c r="B178" s="402"/>
      <x:c r="C178" s="402"/>
      <x:c r="D178" s="402"/>
      <x:c r="E178" s="402"/>
      <x:c r="F178" s="402"/>
      <x:c r="G178" s="402"/>
      <x:c r="H178" s="402"/>
      <x:c r="I178" s="402"/>
      <x:c r="J178" s="402"/>
      <x:c r="K178" s="402"/>
      <x:c r="L178" s="402"/>
      <x:c r="M178" s="402"/>
      <x:c r="N178" s="402"/>
      <x:c r="O178" s="402"/>
      <x:c r="P178" s="402"/>
      <x:c r="Q178" s="402"/>
      <x:c r="R178" s="402"/>
      <x:c r="S178" s="402"/>
      <x:c r="T178" s="402"/>
      <x:c r="U178" s="402"/>
      <x:c r="V178" s="402"/>
      <x:c r="W178" s="402"/>
      <x:c r="X178" s="402"/>
      <x:c r="Y178" s="402"/>
      <x:c r="Z178" s="402"/>
    </x:row>
    <x:row r="179">
      <x:c r="A179" s="402"/>
      <x:c r="B179" s="402"/>
      <x:c r="C179" s="402"/>
      <x:c r="D179" s="402"/>
      <x:c r="E179" s="402"/>
      <x:c r="F179" s="402"/>
      <x:c r="G179" s="402"/>
      <x:c r="H179" s="402"/>
      <x:c r="I179" s="402"/>
      <x:c r="J179" s="402"/>
      <x:c r="K179" s="402"/>
      <x:c r="L179" s="402"/>
      <x:c r="M179" s="402"/>
      <x:c r="N179" s="402"/>
      <x:c r="O179" s="402"/>
      <x:c r="P179" s="402"/>
      <x:c r="Q179" s="402"/>
      <x:c r="R179" s="402"/>
      <x:c r="S179" s="402"/>
      <x:c r="T179" s="402"/>
      <x:c r="U179" s="402"/>
      <x:c r="V179" s="402"/>
      <x:c r="W179" s="402"/>
      <x:c r="X179" s="402"/>
      <x:c r="Y179" s="402"/>
      <x:c r="Z179" s="402"/>
    </x:row>
    <x:row r="180">
      <x:c r="A180" s="402"/>
      <x:c r="B180" s="402"/>
      <x:c r="C180" s="402"/>
      <x:c r="D180" s="402"/>
      <x:c r="E180" s="402"/>
      <x:c r="F180" s="402"/>
      <x:c r="G180" s="402"/>
      <x:c r="H180" s="402"/>
      <x:c r="I180" s="402"/>
      <x:c r="J180" s="402"/>
      <x:c r="K180" s="402"/>
      <x:c r="L180" s="402"/>
      <x:c r="M180" s="402"/>
      <x:c r="N180" s="402"/>
      <x:c r="O180" s="402"/>
      <x:c r="P180" s="402"/>
      <x:c r="Q180" s="402"/>
      <x:c r="R180" s="402"/>
      <x:c r="S180" s="402"/>
      <x:c r="T180" s="402"/>
      <x:c r="U180" s="402"/>
      <x:c r="V180" s="402"/>
      <x:c r="W180" s="402"/>
      <x:c r="X180" s="402"/>
      <x:c r="Y180" s="402"/>
      <x:c r="Z180" s="402"/>
    </x:row>
    <x:row r="181">
      <x:c r="A181" s="402"/>
      <x:c r="B181" s="402"/>
      <x:c r="C181" s="402"/>
      <x:c r="D181" s="402"/>
      <x:c r="E181" s="402"/>
      <x:c r="F181" s="402"/>
      <x:c r="G181" s="402"/>
      <x:c r="H181" s="402"/>
      <x:c r="I181" s="402"/>
      <x:c r="J181" s="402"/>
      <x:c r="K181" s="402"/>
      <x:c r="L181" s="402"/>
      <x:c r="M181" s="402"/>
      <x:c r="N181" s="402"/>
      <x:c r="O181" s="402"/>
      <x:c r="P181" s="402"/>
      <x:c r="Q181" s="402"/>
      <x:c r="R181" s="402"/>
      <x:c r="S181" s="402"/>
      <x:c r="T181" s="402"/>
      <x:c r="U181" s="402"/>
      <x:c r="V181" s="402"/>
      <x:c r="W181" s="402"/>
      <x:c r="X181" s="402"/>
      <x:c r="Y181" s="402"/>
      <x:c r="Z181" s="402"/>
    </x:row>
    <x:row r="182">
      <x:c r="A182" s="402"/>
      <x:c r="B182" s="402"/>
      <x:c r="C182" s="402"/>
      <x:c r="D182" s="402"/>
      <x:c r="E182" s="402"/>
      <x:c r="F182" s="402"/>
      <x:c r="G182" s="402"/>
      <x:c r="H182" s="402"/>
      <x:c r="I182" s="402"/>
      <x:c r="J182" s="402"/>
      <x:c r="K182" s="402"/>
      <x:c r="L182" s="402"/>
      <x:c r="M182" s="402"/>
      <x:c r="N182" s="402"/>
      <x:c r="O182" s="402"/>
      <x:c r="P182" s="402"/>
      <x:c r="Q182" s="402"/>
      <x:c r="R182" s="402"/>
      <x:c r="S182" s="402"/>
      <x:c r="T182" s="402"/>
      <x:c r="U182" s="402"/>
      <x:c r="V182" s="402"/>
      <x:c r="W182" s="402"/>
      <x:c r="X182" s="402"/>
      <x:c r="Y182" s="402"/>
      <x:c r="Z182" s="402"/>
    </x:row>
    <x:row r="183">
      <x:c r="A183" s="402"/>
      <x:c r="B183" s="402"/>
      <x:c r="C183" s="402"/>
      <x:c r="D183" s="402"/>
      <x:c r="E183" s="402"/>
      <x:c r="F183" s="402"/>
      <x:c r="G183" s="402"/>
      <x:c r="H183" s="402"/>
      <x:c r="I183" s="402"/>
      <x:c r="J183" s="402"/>
      <x:c r="K183" s="402"/>
      <x:c r="L183" s="402"/>
      <x:c r="M183" s="402"/>
      <x:c r="N183" s="402"/>
      <x:c r="O183" s="402"/>
      <x:c r="P183" s="402"/>
      <x:c r="Q183" s="402"/>
      <x:c r="R183" s="402"/>
      <x:c r="S183" s="402"/>
      <x:c r="T183" s="402"/>
      <x:c r="U183" s="402"/>
      <x:c r="V183" s="402"/>
      <x:c r="W183" s="402"/>
      <x:c r="X183" s="402"/>
      <x:c r="Y183" s="402"/>
      <x:c r="Z183" s="402"/>
    </x:row>
    <x:row r="184">
      <x:c r="A184" s="402"/>
      <x:c r="B184" s="402"/>
      <x:c r="C184" s="402"/>
      <x:c r="D184" s="402"/>
      <x:c r="E184" s="402"/>
      <x:c r="F184" s="402"/>
      <x:c r="G184" s="402"/>
      <x:c r="H184" s="402"/>
      <x:c r="I184" s="402"/>
      <x:c r="J184" s="402"/>
      <x:c r="K184" s="402"/>
      <x:c r="L184" s="402"/>
      <x:c r="M184" s="402"/>
      <x:c r="N184" s="402"/>
      <x:c r="O184" s="402"/>
      <x:c r="P184" s="402"/>
      <x:c r="Q184" s="402"/>
      <x:c r="R184" s="402"/>
      <x:c r="S184" s="402"/>
      <x:c r="T184" s="402"/>
      <x:c r="U184" s="402"/>
      <x:c r="V184" s="402"/>
      <x:c r="W184" s="402"/>
      <x:c r="X184" s="402"/>
      <x:c r="Y184" s="402"/>
      <x:c r="Z184" s="402"/>
    </x:row>
    <x:row r="185">
      <x:c r="A185" s="402"/>
      <x:c r="B185" s="402"/>
      <x:c r="C185" s="402"/>
      <x:c r="D185" s="402"/>
      <x:c r="E185" s="402"/>
      <x:c r="F185" s="402"/>
      <x:c r="G185" s="402"/>
      <x:c r="H185" s="402"/>
      <x:c r="I185" s="402"/>
      <x:c r="J185" s="402"/>
      <x:c r="K185" s="402"/>
      <x:c r="L185" s="402"/>
      <x:c r="M185" s="402"/>
      <x:c r="N185" s="402"/>
      <x:c r="O185" s="402"/>
      <x:c r="P185" s="402"/>
      <x:c r="Q185" s="402"/>
      <x:c r="R185" s="402"/>
      <x:c r="S185" s="402"/>
      <x:c r="T185" s="402"/>
      <x:c r="U185" s="402"/>
      <x:c r="V185" s="402"/>
      <x:c r="W185" s="402"/>
      <x:c r="X185" s="402"/>
      <x:c r="Y185" s="402"/>
      <x:c r="Z185" s="402"/>
    </x:row>
    <x:row r="186">
      <x:c r="A186" s="402"/>
      <x:c r="B186" s="402"/>
      <x:c r="C186" s="402"/>
      <x:c r="D186" s="402"/>
      <x:c r="E186" s="402"/>
      <x:c r="F186" s="402"/>
      <x:c r="G186" s="402"/>
      <x:c r="H186" s="402"/>
      <x:c r="I186" s="402"/>
      <x:c r="J186" s="402"/>
      <x:c r="K186" s="402"/>
      <x:c r="L186" s="402"/>
      <x:c r="M186" s="402"/>
      <x:c r="N186" s="402"/>
      <x:c r="O186" s="402"/>
      <x:c r="P186" s="402"/>
      <x:c r="Q186" s="402"/>
      <x:c r="R186" s="402"/>
      <x:c r="S186" s="402"/>
      <x:c r="T186" s="402"/>
      <x:c r="U186" s="402"/>
      <x:c r="V186" s="402"/>
      <x:c r="W186" s="402"/>
      <x:c r="X186" s="402"/>
      <x:c r="Y186" s="402"/>
      <x:c r="Z186" s="402"/>
    </x:row>
    <x:row r="187">
      <x:c r="A187" s="402"/>
      <x:c r="B187" s="402"/>
      <x:c r="C187" s="402"/>
      <x:c r="D187" s="402"/>
      <x:c r="E187" s="402"/>
      <x:c r="F187" s="402"/>
      <x:c r="G187" s="402"/>
      <x:c r="H187" s="402"/>
      <x:c r="I187" s="402"/>
      <x:c r="J187" s="402"/>
      <x:c r="K187" s="402"/>
      <x:c r="L187" s="402"/>
      <x:c r="M187" s="402"/>
      <x:c r="N187" s="402"/>
      <x:c r="O187" s="402"/>
      <x:c r="P187" s="402"/>
      <x:c r="Q187" s="402"/>
      <x:c r="R187" s="402"/>
      <x:c r="S187" s="402"/>
      <x:c r="T187" s="402"/>
      <x:c r="U187" s="402"/>
      <x:c r="V187" s="402"/>
      <x:c r="W187" s="402"/>
      <x:c r="X187" s="402"/>
      <x:c r="Y187" s="402"/>
      <x:c r="Z187" s="402"/>
    </x:row>
    <x:row r="188">
      <x:c r="A188" s="402"/>
      <x:c r="B188" s="402"/>
      <x:c r="C188" s="402"/>
      <x:c r="D188" s="402"/>
      <x:c r="E188" s="402"/>
      <x:c r="F188" s="402"/>
      <x:c r="G188" s="402"/>
      <x:c r="H188" s="402"/>
      <x:c r="I188" s="402"/>
      <x:c r="J188" s="402"/>
      <x:c r="K188" s="402"/>
      <x:c r="L188" s="402"/>
      <x:c r="M188" s="402"/>
      <x:c r="N188" s="402"/>
      <x:c r="O188" s="402"/>
      <x:c r="P188" s="402"/>
      <x:c r="Q188" s="402"/>
      <x:c r="R188" s="402"/>
      <x:c r="S188" s="402"/>
      <x:c r="T188" s="402"/>
      <x:c r="U188" s="402"/>
      <x:c r="V188" s="402"/>
      <x:c r="W188" s="402"/>
      <x:c r="X188" s="402"/>
      <x:c r="Y188" s="402"/>
      <x:c r="Z188" s="402"/>
    </x:row>
    <x:row r="189">
      <x:c r="A189" s="402"/>
      <x:c r="B189" s="402"/>
      <x:c r="C189" s="402"/>
      <x:c r="D189" s="402"/>
      <x:c r="E189" s="402"/>
      <x:c r="F189" s="402"/>
      <x:c r="G189" s="402"/>
      <x:c r="H189" s="402"/>
      <x:c r="I189" s="402"/>
      <x:c r="J189" s="402"/>
      <x:c r="K189" s="402"/>
      <x:c r="L189" s="402"/>
      <x:c r="M189" s="402"/>
      <x:c r="N189" s="402"/>
      <x:c r="O189" s="402"/>
      <x:c r="P189" s="402"/>
      <x:c r="Q189" s="402"/>
      <x:c r="R189" s="402"/>
      <x:c r="S189" s="402"/>
      <x:c r="T189" s="402"/>
      <x:c r="U189" s="402"/>
      <x:c r="V189" s="402"/>
      <x:c r="W189" s="402"/>
      <x:c r="X189" s="402"/>
      <x:c r="Y189" s="402"/>
      <x:c r="Z189" s="402"/>
    </x:row>
    <x:row r="190">
      <x:c r="A190" s="402"/>
      <x:c r="B190" s="402"/>
      <x:c r="C190" s="402"/>
      <x:c r="D190" s="402"/>
      <x:c r="E190" s="402"/>
      <x:c r="F190" s="402"/>
      <x:c r="G190" s="402"/>
      <x:c r="H190" s="402"/>
      <x:c r="I190" s="402"/>
      <x:c r="J190" s="402"/>
      <x:c r="K190" s="402"/>
      <x:c r="L190" s="402"/>
      <x:c r="M190" s="402"/>
      <x:c r="N190" s="402"/>
      <x:c r="O190" s="402"/>
      <x:c r="P190" s="402"/>
      <x:c r="Q190" s="402"/>
      <x:c r="R190" s="402"/>
      <x:c r="S190" s="402"/>
      <x:c r="T190" s="402"/>
      <x:c r="U190" s="402"/>
      <x:c r="V190" s="402"/>
      <x:c r="W190" s="402"/>
      <x:c r="X190" s="402"/>
      <x:c r="Y190" s="402"/>
      <x:c r="Z190" s="402"/>
    </x:row>
    <x:row r="191">
      <x:c r="A191" s="402"/>
      <x:c r="B191" s="402"/>
      <x:c r="C191" s="402"/>
      <x:c r="D191" s="402"/>
      <x:c r="E191" s="402"/>
      <x:c r="F191" s="402"/>
      <x:c r="G191" s="402"/>
      <x:c r="H191" s="402"/>
      <x:c r="I191" s="402"/>
      <x:c r="J191" s="402"/>
      <x:c r="K191" s="402"/>
      <x:c r="L191" s="402"/>
      <x:c r="M191" s="402"/>
      <x:c r="N191" s="402"/>
      <x:c r="O191" s="402"/>
      <x:c r="P191" s="402"/>
      <x:c r="Q191" s="402"/>
      <x:c r="R191" s="402"/>
      <x:c r="S191" s="402"/>
      <x:c r="T191" s="402"/>
      <x:c r="U191" s="402"/>
      <x:c r="V191" s="402"/>
      <x:c r="W191" s="402"/>
      <x:c r="X191" s="402"/>
      <x:c r="Y191" s="402"/>
      <x:c r="Z191" s="402"/>
    </x:row>
    <x:row r="192">
      <x:c r="A192" s="402"/>
      <x:c r="B192" s="402"/>
      <x:c r="C192" s="402"/>
      <x:c r="D192" s="402"/>
      <x:c r="E192" s="402"/>
      <x:c r="F192" s="402"/>
      <x:c r="G192" s="402"/>
      <x:c r="H192" s="402"/>
      <x:c r="I192" s="402"/>
      <x:c r="J192" s="402"/>
      <x:c r="K192" s="402"/>
      <x:c r="L192" s="402"/>
      <x:c r="M192" s="402"/>
      <x:c r="N192" s="402"/>
      <x:c r="O192" s="402"/>
      <x:c r="P192" s="402"/>
      <x:c r="Q192" s="402"/>
      <x:c r="R192" s="402"/>
      <x:c r="S192" s="402"/>
      <x:c r="T192" s="402"/>
      <x:c r="U192" s="402"/>
      <x:c r="V192" s="402"/>
      <x:c r="W192" s="402"/>
      <x:c r="X192" s="402"/>
      <x:c r="Y192" s="402"/>
      <x:c r="Z192" s="402"/>
    </x:row>
    <x:row r="193">
      <x:c r="A193" s="402"/>
      <x:c r="B193" s="402"/>
      <x:c r="C193" s="402"/>
      <x:c r="D193" s="402"/>
      <x:c r="E193" s="402"/>
      <x:c r="F193" s="402"/>
      <x:c r="G193" s="402"/>
      <x:c r="H193" s="402"/>
      <x:c r="I193" s="402"/>
      <x:c r="J193" s="402"/>
      <x:c r="K193" s="402"/>
      <x:c r="L193" s="402"/>
      <x:c r="M193" s="402"/>
      <x:c r="N193" s="402"/>
      <x:c r="O193" s="402"/>
      <x:c r="P193" s="402"/>
      <x:c r="Q193" s="402"/>
      <x:c r="R193" s="402"/>
      <x:c r="S193" s="402"/>
      <x:c r="T193" s="402"/>
      <x:c r="U193" s="402"/>
      <x:c r="V193" s="402"/>
      <x:c r="W193" s="402"/>
      <x:c r="X193" s="402"/>
      <x:c r="Y193" s="402"/>
      <x:c r="Z193" s="402"/>
    </x:row>
    <x:row r="194">
      <x:c r="A194" s="402"/>
      <x:c r="B194" s="402"/>
      <x:c r="C194" s="402"/>
      <x:c r="D194" s="402"/>
      <x:c r="E194" s="402"/>
      <x:c r="F194" s="402"/>
      <x:c r="G194" s="402"/>
      <x:c r="H194" s="402"/>
      <x:c r="I194" s="402"/>
      <x:c r="J194" s="402"/>
      <x:c r="K194" s="402"/>
      <x:c r="L194" s="402"/>
      <x:c r="M194" s="402"/>
      <x:c r="N194" s="402"/>
      <x:c r="O194" s="402"/>
      <x:c r="P194" s="402"/>
      <x:c r="Q194" s="402"/>
      <x:c r="R194" s="402"/>
      <x:c r="S194" s="402"/>
      <x:c r="T194" s="402"/>
      <x:c r="U194" s="402"/>
      <x:c r="V194" s="402"/>
      <x:c r="W194" s="402"/>
      <x:c r="X194" s="402"/>
      <x:c r="Y194" s="402"/>
      <x:c r="Z194" s="402"/>
    </x:row>
    <x:row r="195">
      <x:c r="A195" s="402"/>
      <x:c r="B195" s="402"/>
      <x:c r="C195" s="402"/>
      <x:c r="D195" s="402"/>
      <x:c r="E195" s="402"/>
      <x:c r="F195" s="402"/>
      <x:c r="G195" s="402"/>
      <x:c r="H195" s="402"/>
      <x:c r="I195" s="402"/>
      <x:c r="J195" s="402"/>
      <x:c r="K195" s="402"/>
      <x:c r="L195" s="402"/>
      <x:c r="M195" s="402"/>
      <x:c r="N195" s="402"/>
      <x:c r="O195" s="402"/>
      <x:c r="P195" s="402"/>
      <x:c r="Q195" s="402"/>
      <x:c r="R195" s="402"/>
      <x:c r="S195" s="402"/>
      <x:c r="T195" s="402"/>
      <x:c r="U195" s="402"/>
      <x:c r="V195" s="402"/>
      <x:c r="W195" s="402"/>
      <x:c r="X195" s="402"/>
      <x:c r="Y195" s="402"/>
      <x:c r="Z195" s="402"/>
    </x:row>
    <x:row r="196">
      <x:c r="A196" s="402"/>
      <x:c r="B196" s="402"/>
      <x:c r="C196" s="402"/>
      <x:c r="D196" s="402"/>
      <x:c r="E196" s="402"/>
      <x:c r="F196" s="402"/>
      <x:c r="G196" s="402"/>
      <x:c r="H196" s="402"/>
      <x:c r="I196" s="402"/>
      <x:c r="J196" s="402"/>
      <x:c r="K196" s="402"/>
      <x:c r="L196" s="402"/>
      <x:c r="M196" s="402"/>
      <x:c r="N196" s="402"/>
      <x:c r="O196" s="402"/>
      <x:c r="P196" s="402"/>
      <x:c r="Q196" s="402"/>
      <x:c r="R196" s="402"/>
      <x:c r="S196" s="402"/>
      <x:c r="T196" s="402"/>
      <x:c r="U196" s="402"/>
      <x:c r="V196" s="402"/>
      <x:c r="W196" s="402"/>
      <x:c r="X196" s="402"/>
      <x:c r="Y196" s="402"/>
      <x:c r="Z196" s="402"/>
    </x:row>
    <x:row r="197">
      <x:c r="A197" s="402"/>
      <x:c r="B197" s="402"/>
      <x:c r="C197" s="402"/>
      <x:c r="D197" s="402"/>
      <x:c r="E197" s="402"/>
      <x:c r="F197" s="402"/>
      <x:c r="G197" s="402"/>
      <x:c r="H197" s="402"/>
      <x:c r="I197" s="402"/>
      <x:c r="J197" s="402"/>
      <x:c r="K197" s="402"/>
      <x:c r="L197" s="402"/>
      <x:c r="M197" s="402"/>
      <x:c r="N197" s="402"/>
      <x:c r="O197" s="402"/>
      <x:c r="P197" s="402"/>
      <x:c r="Q197" s="402"/>
      <x:c r="R197" s="402"/>
      <x:c r="S197" s="402"/>
      <x:c r="T197" s="402"/>
      <x:c r="U197" s="402"/>
      <x:c r="V197" s="402"/>
      <x:c r="W197" s="402"/>
      <x:c r="X197" s="402"/>
      <x:c r="Y197" s="402"/>
      <x:c r="Z197" s="402"/>
    </x:row>
    <x:row r="198">
      <x:c r="A198" s="402"/>
      <x:c r="B198" s="402"/>
      <x:c r="C198" s="402"/>
      <x:c r="D198" s="402"/>
      <x:c r="E198" s="402"/>
      <x:c r="F198" s="402"/>
      <x:c r="G198" s="402"/>
      <x:c r="H198" s="402"/>
      <x:c r="I198" s="402"/>
      <x:c r="J198" s="402"/>
      <x:c r="K198" s="402"/>
      <x:c r="L198" s="402"/>
      <x:c r="M198" s="402"/>
      <x:c r="N198" s="402"/>
      <x:c r="O198" s="402"/>
      <x:c r="P198" s="402"/>
      <x:c r="Q198" s="402"/>
      <x:c r="R198" s="402"/>
      <x:c r="S198" s="402"/>
      <x:c r="T198" s="402"/>
      <x:c r="U198" s="402"/>
      <x:c r="V198" s="402"/>
      <x:c r="W198" s="402"/>
      <x:c r="X198" s="402"/>
      <x:c r="Y198" s="402"/>
      <x:c r="Z198" s="402"/>
    </x:row>
    <x:row r="199">
      <x:c r="A199" s="402"/>
      <x:c r="B199" s="402"/>
      <x:c r="C199" s="402"/>
      <x:c r="D199" s="402"/>
      <x:c r="E199" s="402"/>
      <x:c r="F199" s="402"/>
      <x:c r="G199" s="402"/>
      <x:c r="H199" s="402"/>
      <x:c r="I199" s="402"/>
      <x:c r="J199" s="402"/>
      <x:c r="K199" s="402"/>
      <x:c r="L199" s="402"/>
      <x:c r="M199" s="402"/>
      <x:c r="N199" s="402"/>
      <x:c r="O199" s="402"/>
      <x:c r="P199" s="402"/>
      <x:c r="Q199" s="402"/>
      <x:c r="R199" s="402"/>
      <x:c r="S199" s="402"/>
      <x:c r="T199" s="402"/>
      <x:c r="U199" s="402"/>
      <x:c r="V199" s="402"/>
      <x:c r="W199" s="402"/>
      <x:c r="X199" s="402"/>
      <x:c r="Y199" s="402"/>
      <x:c r="Z199" s="402"/>
    </x:row>
    <x:row r="200">
      <x:c r="A200" s="402"/>
      <x:c r="B200" s="402"/>
      <x:c r="C200" s="402"/>
      <x:c r="D200" s="402"/>
      <x:c r="E200" s="402"/>
      <x:c r="F200" s="402"/>
      <x:c r="G200" s="402"/>
      <x:c r="H200" s="402"/>
      <x:c r="I200" s="402"/>
      <x:c r="J200" s="402"/>
      <x:c r="K200" s="402"/>
      <x:c r="L200" s="402"/>
      <x:c r="M200" s="402"/>
      <x:c r="N200" s="402"/>
      <x:c r="O200" s="402"/>
      <x:c r="P200" s="402"/>
      <x:c r="Q200" s="402"/>
      <x:c r="R200" s="402"/>
      <x:c r="S200" s="402"/>
      <x:c r="T200" s="402"/>
      <x:c r="U200" s="402"/>
      <x:c r="V200" s="402"/>
      <x:c r="W200" s="402"/>
      <x:c r="X200" s="402"/>
      <x:c r="Y200" s="402"/>
      <x:c r="Z200" s="402"/>
    </x:row>
  </x:sheetData>
  <x:mergeCells>
    <x:mergeCell ref="A1:J2"/>
  </x:mergeCells>
  <x:conditionalFormatting sqref="D5:D12">
    <x:cfRule type="expression" dxfId="0" priority="1">
      <x:formula>D5="PASS"</x:formula>
    </x:cfRule>
    <x:cfRule type="expression" dxfId="1" priority="2">
      <x:formula>D5="OPEN"</x:formula>
    </x:cfRule>
  </x:conditionalFormatting>
  <x:dataValidations count="1">
    <x:dataValidation type="list" sqref="I5:I12">
      <x:formula1>Lists!$D$2:$D$3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35" hidden="0" customWidth="1"/>
    <x:col min="3" max="3" width="18" hidden="0" customWidth="1"/>
    <x:col min="4" max="4" width="40" hidden="0" customWidth="1"/>
    <x:col min="5" max="5" width="33" hidden="0" customWidth="1"/>
    <x:col min="6" max="6" width="32" hidden="0" customWidth="1"/>
    <x:col min="7" max="7" width="14" hidden="0" customWidth="1"/>
    <x:col min="8" max="8" width="10" hidden="0" customWidth="1"/>
    <x:col min="9" max="9" width="18" hidden="0" customWidth="1"/>
    <x:col min="10" max="10" width="34" hidden="0" customWidth="1"/>
  </x:cols>
  <x:sheetData>
    <x:row r="1">
      <x:c r="A1" s="596" t="str">
        <x:v>GoalOS Capital Plan - Funding Unlocks the Next Proof</x:v>
      </x:c>
      <x:c r="B1" s="596"/>
      <x:c r="C1" s="596"/>
      <x:c r="D1" s="596"/>
      <x:c r="E1" s="596"/>
      <x:c r="F1" s="596"/>
      <x:c r="G1" s="596"/>
      <x:c r="H1" s="596"/>
      <x:c r="I1" s="596"/>
      <x:c r="J1" s="596"/>
      <x:c r="K1" s="402"/>
      <x:c r="L1" s="402"/>
      <x:c r="M1" s="402"/>
      <x:c r="N1" s="402"/>
      <x:c r="O1" s="402"/>
      <x:c r="P1" s="402"/>
      <x:c r="Q1" s="402"/>
      <x:c r="R1" s="402"/>
      <x:c r="S1" s="402"/>
      <x:c r="T1" s="402"/>
      <x:c r="U1" s="402"/>
      <x:c r="V1" s="402"/>
      <x:c r="W1" s="402"/>
      <x:c r="X1" s="402"/>
      <x:c r="Y1" s="402"/>
      <x:c r="Z1" s="402"/>
    </x:row>
    <x:row r="2">
      <x:c r="A2" s="596"/>
      <x:c r="B2" s="596"/>
      <x:c r="C2" s="596"/>
      <x:c r="D2" s="596"/>
      <x:c r="E2" s="596"/>
      <x:c r="F2" s="596"/>
      <x:c r="G2" s="596"/>
      <x:c r="H2" s="596"/>
      <x:c r="I2" s="596"/>
      <x:c r="J2" s="596"/>
      <x:c r="K2" s="402"/>
      <x:c r="L2" s="402"/>
      <x:c r="M2" s="402"/>
      <x:c r="N2" s="402"/>
      <x:c r="O2" s="402"/>
      <x:c r="P2" s="402"/>
      <x:c r="Q2" s="402"/>
      <x:c r="R2" s="402"/>
      <x:c r="S2" s="402"/>
      <x:c r="T2" s="402"/>
      <x:c r="U2" s="402"/>
      <x:c r="V2" s="402"/>
      <x:c r="W2" s="402"/>
      <x:c r="X2" s="402"/>
      <x:c r="Y2" s="402"/>
      <x:c r="Z2" s="402"/>
    </x:row>
    <x:row r="3">
      <x:c r="A3" s="402"/>
      <x:c r="B3" s="402"/>
      <x:c r="C3" s="402"/>
      <x:c r="D3" s="402"/>
      <x:c r="E3" s="402"/>
      <x:c r="F3" s="402"/>
      <x:c r="G3" s="402"/>
      <x:c r="H3" s="402"/>
      <x:c r="I3" s="402"/>
      <x:c r="J3" s="402"/>
      <x:c r="K3" s="402"/>
      <x:c r="L3" s="402"/>
      <x:c r="M3" s="402"/>
      <x:c r="N3" s="402"/>
      <x:c r="O3" s="402"/>
      <x:c r="P3" s="402"/>
      <x:c r="Q3" s="402"/>
      <x:c r="R3" s="402"/>
      <x:c r="S3" s="402"/>
      <x:c r="T3" s="402"/>
      <x:c r="U3" s="402"/>
      <x:c r="V3" s="402"/>
      <x:c r="W3" s="402"/>
      <x:c r="X3" s="402"/>
      <x:c r="Y3" s="402"/>
      <x:c r="Z3" s="402"/>
    </x:row>
    <x:row r="4">
      <x:c r="A4" s="305" t="str">
        <x:v>Round / Source</x:v>
      </x:c>
      <x:c r="B4" s="305" t="str">
        <x:v>Trigger</x:v>
      </x:c>
      <x:c r="C4" s="305" t="str">
        <x:v>Illustrative Capital</x:v>
      </x:c>
      <x:c r="D4" s="305" t="str">
        <x:v>Primary Use</x:v>
      </x:c>
      <x:c r="E4" s="305" t="str">
        <x:v>Runway / Milestone</x:v>
      </x:c>
      <x:c r="F4" s="305" t="str">
        <x:v>Claim Boundary</x:v>
      </x:c>
      <x:c r="G4" s="305" t="str">
        <x:v>Status</x:v>
      </x:c>
      <x:c r="H4" s="305" t="str">
        <x:v>Month</x:v>
      </x:c>
      <x:c r="I4" s="305" t="str">
        <x:v>Cumulative</x:v>
      </x:c>
      <x:c r="J4" s="305" t="str">
        <x:v>Notes</x:v>
      </x:c>
      <x:c r="K4" s="402"/>
      <x:c r="L4" s="402"/>
      <x:c r="M4" s="402"/>
      <x:c r="N4" s="402"/>
      <x:c r="O4" s="402"/>
      <x:c r="P4" s="402"/>
      <x:c r="Q4" s="402"/>
      <x:c r="R4" s="402"/>
      <x:c r="S4" s="402"/>
      <x:c r="T4" s="402"/>
      <x:c r="U4" s="402"/>
      <x:c r="V4" s="402"/>
      <x:c r="W4" s="402"/>
      <x:c r="X4" s="402"/>
      <x:c r="Y4" s="402"/>
      <x:c r="Z4" s="402"/>
    </x:row>
    <x:row r="5">
      <x:c r="A5" s="402" t="str">
        <x:v>Founder / Pre-seed</x:v>
      </x:c>
      <x:c r="B5" s="402" t="str">
        <x:v>Architecture and launch system complete</x:v>
      </x:c>
      <x:c r="C5" s="556" t="n">
        <x:f>'Assumptions'!$H$28</x:f>
        <x:v>2000000</x:v>
      </x:c>
      <x:c r="D5" s="495" t="str">
        <x:v>100-day proof, sales, delivery, evidence, security</x:v>
      </x:c>
      <x:c r="E5" s="495" t="str">
        <x:v>Commercial Proof 001</x:v>
      </x:c>
      <x:c r="F5" s="495" t="str">
        <x:v>Not a valuation signal</x:v>
      </x:c>
      <x:c r="G5" s="495" t="str">
        <x:v>Scenario</x:v>
      </x:c>
      <x:c r="H5" s="496" t="n">
        <x:v>1</x:v>
      </x:c>
      <x:c r="I5" s="535" t="n">
        <x:f>C5</x:f>
        <x:v>2000000</x:v>
      </x:c>
      <x:c r="J5" s="402" t="str"/>
      <x:c r="K5" s="402"/>
      <x:c r="L5" s="402"/>
      <x:c r="M5" s="402"/>
      <x:c r="N5" s="402"/>
      <x:c r="O5" s="402"/>
      <x:c r="P5" s="402"/>
      <x:c r="Q5" s="402"/>
      <x:c r="R5" s="402"/>
      <x:c r="S5" s="402"/>
      <x:c r="T5" s="402"/>
      <x:c r="U5" s="402"/>
      <x:c r="V5" s="402"/>
      <x:c r="W5" s="402"/>
      <x:c r="X5" s="402"/>
      <x:c r="Y5" s="402"/>
      <x:c r="Z5" s="402"/>
    </x:row>
    <x:row r="6">
      <x:c r="A6" s="402" t="str">
        <x:v>Seed</x:v>
      </x:c>
      <x:c r="B6" s="402" t="str">
        <x:v>Payment + verified outcome + repeat</x:v>
      </x:c>
      <x:c r="C6" s="505" t="n">
        <x:f>'Assumptions'!$H$29</x:f>
        <x:v>8000000</x:v>
      </x:c>
      <x:c r="D6" s="499" t="str">
        <x:v>Productization, enterprise selling, private network</x:v>
      </x:c>
      <x:c r="E6" s="499" t="str">
        <x:v>Repeatable Proof Missions and Proof Offices</x:v>
      </x:c>
      <x:c r="F6" s="499" t="str">
        <x:v>Not platform proof by itself</x:v>
      </x:c>
      <x:c r="G6" s="499" t="str">
        <x:v>Scenario</x:v>
      </x:c>
      <x:c r="H6" s="500" t="n">
        <x:v>12</x:v>
      </x:c>
      <x:c r="I6" s="535" t="n">
        <x:f>I5+C6</x:f>
        <x:v>10000000</x:v>
      </x:c>
      <x:c r="J6" s="402" t="str"/>
      <x:c r="K6" s="402"/>
      <x:c r="L6" s="402"/>
      <x:c r="M6" s="402"/>
      <x:c r="N6" s="402"/>
      <x:c r="O6" s="402"/>
      <x:c r="P6" s="402"/>
      <x:c r="Q6" s="402"/>
      <x:c r="R6" s="402"/>
      <x:c r="S6" s="402"/>
      <x:c r="T6" s="402"/>
      <x:c r="U6" s="402"/>
      <x:c r="V6" s="402"/>
      <x:c r="W6" s="402"/>
      <x:c r="X6" s="402"/>
      <x:c r="Y6" s="402"/>
      <x:c r="Z6" s="402"/>
    </x:row>
    <x:row r="7">
      <x:c r="A7" s="402" t="str">
        <x:v>Series A</x:v>
      </x:c>
      <x:c r="B7" s="402" t="str">
        <x:v>Transferable capability + recurring revenue</x:v>
      </x:c>
      <x:c r="C7" s="505" t="n">
        <x:f>'Assumptions'!$H$30</x:f>
        <x:v>25000000</x:v>
      </x:c>
      <x:c r="D7" s="499" t="str">
        <x:v>Enterprise platform, validator network, global distribution</x:v>
      </x:c>
      <x:c r="E7" s="499" t="str">
        <x:v>Private deployments and meaningful ARR</x:v>
      </x:c>
      <x:c r="F7" s="499" t="str">
        <x:v>Not decacorn proof by itself</x:v>
      </x:c>
      <x:c r="G7" s="499" t="str">
        <x:v>Scenario</x:v>
      </x:c>
      <x:c r="H7" s="500" t="n">
        <x:v>24</x:v>
      </x:c>
      <x:c r="I7" s="535" t="n">
        <x:f>I6+C7</x:f>
        <x:v>35000000</x:v>
      </x:c>
      <x:c r="J7" s="402" t="str"/>
      <x:c r="K7" s="402"/>
      <x:c r="L7" s="402"/>
      <x:c r="M7" s="402"/>
      <x:c r="N7" s="402"/>
      <x:c r="O7" s="402"/>
      <x:c r="P7" s="402"/>
      <x:c r="Q7" s="402"/>
      <x:c r="R7" s="402"/>
      <x:c r="S7" s="402"/>
      <x:c r="T7" s="402"/>
      <x:c r="U7" s="402"/>
      <x:c r="V7" s="402"/>
      <x:c r="W7" s="402"/>
      <x:c r="X7" s="402"/>
      <x:c r="Y7" s="402"/>
      <x:c r="Z7" s="402"/>
    </x:row>
    <x:row r="8">
      <x:c r="A8" s="402" t="str">
        <x:v>Growth / Strategic</x:v>
      </x:c>
      <x:c r="B8" s="402" t="str">
        <x:v>Category leadership + platform economics</x:v>
      </x:c>
      <x:c r="C8" s="505" t="n">
        <x:v>0</x:v>
      </x:c>
      <x:c r="D8" s="499" t="str">
        <x:v>Global expansion, canonical network, infrastructure partnerships</x:v>
      </x:c>
      <x:c r="E8" s="499" t="str">
        <x:v>$100M+ recurring-revenue trajectory</x:v>
      </x:c>
      <x:c r="F8" s="499" t="str">
        <x:v>Not pre-authorized</x:v>
      </x:c>
      <x:c r="G8" s="499" t="str">
        <x:v>Open</x:v>
      </x:c>
      <x:c r="H8" s="500" t="n">
        <x:v>0</x:v>
      </x:c>
      <x:c r="I8" s="535" t="n">
        <x:f>I7+C8</x:f>
        <x:v>35000000</x:v>
      </x:c>
      <x:c r="J8" s="402" t="str"/>
      <x:c r="K8" s="402"/>
      <x:c r="L8" s="402"/>
      <x:c r="M8" s="402"/>
      <x:c r="N8" s="402"/>
      <x:c r="O8" s="402"/>
      <x:c r="P8" s="402"/>
      <x:c r="Q8" s="402"/>
      <x:c r="R8" s="402"/>
      <x:c r="S8" s="402"/>
      <x:c r="T8" s="402"/>
      <x:c r="U8" s="402"/>
      <x:c r="V8" s="402"/>
      <x:c r="W8" s="402"/>
      <x:c r="X8" s="402"/>
      <x:c r="Y8" s="402"/>
      <x:c r="Z8" s="402"/>
    </x:row>
    <x:row r="9">
      <x:c r="A9" s="402" t="str">
        <x:v>Project Finance / Sovereign</x:v>
      </x:c>
      <x:c r="B9" s="402" t="str">
        <x:v>Measured productive asset output</x:v>
      </x:c>
      <x:c r="C9" s="561" t="n">
        <x:v>0</x:v>
      </x:c>
      <x:c r="D9" s="563" t="str">
        <x:v>Compute, data, science, energy, laboratories, industry</x:v>
      </x:c>
      <x:c r="E9" s="563" t="str">
        <x:v>Ring-fenced infrastructure assets</x:v>
      </x:c>
      <x:c r="F9" s="563" t="str">
        <x:v>Requires independent technical diligence</x:v>
      </x:c>
      <x:c r="G9" s="563" t="str">
        <x:v>Open</x:v>
      </x:c>
      <x:c r="H9" s="588" t="n">
        <x:v>0</x:v>
      </x:c>
      <x:c r="I9" s="535" t="n">
        <x:f>I8+C9</x:f>
        <x:v>35000000</x:v>
      </x:c>
      <x:c r="J9" s="402" t="str"/>
      <x:c r="K9" s="402"/>
      <x:c r="L9" s="402"/>
      <x:c r="M9" s="402"/>
      <x:c r="N9" s="402"/>
      <x:c r="O9" s="402"/>
      <x:c r="P9" s="402"/>
      <x:c r="Q9" s="402"/>
      <x:c r="R9" s="402"/>
      <x:c r="S9" s="402"/>
      <x:c r="T9" s="402"/>
      <x:c r="U9" s="402"/>
      <x:c r="V9" s="402"/>
      <x:c r="W9" s="402"/>
      <x:c r="X9" s="402"/>
      <x:c r="Y9" s="402"/>
      <x:c r="Z9" s="402"/>
    </x:row>
    <x:row r="10">
      <x:c r="A10" s="402"/>
      <x:c r="B10" s="402"/>
      <x:c r="C10" s="402"/>
      <x:c r="D10" s="402"/>
      <x:c r="E10" s="402"/>
      <x:c r="F10" s="402"/>
      <x:c r="G10" s="402"/>
      <x:c r="H10" s="402"/>
      <x:c r="I10" s="402"/>
      <x:c r="J10" s="402"/>
      <x:c r="K10" s="402"/>
      <x:c r="L10" s="402"/>
      <x:c r="M10" s="402"/>
      <x:c r="N10" s="402"/>
      <x:c r="O10" s="402"/>
      <x:c r="P10" s="402"/>
      <x:c r="Q10" s="402"/>
      <x:c r="R10" s="402"/>
      <x:c r="S10" s="402"/>
      <x:c r="T10" s="402"/>
      <x:c r="U10" s="402"/>
      <x:c r="V10" s="402"/>
      <x:c r="W10" s="402"/>
      <x:c r="X10" s="402"/>
      <x:c r="Y10" s="402"/>
      <x:c r="Z10" s="402"/>
    </x:row>
    <x:row r="11">
      <x:c r="A11" s="402"/>
      <x:c r="B11" s="402"/>
      <x:c r="C11" s="402"/>
      <x:c r="D11" s="402"/>
      <x:c r="E11" s="402"/>
      <x:c r="F11" s="402"/>
      <x:c r="G11" s="402"/>
      <x:c r="H11" s="402"/>
      <x:c r="I11" s="402"/>
      <x:c r="J11" s="402"/>
      <x:c r="K11" s="402"/>
      <x:c r="L11" s="402"/>
      <x:c r="M11" s="402"/>
      <x:c r="N11" s="402"/>
      <x:c r="O11" s="402"/>
      <x:c r="P11" s="402"/>
      <x:c r="Q11" s="402"/>
      <x:c r="R11" s="402"/>
      <x:c r="S11" s="402"/>
      <x:c r="T11" s="402"/>
      <x:c r="U11" s="402"/>
      <x:c r="V11" s="402"/>
      <x:c r="W11" s="402"/>
      <x:c r="X11" s="402"/>
      <x:c r="Y11" s="402"/>
      <x:c r="Z11" s="402"/>
    </x:row>
    <x:row r="12">
      <x:c r="A12" s="402"/>
      <x:c r="B12" s="402"/>
      <x:c r="C12" s="402"/>
      <x:c r="D12" s="402"/>
      <x:c r="E12" s="402"/>
      <x:c r="F12" s="402"/>
      <x:c r="G12" s="402"/>
      <x:c r="H12" s="402"/>
      <x:c r="I12" s="402"/>
      <x:c r="J12" s="402"/>
      <x:c r="K12" s="402"/>
      <x:c r="L12" s="402"/>
      <x:c r="M12" s="402"/>
      <x:c r="N12" s="402"/>
      <x:c r="O12" s="402"/>
      <x:c r="P12" s="402"/>
      <x:c r="Q12" s="402"/>
      <x:c r="R12" s="402"/>
      <x:c r="S12" s="402"/>
      <x:c r="T12" s="402"/>
      <x:c r="U12" s="402"/>
      <x:c r="V12" s="402"/>
      <x:c r="W12" s="402"/>
      <x:c r="X12" s="402"/>
      <x:c r="Y12" s="402"/>
      <x:c r="Z12" s="402"/>
    </x:row>
    <x:row r="13">
      <x:c r="A13" s="402"/>
      <x:c r="B13" s="402"/>
      <x:c r="C13" s="402"/>
      <x:c r="D13" s="402"/>
      <x:c r="E13" s="402"/>
      <x:c r="F13" s="402"/>
      <x:c r="G13" s="402"/>
      <x:c r="H13" s="402"/>
      <x:c r="I13" s="402"/>
      <x:c r="J13" s="402"/>
      <x:c r="K13" s="402"/>
      <x:c r="L13" s="402"/>
      <x:c r="M13" s="402"/>
      <x:c r="N13" s="402"/>
      <x:c r="O13" s="402"/>
      <x:c r="P13" s="402"/>
      <x:c r="Q13" s="402"/>
      <x:c r="R13" s="402"/>
      <x:c r="S13" s="402"/>
      <x:c r="T13" s="402"/>
      <x:c r="U13" s="402"/>
      <x:c r="V13" s="402"/>
      <x:c r="W13" s="402"/>
      <x:c r="X13" s="402"/>
      <x:c r="Y13" s="402"/>
      <x:c r="Z13" s="402"/>
    </x:row>
    <x:row r="14">
      <x:c r="A14" s="402"/>
      <x:c r="B14" s="402"/>
      <x:c r="C14" s="402"/>
      <x:c r="D14" s="402"/>
      <x:c r="E14" s="402"/>
      <x:c r="F14" s="402"/>
      <x:c r="G14" s="402"/>
      <x:c r="H14" s="402"/>
      <x:c r="I14" s="402"/>
      <x:c r="J14" s="402"/>
      <x:c r="K14" s="402"/>
      <x:c r="L14" s="402"/>
      <x:c r="M14" s="402"/>
      <x:c r="N14" s="402"/>
      <x:c r="O14" s="402"/>
      <x:c r="P14" s="402"/>
      <x:c r="Q14" s="402"/>
      <x:c r="R14" s="402"/>
      <x:c r="S14" s="402"/>
      <x:c r="T14" s="402"/>
      <x:c r="U14" s="402"/>
      <x:c r="V14" s="402"/>
      <x:c r="W14" s="402"/>
      <x:c r="X14" s="402"/>
      <x:c r="Y14" s="402"/>
      <x:c r="Z14" s="402"/>
    </x:row>
    <x:row r="15">
      <x:c r="A15" s="402"/>
      <x:c r="B15" s="402"/>
      <x:c r="C15" s="402"/>
      <x:c r="D15" s="402"/>
      <x:c r="E15" s="402"/>
      <x:c r="F15" s="402"/>
      <x:c r="G15" s="402"/>
      <x:c r="H15" s="402"/>
      <x:c r="I15" s="402"/>
      <x:c r="J15" s="402"/>
      <x:c r="K15" s="402"/>
      <x:c r="L15" s="402"/>
      <x:c r="M15" s="402"/>
      <x:c r="N15" s="402"/>
      <x:c r="O15" s="402"/>
      <x:c r="P15" s="402"/>
      <x:c r="Q15" s="402"/>
      <x:c r="R15" s="402"/>
      <x:c r="S15" s="402"/>
      <x:c r="T15" s="402"/>
      <x:c r="U15" s="402"/>
      <x:c r="V15" s="402"/>
      <x:c r="W15" s="402"/>
      <x:c r="X15" s="402"/>
      <x:c r="Y15" s="402"/>
      <x:c r="Z15" s="402"/>
    </x:row>
    <x:row r="16">
      <x:c r="A16" s="402"/>
      <x:c r="B16" s="402"/>
      <x:c r="C16" s="402"/>
      <x:c r="D16" s="402"/>
      <x:c r="E16" s="402"/>
      <x:c r="F16" s="402"/>
      <x:c r="G16" s="402"/>
      <x:c r="H16" s="402"/>
      <x:c r="I16" s="402"/>
      <x:c r="J16" s="402"/>
      <x:c r="K16" s="402"/>
      <x:c r="L16" s="402"/>
      <x:c r="M16" s="402"/>
      <x:c r="N16" s="402"/>
      <x:c r="O16" s="402"/>
      <x:c r="P16" s="402"/>
      <x:c r="Q16" s="402"/>
      <x:c r="R16" s="402"/>
      <x:c r="S16" s="402"/>
      <x:c r="T16" s="402"/>
      <x:c r="U16" s="402"/>
      <x:c r="V16" s="402"/>
      <x:c r="W16" s="402"/>
      <x:c r="X16" s="402"/>
      <x:c r="Y16" s="402"/>
      <x:c r="Z16" s="402"/>
    </x:row>
    <x:row r="17">
      <x:c r="A17" s="402"/>
      <x:c r="B17" s="402"/>
      <x:c r="C17" s="402"/>
      <x:c r="D17" s="402"/>
      <x:c r="E17" s="402"/>
      <x:c r="F17" s="402"/>
      <x:c r="G17" s="402"/>
      <x:c r="H17" s="402"/>
      <x:c r="I17" s="402"/>
      <x:c r="J17" s="402"/>
      <x:c r="K17" s="402"/>
      <x:c r="L17" s="402"/>
      <x:c r="M17" s="402"/>
      <x:c r="N17" s="402"/>
      <x:c r="O17" s="402"/>
      <x:c r="P17" s="402"/>
      <x:c r="Q17" s="402"/>
      <x:c r="R17" s="402"/>
      <x:c r="S17" s="402"/>
      <x:c r="T17" s="402"/>
      <x:c r="U17" s="402"/>
      <x:c r="V17" s="402"/>
      <x:c r="W17" s="402"/>
      <x:c r="X17" s="402"/>
      <x:c r="Y17" s="402"/>
      <x:c r="Z17" s="402"/>
    </x:row>
    <x:row r="18">
      <x:c r="A18" s="402"/>
      <x:c r="B18" s="402"/>
      <x:c r="C18" s="402"/>
      <x:c r="D18" s="402"/>
      <x:c r="E18" s="402"/>
      <x:c r="F18" s="402"/>
      <x:c r="G18" s="402"/>
      <x:c r="H18" s="402"/>
      <x:c r="I18" s="402"/>
      <x:c r="J18" s="402"/>
      <x:c r="K18" s="402"/>
      <x:c r="L18" s="402"/>
      <x:c r="M18" s="402"/>
      <x:c r="N18" s="402"/>
      <x:c r="O18" s="402"/>
      <x:c r="P18" s="402"/>
      <x:c r="Q18" s="402"/>
      <x:c r="R18" s="402"/>
      <x:c r="S18" s="402"/>
      <x:c r="T18" s="402"/>
      <x:c r="U18" s="402"/>
      <x:c r="V18" s="402"/>
      <x:c r="W18" s="402"/>
      <x:c r="X18" s="402"/>
      <x:c r="Y18" s="402"/>
      <x:c r="Z18" s="402"/>
    </x:row>
    <x:row r="19">
      <x:c r="A19" s="402"/>
      <x:c r="B19" s="402"/>
      <x:c r="C19" s="402"/>
      <x:c r="D19" s="402"/>
      <x:c r="E19" s="402"/>
      <x:c r="F19" s="402"/>
      <x:c r="G19" s="402"/>
      <x:c r="H19" s="402"/>
      <x:c r="I19" s="402"/>
      <x:c r="J19" s="402"/>
      <x:c r="K19" s="402"/>
      <x:c r="L19" s="402"/>
      <x:c r="M19" s="402"/>
      <x:c r="N19" s="402"/>
      <x:c r="O19" s="402"/>
      <x:c r="P19" s="402"/>
      <x:c r="Q19" s="402"/>
      <x:c r="R19" s="402"/>
      <x:c r="S19" s="402"/>
      <x:c r="T19" s="402"/>
      <x:c r="U19" s="402"/>
      <x:c r="V19" s="402"/>
      <x:c r="W19" s="402"/>
      <x:c r="X19" s="402"/>
      <x:c r="Y19" s="402"/>
      <x:c r="Z19" s="402"/>
    </x:row>
    <x:row r="20">
      <x:c r="A20" s="402"/>
      <x:c r="B20" s="402"/>
      <x:c r="C20" s="402"/>
      <x:c r="D20" s="402"/>
      <x:c r="E20" s="402"/>
      <x:c r="F20" s="402"/>
      <x:c r="G20" s="402"/>
      <x:c r="H20" s="402"/>
      <x:c r="I20" s="402"/>
      <x:c r="J20" s="402"/>
      <x:c r="K20" s="402"/>
      <x:c r="L20" s="402"/>
      <x:c r="M20" s="402"/>
      <x:c r="N20" s="402"/>
      <x:c r="O20" s="402"/>
      <x:c r="P20" s="402"/>
      <x:c r="Q20" s="402"/>
      <x:c r="R20" s="402"/>
      <x:c r="S20" s="402"/>
      <x:c r="T20" s="402"/>
      <x:c r="U20" s="402"/>
      <x:c r="V20" s="402"/>
      <x:c r="W20" s="402"/>
      <x:c r="X20" s="402"/>
      <x:c r="Y20" s="402"/>
      <x:c r="Z20" s="402"/>
    </x:row>
    <x:row r="21">
      <x:c r="A21" s="402"/>
      <x:c r="B21" s="402"/>
      <x:c r="C21" s="402"/>
      <x:c r="D21" s="402"/>
      <x:c r="E21" s="402"/>
      <x:c r="F21" s="402"/>
      <x:c r="G21" s="402"/>
      <x:c r="H21" s="402"/>
      <x:c r="I21" s="402"/>
      <x:c r="J21" s="402"/>
      <x:c r="K21" s="402"/>
      <x:c r="L21" s="402"/>
      <x:c r="M21" s="402"/>
      <x:c r="N21" s="402"/>
      <x:c r="O21" s="402"/>
      <x:c r="P21" s="402"/>
      <x:c r="Q21" s="402"/>
      <x:c r="R21" s="402"/>
      <x:c r="S21" s="402"/>
      <x:c r="T21" s="402"/>
      <x:c r="U21" s="402"/>
      <x:c r="V21" s="402"/>
      <x:c r="W21" s="402"/>
      <x:c r="X21" s="402"/>
      <x:c r="Y21" s="402"/>
      <x:c r="Z21" s="402"/>
    </x:row>
    <x:row r="22">
      <x:c r="A22" s="402"/>
      <x:c r="B22" s="402"/>
      <x:c r="C22" s="402"/>
      <x:c r="D22" s="402"/>
      <x:c r="E22" s="402"/>
      <x:c r="F22" s="402"/>
      <x:c r="G22" s="402"/>
      <x:c r="H22" s="402"/>
      <x:c r="I22" s="402"/>
      <x:c r="J22" s="402"/>
      <x:c r="K22" s="402"/>
      <x:c r="L22" s="402"/>
      <x:c r="M22" s="402"/>
      <x:c r="N22" s="402"/>
      <x:c r="O22" s="402"/>
      <x:c r="P22" s="402"/>
      <x:c r="Q22" s="402"/>
      <x:c r="R22" s="402"/>
      <x:c r="S22" s="402"/>
      <x:c r="T22" s="402"/>
      <x:c r="U22" s="402"/>
      <x:c r="V22" s="402"/>
      <x:c r="W22" s="402"/>
      <x:c r="X22" s="402"/>
      <x:c r="Y22" s="402"/>
      <x:c r="Z22" s="402"/>
    </x:row>
    <x:row r="23">
      <x:c r="A23" s="402"/>
      <x:c r="B23" s="402"/>
      <x:c r="C23" s="402"/>
      <x:c r="D23" s="402"/>
      <x:c r="E23" s="402"/>
      <x:c r="F23" s="402"/>
      <x:c r="G23" s="402"/>
      <x:c r="H23" s="402"/>
      <x:c r="I23" s="402"/>
      <x:c r="J23" s="402"/>
      <x:c r="K23" s="402"/>
      <x:c r="L23" s="402"/>
      <x:c r="M23" s="402"/>
      <x:c r="N23" s="402"/>
      <x:c r="O23" s="402"/>
      <x:c r="P23" s="402"/>
      <x:c r="Q23" s="402"/>
      <x:c r="R23" s="402"/>
      <x:c r="S23" s="402"/>
      <x:c r="T23" s="402"/>
      <x:c r="U23" s="402"/>
      <x:c r="V23" s="402"/>
      <x:c r="W23" s="402"/>
      <x:c r="X23" s="402"/>
      <x:c r="Y23" s="402"/>
      <x:c r="Z23" s="402"/>
    </x:row>
    <x:row r="24">
      <x:c r="A24" s="402"/>
      <x:c r="B24" s="402"/>
      <x:c r="C24" s="402"/>
      <x:c r="D24" s="402"/>
      <x:c r="E24" s="402"/>
      <x:c r="F24" s="402"/>
      <x:c r="G24" s="402"/>
      <x:c r="H24" s="402"/>
      <x:c r="I24" s="402"/>
      <x:c r="J24" s="402"/>
      <x:c r="K24" s="402"/>
      <x:c r="L24" s="402"/>
      <x:c r="M24" s="402"/>
      <x:c r="N24" s="402"/>
      <x:c r="O24" s="402"/>
      <x:c r="P24" s="402"/>
      <x:c r="Q24" s="402"/>
      <x:c r="R24" s="402"/>
      <x:c r="S24" s="402"/>
      <x:c r="T24" s="402"/>
      <x:c r="U24" s="402"/>
      <x:c r="V24" s="402"/>
      <x:c r="W24" s="402"/>
      <x:c r="X24" s="402"/>
      <x:c r="Y24" s="402"/>
      <x:c r="Z24" s="402"/>
    </x:row>
    <x:row r="25">
      <x:c r="A25" s="402"/>
      <x:c r="B25" s="402"/>
      <x:c r="C25" s="402"/>
      <x:c r="D25" s="402"/>
      <x:c r="E25" s="402"/>
      <x:c r="F25" s="402"/>
      <x:c r="G25" s="402"/>
      <x:c r="H25" s="402"/>
      <x:c r="I25" s="402"/>
      <x:c r="J25" s="402"/>
      <x:c r="K25" s="402"/>
      <x:c r="L25" s="402"/>
      <x:c r="M25" s="402"/>
      <x:c r="N25" s="402"/>
      <x:c r="O25" s="402"/>
      <x:c r="P25" s="402"/>
      <x:c r="Q25" s="402"/>
      <x:c r="R25" s="402"/>
      <x:c r="S25" s="402"/>
      <x:c r="T25" s="402"/>
      <x:c r="U25" s="402"/>
      <x:c r="V25" s="402"/>
      <x:c r="W25" s="402"/>
      <x:c r="X25" s="402"/>
      <x:c r="Y25" s="402"/>
      <x:c r="Z25" s="402"/>
    </x:row>
    <x:row r="26">
      <x:c r="A26" s="402"/>
      <x:c r="B26" s="402"/>
      <x:c r="C26" s="402"/>
      <x:c r="D26" s="402"/>
      <x:c r="E26" s="402"/>
      <x:c r="F26" s="402"/>
      <x:c r="G26" s="402"/>
      <x:c r="H26" s="402"/>
      <x:c r="I26" s="402"/>
      <x:c r="J26" s="402"/>
      <x:c r="K26" s="402"/>
      <x:c r="L26" s="402"/>
      <x:c r="M26" s="402"/>
      <x:c r="N26" s="402"/>
      <x:c r="O26" s="402"/>
      <x:c r="P26" s="402"/>
      <x:c r="Q26" s="402"/>
      <x:c r="R26" s="402"/>
      <x:c r="S26" s="402"/>
      <x:c r="T26" s="402"/>
      <x:c r="U26" s="402"/>
      <x:c r="V26" s="402"/>
      <x:c r="W26" s="402"/>
      <x:c r="X26" s="402"/>
      <x:c r="Y26" s="402"/>
      <x:c r="Z26" s="402"/>
    </x:row>
    <x:row r="27">
      <x:c r="A27" s="402"/>
      <x:c r="B27" s="402"/>
      <x:c r="C27" s="402"/>
      <x:c r="D27" s="402"/>
      <x:c r="E27" s="402"/>
      <x:c r="F27" s="402"/>
      <x:c r="G27" s="402"/>
      <x:c r="H27" s="402"/>
      <x:c r="I27" s="402"/>
      <x:c r="J27" s="402"/>
      <x:c r="K27" s="402"/>
      <x:c r="L27" s="402"/>
      <x:c r="M27" s="402"/>
      <x:c r="N27" s="402"/>
      <x:c r="O27" s="402"/>
      <x:c r="P27" s="402"/>
      <x:c r="Q27" s="402"/>
      <x:c r="R27" s="402"/>
      <x:c r="S27" s="402"/>
      <x:c r="T27" s="402"/>
      <x:c r="U27" s="402"/>
      <x:c r="V27" s="402"/>
      <x:c r="W27" s="402"/>
      <x:c r="X27" s="402"/>
      <x:c r="Y27" s="402"/>
      <x:c r="Z27" s="402"/>
    </x:row>
    <x:row r="28">
      <x:c r="A28" s="402"/>
      <x:c r="B28" s="402"/>
      <x:c r="C28" s="402"/>
      <x:c r="D28" s="402"/>
      <x:c r="E28" s="402"/>
      <x:c r="F28" s="402"/>
      <x:c r="G28" s="402"/>
      <x:c r="H28" s="402"/>
      <x:c r="I28" s="402"/>
      <x:c r="J28" s="402"/>
      <x:c r="K28" s="402"/>
      <x:c r="L28" s="402"/>
      <x:c r="M28" s="402"/>
      <x:c r="N28" s="402"/>
      <x:c r="O28" s="402"/>
      <x:c r="P28" s="402"/>
      <x:c r="Q28" s="402"/>
      <x:c r="R28" s="402"/>
      <x:c r="S28" s="402"/>
      <x:c r="T28" s="402"/>
      <x:c r="U28" s="402"/>
      <x:c r="V28" s="402"/>
      <x:c r="W28" s="402"/>
      <x:c r="X28" s="402"/>
      <x:c r="Y28" s="402"/>
      <x:c r="Z28" s="402"/>
    </x:row>
    <x:row r="29">
      <x:c r="A29" s="402"/>
      <x:c r="B29" s="402"/>
      <x:c r="C29" s="402"/>
      <x:c r="D29" s="402"/>
      <x:c r="E29" s="402"/>
      <x:c r="F29" s="402"/>
      <x:c r="G29" s="402"/>
      <x:c r="H29" s="402"/>
      <x:c r="I29" s="402"/>
      <x:c r="J29" s="402"/>
      <x:c r="K29" s="402"/>
      <x:c r="L29" s="402"/>
      <x:c r="M29" s="402"/>
      <x:c r="N29" s="402"/>
      <x:c r="O29" s="402"/>
      <x:c r="P29" s="402"/>
      <x:c r="Q29" s="402"/>
      <x:c r="R29" s="402"/>
      <x:c r="S29" s="402"/>
      <x:c r="T29" s="402"/>
      <x:c r="U29" s="402"/>
      <x:c r="V29" s="402"/>
      <x:c r="W29" s="402"/>
      <x:c r="X29" s="402"/>
      <x:c r="Y29" s="402"/>
      <x:c r="Z29" s="402"/>
    </x:row>
    <x:row r="30">
      <x:c r="A30" s="402"/>
      <x:c r="B30" s="402"/>
      <x:c r="C30" s="402"/>
      <x:c r="D30" s="402"/>
      <x:c r="E30" s="402"/>
      <x:c r="F30" s="402"/>
      <x:c r="G30" s="402"/>
      <x:c r="H30" s="402"/>
      <x:c r="I30" s="402"/>
      <x:c r="J30" s="402"/>
      <x:c r="K30" s="402"/>
      <x:c r="L30" s="402"/>
      <x:c r="M30" s="402"/>
      <x:c r="N30" s="402"/>
      <x:c r="O30" s="402"/>
      <x:c r="P30" s="402"/>
      <x:c r="Q30" s="402"/>
      <x:c r="R30" s="402"/>
      <x:c r="S30" s="402"/>
      <x:c r="T30" s="402"/>
      <x:c r="U30" s="402"/>
      <x:c r="V30" s="402"/>
      <x:c r="W30" s="402"/>
      <x:c r="X30" s="402"/>
      <x:c r="Y30" s="402"/>
      <x:c r="Z30" s="402"/>
    </x:row>
    <x:row r="31">
      <x:c r="A31" s="402"/>
      <x:c r="B31" s="402"/>
      <x:c r="C31" s="402"/>
      <x:c r="D31" s="402"/>
      <x:c r="E31" s="402"/>
      <x:c r="F31" s="402"/>
      <x:c r="G31" s="402"/>
      <x:c r="H31" s="402"/>
      <x:c r="I31" s="402"/>
      <x:c r="J31" s="402"/>
      <x:c r="K31" s="402"/>
      <x:c r="L31" s="402"/>
      <x:c r="M31" s="402"/>
      <x:c r="N31" s="402"/>
      <x:c r="O31" s="402"/>
      <x:c r="P31" s="402"/>
      <x:c r="Q31" s="402"/>
      <x:c r="R31" s="402"/>
      <x:c r="S31" s="402"/>
      <x:c r="T31" s="402"/>
      <x:c r="U31" s="402"/>
      <x:c r="V31" s="402"/>
      <x:c r="W31" s="402"/>
      <x:c r="X31" s="402"/>
      <x:c r="Y31" s="402"/>
      <x:c r="Z31" s="402"/>
    </x:row>
    <x:row r="32">
      <x:c r="A32" s="402"/>
      <x:c r="B32" s="402"/>
      <x:c r="C32" s="402"/>
      <x:c r="D32" s="402"/>
      <x:c r="E32" s="402"/>
      <x:c r="F32" s="402"/>
      <x:c r="G32" s="402"/>
      <x:c r="H32" s="402"/>
      <x:c r="I32" s="402"/>
      <x:c r="J32" s="402"/>
      <x:c r="K32" s="402"/>
      <x:c r="L32" s="402"/>
      <x:c r="M32" s="402"/>
      <x:c r="N32" s="402"/>
      <x:c r="O32" s="402"/>
      <x:c r="P32" s="402"/>
      <x:c r="Q32" s="402"/>
      <x:c r="R32" s="402"/>
      <x:c r="S32" s="402"/>
      <x:c r="T32" s="402"/>
      <x:c r="U32" s="402"/>
      <x:c r="V32" s="402"/>
      <x:c r="W32" s="402"/>
      <x:c r="X32" s="402"/>
      <x:c r="Y32" s="402"/>
      <x:c r="Z32" s="402"/>
    </x:row>
    <x:row r="33">
      <x:c r="A33" s="402"/>
      <x:c r="B33" s="402"/>
      <x:c r="C33" s="402"/>
      <x:c r="D33" s="402"/>
      <x:c r="E33" s="402"/>
      <x:c r="F33" s="402"/>
      <x:c r="G33" s="402"/>
      <x:c r="H33" s="402"/>
      <x:c r="I33" s="402"/>
      <x:c r="J33" s="402"/>
      <x:c r="K33" s="402"/>
      <x:c r="L33" s="402"/>
      <x:c r="M33" s="402"/>
      <x:c r="N33" s="402"/>
      <x:c r="O33" s="402"/>
      <x:c r="P33" s="402"/>
      <x:c r="Q33" s="402"/>
      <x:c r="R33" s="402"/>
      <x:c r="S33" s="402"/>
      <x:c r="T33" s="402"/>
      <x:c r="U33" s="402"/>
      <x:c r="V33" s="402"/>
      <x:c r="W33" s="402"/>
      <x:c r="X33" s="402"/>
      <x:c r="Y33" s="402"/>
      <x:c r="Z33" s="402"/>
    </x:row>
    <x:row r="34">
      <x:c r="A34" s="402"/>
      <x:c r="B34" s="402"/>
      <x:c r="C34" s="402"/>
      <x:c r="D34" s="402"/>
      <x:c r="E34" s="402"/>
      <x:c r="F34" s="402"/>
      <x:c r="G34" s="402"/>
      <x:c r="H34" s="402"/>
      <x:c r="I34" s="402"/>
      <x:c r="J34" s="402"/>
      <x:c r="K34" s="402"/>
      <x:c r="L34" s="402"/>
      <x:c r="M34" s="402"/>
      <x:c r="N34" s="402"/>
      <x:c r="O34" s="402"/>
      <x:c r="P34" s="402"/>
      <x:c r="Q34" s="402"/>
      <x:c r="R34" s="402"/>
      <x:c r="S34" s="402"/>
      <x:c r="T34" s="402"/>
      <x:c r="U34" s="402"/>
      <x:c r="V34" s="402"/>
      <x:c r="W34" s="402"/>
      <x:c r="X34" s="402"/>
      <x:c r="Y34" s="402"/>
      <x:c r="Z34" s="402"/>
    </x:row>
    <x:row r="35">
      <x:c r="A35" s="402"/>
      <x:c r="B35" s="402"/>
      <x:c r="C35" s="402"/>
      <x:c r="D35" s="402"/>
      <x:c r="E35" s="402"/>
      <x:c r="F35" s="402"/>
      <x:c r="G35" s="402"/>
      <x:c r="H35" s="402"/>
      <x:c r="I35" s="402"/>
      <x:c r="J35" s="402"/>
      <x:c r="K35" s="402"/>
      <x:c r="L35" s="402"/>
      <x:c r="M35" s="402"/>
      <x:c r="N35" s="402"/>
      <x:c r="O35" s="402"/>
      <x:c r="P35" s="402"/>
      <x:c r="Q35" s="402"/>
      <x:c r="R35" s="402"/>
      <x:c r="S35" s="402"/>
      <x:c r="T35" s="402"/>
      <x:c r="U35" s="402"/>
      <x:c r="V35" s="402"/>
      <x:c r="W35" s="402"/>
      <x:c r="X35" s="402"/>
      <x:c r="Y35" s="402"/>
      <x:c r="Z35" s="402"/>
    </x:row>
    <x:row r="36">
      <x:c r="A36" s="402"/>
      <x:c r="B36" s="402"/>
      <x:c r="C36" s="402"/>
      <x:c r="D36" s="402"/>
      <x:c r="E36" s="402"/>
      <x:c r="F36" s="402"/>
      <x:c r="G36" s="402"/>
      <x:c r="H36" s="402"/>
      <x:c r="I36" s="402"/>
      <x:c r="J36" s="402"/>
      <x:c r="K36" s="402"/>
      <x:c r="L36" s="402"/>
      <x:c r="M36" s="402"/>
      <x:c r="N36" s="402"/>
      <x:c r="O36" s="402"/>
      <x:c r="P36" s="402"/>
      <x:c r="Q36" s="402"/>
      <x:c r="R36" s="402"/>
      <x:c r="S36" s="402"/>
      <x:c r="T36" s="402"/>
      <x:c r="U36" s="402"/>
      <x:c r="V36" s="402"/>
      <x:c r="W36" s="402"/>
      <x:c r="X36" s="402"/>
      <x:c r="Y36" s="402"/>
      <x:c r="Z36" s="402"/>
    </x:row>
    <x:row r="37">
      <x:c r="A37" s="402"/>
      <x:c r="B37" s="402"/>
      <x:c r="C37" s="402"/>
      <x:c r="D37" s="402"/>
      <x:c r="E37" s="402"/>
      <x:c r="F37" s="402"/>
      <x:c r="G37" s="402"/>
      <x:c r="H37" s="402"/>
      <x:c r="I37" s="402"/>
      <x:c r="J37" s="402"/>
      <x:c r="K37" s="402"/>
      <x:c r="L37" s="402"/>
      <x:c r="M37" s="402"/>
      <x:c r="N37" s="402"/>
      <x:c r="O37" s="402"/>
      <x:c r="P37" s="402"/>
      <x:c r="Q37" s="402"/>
      <x:c r="R37" s="402"/>
      <x:c r="S37" s="402"/>
      <x:c r="T37" s="402"/>
      <x:c r="U37" s="402"/>
      <x:c r="V37" s="402"/>
      <x:c r="W37" s="402"/>
      <x:c r="X37" s="402"/>
      <x:c r="Y37" s="402"/>
      <x:c r="Z37" s="402"/>
    </x:row>
    <x:row r="38">
      <x:c r="A38" s="402"/>
      <x:c r="B38" s="402"/>
      <x:c r="C38" s="402"/>
      <x:c r="D38" s="402"/>
      <x:c r="E38" s="402"/>
      <x:c r="F38" s="402"/>
      <x:c r="G38" s="402"/>
      <x:c r="H38" s="402"/>
      <x:c r="I38" s="402"/>
      <x:c r="J38" s="402"/>
      <x:c r="K38" s="402"/>
      <x:c r="L38" s="402"/>
      <x:c r="M38" s="402"/>
      <x:c r="N38" s="402"/>
      <x:c r="O38" s="402"/>
      <x:c r="P38" s="402"/>
      <x:c r="Q38" s="402"/>
      <x:c r="R38" s="402"/>
      <x:c r="S38" s="402"/>
      <x:c r="T38" s="402"/>
      <x:c r="U38" s="402"/>
      <x:c r="V38" s="402"/>
      <x:c r="W38" s="402"/>
      <x:c r="X38" s="402"/>
      <x:c r="Y38" s="402"/>
      <x:c r="Z38" s="402"/>
    </x:row>
    <x:row r="39">
      <x:c r="A39" s="402"/>
      <x:c r="B39" s="402"/>
      <x:c r="C39" s="402"/>
      <x:c r="D39" s="402"/>
      <x:c r="E39" s="402"/>
      <x:c r="F39" s="402"/>
      <x:c r="G39" s="402"/>
      <x:c r="H39" s="402"/>
      <x:c r="I39" s="402"/>
      <x:c r="J39" s="402"/>
      <x:c r="K39" s="402"/>
      <x:c r="L39" s="402"/>
      <x:c r="M39" s="402"/>
      <x:c r="N39" s="402"/>
      <x:c r="O39" s="402"/>
      <x:c r="P39" s="402"/>
      <x:c r="Q39" s="402"/>
      <x:c r="R39" s="402"/>
      <x:c r="S39" s="402"/>
      <x:c r="T39" s="402"/>
      <x:c r="U39" s="402"/>
      <x:c r="V39" s="402"/>
      <x:c r="W39" s="402"/>
      <x:c r="X39" s="402"/>
      <x:c r="Y39" s="402"/>
      <x:c r="Z39" s="402"/>
    </x:row>
    <x:row r="40">
      <x:c r="A40" s="402"/>
      <x:c r="B40" s="402"/>
      <x:c r="C40" s="402"/>
      <x:c r="D40" s="402"/>
      <x:c r="E40" s="402"/>
      <x:c r="F40" s="402"/>
      <x:c r="G40" s="402"/>
      <x:c r="H40" s="402"/>
      <x:c r="I40" s="402"/>
      <x:c r="J40" s="402"/>
      <x:c r="K40" s="402"/>
      <x:c r="L40" s="402"/>
      <x:c r="M40" s="402"/>
      <x:c r="N40" s="402"/>
      <x:c r="O40" s="402"/>
      <x:c r="P40" s="402"/>
      <x:c r="Q40" s="402"/>
      <x:c r="R40" s="402"/>
      <x:c r="S40" s="402"/>
      <x:c r="T40" s="402"/>
      <x:c r="U40" s="402"/>
      <x:c r="V40" s="402"/>
      <x:c r="W40" s="402"/>
      <x:c r="X40" s="402"/>
      <x:c r="Y40" s="402"/>
      <x:c r="Z40" s="402"/>
    </x:row>
    <x:row r="41">
      <x:c r="A41" s="402"/>
      <x:c r="B41" s="402"/>
      <x:c r="C41" s="402"/>
      <x:c r="D41" s="402"/>
      <x:c r="E41" s="402"/>
      <x:c r="F41" s="402"/>
      <x:c r="G41" s="402"/>
      <x:c r="H41" s="402"/>
      <x:c r="I41" s="402"/>
      <x:c r="J41" s="402"/>
      <x:c r="K41" s="402"/>
      <x:c r="L41" s="402"/>
      <x:c r="M41" s="402"/>
      <x:c r="N41" s="402"/>
      <x:c r="O41" s="402"/>
      <x:c r="P41" s="402"/>
      <x:c r="Q41" s="402"/>
      <x:c r="R41" s="402"/>
      <x:c r="S41" s="402"/>
      <x:c r="T41" s="402"/>
      <x:c r="U41" s="402"/>
      <x:c r="V41" s="402"/>
      <x:c r="W41" s="402"/>
      <x:c r="X41" s="402"/>
      <x:c r="Y41" s="402"/>
      <x:c r="Z41" s="402"/>
    </x:row>
    <x:row r="42">
      <x:c r="A42" s="402"/>
      <x:c r="B42" s="402"/>
      <x:c r="C42" s="402"/>
      <x:c r="D42" s="402"/>
      <x:c r="E42" s="402"/>
      <x:c r="F42" s="402"/>
      <x:c r="G42" s="402"/>
      <x:c r="H42" s="402"/>
      <x:c r="I42" s="402"/>
      <x:c r="J42" s="402"/>
      <x:c r="K42" s="402"/>
      <x:c r="L42" s="402"/>
      <x:c r="M42" s="402"/>
      <x:c r="N42" s="402"/>
      <x:c r="O42" s="402"/>
      <x:c r="P42" s="402"/>
      <x:c r="Q42" s="402"/>
      <x:c r="R42" s="402"/>
      <x:c r="S42" s="402"/>
      <x:c r="T42" s="402"/>
      <x:c r="U42" s="402"/>
      <x:c r="V42" s="402"/>
      <x:c r="W42" s="402"/>
      <x:c r="X42" s="402"/>
      <x:c r="Y42" s="402"/>
      <x:c r="Z42" s="402"/>
    </x:row>
    <x:row r="43">
      <x:c r="A43" s="402"/>
      <x:c r="B43" s="402"/>
      <x:c r="C43" s="402"/>
      <x:c r="D43" s="402"/>
      <x:c r="E43" s="402"/>
      <x:c r="F43" s="402"/>
      <x:c r="G43" s="402"/>
      <x:c r="H43" s="402"/>
      <x:c r="I43" s="402"/>
      <x:c r="J43" s="402"/>
      <x:c r="K43" s="402"/>
      <x:c r="L43" s="402"/>
      <x:c r="M43" s="402"/>
      <x:c r="N43" s="402"/>
      <x:c r="O43" s="402"/>
      <x:c r="P43" s="402"/>
      <x:c r="Q43" s="402"/>
      <x:c r="R43" s="402"/>
      <x:c r="S43" s="402"/>
      <x:c r="T43" s="402"/>
      <x:c r="U43" s="402"/>
      <x:c r="V43" s="402"/>
      <x:c r="W43" s="402"/>
      <x:c r="X43" s="402"/>
      <x:c r="Y43" s="402"/>
      <x:c r="Z43" s="402"/>
    </x:row>
    <x:row r="44">
      <x:c r="A44" s="402"/>
      <x:c r="B44" s="402"/>
      <x:c r="C44" s="402"/>
      <x:c r="D44" s="402"/>
      <x:c r="E44" s="402"/>
      <x:c r="F44" s="402"/>
      <x:c r="G44" s="402"/>
      <x:c r="H44" s="402"/>
      <x:c r="I44" s="402"/>
      <x:c r="J44" s="402"/>
      <x:c r="K44" s="402"/>
      <x:c r="L44" s="402"/>
      <x:c r="M44" s="402"/>
      <x:c r="N44" s="402"/>
      <x:c r="O44" s="402"/>
      <x:c r="P44" s="402"/>
      <x:c r="Q44" s="402"/>
      <x:c r="R44" s="402"/>
      <x:c r="S44" s="402"/>
      <x:c r="T44" s="402"/>
      <x:c r="U44" s="402"/>
      <x:c r="V44" s="402"/>
      <x:c r="W44" s="402"/>
      <x:c r="X44" s="402"/>
      <x:c r="Y44" s="402"/>
      <x:c r="Z44" s="402"/>
    </x:row>
    <x:row r="45">
      <x:c r="A45" s="402"/>
      <x:c r="B45" s="402"/>
      <x:c r="C45" s="402"/>
      <x:c r="D45" s="402"/>
      <x:c r="E45" s="402"/>
      <x:c r="F45" s="402"/>
      <x:c r="G45" s="402"/>
      <x:c r="H45" s="402"/>
      <x:c r="I45" s="402"/>
      <x:c r="J45" s="402"/>
      <x:c r="K45" s="402"/>
      <x:c r="L45" s="402"/>
      <x:c r="M45" s="402"/>
      <x:c r="N45" s="402"/>
      <x:c r="O45" s="402"/>
      <x:c r="P45" s="402"/>
      <x:c r="Q45" s="402"/>
      <x:c r="R45" s="402"/>
      <x:c r="S45" s="402"/>
      <x:c r="T45" s="402"/>
      <x:c r="U45" s="402"/>
      <x:c r="V45" s="402"/>
      <x:c r="W45" s="402"/>
      <x:c r="X45" s="402"/>
      <x:c r="Y45" s="402"/>
      <x:c r="Z45" s="402"/>
    </x:row>
    <x:row r="46">
      <x:c r="A46" s="402"/>
      <x:c r="B46" s="402"/>
      <x:c r="C46" s="402"/>
      <x:c r="D46" s="402"/>
      <x:c r="E46" s="402"/>
      <x:c r="F46" s="402"/>
      <x:c r="G46" s="402"/>
      <x:c r="H46" s="402"/>
      <x:c r="I46" s="402"/>
      <x:c r="J46" s="402"/>
      <x:c r="K46" s="402"/>
      <x:c r="L46" s="402"/>
      <x:c r="M46" s="402"/>
      <x:c r="N46" s="402"/>
      <x:c r="O46" s="402"/>
      <x:c r="P46" s="402"/>
      <x:c r="Q46" s="402"/>
      <x:c r="R46" s="402"/>
      <x:c r="S46" s="402"/>
      <x:c r="T46" s="402"/>
      <x:c r="U46" s="402"/>
      <x:c r="V46" s="402"/>
      <x:c r="W46" s="402"/>
      <x:c r="X46" s="402"/>
      <x:c r="Y46" s="402"/>
      <x:c r="Z46" s="402"/>
    </x:row>
    <x:row r="47">
      <x:c r="A47" s="402"/>
      <x:c r="B47" s="402"/>
      <x:c r="C47" s="402"/>
      <x:c r="D47" s="402"/>
      <x:c r="E47" s="402"/>
      <x:c r="F47" s="402"/>
      <x:c r="G47" s="402"/>
      <x:c r="H47" s="402"/>
      <x:c r="I47" s="402"/>
      <x:c r="J47" s="402"/>
      <x:c r="K47" s="402"/>
      <x:c r="L47" s="402"/>
      <x:c r="M47" s="402"/>
      <x:c r="N47" s="402"/>
      <x:c r="O47" s="402"/>
      <x:c r="P47" s="402"/>
      <x:c r="Q47" s="402"/>
      <x:c r="R47" s="402"/>
      <x:c r="S47" s="402"/>
      <x:c r="T47" s="402"/>
      <x:c r="U47" s="402"/>
      <x:c r="V47" s="402"/>
      <x:c r="W47" s="402"/>
      <x:c r="X47" s="402"/>
      <x:c r="Y47" s="402"/>
      <x:c r="Z47" s="402"/>
    </x:row>
    <x:row r="48">
      <x:c r="A48" s="402"/>
      <x:c r="B48" s="402"/>
      <x:c r="C48" s="402"/>
      <x:c r="D48" s="402"/>
      <x:c r="E48" s="402"/>
      <x:c r="F48" s="402"/>
      <x:c r="G48" s="402"/>
      <x:c r="H48" s="402"/>
      <x:c r="I48" s="402"/>
      <x:c r="J48" s="402"/>
      <x:c r="K48" s="402"/>
      <x:c r="L48" s="402"/>
      <x:c r="M48" s="402"/>
      <x:c r="N48" s="402"/>
      <x:c r="O48" s="402"/>
      <x:c r="P48" s="402"/>
      <x:c r="Q48" s="402"/>
      <x:c r="R48" s="402"/>
      <x:c r="S48" s="402"/>
      <x:c r="T48" s="402"/>
      <x:c r="U48" s="402"/>
      <x:c r="V48" s="402"/>
      <x:c r="W48" s="402"/>
      <x:c r="X48" s="402"/>
      <x:c r="Y48" s="402"/>
      <x:c r="Z48" s="402"/>
    </x:row>
    <x:row r="49">
      <x:c r="A49" s="402"/>
      <x:c r="B49" s="402"/>
      <x:c r="C49" s="402"/>
      <x:c r="D49" s="402"/>
      <x:c r="E49" s="402"/>
      <x:c r="F49" s="402"/>
      <x:c r="G49" s="402"/>
      <x:c r="H49" s="402"/>
      <x:c r="I49" s="402"/>
      <x:c r="J49" s="402"/>
      <x:c r="K49" s="402"/>
      <x:c r="L49" s="402"/>
      <x:c r="M49" s="402"/>
      <x:c r="N49" s="402"/>
      <x:c r="O49" s="402"/>
      <x:c r="P49" s="402"/>
      <x:c r="Q49" s="402"/>
      <x:c r="R49" s="402"/>
      <x:c r="S49" s="402"/>
      <x:c r="T49" s="402"/>
      <x:c r="U49" s="402"/>
      <x:c r="V49" s="402"/>
      <x:c r="W49" s="402"/>
      <x:c r="X49" s="402"/>
      <x:c r="Y49" s="402"/>
      <x:c r="Z49" s="402"/>
    </x:row>
    <x:row r="50">
      <x:c r="A50" s="402"/>
      <x:c r="B50" s="402"/>
      <x:c r="C50" s="402"/>
      <x:c r="D50" s="402"/>
      <x:c r="E50" s="402"/>
      <x:c r="F50" s="402"/>
      <x:c r="G50" s="402"/>
      <x:c r="H50" s="402"/>
      <x:c r="I50" s="402"/>
      <x:c r="J50" s="402"/>
      <x:c r="K50" s="402"/>
      <x:c r="L50" s="402"/>
      <x:c r="M50" s="402"/>
      <x:c r="N50" s="402"/>
      <x:c r="O50" s="402"/>
      <x:c r="P50" s="402"/>
      <x:c r="Q50" s="402"/>
      <x:c r="R50" s="402"/>
      <x:c r="S50" s="402"/>
      <x:c r="T50" s="402"/>
      <x:c r="U50" s="402"/>
      <x:c r="V50" s="402"/>
      <x:c r="W50" s="402"/>
      <x:c r="X50" s="402"/>
      <x:c r="Y50" s="402"/>
      <x:c r="Z50" s="402"/>
    </x:row>
    <x:row r="51">
      <x:c r="A51" s="402"/>
      <x:c r="B51" s="402"/>
      <x:c r="C51" s="402"/>
      <x:c r="D51" s="402"/>
      <x:c r="E51" s="402"/>
      <x:c r="F51" s="402"/>
      <x:c r="G51" s="402"/>
      <x:c r="H51" s="402"/>
      <x:c r="I51" s="402"/>
      <x:c r="J51" s="402"/>
      <x:c r="K51" s="402"/>
      <x:c r="L51" s="402"/>
      <x:c r="M51" s="402"/>
      <x:c r="N51" s="402"/>
      <x:c r="O51" s="402"/>
      <x:c r="P51" s="402"/>
      <x:c r="Q51" s="402"/>
      <x:c r="R51" s="402"/>
      <x:c r="S51" s="402"/>
      <x:c r="T51" s="402"/>
      <x:c r="U51" s="402"/>
      <x:c r="V51" s="402"/>
      <x:c r="W51" s="402"/>
      <x:c r="X51" s="402"/>
      <x:c r="Y51" s="402"/>
      <x:c r="Z51" s="402"/>
    </x:row>
    <x:row r="52">
      <x:c r="A52" s="402"/>
      <x:c r="B52" s="402"/>
      <x:c r="C52" s="402"/>
      <x:c r="D52" s="402"/>
      <x:c r="E52" s="402"/>
      <x:c r="F52" s="402"/>
      <x:c r="G52" s="402"/>
      <x:c r="H52" s="402"/>
      <x:c r="I52" s="402"/>
      <x:c r="J52" s="402"/>
      <x:c r="K52" s="402"/>
      <x:c r="L52" s="402"/>
      <x:c r="M52" s="402"/>
      <x:c r="N52" s="402"/>
      <x:c r="O52" s="402"/>
      <x:c r="P52" s="402"/>
      <x:c r="Q52" s="402"/>
      <x:c r="R52" s="402"/>
      <x:c r="S52" s="402"/>
      <x:c r="T52" s="402"/>
      <x:c r="U52" s="402"/>
      <x:c r="V52" s="402"/>
      <x:c r="W52" s="402"/>
      <x:c r="X52" s="402"/>
      <x:c r="Y52" s="402"/>
      <x:c r="Z52" s="402"/>
    </x:row>
    <x:row r="53">
      <x:c r="A53" s="402"/>
      <x:c r="B53" s="402"/>
      <x:c r="C53" s="402"/>
      <x:c r="D53" s="402"/>
      <x:c r="E53" s="402"/>
      <x:c r="F53" s="402"/>
      <x:c r="G53" s="402"/>
      <x:c r="H53" s="402"/>
      <x:c r="I53" s="402"/>
      <x:c r="J53" s="402"/>
      <x:c r="K53" s="402"/>
      <x:c r="L53" s="402"/>
      <x:c r="M53" s="402"/>
      <x:c r="N53" s="402"/>
      <x:c r="O53" s="402"/>
      <x:c r="P53" s="402"/>
      <x:c r="Q53" s="402"/>
      <x:c r="R53" s="402"/>
      <x:c r="S53" s="402"/>
      <x:c r="T53" s="402"/>
      <x:c r="U53" s="402"/>
      <x:c r="V53" s="402"/>
      <x:c r="W53" s="402"/>
      <x:c r="X53" s="402"/>
      <x:c r="Y53" s="402"/>
      <x:c r="Z53" s="402"/>
    </x:row>
    <x:row r="54">
      <x:c r="A54" s="402"/>
      <x:c r="B54" s="402"/>
      <x:c r="C54" s="402"/>
      <x:c r="D54" s="402"/>
      <x:c r="E54" s="402"/>
      <x:c r="F54" s="402"/>
      <x:c r="G54" s="402"/>
      <x:c r="H54" s="402"/>
      <x:c r="I54" s="402"/>
      <x:c r="J54" s="402"/>
      <x:c r="K54" s="402"/>
      <x:c r="L54" s="402"/>
      <x:c r="M54" s="402"/>
      <x:c r="N54" s="402"/>
      <x:c r="O54" s="402"/>
      <x:c r="P54" s="402"/>
      <x:c r="Q54" s="402"/>
      <x:c r="R54" s="402"/>
      <x:c r="S54" s="402"/>
      <x:c r="T54" s="402"/>
      <x:c r="U54" s="402"/>
      <x:c r="V54" s="402"/>
      <x:c r="W54" s="402"/>
      <x:c r="X54" s="402"/>
      <x:c r="Y54" s="402"/>
      <x:c r="Z54" s="402"/>
    </x:row>
    <x:row r="55">
      <x:c r="A55" s="402"/>
      <x:c r="B55" s="402"/>
      <x:c r="C55" s="402"/>
      <x:c r="D55" s="402"/>
      <x:c r="E55" s="402"/>
      <x:c r="F55" s="402"/>
      <x:c r="G55" s="402"/>
      <x:c r="H55" s="402"/>
      <x:c r="I55" s="402"/>
      <x:c r="J55" s="402"/>
      <x:c r="K55" s="402"/>
      <x:c r="L55" s="402"/>
      <x:c r="M55" s="402"/>
      <x:c r="N55" s="402"/>
      <x:c r="O55" s="402"/>
      <x:c r="P55" s="402"/>
      <x:c r="Q55" s="402"/>
      <x:c r="R55" s="402"/>
      <x:c r="S55" s="402"/>
      <x:c r="T55" s="402"/>
      <x:c r="U55" s="402"/>
      <x:c r="V55" s="402"/>
      <x:c r="W55" s="402"/>
      <x:c r="X55" s="402"/>
      <x:c r="Y55" s="402"/>
      <x:c r="Z55" s="402"/>
    </x:row>
    <x:row r="56">
      <x:c r="A56" s="402"/>
      <x:c r="B56" s="402"/>
      <x:c r="C56" s="402"/>
      <x:c r="D56" s="402"/>
      <x:c r="E56" s="402"/>
      <x:c r="F56" s="402"/>
      <x:c r="G56" s="402"/>
      <x:c r="H56" s="402"/>
      <x:c r="I56" s="402"/>
      <x:c r="J56" s="402"/>
      <x:c r="K56" s="402"/>
      <x:c r="L56" s="402"/>
      <x:c r="M56" s="402"/>
      <x:c r="N56" s="402"/>
      <x:c r="O56" s="402"/>
      <x:c r="P56" s="402"/>
      <x:c r="Q56" s="402"/>
      <x:c r="R56" s="402"/>
      <x:c r="S56" s="402"/>
      <x:c r="T56" s="402"/>
      <x:c r="U56" s="402"/>
      <x:c r="V56" s="402"/>
      <x:c r="W56" s="402"/>
      <x:c r="X56" s="402"/>
      <x:c r="Y56" s="402"/>
      <x:c r="Z56" s="402"/>
    </x:row>
    <x:row r="57">
      <x:c r="A57" s="402"/>
      <x:c r="B57" s="402"/>
      <x:c r="C57" s="402"/>
      <x:c r="D57" s="402"/>
      <x:c r="E57" s="402"/>
      <x:c r="F57" s="402"/>
      <x:c r="G57" s="402"/>
      <x:c r="H57" s="402"/>
      <x:c r="I57" s="402"/>
      <x:c r="J57" s="402"/>
      <x:c r="K57" s="402"/>
      <x:c r="L57" s="402"/>
      <x:c r="M57" s="402"/>
      <x:c r="N57" s="402"/>
      <x:c r="O57" s="402"/>
      <x:c r="P57" s="402"/>
      <x:c r="Q57" s="402"/>
      <x:c r="R57" s="402"/>
      <x:c r="S57" s="402"/>
      <x:c r="T57" s="402"/>
      <x:c r="U57" s="402"/>
      <x:c r="V57" s="402"/>
      <x:c r="W57" s="402"/>
      <x:c r="X57" s="402"/>
      <x:c r="Y57" s="402"/>
      <x:c r="Z57" s="402"/>
    </x:row>
    <x:row r="58">
      <x:c r="A58" s="402"/>
      <x:c r="B58" s="402"/>
      <x:c r="C58" s="402"/>
      <x:c r="D58" s="402"/>
      <x:c r="E58" s="402"/>
      <x:c r="F58" s="402"/>
      <x:c r="G58" s="402"/>
      <x:c r="H58" s="402"/>
      <x:c r="I58" s="402"/>
      <x:c r="J58" s="402"/>
      <x:c r="K58" s="402"/>
      <x:c r="L58" s="402"/>
      <x:c r="M58" s="402"/>
      <x:c r="N58" s="402"/>
      <x:c r="O58" s="402"/>
      <x:c r="P58" s="402"/>
      <x:c r="Q58" s="402"/>
      <x:c r="R58" s="402"/>
      <x:c r="S58" s="402"/>
      <x:c r="T58" s="402"/>
      <x:c r="U58" s="402"/>
      <x:c r="V58" s="402"/>
      <x:c r="W58" s="402"/>
      <x:c r="X58" s="402"/>
      <x:c r="Y58" s="402"/>
      <x:c r="Z58" s="402"/>
    </x:row>
    <x:row r="59">
      <x:c r="A59" s="402"/>
      <x:c r="B59" s="402"/>
      <x:c r="C59" s="402"/>
      <x:c r="D59" s="402"/>
      <x:c r="E59" s="402"/>
      <x:c r="F59" s="402"/>
      <x:c r="G59" s="402"/>
      <x:c r="H59" s="402"/>
      <x:c r="I59" s="402"/>
      <x:c r="J59" s="402"/>
      <x:c r="K59" s="402"/>
      <x:c r="L59" s="402"/>
      <x:c r="M59" s="402"/>
      <x:c r="N59" s="402"/>
      <x:c r="O59" s="402"/>
      <x:c r="P59" s="402"/>
      <x:c r="Q59" s="402"/>
      <x:c r="R59" s="402"/>
      <x:c r="S59" s="402"/>
      <x:c r="T59" s="402"/>
      <x:c r="U59" s="402"/>
      <x:c r="V59" s="402"/>
      <x:c r="W59" s="402"/>
      <x:c r="X59" s="402"/>
      <x:c r="Y59" s="402"/>
      <x:c r="Z59" s="402"/>
    </x:row>
    <x:row r="60">
      <x:c r="A60" s="402"/>
      <x:c r="B60" s="402"/>
      <x:c r="C60" s="402"/>
      <x:c r="D60" s="402"/>
      <x:c r="E60" s="402"/>
      <x:c r="F60" s="402"/>
      <x:c r="G60" s="402"/>
      <x:c r="H60" s="402"/>
      <x:c r="I60" s="402"/>
      <x:c r="J60" s="402"/>
      <x:c r="K60" s="402"/>
      <x:c r="L60" s="402"/>
      <x:c r="M60" s="402"/>
      <x:c r="N60" s="402"/>
      <x:c r="O60" s="402"/>
      <x:c r="P60" s="402"/>
      <x:c r="Q60" s="402"/>
      <x:c r="R60" s="402"/>
      <x:c r="S60" s="402"/>
      <x:c r="T60" s="402"/>
      <x:c r="U60" s="402"/>
      <x:c r="V60" s="402"/>
      <x:c r="W60" s="402"/>
      <x:c r="X60" s="402"/>
      <x:c r="Y60" s="402"/>
      <x:c r="Z60" s="402"/>
    </x:row>
    <x:row r="61">
      <x:c r="A61" s="402"/>
      <x:c r="B61" s="402"/>
      <x:c r="C61" s="402"/>
      <x:c r="D61" s="402"/>
      <x:c r="E61" s="402"/>
      <x:c r="F61" s="402"/>
      <x:c r="G61" s="402"/>
      <x:c r="H61" s="402"/>
      <x:c r="I61" s="402"/>
      <x:c r="J61" s="402"/>
      <x:c r="K61" s="402"/>
      <x:c r="L61" s="402"/>
      <x:c r="M61" s="402"/>
      <x:c r="N61" s="402"/>
      <x:c r="O61" s="402"/>
      <x:c r="P61" s="402"/>
      <x:c r="Q61" s="402"/>
      <x:c r="R61" s="402"/>
      <x:c r="S61" s="402"/>
      <x:c r="T61" s="402"/>
      <x:c r="U61" s="402"/>
      <x:c r="V61" s="402"/>
      <x:c r="W61" s="402"/>
      <x:c r="X61" s="402"/>
      <x:c r="Y61" s="402"/>
      <x:c r="Z61" s="402"/>
    </x:row>
    <x:row r="62">
      <x:c r="A62" s="402"/>
      <x:c r="B62" s="402"/>
      <x:c r="C62" s="402"/>
      <x:c r="D62" s="402"/>
      <x:c r="E62" s="402"/>
      <x:c r="F62" s="402"/>
      <x:c r="G62" s="402"/>
      <x:c r="H62" s="402"/>
      <x:c r="I62" s="402"/>
      <x:c r="J62" s="402"/>
      <x:c r="K62" s="402"/>
      <x:c r="L62" s="402"/>
      <x:c r="M62" s="402"/>
      <x:c r="N62" s="402"/>
      <x:c r="O62" s="402"/>
      <x:c r="P62" s="402"/>
      <x:c r="Q62" s="402"/>
      <x:c r="R62" s="402"/>
      <x:c r="S62" s="402"/>
      <x:c r="T62" s="402"/>
      <x:c r="U62" s="402"/>
      <x:c r="V62" s="402"/>
      <x:c r="W62" s="402"/>
      <x:c r="X62" s="402"/>
      <x:c r="Y62" s="402"/>
      <x:c r="Z62" s="402"/>
    </x:row>
    <x:row r="63">
      <x:c r="A63" s="402"/>
      <x:c r="B63" s="402"/>
      <x:c r="C63" s="402"/>
      <x:c r="D63" s="402"/>
      <x:c r="E63" s="402"/>
      <x:c r="F63" s="402"/>
      <x:c r="G63" s="402"/>
      <x:c r="H63" s="402"/>
      <x:c r="I63" s="402"/>
      <x:c r="J63" s="402"/>
      <x:c r="K63" s="402"/>
      <x:c r="L63" s="402"/>
      <x:c r="M63" s="402"/>
      <x:c r="N63" s="402"/>
      <x:c r="O63" s="402"/>
      <x:c r="P63" s="402"/>
      <x:c r="Q63" s="402"/>
      <x:c r="R63" s="402"/>
      <x:c r="S63" s="402"/>
      <x:c r="T63" s="402"/>
      <x:c r="U63" s="402"/>
      <x:c r="V63" s="402"/>
      <x:c r="W63" s="402"/>
      <x:c r="X63" s="402"/>
      <x:c r="Y63" s="402"/>
      <x:c r="Z63" s="402"/>
    </x:row>
    <x:row r="64">
      <x:c r="A64" s="402"/>
      <x:c r="B64" s="402"/>
      <x:c r="C64" s="402"/>
      <x:c r="D64" s="402"/>
      <x:c r="E64" s="402"/>
      <x:c r="F64" s="402"/>
      <x:c r="G64" s="402"/>
      <x:c r="H64" s="402"/>
      <x:c r="I64" s="402"/>
      <x:c r="J64" s="402"/>
      <x:c r="K64" s="402"/>
      <x:c r="L64" s="402"/>
      <x:c r="M64" s="402"/>
      <x:c r="N64" s="402"/>
      <x:c r="O64" s="402"/>
      <x:c r="P64" s="402"/>
      <x:c r="Q64" s="402"/>
      <x:c r="R64" s="402"/>
      <x:c r="S64" s="402"/>
      <x:c r="T64" s="402"/>
      <x:c r="U64" s="402"/>
      <x:c r="V64" s="402"/>
      <x:c r="W64" s="402"/>
      <x:c r="X64" s="402"/>
      <x:c r="Y64" s="402"/>
      <x:c r="Z64" s="402"/>
    </x:row>
    <x:row r="65">
      <x:c r="A65" s="402"/>
      <x:c r="B65" s="402"/>
      <x:c r="C65" s="402"/>
      <x:c r="D65" s="402"/>
      <x:c r="E65" s="402"/>
      <x:c r="F65" s="402"/>
      <x:c r="G65" s="402"/>
      <x:c r="H65" s="402"/>
      <x:c r="I65" s="402"/>
      <x:c r="J65" s="402"/>
      <x:c r="K65" s="402"/>
      <x:c r="L65" s="402"/>
      <x:c r="M65" s="402"/>
      <x:c r="N65" s="402"/>
      <x:c r="O65" s="402"/>
      <x:c r="P65" s="402"/>
      <x:c r="Q65" s="402"/>
      <x:c r="R65" s="402"/>
      <x:c r="S65" s="402"/>
      <x:c r="T65" s="402"/>
      <x:c r="U65" s="402"/>
      <x:c r="V65" s="402"/>
      <x:c r="W65" s="402"/>
      <x:c r="X65" s="402"/>
      <x:c r="Y65" s="402"/>
      <x:c r="Z65" s="402"/>
    </x:row>
    <x:row r="66">
      <x:c r="A66" s="402"/>
      <x:c r="B66" s="402"/>
      <x:c r="C66" s="402"/>
      <x:c r="D66" s="402"/>
      <x:c r="E66" s="402"/>
      <x:c r="F66" s="402"/>
      <x:c r="G66" s="402"/>
      <x:c r="H66" s="402"/>
      <x:c r="I66" s="402"/>
      <x:c r="J66" s="402"/>
      <x:c r="K66" s="402"/>
      <x:c r="L66" s="402"/>
      <x:c r="M66" s="402"/>
      <x:c r="N66" s="402"/>
      <x:c r="O66" s="402"/>
      <x:c r="P66" s="402"/>
      <x:c r="Q66" s="402"/>
      <x:c r="R66" s="402"/>
      <x:c r="S66" s="402"/>
      <x:c r="T66" s="402"/>
      <x:c r="U66" s="402"/>
      <x:c r="V66" s="402"/>
      <x:c r="W66" s="402"/>
      <x:c r="X66" s="402"/>
      <x:c r="Y66" s="402"/>
      <x:c r="Z66" s="402"/>
    </x:row>
    <x:row r="67">
      <x:c r="A67" s="402"/>
      <x:c r="B67" s="402"/>
      <x:c r="C67" s="402"/>
      <x:c r="D67" s="402"/>
      <x:c r="E67" s="402"/>
      <x:c r="F67" s="402"/>
      <x:c r="G67" s="402"/>
      <x:c r="H67" s="402"/>
      <x:c r="I67" s="402"/>
      <x:c r="J67" s="402"/>
      <x:c r="K67" s="402"/>
      <x:c r="L67" s="402"/>
      <x:c r="M67" s="402"/>
      <x:c r="N67" s="402"/>
      <x:c r="O67" s="402"/>
      <x:c r="P67" s="402"/>
      <x:c r="Q67" s="402"/>
      <x:c r="R67" s="402"/>
      <x:c r="S67" s="402"/>
      <x:c r="T67" s="402"/>
      <x:c r="U67" s="402"/>
      <x:c r="V67" s="402"/>
      <x:c r="W67" s="402"/>
      <x:c r="X67" s="402"/>
      <x:c r="Y67" s="402"/>
      <x:c r="Z67" s="402"/>
    </x:row>
    <x:row r="68">
      <x:c r="A68" s="402"/>
      <x:c r="B68" s="402"/>
      <x:c r="C68" s="402"/>
      <x:c r="D68" s="402"/>
      <x:c r="E68" s="402"/>
      <x:c r="F68" s="402"/>
      <x:c r="G68" s="402"/>
      <x:c r="H68" s="402"/>
      <x:c r="I68" s="402"/>
      <x:c r="J68" s="402"/>
      <x:c r="K68" s="402"/>
      <x:c r="L68" s="402"/>
      <x:c r="M68" s="402"/>
      <x:c r="N68" s="402"/>
      <x:c r="O68" s="402"/>
      <x:c r="P68" s="402"/>
      <x:c r="Q68" s="402"/>
      <x:c r="R68" s="402"/>
      <x:c r="S68" s="402"/>
      <x:c r="T68" s="402"/>
      <x:c r="U68" s="402"/>
      <x:c r="V68" s="402"/>
      <x:c r="W68" s="402"/>
      <x:c r="X68" s="402"/>
      <x:c r="Y68" s="402"/>
      <x:c r="Z68" s="402"/>
    </x:row>
    <x:row r="69">
      <x:c r="A69" s="402"/>
      <x:c r="B69" s="402"/>
      <x:c r="C69" s="402"/>
      <x:c r="D69" s="402"/>
      <x:c r="E69" s="402"/>
      <x:c r="F69" s="402"/>
      <x:c r="G69" s="402"/>
      <x:c r="H69" s="402"/>
      <x:c r="I69" s="402"/>
      <x:c r="J69" s="402"/>
      <x:c r="K69" s="402"/>
      <x:c r="L69" s="402"/>
      <x:c r="M69" s="402"/>
      <x:c r="N69" s="402"/>
      <x:c r="O69" s="402"/>
      <x:c r="P69" s="402"/>
      <x:c r="Q69" s="402"/>
      <x:c r="R69" s="402"/>
      <x:c r="S69" s="402"/>
      <x:c r="T69" s="402"/>
      <x:c r="U69" s="402"/>
      <x:c r="V69" s="402"/>
      <x:c r="W69" s="402"/>
      <x:c r="X69" s="402"/>
      <x:c r="Y69" s="402"/>
      <x:c r="Z69" s="402"/>
    </x:row>
    <x:row r="70">
      <x:c r="A70" s="402"/>
      <x:c r="B70" s="402"/>
      <x:c r="C70" s="402"/>
      <x:c r="D70" s="402"/>
      <x:c r="E70" s="402"/>
      <x:c r="F70" s="402"/>
      <x:c r="G70" s="402"/>
      <x:c r="H70" s="402"/>
      <x:c r="I70" s="402"/>
      <x:c r="J70" s="402"/>
      <x:c r="K70" s="402"/>
      <x:c r="L70" s="402"/>
      <x:c r="M70" s="402"/>
      <x:c r="N70" s="402"/>
      <x:c r="O70" s="402"/>
      <x:c r="P70" s="402"/>
      <x:c r="Q70" s="402"/>
      <x:c r="R70" s="402"/>
      <x:c r="S70" s="402"/>
      <x:c r="T70" s="402"/>
      <x:c r="U70" s="402"/>
      <x:c r="V70" s="402"/>
      <x:c r="W70" s="402"/>
      <x:c r="X70" s="402"/>
      <x:c r="Y70" s="402"/>
      <x:c r="Z70" s="402"/>
    </x:row>
    <x:row r="71">
      <x:c r="A71" s="402"/>
      <x:c r="B71" s="402"/>
      <x:c r="C71" s="402"/>
      <x:c r="D71" s="402"/>
      <x:c r="E71" s="402"/>
      <x:c r="F71" s="402"/>
      <x:c r="G71" s="402"/>
      <x:c r="H71" s="402"/>
      <x:c r="I71" s="402"/>
      <x:c r="J71" s="402"/>
      <x:c r="K71" s="402"/>
      <x:c r="L71" s="402"/>
      <x:c r="M71" s="402"/>
      <x:c r="N71" s="402"/>
      <x:c r="O71" s="402"/>
      <x:c r="P71" s="402"/>
      <x:c r="Q71" s="402"/>
      <x:c r="R71" s="402"/>
      <x:c r="S71" s="402"/>
      <x:c r="T71" s="402"/>
      <x:c r="U71" s="402"/>
      <x:c r="V71" s="402"/>
      <x:c r="W71" s="402"/>
      <x:c r="X71" s="402"/>
      <x:c r="Y71" s="402"/>
      <x:c r="Z71" s="402"/>
    </x:row>
    <x:row r="72">
      <x:c r="A72" s="402"/>
      <x:c r="B72" s="402"/>
      <x:c r="C72" s="402"/>
      <x:c r="D72" s="402"/>
      <x:c r="E72" s="402"/>
      <x:c r="F72" s="402"/>
      <x:c r="G72" s="402"/>
      <x:c r="H72" s="402"/>
      <x:c r="I72" s="402"/>
      <x:c r="J72" s="402"/>
      <x:c r="K72" s="402"/>
      <x:c r="L72" s="402"/>
      <x:c r="M72" s="402"/>
      <x:c r="N72" s="402"/>
      <x:c r="O72" s="402"/>
      <x:c r="P72" s="402"/>
      <x:c r="Q72" s="402"/>
      <x:c r="R72" s="402"/>
      <x:c r="S72" s="402"/>
      <x:c r="T72" s="402"/>
      <x:c r="U72" s="402"/>
      <x:c r="V72" s="402"/>
      <x:c r="W72" s="402"/>
      <x:c r="X72" s="402"/>
      <x:c r="Y72" s="402"/>
      <x:c r="Z72" s="402"/>
    </x:row>
    <x:row r="73">
      <x:c r="A73" s="402"/>
      <x:c r="B73" s="402"/>
      <x:c r="C73" s="402"/>
      <x:c r="D73" s="402"/>
      <x:c r="E73" s="402"/>
      <x:c r="F73" s="402"/>
      <x:c r="G73" s="402"/>
      <x:c r="H73" s="402"/>
      <x:c r="I73" s="402"/>
      <x:c r="J73" s="402"/>
      <x:c r="K73" s="402"/>
      <x:c r="L73" s="402"/>
      <x:c r="M73" s="402"/>
      <x:c r="N73" s="402"/>
      <x:c r="O73" s="402"/>
      <x:c r="P73" s="402"/>
      <x:c r="Q73" s="402"/>
      <x:c r="R73" s="402"/>
      <x:c r="S73" s="402"/>
      <x:c r="T73" s="402"/>
      <x:c r="U73" s="402"/>
      <x:c r="V73" s="402"/>
      <x:c r="W73" s="402"/>
      <x:c r="X73" s="402"/>
      <x:c r="Y73" s="402"/>
      <x:c r="Z73" s="402"/>
    </x:row>
    <x:row r="74">
      <x:c r="A74" s="402"/>
      <x:c r="B74" s="402"/>
      <x:c r="C74" s="402"/>
      <x:c r="D74" s="402"/>
      <x:c r="E74" s="402"/>
      <x:c r="F74" s="402"/>
      <x:c r="G74" s="402"/>
      <x:c r="H74" s="402"/>
      <x:c r="I74" s="402"/>
      <x:c r="J74" s="402"/>
      <x:c r="K74" s="402"/>
      <x:c r="L74" s="402"/>
      <x:c r="M74" s="402"/>
      <x:c r="N74" s="402"/>
      <x:c r="O74" s="402"/>
      <x:c r="P74" s="402"/>
      <x:c r="Q74" s="402"/>
      <x:c r="R74" s="402"/>
      <x:c r="S74" s="402"/>
      <x:c r="T74" s="402"/>
      <x:c r="U74" s="402"/>
      <x:c r="V74" s="402"/>
      <x:c r="W74" s="402"/>
      <x:c r="X74" s="402"/>
      <x:c r="Y74" s="402"/>
      <x:c r="Z74" s="402"/>
    </x:row>
    <x:row r="75">
      <x:c r="A75" s="402"/>
      <x:c r="B75" s="402"/>
      <x:c r="C75" s="402"/>
      <x:c r="D75" s="402"/>
      <x:c r="E75" s="402"/>
      <x:c r="F75" s="402"/>
      <x:c r="G75" s="402"/>
      <x:c r="H75" s="402"/>
      <x:c r="I75" s="402"/>
      <x:c r="J75" s="402"/>
      <x:c r="K75" s="402"/>
      <x:c r="L75" s="402"/>
      <x:c r="M75" s="402"/>
      <x:c r="N75" s="402"/>
      <x:c r="O75" s="402"/>
      <x:c r="P75" s="402"/>
      <x:c r="Q75" s="402"/>
      <x:c r="R75" s="402"/>
      <x:c r="S75" s="402"/>
      <x:c r="T75" s="402"/>
      <x:c r="U75" s="402"/>
      <x:c r="V75" s="402"/>
      <x:c r="W75" s="402"/>
      <x:c r="X75" s="402"/>
      <x:c r="Y75" s="402"/>
      <x:c r="Z75" s="402"/>
    </x:row>
    <x:row r="76">
      <x:c r="A76" s="402"/>
      <x:c r="B76" s="402"/>
      <x:c r="C76" s="402"/>
      <x:c r="D76" s="402"/>
      <x:c r="E76" s="402"/>
      <x:c r="F76" s="402"/>
      <x:c r="G76" s="402"/>
      <x:c r="H76" s="402"/>
      <x:c r="I76" s="402"/>
      <x:c r="J76" s="402"/>
      <x:c r="K76" s="402"/>
      <x:c r="L76" s="402"/>
      <x:c r="M76" s="402"/>
      <x:c r="N76" s="402"/>
      <x:c r="O76" s="402"/>
      <x:c r="P76" s="402"/>
      <x:c r="Q76" s="402"/>
      <x:c r="R76" s="402"/>
      <x:c r="S76" s="402"/>
      <x:c r="T76" s="402"/>
      <x:c r="U76" s="402"/>
      <x:c r="V76" s="402"/>
      <x:c r="W76" s="402"/>
      <x:c r="X76" s="402"/>
      <x:c r="Y76" s="402"/>
      <x:c r="Z76" s="402"/>
    </x:row>
    <x:row r="77">
      <x:c r="A77" s="402"/>
      <x:c r="B77" s="402"/>
      <x:c r="C77" s="402"/>
      <x:c r="D77" s="402"/>
      <x:c r="E77" s="402"/>
      <x:c r="F77" s="402"/>
      <x:c r="G77" s="402"/>
      <x:c r="H77" s="402"/>
      <x:c r="I77" s="402"/>
      <x:c r="J77" s="402"/>
      <x:c r="K77" s="402"/>
      <x:c r="L77" s="402"/>
      <x:c r="M77" s="402"/>
      <x:c r="N77" s="402"/>
      <x:c r="O77" s="402"/>
      <x:c r="P77" s="402"/>
      <x:c r="Q77" s="402"/>
      <x:c r="R77" s="402"/>
      <x:c r="S77" s="402"/>
      <x:c r="T77" s="402"/>
      <x:c r="U77" s="402"/>
      <x:c r="V77" s="402"/>
      <x:c r="W77" s="402"/>
      <x:c r="X77" s="402"/>
      <x:c r="Y77" s="402"/>
      <x:c r="Z77" s="402"/>
    </x:row>
    <x:row r="78">
      <x:c r="A78" s="402"/>
      <x:c r="B78" s="402"/>
      <x:c r="C78" s="402"/>
      <x:c r="D78" s="402"/>
      <x:c r="E78" s="402"/>
      <x:c r="F78" s="402"/>
      <x:c r="G78" s="402"/>
      <x:c r="H78" s="402"/>
      <x:c r="I78" s="402"/>
      <x:c r="J78" s="402"/>
      <x:c r="K78" s="402"/>
      <x:c r="L78" s="402"/>
      <x:c r="M78" s="402"/>
      <x:c r="N78" s="402"/>
      <x:c r="O78" s="402"/>
      <x:c r="P78" s="402"/>
      <x:c r="Q78" s="402"/>
      <x:c r="R78" s="402"/>
      <x:c r="S78" s="402"/>
      <x:c r="T78" s="402"/>
      <x:c r="U78" s="402"/>
      <x:c r="V78" s="402"/>
      <x:c r="W78" s="402"/>
      <x:c r="X78" s="402"/>
      <x:c r="Y78" s="402"/>
      <x:c r="Z78" s="402"/>
    </x:row>
    <x:row r="79">
      <x:c r="A79" s="402"/>
      <x:c r="B79" s="402"/>
      <x:c r="C79" s="402"/>
      <x:c r="D79" s="402"/>
      <x:c r="E79" s="402"/>
      <x:c r="F79" s="402"/>
      <x:c r="G79" s="402"/>
      <x:c r="H79" s="402"/>
      <x:c r="I79" s="402"/>
      <x:c r="J79" s="402"/>
      <x:c r="K79" s="402"/>
      <x:c r="L79" s="402"/>
      <x:c r="M79" s="402"/>
      <x:c r="N79" s="402"/>
      <x:c r="O79" s="402"/>
      <x:c r="P79" s="402"/>
      <x:c r="Q79" s="402"/>
      <x:c r="R79" s="402"/>
      <x:c r="S79" s="402"/>
      <x:c r="T79" s="402"/>
      <x:c r="U79" s="402"/>
      <x:c r="V79" s="402"/>
      <x:c r="W79" s="402"/>
      <x:c r="X79" s="402"/>
      <x:c r="Y79" s="402"/>
      <x:c r="Z79" s="402"/>
    </x:row>
    <x:row r="80">
      <x:c r="A80" s="402"/>
      <x:c r="B80" s="402"/>
      <x:c r="C80" s="402"/>
      <x:c r="D80" s="402"/>
      <x:c r="E80" s="402"/>
      <x:c r="F80" s="402"/>
      <x:c r="G80" s="402"/>
      <x:c r="H80" s="402"/>
      <x:c r="I80" s="402"/>
      <x:c r="J80" s="402"/>
      <x:c r="K80" s="402"/>
      <x:c r="L80" s="402"/>
      <x:c r="M80" s="402"/>
      <x:c r="N80" s="402"/>
      <x:c r="O80" s="402"/>
      <x:c r="P80" s="402"/>
      <x:c r="Q80" s="402"/>
      <x:c r="R80" s="402"/>
      <x:c r="S80" s="402"/>
      <x:c r="T80" s="402"/>
      <x:c r="U80" s="402"/>
      <x:c r="V80" s="402"/>
      <x:c r="W80" s="402"/>
      <x:c r="X80" s="402"/>
      <x:c r="Y80" s="402"/>
      <x:c r="Z80" s="402"/>
    </x:row>
    <x:row r="81">
      <x:c r="A81" s="402"/>
      <x:c r="B81" s="402"/>
      <x:c r="C81" s="402"/>
      <x:c r="D81" s="402"/>
      <x:c r="E81" s="402"/>
      <x:c r="F81" s="402"/>
      <x:c r="G81" s="402"/>
      <x:c r="H81" s="402"/>
      <x:c r="I81" s="402"/>
      <x:c r="J81" s="402"/>
      <x:c r="K81" s="402"/>
      <x:c r="L81" s="402"/>
      <x:c r="M81" s="402"/>
      <x:c r="N81" s="402"/>
      <x:c r="O81" s="402"/>
      <x:c r="P81" s="402"/>
      <x:c r="Q81" s="402"/>
      <x:c r="R81" s="402"/>
      <x:c r="S81" s="402"/>
      <x:c r="T81" s="402"/>
      <x:c r="U81" s="402"/>
      <x:c r="V81" s="402"/>
      <x:c r="W81" s="402"/>
      <x:c r="X81" s="402"/>
      <x:c r="Y81" s="402"/>
      <x:c r="Z81" s="402"/>
    </x:row>
    <x:row r="82">
      <x:c r="A82" s="402"/>
      <x:c r="B82" s="402"/>
      <x:c r="C82" s="402"/>
      <x:c r="D82" s="402"/>
      <x:c r="E82" s="402"/>
      <x:c r="F82" s="402"/>
      <x:c r="G82" s="402"/>
      <x:c r="H82" s="402"/>
      <x:c r="I82" s="402"/>
      <x:c r="J82" s="402"/>
      <x:c r="K82" s="402"/>
      <x:c r="L82" s="402"/>
      <x:c r="M82" s="402"/>
      <x:c r="N82" s="402"/>
      <x:c r="O82" s="402"/>
      <x:c r="P82" s="402"/>
      <x:c r="Q82" s="402"/>
      <x:c r="R82" s="402"/>
      <x:c r="S82" s="402"/>
      <x:c r="T82" s="402"/>
      <x:c r="U82" s="402"/>
      <x:c r="V82" s="402"/>
      <x:c r="W82" s="402"/>
      <x:c r="X82" s="402"/>
      <x:c r="Y82" s="402"/>
      <x:c r="Z82" s="402"/>
    </x:row>
    <x:row r="83">
      <x:c r="A83" s="402"/>
      <x:c r="B83" s="402"/>
      <x:c r="C83" s="402"/>
      <x:c r="D83" s="402"/>
      <x:c r="E83" s="402"/>
      <x:c r="F83" s="402"/>
      <x:c r="G83" s="402"/>
      <x:c r="H83" s="402"/>
      <x:c r="I83" s="402"/>
      <x:c r="J83" s="402"/>
      <x:c r="K83" s="402"/>
      <x:c r="L83" s="402"/>
      <x:c r="M83" s="402"/>
      <x:c r="N83" s="402"/>
      <x:c r="O83" s="402"/>
      <x:c r="P83" s="402"/>
      <x:c r="Q83" s="402"/>
      <x:c r="R83" s="402"/>
      <x:c r="S83" s="402"/>
      <x:c r="T83" s="402"/>
      <x:c r="U83" s="402"/>
      <x:c r="V83" s="402"/>
      <x:c r="W83" s="402"/>
      <x:c r="X83" s="402"/>
      <x:c r="Y83" s="402"/>
      <x:c r="Z83" s="402"/>
    </x:row>
    <x:row r="84">
      <x:c r="A84" s="402"/>
      <x:c r="B84" s="402"/>
      <x:c r="C84" s="402"/>
      <x:c r="D84" s="402"/>
      <x:c r="E84" s="402"/>
      <x:c r="F84" s="402"/>
      <x:c r="G84" s="402"/>
      <x:c r="H84" s="402"/>
      <x:c r="I84" s="402"/>
      <x:c r="J84" s="402"/>
      <x:c r="K84" s="402"/>
      <x:c r="L84" s="402"/>
      <x:c r="M84" s="402"/>
      <x:c r="N84" s="402"/>
      <x:c r="O84" s="402"/>
      <x:c r="P84" s="402"/>
      <x:c r="Q84" s="402"/>
      <x:c r="R84" s="402"/>
      <x:c r="S84" s="402"/>
      <x:c r="T84" s="402"/>
      <x:c r="U84" s="402"/>
      <x:c r="V84" s="402"/>
      <x:c r="W84" s="402"/>
      <x:c r="X84" s="402"/>
      <x:c r="Y84" s="402"/>
      <x:c r="Z84" s="402"/>
    </x:row>
    <x:row r="85">
      <x:c r="A85" s="402"/>
      <x:c r="B85" s="402"/>
      <x:c r="C85" s="402"/>
      <x:c r="D85" s="402"/>
      <x:c r="E85" s="402"/>
      <x:c r="F85" s="402"/>
      <x:c r="G85" s="402"/>
      <x:c r="H85" s="402"/>
      <x:c r="I85" s="402"/>
      <x:c r="J85" s="402"/>
      <x:c r="K85" s="402"/>
      <x:c r="L85" s="402"/>
      <x:c r="M85" s="402"/>
      <x:c r="N85" s="402"/>
      <x:c r="O85" s="402"/>
      <x:c r="P85" s="402"/>
      <x:c r="Q85" s="402"/>
      <x:c r="R85" s="402"/>
      <x:c r="S85" s="402"/>
      <x:c r="T85" s="402"/>
      <x:c r="U85" s="402"/>
      <x:c r="V85" s="402"/>
      <x:c r="W85" s="402"/>
      <x:c r="X85" s="402"/>
      <x:c r="Y85" s="402"/>
      <x:c r="Z85" s="402"/>
    </x:row>
    <x:row r="86">
      <x:c r="A86" s="402"/>
      <x:c r="B86" s="402"/>
      <x:c r="C86" s="402"/>
      <x:c r="D86" s="402"/>
      <x:c r="E86" s="402"/>
      <x:c r="F86" s="402"/>
      <x:c r="G86" s="402"/>
      <x:c r="H86" s="402"/>
      <x:c r="I86" s="402"/>
      <x:c r="J86" s="402"/>
      <x:c r="K86" s="402"/>
      <x:c r="L86" s="402"/>
      <x:c r="M86" s="402"/>
      <x:c r="N86" s="402"/>
      <x:c r="O86" s="402"/>
      <x:c r="P86" s="402"/>
      <x:c r="Q86" s="402"/>
      <x:c r="R86" s="402"/>
      <x:c r="S86" s="402"/>
      <x:c r="T86" s="402"/>
      <x:c r="U86" s="402"/>
      <x:c r="V86" s="402"/>
      <x:c r="W86" s="402"/>
      <x:c r="X86" s="402"/>
      <x:c r="Y86" s="402"/>
      <x:c r="Z86" s="402"/>
    </x:row>
    <x:row r="87">
      <x:c r="A87" s="402"/>
      <x:c r="B87" s="402"/>
      <x:c r="C87" s="402"/>
      <x:c r="D87" s="402"/>
      <x:c r="E87" s="402"/>
      <x:c r="F87" s="402"/>
      <x:c r="G87" s="402"/>
      <x:c r="H87" s="402"/>
      <x:c r="I87" s="402"/>
      <x:c r="J87" s="402"/>
      <x:c r="K87" s="402"/>
      <x:c r="L87" s="402"/>
      <x:c r="M87" s="402"/>
      <x:c r="N87" s="402"/>
      <x:c r="O87" s="402"/>
      <x:c r="P87" s="402"/>
      <x:c r="Q87" s="402"/>
      <x:c r="R87" s="402"/>
      <x:c r="S87" s="402"/>
      <x:c r="T87" s="402"/>
      <x:c r="U87" s="402"/>
      <x:c r="V87" s="402"/>
      <x:c r="W87" s="402"/>
      <x:c r="X87" s="402"/>
      <x:c r="Y87" s="402"/>
      <x:c r="Z87" s="402"/>
    </x:row>
    <x:row r="88">
      <x:c r="A88" s="402"/>
      <x:c r="B88" s="402"/>
      <x:c r="C88" s="402"/>
      <x:c r="D88" s="402"/>
      <x:c r="E88" s="402"/>
      <x:c r="F88" s="402"/>
      <x:c r="G88" s="402"/>
      <x:c r="H88" s="402"/>
      <x:c r="I88" s="402"/>
      <x:c r="J88" s="402"/>
      <x:c r="K88" s="402"/>
      <x:c r="L88" s="402"/>
      <x:c r="M88" s="402"/>
      <x:c r="N88" s="402"/>
      <x:c r="O88" s="402"/>
      <x:c r="P88" s="402"/>
      <x:c r="Q88" s="402"/>
      <x:c r="R88" s="402"/>
      <x:c r="S88" s="402"/>
      <x:c r="T88" s="402"/>
      <x:c r="U88" s="402"/>
      <x:c r="V88" s="402"/>
      <x:c r="W88" s="402"/>
      <x:c r="X88" s="402"/>
      <x:c r="Y88" s="402"/>
      <x:c r="Z88" s="402"/>
    </x:row>
    <x:row r="89">
      <x:c r="A89" s="402"/>
      <x:c r="B89" s="402"/>
      <x:c r="C89" s="402"/>
      <x:c r="D89" s="402"/>
      <x:c r="E89" s="402"/>
      <x:c r="F89" s="402"/>
      <x:c r="G89" s="402"/>
      <x:c r="H89" s="402"/>
      <x:c r="I89" s="402"/>
      <x:c r="J89" s="402"/>
      <x:c r="K89" s="402"/>
      <x:c r="L89" s="402"/>
      <x:c r="M89" s="402"/>
      <x:c r="N89" s="402"/>
      <x:c r="O89" s="402"/>
      <x:c r="P89" s="402"/>
      <x:c r="Q89" s="402"/>
      <x:c r="R89" s="402"/>
      <x:c r="S89" s="402"/>
      <x:c r="T89" s="402"/>
      <x:c r="U89" s="402"/>
      <x:c r="V89" s="402"/>
      <x:c r="W89" s="402"/>
      <x:c r="X89" s="402"/>
      <x:c r="Y89" s="402"/>
      <x:c r="Z89" s="402"/>
    </x:row>
    <x:row r="90">
      <x:c r="A90" s="402"/>
      <x:c r="B90" s="402"/>
      <x:c r="C90" s="402"/>
      <x:c r="D90" s="402"/>
      <x:c r="E90" s="402"/>
      <x:c r="F90" s="402"/>
      <x:c r="G90" s="402"/>
      <x:c r="H90" s="402"/>
      <x:c r="I90" s="402"/>
      <x:c r="J90" s="402"/>
      <x:c r="K90" s="402"/>
      <x:c r="L90" s="402"/>
      <x:c r="M90" s="402"/>
      <x:c r="N90" s="402"/>
      <x:c r="O90" s="402"/>
      <x:c r="P90" s="402"/>
      <x:c r="Q90" s="402"/>
      <x:c r="R90" s="402"/>
      <x:c r="S90" s="402"/>
      <x:c r="T90" s="402"/>
      <x:c r="U90" s="402"/>
      <x:c r="V90" s="402"/>
      <x:c r="W90" s="402"/>
      <x:c r="X90" s="402"/>
      <x:c r="Y90" s="402"/>
      <x:c r="Z90" s="402"/>
    </x:row>
    <x:row r="91">
      <x:c r="A91" s="402"/>
      <x:c r="B91" s="402"/>
      <x:c r="C91" s="402"/>
      <x:c r="D91" s="402"/>
      <x:c r="E91" s="402"/>
      <x:c r="F91" s="402"/>
      <x:c r="G91" s="402"/>
      <x:c r="H91" s="402"/>
      <x:c r="I91" s="402"/>
      <x:c r="J91" s="402"/>
      <x:c r="K91" s="402"/>
      <x:c r="L91" s="402"/>
      <x:c r="M91" s="402"/>
      <x:c r="N91" s="402"/>
      <x:c r="O91" s="402"/>
      <x:c r="P91" s="402"/>
      <x:c r="Q91" s="402"/>
      <x:c r="R91" s="402"/>
      <x:c r="S91" s="402"/>
      <x:c r="T91" s="402"/>
      <x:c r="U91" s="402"/>
      <x:c r="V91" s="402"/>
      <x:c r="W91" s="402"/>
      <x:c r="X91" s="402"/>
      <x:c r="Y91" s="402"/>
      <x:c r="Z91" s="402"/>
    </x:row>
    <x:row r="92">
      <x:c r="A92" s="402"/>
      <x:c r="B92" s="402"/>
      <x:c r="C92" s="402"/>
      <x:c r="D92" s="402"/>
      <x:c r="E92" s="402"/>
      <x:c r="F92" s="402"/>
      <x:c r="G92" s="402"/>
      <x:c r="H92" s="402"/>
      <x:c r="I92" s="402"/>
      <x:c r="J92" s="402"/>
      <x:c r="K92" s="402"/>
      <x:c r="L92" s="402"/>
      <x:c r="M92" s="402"/>
      <x:c r="N92" s="402"/>
      <x:c r="O92" s="402"/>
      <x:c r="P92" s="402"/>
      <x:c r="Q92" s="402"/>
      <x:c r="R92" s="402"/>
      <x:c r="S92" s="402"/>
      <x:c r="T92" s="402"/>
      <x:c r="U92" s="402"/>
      <x:c r="V92" s="402"/>
      <x:c r="W92" s="402"/>
      <x:c r="X92" s="402"/>
      <x:c r="Y92" s="402"/>
      <x:c r="Z92" s="402"/>
    </x:row>
    <x:row r="93">
      <x:c r="A93" s="402"/>
      <x:c r="B93" s="402"/>
      <x:c r="C93" s="402"/>
      <x:c r="D93" s="402"/>
      <x:c r="E93" s="402"/>
      <x:c r="F93" s="402"/>
      <x:c r="G93" s="402"/>
      <x:c r="H93" s="402"/>
      <x:c r="I93" s="402"/>
      <x:c r="J93" s="402"/>
      <x:c r="K93" s="402"/>
      <x:c r="L93" s="402"/>
      <x:c r="M93" s="402"/>
      <x:c r="N93" s="402"/>
      <x:c r="O93" s="402"/>
      <x:c r="P93" s="402"/>
      <x:c r="Q93" s="402"/>
      <x:c r="R93" s="402"/>
      <x:c r="S93" s="402"/>
      <x:c r="T93" s="402"/>
      <x:c r="U93" s="402"/>
      <x:c r="V93" s="402"/>
      <x:c r="W93" s="402"/>
      <x:c r="X93" s="402"/>
      <x:c r="Y93" s="402"/>
      <x:c r="Z93" s="402"/>
    </x:row>
    <x:row r="94">
      <x:c r="A94" s="402"/>
      <x:c r="B94" s="402"/>
      <x:c r="C94" s="402"/>
      <x:c r="D94" s="402"/>
      <x:c r="E94" s="402"/>
      <x:c r="F94" s="402"/>
      <x:c r="G94" s="402"/>
      <x:c r="H94" s="402"/>
      <x:c r="I94" s="402"/>
      <x:c r="J94" s="402"/>
      <x:c r="K94" s="402"/>
      <x:c r="L94" s="402"/>
      <x:c r="M94" s="402"/>
      <x:c r="N94" s="402"/>
      <x:c r="O94" s="402"/>
      <x:c r="P94" s="402"/>
      <x:c r="Q94" s="402"/>
      <x:c r="R94" s="402"/>
      <x:c r="S94" s="402"/>
      <x:c r="T94" s="402"/>
      <x:c r="U94" s="402"/>
      <x:c r="V94" s="402"/>
      <x:c r="W94" s="402"/>
      <x:c r="X94" s="402"/>
      <x:c r="Y94" s="402"/>
      <x:c r="Z94" s="402"/>
    </x:row>
    <x:row r="95">
      <x:c r="A95" s="402"/>
      <x:c r="B95" s="402"/>
      <x:c r="C95" s="402"/>
      <x:c r="D95" s="402"/>
      <x:c r="E95" s="402"/>
      <x:c r="F95" s="402"/>
      <x:c r="G95" s="402"/>
      <x:c r="H95" s="402"/>
      <x:c r="I95" s="402"/>
      <x:c r="J95" s="402"/>
      <x:c r="K95" s="402"/>
      <x:c r="L95" s="402"/>
      <x:c r="M95" s="402"/>
      <x:c r="N95" s="402"/>
      <x:c r="O95" s="402"/>
      <x:c r="P95" s="402"/>
      <x:c r="Q95" s="402"/>
      <x:c r="R95" s="402"/>
      <x:c r="S95" s="402"/>
      <x:c r="T95" s="402"/>
      <x:c r="U95" s="402"/>
      <x:c r="V95" s="402"/>
      <x:c r="W95" s="402"/>
      <x:c r="X95" s="402"/>
      <x:c r="Y95" s="402"/>
      <x:c r="Z95" s="402"/>
    </x:row>
    <x:row r="96">
      <x:c r="A96" s="402"/>
      <x:c r="B96" s="402"/>
      <x:c r="C96" s="402"/>
      <x:c r="D96" s="402"/>
      <x:c r="E96" s="402"/>
      <x:c r="F96" s="402"/>
      <x:c r="G96" s="402"/>
      <x:c r="H96" s="402"/>
      <x:c r="I96" s="402"/>
      <x:c r="J96" s="402"/>
      <x:c r="K96" s="402"/>
      <x:c r="L96" s="402"/>
      <x:c r="M96" s="402"/>
      <x:c r="N96" s="402"/>
      <x:c r="O96" s="402"/>
      <x:c r="P96" s="402"/>
      <x:c r="Q96" s="402"/>
      <x:c r="R96" s="402"/>
      <x:c r="S96" s="402"/>
      <x:c r="T96" s="402"/>
      <x:c r="U96" s="402"/>
      <x:c r="V96" s="402"/>
      <x:c r="W96" s="402"/>
      <x:c r="X96" s="402"/>
      <x:c r="Y96" s="402"/>
      <x:c r="Z96" s="402"/>
    </x:row>
    <x:row r="97">
      <x:c r="A97" s="402"/>
      <x:c r="B97" s="402"/>
      <x:c r="C97" s="402"/>
      <x:c r="D97" s="402"/>
      <x:c r="E97" s="402"/>
      <x:c r="F97" s="402"/>
      <x:c r="G97" s="402"/>
      <x:c r="H97" s="402"/>
      <x:c r="I97" s="402"/>
      <x:c r="J97" s="402"/>
      <x:c r="K97" s="402"/>
      <x:c r="L97" s="402"/>
      <x:c r="M97" s="402"/>
      <x:c r="N97" s="402"/>
      <x:c r="O97" s="402"/>
      <x:c r="P97" s="402"/>
      <x:c r="Q97" s="402"/>
      <x:c r="R97" s="402"/>
      <x:c r="S97" s="402"/>
      <x:c r="T97" s="402"/>
      <x:c r="U97" s="402"/>
      <x:c r="V97" s="402"/>
      <x:c r="W97" s="402"/>
      <x:c r="X97" s="402"/>
      <x:c r="Y97" s="402"/>
      <x:c r="Z97" s="402"/>
    </x:row>
    <x:row r="98">
      <x:c r="A98" s="402"/>
      <x:c r="B98" s="402"/>
      <x:c r="C98" s="402"/>
      <x:c r="D98" s="402"/>
      <x:c r="E98" s="402"/>
      <x:c r="F98" s="402"/>
      <x:c r="G98" s="402"/>
      <x:c r="H98" s="402"/>
      <x:c r="I98" s="402"/>
      <x:c r="J98" s="402"/>
      <x:c r="K98" s="402"/>
      <x:c r="L98" s="402"/>
      <x:c r="M98" s="402"/>
      <x:c r="N98" s="402"/>
      <x:c r="O98" s="402"/>
      <x:c r="P98" s="402"/>
      <x:c r="Q98" s="402"/>
      <x:c r="R98" s="402"/>
      <x:c r="S98" s="402"/>
      <x:c r="T98" s="402"/>
      <x:c r="U98" s="402"/>
      <x:c r="V98" s="402"/>
      <x:c r="W98" s="402"/>
      <x:c r="X98" s="402"/>
      <x:c r="Y98" s="402"/>
      <x:c r="Z98" s="402"/>
    </x:row>
    <x:row r="99">
      <x:c r="A99" s="402"/>
      <x:c r="B99" s="402"/>
      <x:c r="C99" s="402"/>
      <x:c r="D99" s="402"/>
      <x:c r="E99" s="402"/>
      <x:c r="F99" s="402"/>
      <x:c r="G99" s="402"/>
      <x:c r="H99" s="402"/>
      <x:c r="I99" s="402"/>
      <x:c r="J99" s="402"/>
      <x:c r="K99" s="402"/>
      <x:c r="L99" s="402"/>
      <x:c r="M99" s="402"/>
      <x:c r="N99" s="402"/>
      <x:c r="O99" s="402"/>
      <x:c r="P99" s="402"/>
      <x:c r="Q99" s="402"/>
      <x:c r="R99" s="402"/>
      <x:c r="S99" s="402"/>
      <x:c r="T99" s="402"/>
      <x:c r="U99" s="402"/>
      <x:c r="V99" s="402"/>
      <x:c r="W99" s="402"/>
      <x:c r="X99" s="402"/>
      <x:c r="Y99" s="402"/>
      <x:c r="Z99" s="402"/>
    </x:row>
    <x:row r="100">
      <x:c r="A100" s="402"/>
      <x:c r="B100" s="402"/>
      <x:c r="C100" s="402"/>
      <x:c r="D100" s="402"/>
      <x:c r="E100" s="402"/>
      <x:c r="F100" s="402"/>
      <x:c r="G100" s="402"/>
      <x:c r="H100" s="402"/>
      <x:c r="I100" s="402"/>
      <x:c r="J100" s="402"/>
      <x:c r="K100" s="402"/>
      <x:c r="L100" s="402"/>
      <x:c r="M100" s="402"/>
      <x:c r="N100" s="402"/>
      <x:c r="O100" s="402"/>
      <x:c r="P100" s="402"/>
      <x:c r="Q100" s="402"/>
      <x:c r="R100" s="402"/>
      <x:c r="S100" s="402"/>
      <x:c r="T100" s="402"/>
      <x:c r="U100" s="402"/>
      <x:c r="V100" s="402"/>
      <x:c r="W100" s="402"/>
      <x:c r="X100" s="402"/>
      <x:c r="Y100" s="402"/>
      <x:c r="Z100" s="402"/>
    </x:row>
    <x:row r="101">
      <x:c r="A101" s="402"/>
      <x:c r="B101" s="402"/>
      <x:c r="C101" s="402"/>
      <x:c r="D101" s="402"/>
      <x:c r="E101" s="402"/>
      <x:c r="F101" s="402"/>
      <x:c r="G101" s="402"/>
      <x:c r="H101" s="402"/>
      <x:c r="I101" s="402"/>
      <x:c r="J101" s="402"/>
      <x:c r="K101" s="402"/>
      <x:c r="L101" s="402"/>
      <x:c r="M101" s="402"/>
      <x:c r="N101" s="402"/>
      <x:c r="O101" s="402"/>
      <x:c r="P101" s="402"/>
      <x:c r="Q101" s="402"/>
      <x:c r="R101" s="402"/>
      <x:c r="S101" s="402"/>
      <x:c r="T101" s="402"/>
      <x:c r="U101" s="402"/>
      <x:c r="V101" s="402"/>
      <x:c r="W101" s="402"/>
      <x:c r="X101" s="402"/>
      <x:c r="Y101" s="402"/>
      <x:c r="Z101" s="402"/>
    </x:row>
    <x:row r="102">
      <x:c r="A102" s="402"/>
      <x:c r="B102" s="402"/>
      <x:c r="C102" s="402"/>
      <x:c r="D102" s="402"/>
      <x:c r="E102" s="402"/>
      <x:c r="F102" s="402"/>
      <x:c r="G102" s="402"/>
      <x:c r="H102" s="402"/>
      <x:c r="I102" s="402"/>
      <x:c r="J102" s="402"/>
      <x:c r="K102" s="402"/>
      <x:c r="L102" s="402"/>
      <x:c r="M102" s="402"/>
      <x:c r="N102" s="402"/>
      <x:c r="O102" s="402"/>
      <x:c r="P102" s="402"/>
      <x:c r="Q102" s="402"/>
      <x:c r="R102" s="402"/>
      <x:c r="S102" s="402"/>
      <x:c r="T102" s="402"/>
      <x:c r="U102" s="402"/>
      <x:c r="V102" s="402"/>
      <x:c r="W102" s="402"/>
      <x:c r="X102" s="402"/>
      <x:c r="Y102" s="402"/>
      <x:c r="Z102" s="402"/>
    </x:row>
    <x:row r="103">
      <x:c r="A103" s="402"/>
      <x:c r="B103" s="402"/>
      <x:c r="C103" s="402"/>
      <x:c r="D103" s="402"/>
      <x:c r="E103" s="402"/>
      <x:c r="F103" s="402"/>
      <x:c r="G103" s="402"/>
      <x:c r="H103" s="402"/>
      <x:c r="I103" s="402"/>
      <x:c r="J103" s="402"/>
      <x:c r="K103" s="402"/>
      <x:c r="L103" s="402"/>
      <x:c r="M103" s="402"/>
      <x:c r="N103" s="402"/>
      <x:c r="O103" s="402"/>
      <x:c r="P103" s="402"/>
      <x:c r="Q103" s="402"/>
      <x:c r="R103" s="402"/>
      <x:c r="S103" s="402"/>
      <x:c r="T103" s="402"/>
      <x:c r="U103" s="402"/>
      <x:c r="V103" s="402"/>
      <x:c r="W103" s="402"/>
      <x:c r="X103" s="402"/>
      <x:c r="Y103" s="402"/>
      <x:c r="Z103" s="402"/>
    </x:row>
    <x:row r="104">
      <x:c r="A104" s="402"/>
      <x:c r="B104" s="402"/>
      <x:c r="C104" s="402"/>
      <x:c r="D104" s="402"/>
      <x:c r="E104" s="402"/>
      <x:c r="F104" s="402"/>
      <x:c r="G104" s="402"/>
      <x:c r="H104" s="402"/>
      <x:c r="I104" s="402"/>
      <x:c r="J104" s="402"/>
      <x:c r="K104" s="402"/>
      <x:c r="L104" s="402"/>
      <x:c r="M104" s="402"/>
      <x:c r="N104" s="402"/>
      <x:c r="O104" s="402"/>
      <x:c r="P104" s="402"/>
      <x:c r="Q104" s="402"/>
      <x:c r="R104" s="402"/>
      <x:c r="S104" s="402"/>
      <x:c r="T104" s="402"/>
      <x:c r="U104" s="402"/>
      <x:c r="V104" s="402"/>
      <x:c r="W104" s="402"/>
      <x:c r="X104" s="402"/>
      <x:c r="Y104" s="402"/>
      <x:c r="Z104" s="402"/>
    </x:row>
    <x:row r="105">
      <x:c r="A105" s="402"/>
      <x:c r="B105" s="402"/>
      <x:c r="C105" s="402"/>
      <x:c r="D105" s="402"/>
      <x:c r="E105" s="402"/>
      <x:c r="F105" s="402"/>
      <x:c r="G105" s="402"/>
      <x:c r="H105" s="402"/>
      <x:c r="I105" s="402"/>
      <x:c r="J105" s="402"/>
      <x:c r="K105" s="402"/>
      <x:c r="L105" s="402"/>
      <x:c r="M105" s="402"/>
      <x:c r="N105" s="402"/>
      <x:c r="O105" s="402"/>
      <x:c r="P105" s="402"/>
      <x:c r="Q105" s="402"/>
      <x:c r="R105" s="402"/>
      <x:c r="S105" s="402"/>
      <x:c r="T105" s="402"/>
      <x:c r="U105" s="402"/>
      <x:c r="V105" s="402"/>
      <x:c r="W105" s="402"/>
      <x:c r="X105" s="402"/>
      <x:c r="Y105" s="402"/>
      <x:c r="Z105" s="402"/>
    </x:row>
    <x:row r="106">
      <x:c r="A106" s="402"/>
      <x:c r="B106" s="402"/>
      <x:c r="C106" s="402"/>
      <x:c r="D106" s="402"/>
      <x:c r="E106" s="402"/>
      <x:c r="F106" s="402"/>
      <x:c r="G106" s="402"/>
      <x:c r="H106" s="402"/>
      <x:c r="I106" s="402"/>
      <x:c r="J106" s="402"/>
      <x:c r="K106" s="402"/>
      <x:c r="L106" s="402"/>
      <x:c r="M106" s="402"/>
      <x:c r="N106" s="402"/>
      <x:c r="O106" s="402"/>
      <x:c r="P106" s="402"/>
      <x:c r="Q106" s="402"/>
      <x:c r="R106" s="402"/>
      <x:c r="S106" s="402"/>
      <x:c r="T106" s="402"/>
      <x:c r="U106" s="402"/>
      <x:c r="V106" s="402"/>
      <x:c r="W106" s="402"/>
      <x:c r="X106" s="402"/>
      <x:c r="Y106" s="402"/>
      <x:c r="Z106" s="402"/>
    </x:row>
    <x:row r="107">
      <x:c r="A107" s="402"/>
      <x:c r="B107" s="402"/>
      <x:c r="C107" s="402"/>
      <x:c r="D107" s="402"/>
      <x:c r="E107" s="402"/>
      <x:c r="F107" s="402"/>
      <x:c r="G107" s="402"/>
      <x:c r="H107" s="402"/>
      <x:c r="I107" s="402"/>
      <x:c r="J107" s="402"/>
      <x:c r="K107" s="402"/>
      <x:c r="L107" s="402"/>
      <x:c r="M107" s="402"/>
      <x:c r="N107" s="402"/>
      <x:c r="O107" s="402"/>
      <x:c r="P107" s="402"/>
      <x:c r="Q107" s="402"/>
      <x:c r="R107" s="402"/>
      <x:c r="S107" s="402"/>
      <x:c r="T107" s="402"/>
      <x:c r="U107" s="402"/>
      <x:c r="V107" s="402"/>
      <x:c r="W107" s="402"/>
      <x:c r="X107" s="402"/>
      <x:c r="Y107" s="402"/>
      <x:c r="Z107" s="402"/>
    </x:row>
    <x:row r="108">
      <x:c r="A108" s="402"/>
      <x:c r="B108" s="402"/>
      <x:c r="C108" s="402"/>
      <x:c r="D108" s="402"/>
      <x:c r="E108" s="402"/>
      <x:c r="F108" s="402"/>
      <x:c r="G108" s="402"/>
      <x:c r="H108" s="402"/>
      <x:c r="I108" s="402"/>
      <x:c r="J108" s="402"/>
      <x:c r="K108" s="402"/>
      <x:c r="L108" s="402"/>
      <x:c r="M108" s="402"/>
      <x:c r="N108" s="402"/>
      <x:c r="O108" s="402"/>
      <x:c r="P108" s="402"/>
      <x:c r="Q108" s="402"/>
      <x:c r="R108" s="402"/>
      <x:c r="S108" s="402"/>
      <x:c r="T108" s="402"/>
      <x:c r="U108" s="402"/>
      <x:c r="V108" s="402"/>
      <x:c r="W108" s="402"/>
      <x:c r="X108" s="402"/>
      <x:c r="Y108" s="402"/>
      <x:c r="Z108" s="402"/>
    </x:row>
    <x:row r="109">
      <x:c r="A109" s="402"/>
      <x:c r="B109" s="402"/>
      <x:c r="C109" s="402"/>
      <x:c r="D109" s="402"/>
      <x:c r="E109" s="402"/>
      <x:c r="F109" s="402"/>
      <x:c r="G109" s="402"/>
      <x:c r="H109" s="402"/>
      <x:c r="I109" s="402"/>
      <x:c r="J109" s="402"/>
      <x:c r="K109" s="402"/>
      <x:c r="L109" s="402"/>
      <x:c r="M109" s="402"/>
      <x:c r="N109" s="402"/>
      <x:c r="O109" s="402"/>
      <x:c r="P109" s="402"/>
      <x:c r="Q109" s="402"/>
      <x:c r="R109" s="402"/>
      <x:c r="S109" s="402"/>
      <x:c r="T109" s="402"/>
      <x:c r="U109" s="402"/>
      <x:c r="V109" s="402"/>
      <x:c r="W109" s="402"/>
      <x:c r="X109" s="402"/>
      <x:c r="Y109" s="402"/>
      <x:c r="Z109" s="402"/>
    </x:row>
    <x:row r="110">
      <x:c r="A110" s="402"/>
      <x:c r="B110" s="402"/>
      <x:c r="C110" s="402"/>
      <x:c r="D110" s="402"/>
      <x:c r="E110" s="402"/>
      <x:c r="F110" s="402"/>
      <x:c r="G110" s="402"/>
      <x:c r="H110" s="402"/>
      <x:c r="I110" s="402"/>
      <x:c r="J110" s="402"/>
      <x:c r="K110" s="402"/>
      <x:c r="L110" s="402"/>
      <x:c r="M110" s="402"/>
      <x:c r="N110" s="402"/>
      <x:c r="O110" s="402"/>
      <x:c r="P110" s="402"/>
      <x:c r="Q110" s="402"/>
      <x:c r="R110" s="402"/>
      <x:c r="S110" s="402"/>
      <x:c r="T110" s="402"/>
      <x:c r="U110" s="402"/>
      <x:c r="V110" s="402"/>
      <x:c r="W110" s="402"/>
      <x:c r="X110" s="402"/>
      <x:c r="Y110" s="402"/>
      <x:c r="Z110" s="402"/>
    </x:row>
    <x:row r="111">
      <x:c r="A111" s="402"/>
      <x:c r="B111" s="402"/>
      <x:c r="C111" s="402"/>
      <x:c r="D111" s="402"/>
      <x:c r="E111" s="402"/>
      <x:c r="F111" s="402"/>
      <x:c r="G111" s="402"/>
      <x:c r="H111" s="402"/>
      <x:c r="I111" s="402"/>
      <x:c r="J111" s="402"/>
      <x:c r="K111" s="402"/>
      <x:c r="L111" s="402"/>
      <x:c r="M111" s="402"/>
      <x:c r="N111" s="402"/>
      <x:c r="O111" s="402"/>
      <x:c r="P111" s="402"/>
      <x:c r="Q111" s="402"/>
      <x:c r="R111" s="402"/>
      <x:c r="S111" s="402"/>
      <x:c r="T111" s="402"/>
      <x:c r="U111" s="402"/>
      <x:c r="V111" s="402"/>
      <x:c r="W111" s="402"/>
      <x:c r="X111" s="402"/>
      <x:c r="Y111" s="402"/>
      <x:c r="Z111" s="402"/>
    </x:row>
    <x:row r="112">
      <x:c r="A112" s="402"/>
      <x:c r="B112" s="402"/>
      <x:c r="C112" s="402"/>
      <x:c r="D112" s="402"/>
      <x:c r="E112" s="402"/>
      <x:c r="F112" s="402"/>
      <x:c r="G112" s="402"/>
      <x:c r="H112" s="402"/>
      <x:c r="I112" s="402"/>
      <x:c r="J112" s="402"/>
      <x:c r="K112" s="402"/>
      <x:c r="L112" s="402"/>
      <x:c r="M112" s="402"/>
      <x:c r="N112" s="402"/>
      <x:c r="O112" s="402"/>
      <x:c r="P112" s="402"/>
      <x:c r="Q112" s="402"/>
      <x:c r="R112" s="402"/>
      <x:c r="S112" s="402"/>
      <x:c r="T112" s="402"/>
      <x:c r="U112" s="402"/>
      <x:c r="V112" s="402"/>
      <x:c r="W112" s="402"/>
      <x:c r="X112" s="402"/>
      <x:c r="Y112" s="402"/>
      <x:c r="Z112" s="402"/>
    </x:row>
    <x:row r="113">
      <x:c r="A113" s="402"/>
      <x:c r="B113" s="402"/>
      <x:c r="C113" s="402"/>
      <x:c r="D113" s="402"/>
      <x:c r="E113" s="402"/>
      <x:c r="F113" s="402"/>
      <x:c r="G113" s="402"/>
      <x:c r="H113" s="402"/>
      <x:c r="I113" s="402"/>
      <x:c r="J113" s="402"/>
      <x:c r="K113" s="402"/>
      <x:c r="L113" s="402"/>
      <x:c r="M113" s="402"/>
      <x:c r="N113" s="402"/>
      <x:c r="O113" s="402"/>
      <x:c r="P113" s="402"/>
      <x:c r="Q113" s="402"/>
      <x:c r="R113" s="402"/>
      <x:c r="S113" s="402"/>
      <x:c r="T113" s="402"/>
      <x:c r="U113" s="402"/>
      <x:c r="V113" s="402"/>
      <x:c r="W113" s="402"/>
      <x:c r="X113" s="402"/>
      <x:c r="Y113" s="402"/>
      <x:c r="Z113" s="402"/>
    </x:row>
    <x:row r="114">
      <x:c r="A114" s="402"/>
      <x:c r="B114" s="402"/>
      <x:c r="C114" s="402"/>
      <x:c r="D114" s="402"/>
      <x:c r="E114" s="402"/>
      <x:c r="F114" s="402"/>
      <x:c r="G114" s="402"/>
      <x:c r="H114" s="402"/>
      <x:c r="I114" s="402"/>
      <x:c r="J114" s="402"/>
      <x:c r="K114" s="402"/>
      <x:c r="L114" s="402"/>
      <x:c r="M114" s="402"/>
      <x:c r="N114" s="402"/>
      <x:c r="O114" s="402"/>
      <x:c r="P114" s="402"/>
      <x:c r="Q114" s="402"/>
      <x:c r="R114" s="402"/>
      <x:c r="S114" s="402"/>
      <x:c r="T114" s="402"/>
      <x:c r="U114" s="402"/>
      <x:c r="V114" s="402"/>
      <x:c r="W114" s="402"/>
      <x:c r="X114" s="402"/>
      <x:c r="Y114" s="402"/>
      <x:c r="Z114" s="402"/>
    </x:row>
    <x:row r="115">
      <x:c r="A115" s="402"/>
      <x:c r="B115" s="402"/>
      <x:c r="C115" s="402"/>
      <x:c r="D115" s="402"/>
      <x:c r="E115" s="402"/>
      <x:c r="F115" s="402"/>
      <x:c r="G115" s="402"/>
      <x:c r="H115" s="402"/>
      <x:c r="I115" s="402"/>
      <x:c r="J115" s="402"/>
      <x:c r="K115" s="402"/>
      <x:c r="L115" s="402"/>
      <x:c r="M115" s="402"/>
      <x:c r="N115" s="402"/>
      <x:c r="O115" s="402"/>
      <x:c r="P115" s="402"/>
      <x:c r="Q115" s="402"/>
      <x:c r="R115" s="402"/>
      <x:c r="S115" s="402"/>
      <x:c r="T115" s="402"/>
      <x:c r="U115" s="402"/>
      <x:c r="V115" s="402"/>
      <x:c r="W115" s="402"/>
      <x:c r="X115" s="402"/>
      <x:c r="Y115" s="402"/>
      <x:c r="Z115" s="402"/>
    </x:row>
    <x:row r="116">
      <x:c r="A116" s="402"/>
      <x:c r="B116" s="402"/>
      <x:c r="C116" s="402"/>
      <x:c r="D116" s="402"/>
      <x:c r="E116" s="402"/>
      <x:c r="F116" s="402"/>
      <x:c r="G116" s="402"/>
      <x:c r="H116" s="402"/>
      <x:c r="I116" s="402"/>
      <x:c r="J116" s="402"/>
      <x:c r="K116" s="402"/>
      <x:c r="L116" s="402"/>
      <x:c r="M116" s="402"/>
      <x:c r="N116" s="402"/>
      <x:c r="O116" s="402"/>
      <x:c r="P116" s="402"/>
      <x:c r="Q116" s="402"/>
      <x:c r="R116" s="402"/>
      <x:c r="S116" s="402"/>
      <x:c r="T116" s="402"/>
      <x:c r="U116" s="402"/>
      <x:c r="V116" s="402"/>
      <x:c r="W116" s="402"/>
      <x:c r="X116" s="402"/>
      <x:c r="Y116" s="402"/>
      <x:c r="Z116" s="402"/>
    </x:row>
    <x:row r="117">
      <x:c r="A117" s="402"/>
      <x:c r="B117" s="402"/>
      <x:c r="C117" s="402"/>
      <x:c r="D117" s="402"/>
      <x:c r="E117" s="402"/>
      <x:c r="F117" s="402"/>
      <x:c r="G117" s="402"/>
      <x:c r="H117" s="402"/>
      <x:c r="I117" s="402"/>
      <x:c r="J117" s="402"/>
      <x:c r="K117" s="402"/>
      <x:c r="L117" s="402"/>
      <x:c r="M117" s="402"/>
      <x:c r="N117" s="402"/>
      <x:c r="O117" s="402"/>
      <x:c r="P117" s="402"/>
      <x:c r="Q117" s="402"/>
      <x:c r="R117" s="402"/>
      <x:c r="S117" s="402"/>
      <x:c r="T117" s="402"/>
      <x:c r="U117" s="402"/>
      <x:c r="V117" s="402"/>
      <x:c r="W117" s="402"/>
      <x:c r="X117" s="402"/>
      <x:c r="Y117" s="402"/>
      <x:c r="Z117" s="402"/>
    </x:row>
    <x:row r="118">
      <x:c r="A118" s="402"/>
      <x:c r="B118" s="402"/>
      <x:c r="C118" s="402"/>
      <x:c r="D118" s="402"/>
      <x:c r="E118" s="402"/>
      <x:c r="F118" s="402"/>
      <x:c r="G118" s="402"/>
      <x:c r="H118" s="402"/>
      <x:c r="I118" s="402"/>
      <x:c r="J118" s="402"/>
      <x:c r="K118" s="402"/>
      <x:c r="L118" s="402"/>
      <x:c r="M118" s="402"/>
      <x:c r="N118" s="402"/>
      <x:c r="O118" s="402"/>
      <x:c r="P118" s="402"/>
      <x:c r="Q118" s="402"/>
      <x:c r="R118" s="402"/>
      <x:c r="S118" s="402"/>
      <x:c r="T118" s="402"/>
      <x:c r="U118" s="402"/>
      <x:c r="V118" s="402"/>
      <x:c r="W118" s="402"/>
      <x:c r="X118" s="402"/>
      <x:c r="Y118" s="402"/>
      <x:c r="Z118" s="402"/>
    </x:row>
    <x:row r="119">
      <x:c r="A119" s="402"/>
      <x:c r="B119" s="402"/>
      <x:c r="C119" s="402"/>
      <x:c r="D119" s="402"/>
      <x:c r="E119" s="402"/>
      <x:c r="F119" s="402"/>
      <x:c r="G119" s="402"/>
      <x:c r="H119" s="402"/>
      <x:c r="I119" s="402"/>
      <x:c r="J119" s="402"/>
      <x:c r="K119" s="402"/>
      <x:c r="L119" s="402"/>
      <x:c r="M119" s="402"/>
      <x:c r="N119" s="402"/>
      <x:c r="O119" s="402"/>
      <x:c r="P119" s="402"/>
      <x:c r="Q119" s="402"/>
      <x:c r="R119" s="402"/>
      <x:c r="S119" s="402"/>
      <x:c r="T119" s="402"/>
      <x:c r="U119" s="402"/>
      <x:c r="V119" s="402"/>
      <x:c r="W119" s="402"/>
      <x:c r="X119" s="402"/>
      <x:c r="Y119" s="402"/>
      <x:c r="Z119" s="402"/>
    </x:row>
    <x:row r="120">
      <x:c r="A120" s="402"/>
      <x:c r="B120" s="402"/>
      <x:c r="C120" s="402"/>
      <x:c r="D120" s="402"/>
      <x:c r="E120" s="402"/>
      <x:c r="F120" s="402"/>
      <x:c r="G120" s="402"/>
      <x:c r="H120" s="402"/>
      <x:c r="I120" s="402"/>
      <x:c r="J120" s="402"/>
      <x:c r="K120" s="402"/>
      <x:c r="L120" s="402"/>
      <x:c r="M120" s="402"/>
      <x:c r="N120" s="402"/>
      <x:c r="O120" s="402"/>
      <x:c r="P120" s="402"/>
      <x:c r="Q120" s="402"/>
      <x:c r="R120" s="402"/>
      <x:c r="S120" s="402"/>
      <x:c r="T120" s="402"/>
      <x:c r="U120" s="402"/>
      <x:c r="V120" s="402"/>
      <x:c r="W120" s="402"/>
      <x:c r="X120" s="402"/>
      <x:c r="Y120" s="402"/>
      <x:c r="Z120" s="402"/>
    </x:row>
    <x:row r="121">
      <x:c r="A121" s="402"/>
      <x:c r="B121" s="402"/>
      <x:c r="C121" s="402"/>
      <x:c r="D121" s="402"/>
      <x:c r="E121" s="402"/>
      <x:c r="F121" s="402"/>
      <x:c r="G121" s="402"/>
      <x:c r="H121" s="402"/>
      <x:c r="I121" s="402"/>
      <x:c r="J121" s="402"/>
      <x:c r="K121" s="402"/>
      <x:c r="L121" s="402"/>
      <x:c r="M121" s="402"/>
      <x:c r="N121" s="402"/>
      <x:c r="O121" s="402"/>
      <x:c r="P121" s="402"/>
      <x:c r="Q121" s="402"/>
      <x:c r="R121" s="402"/>
      <x:c r="S121" s="402"/>
      <x:c r="T121" s="402"/>
      <x:c r="U121" s="402"/>
      <x:c r="V121" s="402"/>
      <x:c r="W121" s="402"/>
      <x:c r="X121" s="402"/>
      <x:c r="Y121" s="402"/>
      <x:c r="Z121" s="402"/>
    </x:row>
    <x:row r="122">
      <x:c r="A122" s="402"/>
      <x:c r="B122" s="402"/>
      <x:c r="C122" s="402"/>
      <x:c r="D122" s="402"/>
      <x:c r="E122" s="402"/>
      <x:c r="F122" s="402"/>
      <x:c r="G122" s="402"/>
      <x:c r="H122" s="402"/>
      <x:c r="I122" s="402"/>
      <x:c r="J122" s="402"/>
      <x:c r="K122" s="402"/>
      <x:c r="L122" s="402"/>
      <x:c r="M122" s="402"/>
      <x:c r="N122" s="402"/>
      <x:c r="O122" s="402"/>
      <x:c r="P122" s="402"/>
      <x:c r="Q122" s="402"/>
      <x:c r="R122" s="402"/>
      <x:c r="S122" s="402"/>
      <x:c r="T122" s="402"/>
      <x:c r="U122" s="402"/>
      <x:c r="V122" s="402"/>
      <x:c r="W122" s="402"/>
      <x:c r="X122" s="402"/>
      <x:c r="Y122" s="402"/>
      <x:c r="Z122" s="402"/>
    </x:row>
    <x:row r="123">
      <x:c r="A123" s="402"/>
      <x:c r="B123" s="402"/>
      <x:c r="C123" s="402"/>
      <x:c r="D123" s="402"/>
      <x:c r="E123" s="402"/>
      <x:c r="F123" s="402"/>
      <x:c r="G123" s="402"/>
      <x:c r="H123" s="402"/>
      <x:c r="I123" s="402"/>
      <x:c r="J123" s="402"/>
      <x:c r="K123" s="402"/>
      <x:c r="L123" s="402"/>
      <x:c r="M123" s="402"/>
      <x:c r="N123" s="402"/>
      <x:c r="O123" s="402"/>
      <x:c r="P123" s="402"/>
      <x:c r="Q123" s="402"/>
      <x:c r="R123" s="402"/>
      <x:c r="S123" s="402"/>
      <x:c r="T123" s="402"/>
      <x:c r="U123" s="402"/>
      <x:c r="V123" s="402"/>
      <x:c r="W123" s="402"/>
      <x:c r="X123" s="402"/>
      <x:c r="Y123" s="402"/>
      <x:c r="Z123" s="402"/>
    </x:row>
    <x:row r="124">
      <x:c r="A124" s="402"/>
      <x:c r="B124" s="402"/>
      <x:c r="C124" s="402"/>
      <x:c r="D124" s="402"/>
      <x:c r="E124" s="402"/>
      <x:c r="F124" s="402"/>
      <x:c r="G124" s="402"/>
      <x:c r="H124" s="402"/>
      <x:c r="I124" s="402"/>
      <x:c r="J124" s="402"/>
      <x:c r="K124" s="402"/>
      <x:c r="L124" s="402"/>
      <x:c r="M124" s="402"/>
      <x:c r="N124" s="402"/>
      <x:c r="O124" s="402"/>
      <x:c r="P124" s="402"/>
      <x:c r="Q124" s="402"/>
      <x:c r="R124" s="402"/>
      <x:c r="S124" s="402"/>
      <x:c r="T124" s="402"/>
      <x:c r="U124" s="402"/>
      <x:c r="V124" s="402"/>
      <x:c r="W124" s="402"/>
      <x:c r="X124" s="402"/>
      <x:c r="Y124" s="402"/>
      <x:c r="Z124" s="402"/>
    </x:row>
    <x:row r="125">
      <x:c r="A125" s="402"/>
      <x:c r="B125" s="402"/>
      <x:c r="C125" s="402"/>
      <x:c r="D125" s="402"/>
      <x:c r="E125" s="402"/>
      <x:c r="F125" s="402"/>
      <x:c r="G125" s="402"/>
      <x:c r="H125" s="402"/>
      <x:c r="I125" s="402"/>
      <x:c r="J125" s="402"/>
      <x:c r="K125" s="402"/>
      <x:c r="L125" s="402"/>
      <x:c r="M125" s="402"/>
      <x:c r="N125" s="402"/>
      <x:c r="O125" s="402"/>
      <x:c r="P125" s="402"/>
      <x:c r="Q125" s="402"/>
      <x:c r="R125" s="402"/>
      <x:c r="S125" s="402"/>
      <x:c r="T125" s="402"/>
      <x:c r="U125" s="402"/>
      <x:c r="V125" s="402"/>
      <x:c r="W125" s="402"/>
      <x:c r="X125" s="402"/>
      <x:c r="Y125" s="402"/>
      <x:c r="Z125" s="402"/>
    </x:row>
    <x:row r="126">
      <x:c r="A126" s="402"/>
      <x:c r="B126" s="402"/>
      <x:c r="C126" s="402"/>
      <x:c r="D126" s="402"/>
      <x:c r="E126" s="402"/>
      <x:c r="F126" s="402"/>
      <x:c r="G126" s="402"/>
      <x:c r="H126" s="402"/>
      <x:c r="I126" s="402"/>
      <x:c r="J126" s="402"/>
      <x:c r="K126" s="402"/>
      <x:c r="L126" s="402"/>
      <x:c r="M126" s="402"/>
      <x:c r="N126" s="402"/>
      <x:c r="O126" s="402"/>
      <x:c r="P126" s="402"/>
      <x:c r="Q126" s="402"/>
      <x:c r="R126" s="402"/>
      <x:c r="S126" s="402"/>
      <x:c r="T126" s="402"/>
      <x:c r="U126" s="402"/>
      <x:c r="V126" s="402"/>
      <x:c r="W126" s="402"/>
      <x:c r="X126" s="402"/>
      <x:c r="Y126" s="402"/>
      <x:c r="Z126" s="402"/>
    </x:row>
    <x:row r="127">
      <x:c r="A127" s="402"/>
      <x:c r="B127" s="402"/>
      <x:c r="C127" s="402"/>
      <x:c r="D127" s="402"/>
      <x:c r="E127" s="402"/>
      <x:c r="F127" s="402"/>
      <x:c r="G127" s="402"/>
      <x:c r="H127" s="402"/>
      <x:c r="I127" s="402"/>
      <x:c r="J127" s="402"/>
      <x:c r="K127" s="402"/>
      <x:c r="L127" s="402"/>
      <x:c r="M127" s="402"/>
      <x:c r="N127" s="402"/>
      <x:c r="O127" s="402"/>
      <x:c r="P127" s="402"/>
      <x:c r="Q127" s="402"/>
      <x:c r="R127" s="402"/>
      <x:c r="S127" s="402"/>
      <x:c r="T127" s="402"/>
      <x:c r="U127" s="402"/>
      <x:c r="V127" s="402"/>
      <x:c r="W127" s="402"/>
      <x:c r="X127" s="402"/>
      <x:c r="Y127" s="402"/>
      <x:c r="Z127" s="402"/>
    </x:row>
    <x:row r="128">
      <x:c r="A128" s="402"/>
      <x:c r="B128" s="402"/>
      <x:c r="C128" s="402"/>
      <x:c r="D128" s="402"/>
      <x:c r="E128" s="402"/>
      <x:c r="F128" s="402"/>
      <x:c r="G128" s="402"/>
      <x:c r="H128" s="402"/>
      <x:c r="I128" s="402"/>
      <x:c r="J128" s="402"/>
      <x:c r="K128" s="402"/>
      <x:c r="L128" s="402"/>
      <x:c r="M128" s="402"/>
      <x:c r="N128" s="402"/>
      <x:c r="O128" s="402"/>
      <x:c r="P128" s="402"/>
      <x:c r="Q128" s="402"/>
      <x:c r="R128" s="402"/>
      <x:c r="S128" s="402"/>
      <x:c r="T128" s="402"/>
      <x:c r="U128" s="402"/>
      <x:c r="V128" s="402"/>
      <x:c r="W128" s="402"/>
      <x:c r="X128" s="402"/>
      <x:c r="Y128" s="402"/>
      <x:c r="Z128" s="402"/>
    </x:row>
    <x:row r="129">
      <x:c r="A129" s="402"/>
      <x:c r="B129" s="402"/>
      <x:c r="C129" s="402"/>
      <x:c r="D129" s="402"/>
      <x:c r="E129" s="402"/>
      <x:c r="F129" s="402"/>
      <x:c r="G129" s="402"/>
      <x:c r="H129" s="402"/>
      <x:c r="I129" s="402"/>
      <x:c r="J129" s="402"/>
      <x:c r="K129" s="402"/>
      <x:c r="L129" s="402"/>
      <x:c r="M129" s="402"/>
      <x:c r="N129" s="402"/>
      <x:c r="O129" s="402"/>
      <x:c r="P129" s="402"/>
      <x:c r="Q129" s="402"/>
      <x:c r="R129" s="402"/>
      <x:c r="S129" s="402"/>
      <x:c r="T129" s="402"/>
      <x:c r="U129" s="402"/>
      <x:c r="V129" s="402"/>
      <x:c r="W129" s="402"/>
      <x:c r="X129" s="402"/>
      <x:c r="Y129" s="402"/>
      <x:c r="Z129" s="402"/>
    </x:row>
    <x:row r="130">
      <x:c r="A130" s="402"/>
      <x:c r="B130" s="402"/>
      <x:c r="C130" s="402"/>
      <x:c r="D130" s="402"/>
      <x:c r="E130" s="402"/>
      <x:c r="F130" s="402"/>
      <x:c r="G130" s="402"/>
      <x:c r="H130" s="402"/>
      <x:c r="I130" s="402"/>
      <x:c r="J130" s="402"/>
      <x:c r="K130" s="402"/>
      <x:c r="L130" s="402"/>
      <x:c r="M130" s="402"/>
      <x:c r="N130" s="402"/>
      <x:c r="O130" s="402"/>
      <x:c r="P130" s="402"/>
      <x:c r="Q130" s="402"/>
      <x:c r="R130" s="402"/>
      <x:c r="S130" s="402"/>
      <x:c r="T130" s="402"/>
      <x:c r="U130" s="402"/>
      <x:c r="V130" s="402"/>
      <x:c r="W130" s="402"/>
      <x:c r="X130" s="402"/>
      <x:c r="Y130" s="402"/>
      <x:c r="Z130" s="402"/>
    </x:row>
    <x:row r="131">
      <x:c r="A131" s="402"/>
      <x:c r="B131" s="402"/>
      <x:c r="C131" s="402"/>
      <x:c r="D131" s="402"/>
      <x:c r="E131" s="402"/>
      <x:c r="F131" s="402"/>
      <x:c r="G131" s="402"/>
      <x:c r="H131" s="402"/>
      <x:c r="I131" s="402"/>
      <x:c r="J131" s="402"/>
      <x:c r="K131" s="402"/>
      <x:c r="L131" s="402"/>
      <x:c r="M131" s="402"/>
      <x:c r="N131" s="402"/>
      <x:c r="O131" s="402"/>
      <x:c r="P131" s="402"/>
      <x:c r="Q131" s="402"/>
      <x:c r="R131" s="402"/>
      <x:c r="S131" s="402"/>
      <x:c r="T131" s="402"/>
      <x:c r="U131" s="402"/>
      <x:c r="V131" s="402"/>
      <x:c r="W131" s="402"/>
      <x:c r="X131" s="402"/>
      <x:c r="Y131" s="402"/>
      <x:c r="Z131" s="402"/>
    </x:row>
    <x:row r="132">
      <x:c r="A132" s="402"/>
      <x:c r="B132" s="402"/>
      <x:c r="C132" s="402"/>
      <x:c r="D132" s="402"/>
      <x:c r="E132" s="402"/>
      <x:c r="F132" s="402"/>
      <x:c r="G132" s="402"/>
      <x:c r="H132" s="402"/>
      <x:c r="I132" s="402"/>
      <x:c r="J132" s="402"/>
      <x:c r="K132" s="402"/>
      <x:c r="L132" s="402"/>
      <x:c r="M132" s="402"/>
      <x:c r="N132" s="402"/>
      <x:c r="O132" s="402"/>
      <x:c r="P132" s="402"/>
      <x:c r="Q132" s="402"/>
      <x:c r="R132" s="402"/>
      <x:c r="S132" s="402"/>
      <x:c r="T132" s="402"/>
      <x:c r="U132" s="402"/>
      <x:c r="V132" s="402"/>
      <x:c r="W132" s="402"/>
      <x:c r="X132" s="402"/>
      <x:c r="Y132" s="402"/>
      <x:c r="Z132" s="402"/>
    </x:row>
    <x:row r="133">
      <x:c r="A133" s="402"/>
      <x:c r="B133" s="402"/>
      <x:c r="C133" s="402"/>
      <x:c r="D133" s="402"/>
      <x:c r="E133" s="402"/>
      <x:c r="F133" s="402"/>
      <x:c r="G133" s="402"/>
      <x:c r="H133" s="402"/>
      <x:c r="I133" s="402"/>
      <x:c r="J133" s="402"/>
      <x:c r="K133" s="402"/>
      <x:c r="L133" s="402"/>
      <x:c r="M133" s="402"/>
      <x:c r="N133" s="402"/>
      <x:c r="O133" s="402"/>
      <x:c r="P133" s="402"/>
      <x:c r="Q133" s="402"/>
      <x:c r="R133" s="402"/>
      <x:c r="S133" s="402"/>
      <x:c r="T133" s="402"/>
      <x:c r="U133" s="402"/>
      <x:c r="V133" s="402"/>
      <x:c r="W133" s="402"/>
      <x:c r="X133" s="402"/>
      <x:c r="Y133" s="402"/>
      <x:c r="Z133" s="402"/>
    </x:row>
    <x:row r="134">
      <x:c r="A134" s="402"/>
      <x:c r="B134" s="402"/>
      <x:c r="C134" s="402"/>
      <x:c r="D134" s="402"/>
      <x:c r="E134" s="402"/>
      <x:c r="F134" s="402"/>
      <x:c r="G134" s="402"/>
      <x:c r="H134" s="402"/>
      <x:c r="I134" s="402"/>
      <x:c r="J134" s="402"/>
      <x:c r="K134" s="402"/>
      <x:c r="L134" s="402"/>
      <x:c r="M134" s="402"/>
      <x:c r="N134" s="402"/>
      <x:c r="O134" s="402"/>
      <x:c r="P134" s="402"/>
      <x:c r="Q134" s="402"/>
      <x:c r="R134" s="402"/>
      <x:c r="S134" s="402"/>
      <x:c r="T134" s="402"/>
      <x:c r="U134" s="402"/>
      <x:c r="V134" s="402"/>
      <x:c r="W134" s="402"/>
      <x:c r="X134" s="402"/>
      <x:c r="Y134" s="402"/>
      <x:c r="Z134" s="402"/>
    </x:row>
    <x:row r="135">
      <x:c r="A135" s="402"/>
      <x:c r="B135" s="402"/>
      <x:c r="C135" s="402"/>
      <x:c r="D135" s="402"/>
      <x:c r="E135" s="402"/>
      <x:c r="F135" s="402"/>
      <x:c r="G135" s="402"/>
      <x:c r="H135" s="402"/>
      <x:c r="I135" s="402"/>
      <x:c r="J135" s="402"/>
      <x:c r="K135" s="402"/>
      <x:c r="L135" s="402"/>
      <x:c r="M135" s="402"/>
      <x:c r="N135" s="402"/>
      <x:c r="O135" s="402"/>
      <x:c r="P135" s="402"/>
      <x:c r="Q135" s="402"/>
      <x:c r="R135" s="402"/>
      <x:c r="S135" s="402"/>
      <x:c r="T135" s="402"/>
      <x:c r="U135" s="402"/>
      <x:c r="V135" s="402"/>
      <x:c r="W135" s="402"/>
      <x:c r="X135" s="402"/>
      <x:c r="Y135" s="402"/>
      <x:c r="Z135" s="402"/>
    </x:row>
    <x:row r="136">
      <x:c r="A136" s="402"/>
      <x:c r="B136" s="402"/>
      <x:c r="C136" s="402"/>
      <x:c r="D136" s="402"/>
      <x:c r="E136" s="402"/>
      <x:c r="F136" s="402"/>
      <x:c r="G136" s="402"/>
      <x:c r="H136" s="402"/>
      <x:c r="I136" s="402"/>
      <x:c r="J136" s="402"/>
      <x:c r="K136" s="402"/>
      <x:c r="L136" s="402"/>
      <x:c r="M136" s="402"/>
      <x:c r="N136" s="402"/>
      <x:c r="O136" s="402"/>
      <x:c r="P136" s="402"/>
      <x:c r="Q136" s="402"/>
      <x:c r="R136" s="402"/>
      <x:c r="S136" s="402"/>
      <x:c r="T136" s="402"/>
      <x:c r="U136" s="402"/>
      <x:c r="V136" s="402"/>
      <x:c r="W136" s="402"/>
      <x:c r="X136" s="402"/>
      <x:c r="Y136" s="402"/>
      <x:c r="Z136" s="402"/>
    </x:row>
    <x:row r="137">
      <x:c r="A137" s="402"/>
      <x:c r="B137" s="402"/>
      <x:c r="C137" s="402"/>
      <x:c r="D137" s="402"/>
      <x:c r="E137" s="402"/>
      <x:c r="F137" s="402"/>
      <x:c r="G137" s="402"/>
      <x:c r="H137" s="402"/>
      <x:c r="I137" s="402"/>
      <x:c r="J137" s="402"/>
      <x:c r="K137" s="402"/>
      <x:c r="L137" s="402"/>
      <x:c r="M137" s="402"/>
      <x:c r="N137" s="402"/>
      <x:c r="O137" s="402"/>
      <x:c r="P137" s="402"/>
      <x:c r="Q137" s="402"/>
      <x:c r="R137" s="402"/>
      <x:c r="S137" s="402"/>
      <x:c r="T137" s="402"/>
      <x:c r="U137" s="402"/>
      <x:c r="V137" s="402"/>
      <x:c r="W137" s="402"/>
      <x:c r="X137" s="402"/>
      <x:c r="Y137" s="402"/>
      <x:c r="Z137" s="402"/>
    </x:row>
    <x:row r="138">
      <x:c r="A138" s="402"/>
      <x:c r="B138" s="402"/>
      <x:c r="C138" s="402"/>
      <x:c r="D138" s="402"/>
      <x:c r="E138" s="402"/>
      <x:c r="F138" s="402"/>
      <x:c r="G138" s="402"/>
      <x:c r="H138" s="402"/>
      <x:c r="I138" s="402"/>
      <x:c r="J138" s="402"/>
      <x:c r="K138" s="402"/>
      <x:c r="L138" s="402"/>
      <x:c r="M138" s="402"/>
      <x:c r="N138" s="402"/>
      <x:c r="O138" s="402"/>
      <x:c r="P138" s="402"/>
      <x:c r="Q138" s="402"/>
      <x:c r="R138" s="402"/>
      <x:c r="S138" s="402"/>
      <x:c r="T138" s="402"/>
      <x:c r="U138" s="402"/>
      <x:c r="V138" s="402"/>
      <x:c r="W138" s="402"/>
      <x:c r="X138" s="402"/>
      <x:c r="Y138" s="402"/>
      <x:c r="Z138" s="402"/>
    </x:row>
    <x:row r="139">
      <x:c r="A139" s="402"/>
      <x:c r="B139" s="402"/>
      <x:c r="C139" s="402"/>
      <x:c r="D139" s="402"/>
      <x:c r="E139" s="402"/>
      <x:c r="F139" s="402"/>
      <x:c r="G139" s="402"/>
      <x:c r="H139" s="402"/>
      <x:c r="I139" s="402"/>
      <x:c r="J139" s="402"/>
      <x:c r="K139" s="402"/>
      <x:c r="L139" s="402"/>
      <x:c r="M139" s="402"/>
      <x:c r="N139" s="402"/>
      <x:c r="O139" s="402"/>
      <x:c r="P139" s="402"/>
      <x:c r="Q139" s="402"/>
      <x:c r="R139" s="402"/>
      <x:c r="S139" s="402"/>
      <x:c r="T139" s="402"/>
      <x:c r="U139" s="402"/>
      <x:c r="V139" s="402"/>
      <x:c r="W139" s="402"/>
      <x:c r="X139" s="402"/>
      <x:c r="Y139" s="402"/>
      <x:c r="Z139" s="402"/>
    </x:row>
    <x:row r="140">
      <x:c r="A140" s="402"/>
      <x:c r="B140" s="402"/>
      <x:c r="C140" s="402"/>
      <x:c r="D140" s="402"/>
      <x:c r="E140" s="402"/>
      <x:c r="F140" s="402"/>
      <x:c r="G140" s="402"/>
      <x:c r="H140" s="402"/>
      <x:c r="I140" s="402"/>
      <x:c r="J140" s="402"/>
      <x:c r="K140" s="402"/>
      <x:c r="L140" s="402"/>
      <x:c r="M140" s="402"/>
      <x:c r="N140" s="402"/>
      <x:c r="O140" s="402"/>
      <x:c r="P140" s="402"/>
      <x:c r="Q140" s="402"/>
      <x:c r="R140" s="402"/>
      <x:c r="S140" s="402"/>
      <x:c r="T140" s="402"/>
      <x:c r="U140" s="402"/>
      <x:c r="V140" s="402"/>
      <x:c r="W140" s="402"/>
      <x:c r="X140" s="402"/>
      <x:c r="Y140" s="402"/>
      <x:c r="Z140" s="402"/>
    </x:row>
    <x:row r="141">
      <x:c r="A141" s="402"/>
      <x:c r="B141" s="402"/>
      <x:c r="C141" s="402"/>
      <x:c r="D141" s="402"/>
      <x:c r="E141" s="402"/>
      <x:c r="F141" s="402"/>
      <x:c r="G141" s="402"/>
      <x:c r="H141" s="402"/>
      <x:c r="I141" s="402"/>
      <x:c r="J141" s="402"/>
      <x:c r="K141" s="402"/>
      <x:c r="L141" s="402"/>
      <x:c r="M141" s="402"/>
      <x:c r="N141" s="402"/>
      <x:c r="O141" s="402"/>
      <x:c r="P141" s="402"/>
      <x:c r="Q141" s="402"/>
      <x:c r="R141" s="402"/>
      <x:c r="S141" s="402"/>
      <x:c r="T141" s="402"/>
      <x:c r="U141" s="402"/>
      <x:c r="V141" s="402"/>
      <x:c r="W141" s="402"/>
      <x:c r="X141" s="402"/>
      <x:c r="Y141" s="402"/>
      <x:c r="Z141" s="402"/>
    </x:row>
    <x:row r="142">
      <x:c r="A142" s="402"/>
      <x:c r="B142" s="402"/>
      <x:c r="C142" s="402"/>
      <x:c r="D142" s="402"/>
      <x:c r="E142" s="402"/>
      <x:c r="F142" s="402"/>
      <x:c r="G142" s="402"/>
      <x:c r="H142" s="402"/>
      <x:c r="I142" s="402"/>
      <x:c r="J142" s="402"/>
      <x:c r="K142" s="402"/>
      <x:c r="L142" s="402"/>
      <x:c r="M142" s="402"/>
      <x:c r="N142" s="402"/>
      <x:c r="O142" s="402"/>
      <x:c r="P142" s="402"/>
      <x:c r="Q142" s="402"/>
      <x:c r="R142" s="402"/>
      <x:c r="S142" s="402"/>
      <x:c r="T142" s="402"/>
      <x:c r="U142" s="402"/>
      <x:c r="V142" s="402"/>
      <x:c r="W142" s="402"/>
      <x:c r="X142" s="402"/>
      <x:c r="Y142" s="402"/>
      <x:c r="Z142" s="402"/>
    </x:row>
    <x:row r="143">
      <x:c r="A143" s="402"/>
      <x:c r="B143" s="402"/>
      <x:c r="C143" s="402"/>
      <x:c r="D143" s="402"/>
      <x:c r="E143" s="402"/>
      <x:c r="F143" s="402"/>
      <x:c r="G143" s="402"/>
      <x:c r="H143" s="402"/>
      <x:c r="I143" s="402"/>
      <x:c r="J143" s="402"/>
      <x:c r="K143" s="402"/>
      <x:c r="L143" s="402"/>
      <x:c r="M143" s="402"/>
      <x:c r="N143" s="402"/>
      <x:c r="O143" s="402"/>
      <x:c r="P143" s="402"/>
      <x:c r="Q143" s="402"/>
      <x:c r="R143" s="402"/>
      <x:c r="S143" s="402"/>
      <x:c r="T143" s="402"/>
      <x:c r="U143" s="402"/>
      <x:c r="V143" s="402"/>
      <x:c r="W143" s="402"/>
      <x:c r="X143" s="402"/>
      <x:c r="Y143" s="402"/>
      <x:c r="Z143" s="402"/>
    </x:row>
    <x:row r="144">
      <x:c r="A144" s="402"/>
      <x:c r="B144" s="402"/>
      <x:c r="C144" s="402"/>
      <x:c r="D144" s="402"/>
      <x:c r="E144" s="402"/>
      <x:c r="F144" s="402"/>
      <x:c r="G144" s="402"/>
      <x:c r="H144" s="402"/>
      <x:c r="I144" s="402"/>
      <x:c r="J144" s="402"/>
      <x:c r="K144" s="402"/>
      <x:c r="L144" s="402"/>
      <x:c r="M144" s="402"/>
      <x:c r="N144" s="402"/>
      <x:c r="O144" s="402"/>
      <x:c r="P144" s="402"/>
      <x:c r="Q144" s="402"/>
      <x:c r="R144" s="402"/>
      <x:c r="S144" s="402"/>
      <x:c r="T144" s="402"/>
      <x:c r="U144" s="402"/>
      <x:c r="V144" s="402"/>
      <x:c r="W144" s="402"/>
      <x:c r="X144" s="402"/>
      <x:c r="Y144" s="402"/>
      <x:c r="Z144" s="402"/>
    </x:row>
    <x:row r="145">
      <x:c r="A145" s="402"/>
      <x:c r="B145" s="402"/>
      <x:c r="C145" s="402"/>
      <x:c r="D145" s="402"/>
      <x:c r="E145" s="402"/>
      <x:c r="F145" s="402"/>
      <x:c r="G145" s="402"/>
      <x:c r="H145" s="402"/>
      <x:c r="I145" s="402"/>
      <x:c r="J145" s="402"/>
      <x:c r="K145" s="402"/>
      <x:c r="L145" s="402"/>
      <x:c r="M145" s="402"/>
      <x:c r="N145" s="402"/>
      <x:c r="O145" s="402"/>
      <x:c r="P145" s="402"/>
      <x:c r="Q145" s="402"/>
      <x:c r="R145" s="402"/>
      <x:c r="S145" s="402"/>
      <x:c r="T145" s="402"/>
      <x:c r="U145" s="402"/>
      <x:c r="V145" s="402"/>
      <x:c r="W145" s="402"/>
      <x:c r="X145" s="402"/>
      <x:c r="Y145" s="402"/>
      <x:c r="Z145" s="402"/>
    </x:row>
    <x:row r="146">
      <x:c r="A146" s="402"/>
      <x:c r="B146" s="402"/>
      <x:c r="C146" s="402"/>
      <x:c r="D146" s="402"/>
      <x:c r="E146" s="402"/>
      <x:c r="F146" s="402"/>
      <x:c r="G146" s="402"/>
      <x:c r="H146" s="402"/>
      <x:c r="I146" s="402"/>
      <x:c r="J146" s="402"/>
      <x:c r="K146" s="402"/>
      <x:c r="L146" s="402"/>
      <x:c r="M146" s="402"/>
      <x:c r="N146" s="402"/>
      <x:c r="O146" s="402"/>
      <x:c r="P146" s="402"/>
      <x:c r="Q146" s="402"/>
      <x:c r="R146" s="402"/>
      <x:c r="S146" s="402"/>
      <x:c r="T146" s="402"/>
      <x:c r="U146" s="402"/>
      <x:c r="V146" s="402"/>
      <x:c r="W146" s="402"/>
      <x:c r="X146" s="402"/>
      <x:c r="Y146" s="402"/>
      <x:c r="Z146" s="402"/>
    </x:row>
    <x:row r="147">
      <x:c r="A147" s="402"/>
      <x:c r="B147" s="402"/>
      <x:c r="C147" s="402"/>
      <x:c r="D147" s="402"/>
      <x:c r="E147" s="402"/>
      <x:c r="F147" s="402"/>
      <x:c r="G147" s="402"/>
      <x:c r="H147" s="402"/>
      <x:c r="I147" s="402"/>
      <x:c r="J147" s="402"/>
      <x:c r="K147" s="402"/>
      <x:c r="L147" s="402"/>
      <x:c r="M147" s="402"/>
      <x:c r="N147" s="402"/>
      <x:c r="O147" s="402"/>
      <x:c r="P147" s="402"/>
      <x:c r="Q147" s="402"/>
      <x:c r="R147" s="402"/>
      <x:c r="S147" s="402"/>
      <x:c r="T147" s="402"/>
      <x:c r="U147" s="402"/>
      <x:c r="V147" s="402"/>
      <x:c r="W147" s="402"/>
      <x:c r="X147" s="402"/>
      <x:c r="Y147" s="402"/>
      <x:c r="Z147" s="402"/>
    </x:row>
    <x:row r="148">
      <x:c r="A148" s="402"/>
      <x:c r="B148" s="402"/>
      <x:c r="C148" s="402"/>
      <x:c r="D148" s="402"/>
      <x:c r="E148" s="402"/>
      <x:c r="F148" s="402"/>
      <x:c r="G148" s="402"/>
      <x:c r="H148" s="402"/>
      <x:c r="I148" s="402"/>
      <x:c r="J148" s="402"/>
      <x:c r="K148" s="402"/>
      <x:c r="L148" s="402"/>
      <x:c r="M148" s="402"/>
      <x:c r="N148" s="402"/>
      <x:c r="O148" s="402"/>
      <x:c r="P148" s="402"/>
      <x:c r="Q148" s="402"/>
      <x:c r="R148" s="402"/>
      <x:c r="S148" s="402"/>
      <x:c r="T148" s="402"/>
      <x:c r="U148" s="402"/>
      <x:c r="V148" s="402"/>
      <x:c r="W148" s="402"/>
      <x:c r="X148" s="402"/>
      <x:c r="Y148" s="402"/>
      <x:c r="Z148" s="402"/>
    </x:row>
    <x:row r="149">
      <x:c r="A149" s="402"/>
      <x:c r="B149" s="402"/>
      <x:c r="C149" s="402"/>
      <x:c r="D149" s="402"/>
      <x:c r="E149" s="402"/>
      <x:c r="F149" s="402"/>
      <x:c r="G149" s="402"/>
      <x:c r="H149" s="402"/>
      <x:c r="I149" s="402"/>
      <x:c r="J149" s="402"/>
      <x:c r="K149" s="402"/>
      <x:c r="L149" s="402"/>
      <x:c r="M149" s="402"/>
      <x:c r="N149" s="402"/>
      <x:c r="O149" s="402"/>
      <x:c r="P149" s="402"/>
      <x:c r="Q149" s="402"/>
      <x:c r="R149" s="402"/>
      <x:c r="S149" s="402"/>
      <x:c r="T149" s="402"/>
      <x:c r="U149" s="402"/>
      <x:c r="V149" s="402"/>
      <x:c r="W149" s="402"/>
      <x:c r="X149" s="402"/>
      <x:c r="Y149" s="402"/>
      <x:c r="Z149" s="402"/>
    </x:row>
    <x:row r="150">
      <x:c r="A150" s="402"/>
      <x:c r="B150" s="402"/>
      <x:c r="C150" s="402"/>
      <x:c r="D150" s="402"/>
      <x:c r="E150" s="402"/>
      <x:c r="F150" s="402"/>
      <x:c r="G150" s="402"/>
      <x:c r="H150" s="402"/>
      <x:c r="I150" s="402"/>
      <x:c r="J150" s="402"/>
      <x:c r="K150" s="402"/>
      <x:c r="L150" s="402"/>
      <x:c r="M150" s="402"/>
      <x:c r="N150" s="402"/>
      <x:c r="O150" s="402"/>
      <x:c r="P150" s="402"/>
      <x:c r="Q150" s="402"/>
      <x:c r="R150" s="402"/>
      <x:c r="S150" s="402"/>
      <x:c r="T150" s="402"/>
      <x:c r="U150" s="402"/>
      <x:c r="V150" s="402"/>
      <x:c r="W150" s="402"/>
      <x:c r="X150" s="402"/>
      <x:c r="Y150" s="402"/>
      <x:c r="Z150" s="402"/>
    </x:row>
    <x:row r="151">
      <x:c r="A151" s="402"/>
      <x:c r="B151" s="402"/>
      <x:c r="C151" s="402"/>
      <x:c r="D151" s="402"/>
      <x:c r="E151" s="402"/>
      <x:c r="F151" s="402"/>
      <x:c r="G151" s="402"/>
      <x:c r="H151" s="402"/>
      <x:c r="I151" s="402"/>
      <x:c r="J151" s="402"/>
      <x:c r="K151" s="402"/>
      <x:c r="L151" s="402"/>
      <x:c r="M151" s="402"/>
      <x:c r="N151" s="402"/>
      <x:c r="O151" s="402"/>
      <x:c r="P151" s="402"/>
      <x:c r="Q151" s="402"/>
      <x:c r="R151" s="402"/>
      <x:c r="S151" s="402"/>
      <x:c r="T151" s="402"/>
      <x:c r="U151" s="402"/>
      <x:c r="V151" s="402"/>
      <x:c r="W151" s="402"/>
      <x:c r="X151" s="402"/>
      <x:c r="Y151" s="402"/>
      <x:c r="Z151" s="402"/>
    </x:row>
    <x:row r="152">
      <x:c r="A152" s="402"/>
      <x:c r="B152" s="402"/>
      <x:c r="C152" s="402"/>
      <x:c r="D152" s="402"/>
      <x:c r="E152" s="402"/>
      <x:c r="F152" s="402"/>
      <x:c r="G152" s="402"/>
      <x:c r="H152" s="402"/>
      <x:c r="I152" s="402"/>
      <x:c r="J152" s="402"/>
      <x:c r="K152" s="402"/>
      <x:c r="L152" s="402"/>
      <x:c r="M152" s="402"/>
      <x:c r="N152" s="402"/>
      <x:c r="O152" s="402"/>
      <x:c r="P152" s="402"/>
      <x:c r="Q152" s="402"/>
      <x:c r="R152" s="402"/>
      <x:c r="S152" s="402"/>
      <x:c r="T152" s="402"/>
      <x:c r="U152" s="402"/>
      <x:c r="V152" s="402"/>
      <x:c r="W152" s="402"/>
      <x:c r="X152" s="402"/>
      <x:c r="Y152" s="402"/>
      <x:c r="Z152" s="402"/>
    </x:row>
    <x:row r="153">
      <x:c r="A153" s="402"/>
      <x:c r="B153" s="402"/>
      <x:c r="C153" s="402"/>
      <x:c r="D153" s="402"/>
      <x:c r="E153" s="402"/>
      <x:c r="F153" s="402"/>
      <x:c r="G153" s="402"/>
      <x:c r="H153" s="402"/>
      <x:c r="I153" s="402"/>
      <x:c r="J153" s="402"/>
      <x:c r="K153" s="402"/>
      <x:c r="L153" s="402"/>
      <x:c r="M153" s="402"/>
      <x:c r="N153" s="402"/>
      <x:c r="O153" s="402"/>
      <x:c r="P153" s="402"/>
      <x:c r="Q153" s="402"/>
      <x:c r="R153" s="402"/>
      <x:c r="S153" s="402"/>
      <x:c r="T153" s="402"/>
      <x:c r="U153" s="402"/>
      <x:c r="V153" s="402"/>
      <x:c r="W153" s="402"/>
      <x:c r="X153" s="402"/>
      <x:c r="Y153" s="402"/>
      <x:c r="Z153" s="402"/>
    </x:row>
    <x:row r="154">
      <x:c r="A154" s="402"/>
      <x:c r="B154" s="402"/>
      <x:c r="C154" s="402"/>
      <x:c r="D154" s="402"/>
      <x:c r="E154" s="402"/>
      <x:c r="F154" s="402"/>
      <x:c r="G154" s="402"/>
      <x:c r="H154" s="402"/>
      <x:c r="I154" s="402"/>
      <x:c r="J154" s="402"/>
      <x:c r="K154" s="402"/>
      <x:c r="L154" s="402"/>
      <x:c r="M154" s="402"/>
      <x:c r="N154" s="402"/>
      <x:c r="O154" s="402"/>
      <x:c r="P154" s="402"/>
      <x:c r="Q154" s="402"/>
      <x:c r="R154" s="402"/>
      <x:c r="S154" s="402"/>
      <x:c r="T154" s="402"/>
      <x:c r="U154" s="402"/>
      <x:c r="V154" s="402"/>
      <x:c r="W154" s="402"/>
      <x:c r="X154" s="402"/>
      <x:c r="Y154" s="402"/>
      <x:c r="Z154" s="402"/>
    </x:row>
    <x:row r="155">
      <x:c r="A155" s="402"/>
      <x:c r="B155" s="402"/>
      <x:c r="C155" s="402"/>
      <x:c r="D155" s="402"/>
      <x:c r="E155" s="402"/>
      <x:c r="F155" s="402"/>
      <x:c r="G155" s="402"/>
      <x:c r="H155" s="402"/>
      <x:c r="I155" s="402"/>
      <x:c r="J155" s="402"/>
      <x:c r="K155" s="402"/>
      <x:c r="L155" s="402"/>
      <x:c r="M155" s="402"/>
      <x:c r="N155" s="402"/>
      <x:c r="O155" s="402"/>
      <x:c r="P155" s="402"/>
      <x:c r="Q155" s="402"/>
      <x:c r="R155" s="402"/>
      <x:c r="S155" s="402"/>
      <x:c r="T155" s="402"/>
      <x:c r="U155" s="402"/>
      <x:c r="V155" s="402"/>
      <x:c r="W155" s="402"/>
      <x:c r="X155" s="402"/>
      <x:c r="Y155" s="402"/>
      <x:c r="Z155" s="402"/>
    </x:row>
    <x:row r="156">
      <x:c r="A156" s="402"/>
      <x:c r="B156" s="402"/>
      <x:c r="C156" s="402"/>
      <x:c r="D156" s="402"/>
      <x:c r="E156" s="402"/>
      <x:c r="F156" s="402"/>
      <x:c r="G156" s="402"/>
      <x:c r="H156" s="402"/>
      <x:c r="I156" s="402"/>
      <x:c r="J156" s="402"/>
      <x:c r="K156" s="402"/>
      <x:c r="L156" s="402"/>
      <x:c r="M156" s="402"/>
      <x:c r="N156" s="402"/>
      <x:c r="O156" s="402"/>
      <x:c r="P156" s="402"/>
      <x:c r="Q156" s="402"/>
      <x:c r="R156" s="402"/>
      <x:c r="S156" s="402"/>
      <x:c r="T156" s="402"/>
      <x:c r="U156" s="402"/>
      <x:c r="V156" s="402"/>
      <x:c r="W156" s="402"/>
      <x:c r="X156" s="402"/>
      <x:c r="Y156" s="402"/>
      <x:c r="Z156" s="402"/>
    </x:row>
    <x:row r="157">
      <x:c r="A157" s="402"/>
      <x:c r="B157" s="402"/>
      <x:c r="C157" s="402"/>
      <x:c r="D157" s="402"/>
      <x:c r="E157" s="402"/>
      <x:c r="F157" s="402"/>
      <x:c r="G157" s="402"/>
      <x:c r="H157" s="402"/>
      <x:c r="I157" s="402"/>
      <x:c r="J157" s="402"/>
      <x:c r="K157" s="402"/>
      <x:c r="L157" s="402"/>
      <x:c r="M157" s="402"/>
      <x:c r="N157" s="402"/>
      <x:c r="O157" s="402"/>
      <x:c r="P157" s="402"/>
      <x:c r="Q157" s="402"/>
      <x:c r="R157" s="402"/>
      <x:c r="S157" s="402"/>
      <x:c r="T157" s="402"/>
      <x:c r="U157" s="402"/>
      <x:c r="V157" s="402"/>
      <x:c r="W157" s="402"/>
      <x:c r="X157" s="402"/>
      <x:c r="Y157" s="402"/>
      <x:c r="Z157" s="402"/>
    </x:row>
    <x:row r="158">
      <x:c r="A158" s="402"/>
      <x:c r="B158" s="402"/>
      <x:c r="C158" s="402"/>
      <x:c r="D158" s="402"/>
      <x:c r="E158" s="402"/>
      <x:c r="F158" s="402"/>
      <x:c r="G158" s="402"/>
      <x:c r="H158" s="402"/>
      <x:c r="I158" s="402"/>
      <x:c r="J158" s="402"/>
      <x:c r="K158" s="402"/>
      <x:c r="L158" s="402"/>
      <x:c r="M158" s="402"/>
      <x:c r="N158" s="402"/>
      <x:c r="O158" s="402"/>
      <x:c r="P158" s="402"/>
      <x:c r="Q158" s="402"/>
      <x:c r="R158" s="402"/>
      <x:c r="S158" s="402"/>
      <x:c r="T158" s="402"/>
      <x:c r="U158" s="402"/>
      <x:c r="V158" s="402"/>
      <x:c r="W158" s="402"/>
      <x:c r="X158" s="402"/>
      <x:c r="Y158" s="402"/>
      <x:c r="Z158" s="402"/>
    </x:row>
    <x:row r="159">
      <x:c r="A159" s="402"/>
      <x:c r="B159" s="402"/>
      <x:c r="C159" s="402"/>
      <x:c r="D159" s="402"/>
      <x:c r="E159" s="402"/>
      <x:c r="F159" s="402"/>
      <x:c r="G159" s="402"/>
      <x:c r="H159" s="402"/>
      <x:c r="I159" s="402"/>
      <x:c r="J159" s="402"/>
      <x:c r="K159" s="402"/>
      <x:c r="L159" s="402"/>
      <x:c r="M159" s="402"/>
      <x:c r="N159" s="402"/>
      <x:c r="O159" s="402"/>
      <x:c r="P159" s="402"/>
      <x:c r="Q159" s="402"/>
      <x:c r="R159" s="402"/>
      <x:c r="S159" s="402"/>
      <x:c r="T159" s="402"/>
      <x:c r="U159" s="402"/>
      <x:c r="V159" s="402"/>
      <x:c r="W159" s="402"/>
      <x:c r="X159" s="402"/>
      <x:c r="Y159" s="402"/>
      <x:c r="Z159" s="402"/>
    </x:row>
    <x:row r="160">
      <x:c r="A160" s="402"/>
      <x:c r="B160" s="402"/>
      <x:c r="C160" s="402"/>
      <x:c r="D160" s="402"/>
      <x:c r="E160" s="402"/>
      <x:c r="F160" s="402"/>
      <x:c r="G160" s="402"/>
      <x:c r="H160" s="402"/>
      <x:c r="I160" s="402"/>
      <x:c r="J160" s="402"/>
      <x:c r="K160" s="402"/>
      <x:c r="L160" s="402"/>
      <x:c r="M160" s="402"/>
      <x:c r="N160" s="402"/>
      <x:c r="O160" s="402"/>
      <x:c r="P160" s="402"/>
      <x:c r="Q160" s="402"/>
      <x:c r="R160" s="402"/>
      <x:c r="S160" s="402"/>
      <x:c r="T160" s="402"/>
      <x:c r="U160" s="402"/>
      <x:c r="V160" s="402"/>
      <x:c r="W160" s="402"/>
      <x:c r="X160" s="402"/>
      <x:c r="Y160" s="402"/>
      <x:c r="Z160" s="402"/>
    </x:row>
    <x:row r="161">
      <x:c r="A161" s="402"/>
      <x:c r="B161" s="402"/>
      <x:c r="C161" s="402"/>
      <x:c r="D161" s="402"/>
      <x:c r="E161" s="402"/>
      <x:c r="F161" s="402"/>
      <x:c r="G161" s="402"/>
      <x:c r="H161" s="402"/>
      <x:c r="I161" s="402"/>
      <x:c r="J161" s="402"/>
      <x:c r="K161" s="402"/>
      <x:c r="L161" s="402"/>
      <x:c r="M161" s="402"/>
      <x:c r="N161" s="402"/>
      <x:c r="O161" s="402"/>
      <x:c r="P161" s="402"/>
      <x:c r="Q161" s="402"/>
      <x:c r="R161" s="402"/>
      <x:c r="S161" s="402"/>
      <x:c r="T161" s="402"/>
      <x:c r="U161" s="402"/>
      <x:c r="V161" s="402"/>
      <x:c r="W161" s="402"/>
      <x:c r="X161" s="402"/>
      <x:c r="Y161" s="402"/>
      <x:c r="Z161" s="402"/>
    </x:row>
    <x:row r="162">
      <x:c r="A162" s="402"/>
      <x:c r="B162" s="402"/>
      <x:c r="C162" s="402"/>
      <x:c r="D162" s="402"/>
      <x:c r="E162" s="402"/>
      <x:c r="F162" s="402"/>
      <x:c r="G162" s="402"/>
      <x:c r="H162" s="402"/>
      <x:c r="I162" s="402"/>
      <x:c r="J162" s="402"/>
      <x:c r="K162" s="402"/>
      <x:c r="L162" s="402"/>
      <x:c r="M162" s="402"/>
      <x:c r="N162" s="402"/>
      <x:c r="O162" s="402"/>
      <x:c r="P162" s="402"/>
      <x:c r="Q162" s="402"/>
      <x:c r="R162" s="402"/>
      <x:c r="S162" s="402"/>
      <x:c r="T162" s="402"/>
      <x:c r="U162" s="402"/>
      <x:c r="V162" s="402"/>
      <x:c r="W162" s="402"/>
      <x:c r="X162" s="402"/>
      <x:c r="Y162" s="402"/>
      <x:c r="Z162" s="402"/>
    </x:row>
    <x:row r="163">
      <x:c r="A163" s="402"/>
      <x:c r="B163" s="402"/>
      <x:c r="C163" s="402"/>
      <x:c r="D163" s="402"/>
      <x:c r="E163" s="402"/>
      <x:c r="F163" s="402"/>
      <x:c r="G163" s="402"/>
      <x:c r="H163" s="402"/>
      <x:c r="I163" s="402"/>
      <x:c r="J163" s="402"/>
      <x:c r="K163" s="402"/>
      <x:c r="L163" s="402"/>
      <x:c r="M163" s="402"/>
      <x:c r="N163" s="402"/>
      <x:c r="O163" s="402"/>
      <x:c r="P163" s="402"/>
      <x:c r="Q163" s="402"/>
      <x:c r="R163" s="402"/>
      <x:c r="S163" s="402"/>
      <x:c r="T163" s="402"/>
      <x:c r="U163" s="402"/>
      <x:c r="V163" s="402"/>
      <x:c r="W163" s="402"/>
      <x:c r="X163" s="402"/>
      <x:c r="Y163" s="402"/>
      <x:c r="Z163" s="402"/>
    </x:row>
    <x:row r="164">
      <x:c r="A164" s="402"/>
      <x:c r="B164" s="402"/>
      <x:c r="C164" s="402"/>
      <x:c r="D164" s="402"/>
      <x:c r="E164" s="402"/>
      <x:c r="F164" s="402"/>
      <x:c r="G164" s="402"/>
      <x:c r="H164" s="402"/>
      <x:c r="I164" s="402"/>
      <x:c r="J164" s="402"/>
      <x:c r="K164" s="402"/>
      <x:c r="L164" s="402"/>
      <x:c r="M164" s="402"/>
      <x:c r="N164" s="402"/>
      <x:c r="O164" s="402"/>
      <x:c r="P164" s="402"/>
      <x:c r="Q164" s="402"/>
      <x:c r="R164" s="402"/>
      <x:c r="S164" s="402"/>
      <x:c r="T164" s="402"/>
      <x:c r="U164" s="402"/>
      <x:c r="V164" s="402"/>
      <x:c r="W164" s="402"/>
      <x:c r="X164" s="402"/>
      <x:c r="Y164" s="402"/>
      <x:c r="Z164" s="402"/>
    </x:row>
    <x:row r="165">
      <x:c r="A165" s="402"/>
      <x:c r="B165" s="402"/>
      <x:c r="C165" s="402"/>
      <x:c r="D165" s="402"/>
      <x:c r="E165" s="402"/>
      <x:c r="F165" s="402"/>
      <x:c r="G165" s="402"/>
      <x:c r="H165" s="402"/>
      <x:c r="I165" s="402"/>
      <x:c r="J165" s="402"/>
      <x:c r="K165" s="402"/>
      <x:c r="L165" s="402"/>
      <x:c r="M165" s="402"/>
      <x:c r="N165" s="402"/>
      <x:c r="O165" s="402"/>
      <x:c r="P165" s="402"/>
      <x:c r="Q165" s="402"/>
      <x:c r="R165" s="402"/>
      <x:c r="S165" s="402"/>
      <x:c r="T165" s="402"/>
      <x:c r="U165" s="402"/>
      <x:c r="V165" s="402"/>
      <x:c r="W165" s="402"/>
      <x:c r="X165" s="402"/>
      <x:c r="Y165" s="402"/>
      <x:c r="Z165" s="402"/>
    </x:row>
    <x:row r="166">
      <x:c r="A166" s="402"/>
      <x:c r="B166" s="402"/>
      <x:c r="C166" s="402"/>
      <x:c r="D166" s="402"/>
      <x:c r="E166" s="402"/>
      <x:c r="F166" s="402"/>
      <x:c r="G166" s="402"/>
      <x:c r="H166" s="402"/>
      <x:c r="I166" s="402"/>
      <x:c r="J166" s="402"/>
      <x:c r="K166" s="402"/>
      <x:c r="L166" s="402"/>
      <x:c r="M166" s="402"/>
      <x:c r="N166" s="402"/>
      <x:c r="O166" s="402"/>
      <x:c r="P166" s="402"/>
      <x:c r="Q166" s="402"/>
      <x:c r="R166" s="402"/>
      <x:c r="S166" s="402"/>
      <x:c r="T166" s="402"/>
      <x:c r="U166" s="402"/>
      <x:c r="V166" s="402"/>
      <x:c r="W166" s="402"/>
      <x:c r="X166" s="402"/>
      <x:c r="Y166" s="402"/>
      <x:c r="Z166" s="402"/>
    </x:row>
    <x:row r="167">
      <x:c r="A167" s="402"/>
      <x:c r="B167" s="402"/>
      <x:c r="C167" s="402"/>
      <x:c r="D167" s="402"/>
      <x:c r="E167" s="402"/>
      <x:c r="F167" s="402"/>
      <x:c r="G167" s="402"/>
      <x:c r="H167" s="402"/>
      <x:c r="I167" s="402"/>
      <x:c r="J167" s="402"/>
      <x:c r="K167" s="402"/>
      <x:c r="L167" s="402"/>
      <x:c r="M167" s="402"/>
      <x:c r="N167" s="402"/>
      <x:c r="O167" s="402"/>
      <x:c r="P167" s="402"/>
      <x:c r="Q167" s="402"/>
      <x:c r="R167" s="402"/>
      <x:c r="S167" s="402"/>
      <x:c r="T167" s="402"/>
      <x:c r="U167" s="402"/>
      <x:c r="V167" s="402"/>
      <x:c r="W167" s="402"/>
      <x:c r="X167" s="402"/>
      <x:c r="Y167" s="402"/>
      <x:c r="Z167" s="402"/>
    </x:row>
    <x:row r="168">
      <x:c r="A168" s="402"/>
      <x:c r="B168" s="402"/>
      <x:c r="C168" s="402"/>
      <x:c r="D168" s="402"/>
      <x:c r="E168" s="402"/>
      <x:c r="F168" s="402"/>
      <x:c r="G168" s="402"/>
      <x:c r="H168" s="402"/>
      <x:c r="I168" s="402"/>
      <x:c r="J168" s="402"/>
      <x:c r="K168" s="402"/>
      <x:c r="L168" s="402"/>
      <x:c r="M168" s="402"/>
      <x:c r="N168" s="402"/>
      <x:c r="O168" s="402"/>
      <x:c r="P168" s="402"/>
      <x:c r="Q168" s="402"/>
      <x:c r="R168" s="402"/>
      <x:c r="S168" s="402"/>
      <x:c r="T168" s="402"/>
      <x:c r="U168" s="402"/>
      <x:c r="V168" s="402"/>
      <x:c r="W168" s="402"/>
      <x:c r="X168" s="402"/>
      <x:c r="Y168" s="402"/>
      <x:c r="Z168" s="402"/>
    </x:row>
    <x:row r="169">
      <x:c r="A169" s="402"/>
      <x:c r="B169" s="402"/>
      <x:c r="C169" s="402"/>
      <x:c r="D169" s="402"/>
      <x:c r="E169" s="402"/>
      <x:c r="F169" s="402"/>
      <x:c r="G169" s="402"/>
      <x:c r="H169" s="402"/>
      <x:c r="I169" s="402"/>
      <x:c r="J169" s="402"/>
      <x:c r="K169" s="402"/>
      <x:c r="L169" s="402"/>
      <x:c r="M169" s="402"/>
      <x:c r="N169" s="402"/>
      <x:c r="O169" s="402"/>
      <x:c r="P169" s="402"/>
      <x:c r="Q169" s="402"/>
      <x:c r="R169" s="402"/>
      <x:c r="S169" s="402"/>
      <x:c r="T169" s="402"/>
      <x:c r="U169" s="402"/>
      <x:c r="V169" s="402"/>
      <x:c r="W169" s="402"/>
      <x:c r="X169" s="402"/>
      <x:c r="Y169" s="402"/>
      <x:c r="Z169" s="402"/>
    </x:row>
    <x:row r="170">
      <x:c r="A170" s="402"/>
      <x:c r="B170" s="402"/>
      <x:c r="C170" s="402"/>
      <x:c r="D170" s="402"/>
      <x:c r="E170" s="402"/>
      <x:c r="F170" s="402"/>
      <x:c r="G170" s="402"/>
      <x:c r="H170" s="402"/>
      <x:c r="I170" s="402"/>
      <x:c r="J170" s="402"/>
      <x:c r="K170" s="402"/>
      <x:c r="L170" s="402"/>
      <x:c r="M170" s="402"/>
      <x:c r="N170" s="402"/>
      <x:c r="O170" s="402"/>
      <x:c r="P170" s="402"/>
      <x:c r="Q170" s="402"/>
      <x:c r="R170" s="402"/>
      <x:c r="S170" s="402"/>
      <x:c r="T170" s="402"/>
      <x:c r="U170" s="402"/>
      <x:c r="V170" s="402"/>
      <x:c r="W170" s="402"/>
      <x:c r="X170" s="402"/>
      <x:c r="Y170" s="402"/>
      <x:c r="Z170" s="402"/>
    </x:row>
    <x:row r="171">
      <x:c r="A171" s="402"/>
      <x:c r="B171" s="402"/>
      <x:c r="C171" s="402"/>
      <x:c r="D171" s="402"/>
      <x:c r="E171" s="402"/>
      <x:c r="F171" s="402"/>
      <x:c r="G171" s="402"/>
      <x:c r="H171" s="402"/>
      <x:c r="I171" s="402"/>
      <x:c r="J171" s="402"/>
      <x:c r="K171" s="402"/>
      <x:c r="L171" s="402"/>
      <x:c r="M171" s="402"/>
      <x:c r="N171" s="402"/>
      <x:c r="O171" s="402"/>
      <x:c r="P171" s="402"/>
      <x:c r="Q171" s="402"/>
      <x:c r="R171" s="402"/>
      <x:c r="S171" s="402"/>
      <x:c r="T171" s="402"/>
      <x:c r="U171" s="402"/>
      <x:c r="V171" s="402"/>
      <x:c r="W171" s="402"/>
      <x:c r="X171" s="402"/>
      <x:c r="Y171" s="402"/>
      <x:c r="Z171" s="402"/>
    </x:row>
    <x:row r="172">
      <x:c r="A172" s="402"/>
      <x:c r="B172" s="402"/>
      <x:c r="C172" s="402"/>
      <x:c r="D172" s="402"/>
      <x:c r="E172" s="402"/>
      <x:c r="F172" s="402"/>
      <x:c r="G172" s="402"/>
      <x:c r="H172" s="402"/>
      <x:c r="I172" s="402"/>
      <x:c r="J172" s="402"/>
      <x:c r="K172" s="402"/>
      <x:c r="L172" s="402"/>
      <x:c r="M172" s="402"/>
      <x:c r="N172" s="402"/>
      <x:c r="O172" s="402"/>
      <x:c r="P172" s="402"/>
      <x:c r="Q172" s="402"/>
      <x:c r="R172" s="402"/>
      <x:c r="S172" s="402"/>
      <x:c r="T172" s="402"/>
      <x:c r="U172" s="402"/>
      <x:c r="V172" s="402"/>
      <x:c r="W172" s="402"/>
      <x:c r="X172" s="402"/>
      <x:c r="Y172" s="402"/>
      <x:c r="Z172" s="402"/>
    </x:row>
    <x:row r="173">
      <x:c r="A173" s="402"/>
      <x:c r="B173" s="402"/>
      <x:c r="C173" s="402"/>
      <x:c r="D173" s="402"/>
      <x:c r="E173" s="402"/>
      <x:c r="F173" s="402"/>
      <x:c r="G173" s="402"/>
      <x:c r="H173" s="402"/>
      <x:c r="I173" s="402"/>
      <x:c r="J173" s="402"/>
      <x:c r="K173" s="402"/>
      <x:c r="L173" s="402"/>
      <x:c r="M173" s="402"/>
      <x:c r="N173" s="402"/>
      <x:c r="O173" s="402"/>
      <x:c r="P173" s="402"/>
      <x:c r="Q173" s="402"/>
      <x:c r="R173" s="402"/>
      <x:c r="S173" s="402"/>
      <x:c r="T173" s="402"/>
      <x:c r="U173" s="402"/>
      <x:c r="V173" s="402"/>
      <x:c r="W173" s="402"/>
      <x:c r="X173" s="402"/>
      <x:c r="Y173" s="402"/>
      <x:c r="Z173" s="402"/>
    </x:row>
    <x:row r="174">
      <x:c r="A174" s="402"/>
      <x:c r="B174" s="402"/>
      <x:c r="C174" s="402"/>
      <x:c r="D174" s="402"/>
      <x:c r="E174" s="402"/>
      <x:c r="F174" s="402"/>
      <x:c r="G174" s="402"/>
      <x:c r="H174" s="402"/>
      <x:c r="I174" s="402"/>
      <x:c r="J174" s="402"/>
      <x:c r="K174" s="402"/>
      <x:c r="L174" s="402"/>
      <x:c r="M174" s="402"/>
      <x:c r="N174" s="402"/>
      <x:c r="O174" s="402"/>
      <x:c r="P174" s="402"/>
      <x:c r="Q174" s="402"/>
      <x:c r="R174" s="402"/>
      <x:c r="S174" s="402"/>
      <x:c r="T174" s="402"/>
      <x:c r="U174" s="402"/>
      <x:c r="V174" s="402"/>
      <x:c r="W174" s="402"/>
      <x:c r="X174" s="402"/>
      <x:c r="Y174" s="402"/>
      <x:c r="Z174" s="402"/>
    </x:row>
    <x:row r="175">
      <x:c r="A175" s="402"/>
      <x:c r="B175" s="402"/>
      <x:c r="C175" s="402"/>
      <x:c r="D175" s="402"/>
      <x:c r="E175" s="402"/>
      <x:c r="F175" s="402"/>
      <x:c r="G175" s="402"/>
      <x:c r="H175" s="402"/>
      <x:c r="I175" s="402"/>
      <x:c r="J175" s="402"/>
      <x:c r="K175" s="402"/>
      <x:c r="L175" s="402"/>
      <x:c r="M175" s="402"/>
      <x:c r="N175" s="402"/>
      <x:c r="O175" s="402"/>
      <x:c r="P175" s="402"/>
      <x:c r="Q175" s="402"/>
      <x:c r="R175" s="402"/>
      <x:c r="S175" s="402"/>
      <x:c r="T175" s="402"/>
      <x:c r="U175" s="402"/>
      <x:c r="V175" s="402"/>
      <x:c r="W175" s="402"/>
      <x:c r="X175" s="402"/>
      <x:c r="Y175" s="402"/>
      <x:c r="Z175" s="402"/>
    </x:row>
    <x:row r="176">
      <x:c r="A176" s="402"/>
      <x:c r="B176" s="402"/>
      <x:c r="C176" s="402"/>
      <x:c r="D176" s="402"/>
      <x:c r="E176" s="402"/>
      <x:c r="F176" s="402"/>
      <x:c r="G176" s="402"/>
      <x:c r="H176" s="402"/>
      <x:c r="I176" s="402"/>
      <x:c r="J176" s="402"/>
      <x:c r="K176" s="402"/>
      <x:c r="L176" s="402"/>
      <x:c r="M176" s="402"/>
      <x:c r="N176" s="402"/>
      <x:c r="O176" s="402"/>
      <x:c r="P176" s="402"/>
      <x:c r="Q176" s="402"/>
      <x:c r="R176" s="402"/>
      <x:c r="S176" s="402"/>
      <x:c r="T176" s="402"/>
      <x:c r="U176" s="402"/>
      <x:c r="V176" s="402"/>
      <x:c r="W176" s="402"/>
      <x:c r="X176" s="402"/>
      <x:c r="Y176" s="402"/>
      <x:c r="Z176" s="402"/>
    </x:row>
    <x:row r="177">
      <x:c r="A177" s="402"/>
      <x:c r="B177" s="402"/>
      <x:c r="C177" s="402"/>
      <x:c r="D177" s="402"/>
      <x:c r="E177" s="402"/>
      <x:c r="F177" s="402"/>
      <x:c r="G177" s="402"/>
      <x:c r="H177" s="402"/>
      <x:c r="I177" s="402"/>
      <x:c r="J177" s="402"/>
      <x:c r="K177" s="402"/>
      <x:c r="L177" s="402"/>
      <x:c r="M177" s="402"/>
      <x:c r="N177" s="402"/>
      <x:c r="O177" s="402"/>
      <x:c r="P177" s="402"/>
      <x:c r="Q177" s="402"/>
      <x:c r="R177" s="402"/>
      <x:c r="S177" s="402"/>
      <x:c r="T177" s="402"/>
      <x:c r="U177" s="402"/>
      <x:c r="V177" s="402"/>
      <x:c r="W177" s="402"/>
      <x:c r="X177" s="402"/>
      <x:c r="Y177" s="402"/>
      <x:c r="Z177" s="402"/>
    </x:row>
    <x:row r="178">
      <x:c r="A178" s="402"/>
      <x:c r="B178" s="402"/>
      <x:c r="C178" s="402"/>
      <x:c r="D178" s="402"/>
      <x:c r="E178" s="402"/>
      <x:c r="F178" s="402"/>
      <x:c r="G178" s="402"/>
      <x:c r="H178" s="402"/>
      <x:c r="I178" s="402"/>
      <x:c r="J178" s="402"/>
      <x:c r="K178" s="402"/>
      <x:c r="L178" s="402"/>
      <x:c r="M178" s="402"/>
      <x:c r="N178" s="402"/>
      <x:c r="O178" s="402"/>
      <x:c r="P178" s="402"/>
      <x:c r="Q178" s="402"/>
      <x:c r="R178" s="402"/>
      <x:c r="S178" s="402"/>
      <x:c r="T178" s="402"/>
      <x:c r="U178" s="402"/>
      <x:c r="V178" s="402"/>
      <x:c r="W178" s="402"/>
      <x:c r="X178" s="402"/>
      <x:c r="Y178" s="402"/>
      <x:c r="Z178" s="402"/>
    </x:row>
    <x:row r="179">
      <x:c r="A179" s="402"/>
      <x:c r="B179" s="402"/>
      <x:c r="C179" s="402"/>
      <x:c r="D179" s="402"/>
      <x:c r="E179" s="402"/>
      <x:c r="F179" s="402"/>
      <x:c r="G179" s="402"/>
      <x:c r="H179" s="402"/>
      <x:c r="I179" s="402"/>
      <x:c r="J179" s="402"/>
      <x:c r="K179" s="402"/>
      <x:c r="L179" s="402"/>
      <x:c r="M179" s="402"/>
      <x:c r="N179" s="402"/>
      <x:c r="O179" s="402"/>
      <x:c r="P179" s="402"/>
      <x:c r="Q179" s="402"/>
      <x:c r="R179" s="402"/>
      <x:c r="S179" s="402"/>
      <x:c r="T179" s="402"/>
      <x:c r="U179" s="402"/>
      <x:c r="V179" s="402"/>
      <x:c r="W179" s="402"/>
      <x:c r="X179" s="402"/>
      <x:c r="Y179" s="402"/>
      <x:c r="Z179" s="402"/>
    </x:row>
    <x:row r="180">
      <x:c r="A180" s="402"/>
      <x:c r="B180" s="402"/>
      <x:c r="C180" s="402"/>
      <x:c r="D180" s="402"/>
      <x:c r="E180" s="402"/>
      <x:c r="F180" s="402"/>
      <x:c r="G180" s="402"/>
      <x:c r="H180" s="402"/>
      <x:c r="I180" s="402"/>
      <x:c r="J180" s="402"/>
      <x:c r="K180" s="402"/>
      <x:c r="L180" s="402"/>
      <x:c r="M180" s="402"/>
      <x:c r="N180" s="402"/>
      <x:c r="O180" s="402"/>
      <x:c r="P180" s="402"/>
      <x:c r="Q180" s="402"/>
      <x:c r="R180" s="402"/>
      <x:c r="S180" s="402"/>
      <x:c r="T180" s="402"/>
      <x:c r="U180" s="402"/>
      <x:c r="V180" s="402"/>
      <x:c r="W180" s="402"/>
      <x:c r="X180" s="402"/>
      <x:c r="Y180" s="402"/>
      <x:c r="Z180" s="402"/>
    </x:row>
    <x:row r="181">
      <x:c r="A181" s="402"/>
      <x:c r="B181" s="402"/>
      <x:c r="C181" s="402"/>
      <x:c r="D181" s="402"/>
      <x:c r="E181" s="402"/>
      <x:c r="F181" s="402"/>
      <x:c r="G181" s="402"/>
      <x:c r="H181" s="402"/>
      <x:c r="I181" s="402"/>
      <x:c r="J181" s="402"/>
      <x:c r="K181" s="402"/>
      <x:c r="L181" s="402"/>
      <x:c r="M181" s="402"/>
      <x:c r="N181" s="402"/>
      <x:c r="O181" s="402"/>
      <x:c r="P181" s="402"/>
      <x:c r="Q181" s="402"/>
      <x:c r="R181" s="402"/>
      <x:c r="S181" s="402"/>
      <x:c r="T181" s="402"/>
      <x:c r="U181" s="402"/>
      <x:c r="V181" s="402"/>
      <x:c r="W181" s="402"/>
      <x:c r="X181" s="402"/>
      <x:c r="Y181" s="402"/>
      <x:c r="Z181" s="402"/>
    </x:row>
    <x:row r="182">
      <x:c r="A182" s="402"/>
      <x:c r="B182" s="402"/>
      <x:c r="C182" s="402"/>
      <x:c r="D182" s="402"/>
      <x:c r="E182" s="402"/>
      <x:c r="F182" s="402"/>
      <x:c r="G182" s="402"/>
      <x:c r="H182" s="402"/>
      <x:c r="I182" s="402"/>
      <x:c r="J182" s="402"/>
      <x:c r="K182" s="402"/>
      <x:c r="L182" s="402"/>
      <x:c r="M182" s="402"/>
      <x:c r="N182" s="402"/>
      <x:c r="O182" s="402"/>
      <x:c r="P182" s="402"/>
      <x:c r="Q182" s="402"/>
      <x:c r="R182" s="402"/>
      <x:c r="S182" s="402"/>
      <x:c r="T182" s="402"/>
      <x:c r="U182" s="402"/>
      <x:c r="V182" s="402"/>
      <x:c r="W182" s="402"/>
      <x:c r="X182" s="402"/>
      <x:c r="Y182" s="402"/>
      <x:c r="Z182" s="402"/>
    </x:row>
    <x:row r="183">
      <x:c r="A183" s="402"/>
      <x:c r="B183" s="402"/>
      <x:c r="C183" s="402"/>
      <x:c r="D183" s="402"/>
      <x:c r="E183" s="402"/>
      <x:c r="F183" s="402"/>
      <x:c r="G183" s="402"/>
      <x:c r="H183" s="402"/>
      <x:c r="I183" s="402"/>
      <x:c r="J183" s="402"/>
      <x:c r="K183" s="402"/>
      <x:c r="L183" s="402"/>
      <x:c r="M183" s="402"/>
      <x:c r="N183" s="402"/>
      <x:c r="O183" s="402"/>
      <x:c r="P183" s="402"/>
      <x:c r="Q183" s="402"/>
      <x:c r="R183" s="402"/>
      <x:c r="S183" s="402"/>
      <x:c r="T183" s="402"/>
      <x:c r="U183" s="402"/>
      <x:c r="V183" s="402"/>
      <x:c r="W183" s="402"/>
      <x:c r="X183" s="402"/>
      <x:c r="Y183" s="402"/>
      <x:c r="Z183" s="402"/>
    </x:row>
    <x:row r="184">
      <x:c r="A184" s="402"/>
      <x:c r="B184" s="402"/>
      <x:c r="C184" s="402"/>
      <x:c r="D184" s="402"/>
      <x:c r="E184" s="402"/>
      <x:c r="F184" s="402"/>
      <x:c r="G184" s="402"/>
      <x:c r="H184" s="402"/>
      <x:c r="I184" s="402"/>
      <x:c r="J184" s="402"/>
      <x:c r="K184" s="402"/>
      <x:c r="L184" s="402"/>
      <x:c r="M184" s="402"/>
      <x:c r="N184" s="402"/>
      <x:c r="O184" s="402"/>
      <x:c r="P184" s="402"/>
      <x:c r="Q184" s="402"/>
      <x:c r="R184" s="402"/>
      <x:c r="S184" s="402"/>
      <x:c r="T184" s="402"/>
      <x:c r="U184" s="402"/>
      <x:c r="V184" s="402"/>
      <x:c r="W184" s="402"/>
      <x:c r="X184" s="402"/>
      <x:c r="Y184" s="402"/>
      <x:c r="Z184" s="402"/>
    </x:row>
    <x:row r="185">
      <x:c r="A185" s="402"/>
      <x:c r="B185" s="402"/>
      <x:c r="C185" s="402"/>
      <x:c r="D185" s="402"/>
      <x:c r="E185" s="402"/>
      <x:c r="F185" s="402"/>
      <x:c r="G185" s="402"/>
      <x:c r="H185" s="402"/>
      <x:c r="I185" s="402"/>
      <x:c r="J185" s="402"/>
      <x:c r="K185" s="402"/>
      <x:c r="L185" s="402"/>
      <x:c r="M185" s="402"/>
      <x:c r="N185" s="402"/>
      <x:c r="O185" s="402"/>
      <x:c r="P185" s="402"/>
      <x:c r="Q185" s="402"/>
      <x:c r="R185" s="402"/>
      <x:c r="S185" s="402"/>
      <x:c r="T185" s="402"/>
      <x:c r="U185" s="402"/>
      <x:c r="V185" s="402"/>
      <x:c r="W185" s="402"/>
      <x:c r="X185" s="402"/>
      <x:c r="Y185" s="402"/>
      <x:c r="Z185" s="402"/>
    </x:row>
    <x:row r="186">
      <x:c r="A186" s="402"/>
      <x:c r="B186" s="402"/>
      <x:c r="C186" s="402"/>
      <x:c r="D186" s="402"/>
      <x:c r="E186" s="402"/>
      <x:c r="F186" s="402"/>
      <x:c r="G186" s="402"/>
      <x:c r="H186" s="402"/>
      <x:c r="I186" s="402"/>
      <x:c r="J186" s="402"/>
      <x:c r="K186" s="402"/>
      <x:c r="L186" s="402"/>
      <x:c r="M186" s="402"/>
      <x:c r="N186" s="402"/>
      <x:c r="O186" s="402"/>
      <x:c r="P186" s="402"/>
      <x:c r="Q186" s="402"/>
      <x:c r="R186" s="402"/>
      <x:c r="S186" s="402"/>
      <x:c r="T186" s="402"/>
      <x:c r="U186" s="402"/>
      <x:c r="V186" s="402"/>
      <x:c r="W186" s="402"/>
      <x:c r="X186" s="402"/>
      <x:c r="Y186" s="402"/>
      <x:c r="Z186" s="402"/>
    </x:row>
    <x:row r="187">
      <x:c r="A187" s="402"/>
      <x:c r="B187" s="402"/>
      <x:c r="C187" s="402"/>
      <x:c r="D187" s="402"/>
      <x:c r="E187" s="402"/>
      <x:c r="F187" s="402"/>
      <x:c r="G187" s="402"/>
      <x:c r="H187" s="402"/>
      <x:c r="I187" s="402"/>
      <x:c r="J187" s="402"/>
      <x:c r="K187" s="402"/>
      <x:c r="L187" s="402"/>
      <x:c r="M187" s="402"/>
      <x:c r="N187" s="402"/>
      <x:c r="O187" s="402"/>
      <x:c r="P187" s="402"/>
      <x:c r="Q187" s="402"/>
      <x:c r="R187" s="402"/>
      <x:c r="S187" s="402"/>
      <x:c r="T187" s="402"/>
      <x:c r="U187" s="402"/>
      <x:c r="V187" s="402"/>
      <x:c r="W187" s="402"/>
      <x:c r="X187" s="402"/>
      <x:c r="Y187" s="402"/>
      <x:c r="Z187" s="402"/>
    </x:row>
    <x:row r="188">
      <x:c r="A188" s="402"/>
      <x:c r="B188" s="402"/>
      <x:c r="C188" s="402"/>
      <x:c r="D188" s="402"/>
      <x:c r="E188" s="402"/>
      <x:c r="F188" s="402"/>
      <x:c r="G188" s="402"/>
      <x:c r="H188" s="402"/>
      <x:c r="I188" s="402"/>
      <x:c r="J188" s="402"/>
      <x:c r="K188" s="402"/>
      <x:c r="L188" s="402"/>
      <x:c r="M188" s="402"/>
      <x:c r="N188" s="402"/>
      <x:c r="O188" s="402"/>
      <x:c r="P188" s="402"/>
      <x:c r="Q188" s="402"/>
      <x:c r="R188" s="402"/>
      <x:c r="S188" s="402"/>
      <x:c r="T188" s="402"/>
      <x:c r="U188" s="402"/>
      <x:c r="V188" s="402"/>
      <x:c r="W188" s="402"/>
      <x:c r="X188" s="402"/>
      <x:c r="Y188" s="402"/>
      <x:c r="Z188" s="402"/>
    </x:row>
    <x:row r="189">
      <x:c r="A189" s="402"/>
      <x:c r="B189" s="402"/>
      <x:c r="C189" s="402"/>
      <x:c r="D189" s="402"/>
      <x:c r="E189" s="402"/>
      <x:c r="F189" s="402"/>
      <x:c r="G189" s="402"/>
      <x:c r="H189" s="402"/>
      <x:c r="I189" s="402"/>
      <x:c r="J189" s="402"/>
      <x:c r="K189" s="402"/>
      <x:c r="L189" s="402"/>
      <x:c r="M189" s="402"/>
      <x:c r="N189" s="402"/>
      <x:c r="O189" s="402"/>
      <x:c r="P189" s="402"/>
      <x:c r="Q189" s="402"/>
      <x:c r="R189" s="402"/>
      <x:c r="S189" s="402"/>
      <x:c r="T189" s="402"/>
      <x:c r="U189" s="402"/>
      <x:c r="V189" s="402"/>
      <x:c r="W189" s="402"/>
      <x:c r="X189" s="402"/>
      <x:c r="Y189" s="402"/>
      <x:c r="Z189" s="402"/>
    </x:row>
    <x:row r="190">
      <x:c r="A190" s="402"/>
      <x:c r="B190" s="402"/>
      <x:c r="C190" s="402"/>
      <x:c r="D190" s="402"/>
      <x:c r="E190" s="402"/>
      <x:c r="F190" s="402"/>
      <x:c r="G190" s="402"/>
      <x:c r="H190" s="402"/>
      <x:c r="I190" s="402"/>
      <x:c r="J190" s="402"/>
      <x:c r="K190" s="402"/>
      <x:c r="L190" s="402"/>
      <x:c r="M190" s="402"/>
      <x:c r="N190" s="402"/>
      <x:c r="O190" s="402"/>
      <x:c r="P190" s="402"/>
      <x:c r="Q190" s="402"/>
      <x:c r="R190" s="402"/>
      <x:c r="S190" s="402"/>
      <x:c r="T190" s="402"/>
      <x:c r="U190" s="402"/>
      <x:c r="V190" s="402"/>
      <x:c r="W190" s="402"/>
      <x:c r="X190" s="402"/>
      <x:c r="Y190" s="402"/>
      <x:c r="Z190" s="402"/>
    </x:row>
    <x:row r="191">
      <x:c r="A191" s="402"/>
      <x:c r="B191" s="402"/>
      <x:c r="C191" s="402"/>
      <x:c r="D191" s="402"/>
      <x:c r="E191" s="402"/>
      <x:c r="F191" s="402"/>
      <x:c r="G191" s="402"/>
      <x:c r="H191" s="402"/>
      <x:c r="I191" s="402"/>
      <x:c r="J191" s="402"/>
      <x:c r="K191" s="402"/>
      <x:c r="L191" s="402"/>
      <x:c r="M191" s="402"/>
      <x:c r="N191" s="402"/>
      <x:c r="O191" s="402"/>
      <x:c r="P191" s="402"/>
      <x:c r="Q191" s="402"/>
      <x:c r="R191" s="402"/>
      <x:c r="S191" s="402"/>
      <x:c r="T191" s="402"/>
      <x:c r="U191" s="402"/>
      <x:c r="V191" s="402"/>
      <x:c r="W191" s="402"/>
      <x:c r="X191" s="402"/>
      <x:c r="Y191" s="402"/>
      <x:c r="Z191" s="402"/>
    </x:row>
    <x:row r="192">
      <x:c r="A192" s="402"/>
      <x:c r="B192" s="402"/>
      <x:c r="C192" s="402"/>
      <x:c r="D192" s="402"/>
      <x:c r="E192" s="402"/>
      <x:c r="F192" s="402"/>
      <x:c r="G192" s="402"/>
      <x:c r="H192" s="402"/>
      <x:c r="I192" s="402"/>
      <x:c r="J192" s="402"/>
      <x:c r="K192" s="402"/>
      <x:c r="L192" s="402"/>
      <x:c r="M192" s="402"/>
      <x:c r="N192" s="402"/>
      <x:c r="O192" s="402"/>
      <x:c r="P192" s="402"/>
      <x:c r="Q192" s="402"/>
      <x:c r="R192" s="402"/>
      <x:c r="S192" s="402"/>
      <x:c r="T192" s="402"/>
      <x:c r="U192" s="402"/>
      <x:c r="V192" s="402"/>
      <x:c r="W192" s="402"/>
      <x:c r="X192" s="402"/>
      <x:c r="Y192" s="402"/>
      <x:c r="Z192" s="402"/>
    </x:row>
    <x:row r="193">
      <x:c r="A193" s="402"/>
      <x:c r="B193" s="402"/>
      <x:c r="C193" s="402"/>
      <x:c r="D193" s="402"/>
      <x:c r="E193" s="402"/>
      <x:c r="F193" s="402"/>
      <x:c r="G193" s="402"/>
      <x:c r="H193" s="402"/>
      <x:c r="I193" s="402"/>
      <x:c r="J193" s="402"/>
      <x:c r="K193" s="402"/>
      <x:c r="L193" s="402"/>
      <x:c r="M193" s="402"/>
      <x:c r="N193" s="402"/>
      <x:c r="O193" s="402"/>
      <x:c r="P193" s="402"/>
      <x:c r="Q193" s="402"/>
      <x:c r="R193" s="402"/>
      <x:c r="S193" s="402"/>
      <x:c r="T193" s="402"/>
      <x:c r="U193" s="402"/>
      <x:c r="V193" s="402"/>
      <x:c r="W193" s="402"/>
      <x:c r="X193" s="402"/>
      <x:c r="Y193" s="402"/>
      <x:c r="Z193" s="402"/>
    </x:row>
    <x:row r="194">
      <x:c r="A194" s="402"/>
      <x:c r="B194" s="402"/>
      <x:c r="C194" s="402"/>
      <x:c r="D194" s="402"/>
      <x:c r="E194" s="402"/>
      <x:c r="F194" s="402"/>
      <x:c r="G194" s="402"/>
      <x:c r="H194" s="402"/>
      <x:c r="I194" s="402"/>
      <x:c r="J194" s="402"/>
      <x:c r="K194" s="402"/>
      <x:c r="L194" s="402"/>
      <x:c r="M194" s="402"/>
      <x:c r="N194" s="402"/>
      <x:c r="O194" s="402"/>
      <x:c r="P194" s="402"/>
      <x:c r="Q194" s="402"/>
      <x:c r="R194" s="402"/>
      <x:c r="S194" s="402"/>
      <x:c r="T194" s="402"/>
      <x:c r="U194" s="402"/>
      <x:c r="V194" s="402"/>
      <x:c r="W194" s="402"/>
      <x:c r="X194" s="402"/>
      <x:c r="Y194" s="402"/>
      <x:c r="Z194" s="402"/>
    </x:row>
    <x:row r="195">
      <x:c r="A195" s="402"/>
      <x:c r="B195" s="402"/>
      <x:c r="C195" s="402"/>
      <x:c r="D195" s="402"/>
      <x:c r="E195" s="402"/>
      <x:c r="F195" s="402"/>
      <x:c r="G195" s="402"/>
      <x:c r="H195" s="402"/>
      <x:c r="I195" s="402"/>
      <x:c r="J195" s="402"/>
      <x:c r="K195" s="402"/>
      <x:c r="L195" s="402"/>
      <x:c r="M195" s="402"/>
      <x:c r="N195" s="402"/>
      <x:c r="O195" s="402"/>
      <x:c r="P195" s="402"/>
      <x:c r="Q195" s="402"/>
      <x:c r="R195" s="402"/>
      <x:c r="S195" s="402"/>
      <x:c r="T195" s="402"/>
      <x:c r="U195" s="402"/>
      <x:c r="V195" s="402"/>
      <x:c r="W195" s="402"/>
      <x:c r="X195" s="402"/>
      <x:c r="Y195" s="402"/>
      <x:c r="Z195" s="402"/>
    </x:row>
    <x:row r="196">
      <x:c r="A196" s="402"/>
      <x:c r="B196" s="402"/>
      <x:c r="C196" s="402"/>
      <x:c r="D196" s="402"/>
      <x:c r="E196" s="402"/>
      <x:c r="F196" s="402"/>
      <x:c r="G196" s="402"/>
      <x:c r="H196" s="402"/>
      <x:c r="I196" s="402"/>
      <x:c r="J196" s="402"/>
      <x:c r="K196" s="402"/>
      <x:c r="L196" s="402"/>
      <x:c r="M196" s="402"/>
      <x:c r="N196" s="402"/>
      <x:c r="O196" s="402"/>
      <x:c r="P196" s="402"/>
      <x:c r="Q196" s="402"/>
      <x:c r="R196" s="402"/>
      <x:c r="S196" s="402"/>
      <x:c r="T196" s="402"/>
      <x:c r="U196" s="402"/>
      <x:c r="V196" s="402"/>
      <x:c r="W196" s="402"/>
      <x:c r="X196" s="402"/>
      <x:c r="Y196" s="402"/>
      <x:c r="Z196" s="402"/>
    </x:row>
    <x:row r="197">
      <x:c r="A197" s="402"/>
      <x:c r="B197" s="402"/>
      <x:c r="C197" s="402"/>
      <x:c r="D197" s="402"/>
      <x:c r="E197" s="402"/>
      <x:c r="F197" s="402"/>
      <x:c r="G197" s="402"/>
      <x:c r="H197" s="402"/>
      <x:c r="I197" s="402"/>
      <x:c r="J197" s="402"/>
      <x:c r="K197" s="402"/>
      <x:c r="L197" s="402"/>
      <x:c r="M197" s="402"/>
      <x:c r="N197" s="402"/>
      <x:c r="O197" s="402"/>
      <x:c r="P197" s="402"/>
      <x:c r="Q197" s="402"/>
      <x:c r="R197" s="402"/>
      <x:c r="S197" s="402"/>
      <x:c r="T197" s="402"/>
      <x:c r="U197" s="402"/>
      <x:c r="V197" s="402"/>
      <x:c r="W197" s="402"/>
      <x:c r="X197" s="402"/>
      <x:c r="Y197" s="402"/>
      <x:c r="Z197" s="402"/>
    </x:row>
    <x:row r="198">
      <x:c r="A198" s="402"/>
      <x:c r="B198" s="402"/>
      <x:c r="C198" s="402"/>
      <x:c r="D198" s="402"/>
      <x:c r="E198" s="402"/>
      <x:c r="F198" s="402"/>
      <x:c r="G198" s="402"/>
      <x:c r="H198" s="402"/>
      <x:c r="I198" s="402"/>
      <x:c r="J198" s="402"/>
      <x:c r="K198" s="402"/>
      <x:c r="L198" s="402"/>
      <x:c r="M198" s="402"/>
      <x:c r="N198" s="402"/>
      <x:c r="O198" s="402"/>
      <x:c r="P198" s="402"/>
      <x:c r="Q198" s="402"/>
      <x:c r="R198" s="402"/>
      <x:c r="S198" s="402"/>
      <x:c r="T198" s="402"/>
      <x:c r="U198" s="402"/>
      <x:c r="V198" s="402"/>
      <x:c r="W198" s="402"/>
      <x:c r="X198" s="402"/>
      <x:c r="Y198" s="402"/>
      <x:c r="Z198" s="402"/>
    </x:row>
    <x:row r="199">
      <x:c r="A199" s="402"/>
      <x:c r="B199" s="402"/>
      <x:c r="C199" s="402"/>
      <x:c r="D199" s="402"/>
      <x:c r="E199" s="402"/>
      <x:c r="F199" s="402"/>
      <x:c r="G199" s="402"/>
      <x:c r="H199" s="402"/>
      <x:c r="I199" s="402"/>
      <x:c r="J199" s="402"/>
      <x:c r="K199" s="402"/>
      <x:c r="L199" s="402"/>
      <x:c r="M199" s="402"/>
      <x:c r="N199" s="402"/>
      <x:c r="O199" s="402"/>
      <x:c r="P199" s="402"/>
      <x:c r="Q199" s="402"/>
      <x:c r="R199" s="402"/>
      <x:c r="S199" s="402"/>
      <x:c r="T199" s="402"/>
      <x:c r="U199" s="402"/>
      <x:c r="V199" s="402"/>
      <x:c r="W199" s="402"/>
      <x:c r="X199" s="402"/>
      <x:c r="Y199" s="402"/>
      <x:c r="Z199" s="402"/>
    </x:row>
    <x:row r="200">
      <x:c r="A200" s="402"/>
      <x:c r="B200" s="402"/>
      <x:c r="C200" s="402"/>
      <x:c r="D200" s="402"/>
      <x:c r="E200" s="402"/>
      <x:c r="F200" s="402"/>
      <x:c r="G200" s="402"/>
      <x:c r="H200" s="402"/>
      <x:c r="I200" s="402"/>
      <x:c r="J200" s="402"/>
      <x:c r="K200" s="402"/>
      <x:c r="L200" s="402"/>
      <x:c r="M200" s="402"/>
      <x:c r="N200" s="402"/>
      <x:c r="O200" s="402"/>
      <x:c r="P200" s="402"/>
      <x:c r="Q200" s="402"/>
      <x:c r="R200" s="402"/>
      <x:c r="S200" s="402"/>
      <x:c r="T200" s="402"/>
      <x:c r="U200" s="402"/>
      <x:c r="V200" s="402"/>
      <x:c r="W200" s="402"/>
      <x:c r="X200" s="402"/>
      <x:c r="Y200" s="402"/>
      <x:c r="Z200" s="402"/>
    </x:row>
  </x:sheetData>
  <x:mergeCells>
    <x:mergeCell ref="A1:J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9" hidden="0" customWidth="1"/>
    <x:col min="3" max="3" width="38" hidden="0" customWidth="1"/>
    <x:col min="4" max="4" width="20" hidden="0" customWidth="1"/>
    <x:col min="5" max="5" width="13" hidden="0" customWidth="1"/>
    <x:col min="6" max="6" width="25" hidden="0" customWidth="1"/>
    <x:col min="7" max="7" width="40" hidden="0" customWidth="1"/>
    <x:col min="8" max="8" width="22" hidden="0" customWidth="1"/>
  </x:cols>
  <x:sheetData>
    <x:row r="1">
      <x:c r="A1" s="596" t="str">
        <x:v>GoalOS Scale Readiness Ladder</x:v>
      </x:c>
      <x:c r="B1" s="596"/>
      <x:c r="C1" s="596"/>
      <x:c r="D1" s="596"/>
      <x:c r="E1" s="596"/>
      <x:c r="F1" s="596"/>
      <x:c r="G1" s="596"/>
      <x:c r="H1" s="596"/>
      <x:c r="I1" s="402"/>
      <x:c r="J1" s="402"/>
      <x:c r="K1" s="402"/>
      <x:c r="L1" s="402"/>
      <x:c r="M1" s="402"/>
      <x:c r="N1" s="402"/>
      <x:c r="O1" s="402"/>
      <x:c r="P1" s="402"/>
      <x:c r="Q1" s="402"/>
      <x:c r="R1" s="402"/>
      <x:c r="S1" s="402"/>
      <x:c r="T1" s="402"/>
      <x:c r="U1" s="402"/>
      <x:c r="V1" s="402"/>
      <x:c r="W1" s="402"/>
      <x:c r="X1" s="402"/>
      <x:c r="Y1" s="402"/>
      <x:c r="Z1" s="402"/>
    </x:row>
    <x:row r="2">
      <x:c r="A2" s="596"/>
      <x:c r="B2" s="596"/>
      <x:c r="C2" s="596"/>
      <x:c r="D2" s="596"/>
      <x:c r="E2" s="596"/>
      <x:c r="F2" s="596"/>
      <x:c r="G2" s="596"/>
      <x:c r="H2" s="596"/>
      <x:c r="I2" s="402"/>
      <x:c r="J2" s="402"/>
      <x:c r="K2" s="402"/>
      <x:c r="L2" s="402"/>
      <x:c r="M2" s="402"/>
      <x:c r="N2" s="402"/>
      <x:c r="O2" s="402"/>
      <x:c r="P2" s="402"/>
      <x:c r="Q2" s="402"/>
      <x:c r="R2" s="402"/>
      <x:c r="S2" s="402"/>
      <x:c r="T2" s="402"/>
      <x:c r="U2" s="402"/>
      <x:c r="V2" s="402"/>
      <x:c r="W2" s="402"/>
      <x:c r="X2" s="402"/>
      <x:c r="Y2" s="402"/>
      <x:c r="Z2" s="402"/>
    </x:row>
    <x:row r="3">
      <x:c r="A3" s="402"/>
      <x:c r="B3" s="402"/>
      <x:c r="C3" s="402"/>
      <x:c r="D3" s="402"/>
      <x:c r="E3" s="402"/>
      <x:c r="F3" s="402"/>
      <x:c r="G3" s="402"/>
      <x:c r="H3" s="402"/>
      <x:c r="I3" s="402"/>
      <x:c r="J3" s="402"/>
      <x:c r="K3" s="402"/>
      <x:c r="L3" s="402"/>
      <x:c r="M3" s="402"/>
      <x:c r="N3" s="402"/>
      <x:c r="O3" s="402"/>
      <x:c r="P3" s="402"/>
      <x:c r="Q3" s="402"/>
      <x:c r="R3" s="402"/>
      <x:c r="S3" s="402"/>
      <x:c r="T3" s="402"/>
      <x:c r="U3" s="402"/>
      <x:c r="V3" s="402"/>
      <x:c r="W3" s="402"/>
      <x:c r="X3" s="402"/>
      <x:c r="Y3" s="402"/>
      <x:c r="Z3" s="402"/>
    </x:row>
    <x:row r="4">
      <x:c r="A4" s="305" t="str">
        <x:v>Level</x:v>
      </x:c>
      <x:c r="B4" s="305" t="str">
        <x:v>Evidence Gate</x:v>
      </x:c>
      <x:c r="C4" s="305" t="str">
        <x:v>Illustrative Threshold</x:v>
      </x:c>
      <x:c r="D4" s="305" t="str">
        <x:v>Actual / Link</x:v>
      </x:c>
      <x:c r="E4" s="305" t="str">
        <x:v>Status</x:v>
      </x:c>
      <x:c r="F4" s="305" t="str">
        <x:v>Claim Earned</x:v>
      </x:c>
      <x:c r="G4" s="305" t="str">
        <x:v>Stop Condition</x:v>
      </x:c>
      <x:c r="H4" s="305" t="str">
        <x:v>Reviewer</x:v>
      </x:c>
      <x:c r="I4" s="402"/>
      <x:c r="J4" s="402"/>
      <x:c r="K4" s="402"/>
      <x:c r="L4" s="402"/>
      <x:c r="M4" s="402"/>
      <x:c r="N4" s="402"/>
      <x:c r="O4" s="402"/>
      <x:c r="P4" s="402"/>
      <x:c r="Q4" s="402"/>
      <x:c r="R4" s="402"/>
      <x:c r="S4" s="402"/>
      <x:c r="T4" s="402"/>
      <x:c r="U4" s="402"/>
      <x:c r="V4" s="402"/>
      <x:c r="W4" s="402"/>
      <x:c r="X4" s="402"/>
      <x:c r="Y4" s="402"/>
      <x:c r="Z4" s="402"/>
    </x:row>
    <x:row r="5">
      <x:c r="A5" s="402" t="n">
        <x:v>1</x:v>
      </x:c>
      <x:c r="B5" s="402" t="str">
        <x:v>Architecture</x:v>
      </x:c>
      <x:c r="C5" s="402" t="str">
        <x:v>Operational products, docs, proof protocols</x:v>
      </x:c>
      <x:c r="D5" s="494" t="str">
        <x:v>Complete</x:v>
      </x:c>
      <x:c r="E5" s="496" t="str">
        <x:v>PASS</x:v>
      </x:c>
      <x:c r="F5" s="402" t="str">
        <x:v>Attention</x:v>
      </x:c>
      <x:c r="G5" s="402" t="str">
        <x:v>Critical implementation failure</x:v>
      </x:c>
      <x:c r="H5" s="402" t="str"/>
      <x:c r="I5" s="402"/>
      <x:c r="J5" s="402"/>
      <x:c r="K5" s="402"/>
      <x:c r="L5" s="402"/>
      <x:c r="M5" s="402"/>
      <x:c r="N5" s="402"/>
      <x:c r="O5" s="402"/>
      <x:c r="P5" s="402"/>
      <x:c r="Q5" s="402"/>
      <x:c r="R5" s="402"/>
      <x:c r="S5" s="402"/>
      <x:c r="T5" s="402"/>
      <x:c r="U5" s="402"/>
      <x:c r="V5" s="402"/>
      <x:c r="W5" s="402"/>
      <x:c r="X5" s="402"/>
      <x:c r="Y5" s="402"/>
      <x:c r="Z5" s="402"/>
    </x:row>
    <x:row r="6">
      <x:c r="A6" s="402" t="n">
        <x:v>2</x:v>
      </x:c>
      <x:c r="B6" s="402" t="str">
        <x:v>Commercial relevance</x:v>
      </x:c>
      <x:c r="C6" s="402" t="str">
        <x:v>3 paying customers</x:v>
      </x:c>
      <x:c r="D6" s="498" t="n">
        <x:v>0</x:v>
      </x:c>
      <x:c r="E6" s="500" t="str">
        <x:v>OPEN</x:v>
      </x:c>
      <x:c r="F6" s="402" t="str">
        <x:v>Relevance</x:v>
      </x:c>
      <x:c r="G6" s="402" t="str">
        <x:v>No willingness to pay</x:v>
      </x:c>
      <x:c r="H6" s="402" t="str"/>
      <x:c r="I6" s="402"/>
      <x:c r="J6" s="402"/>
      <x:c r="K6" s="402"/>
      <x:c r="L6" s="402"/>
      <x:c r="M6" s="402"/>
      <x:c r="N6" s="402"/>
      <x:c r="O6" s="402"/>
      <x:c r="P6" s="402"/>
      <x:c r="Q6" s="402"/>
      <x:c r="R6" s="402"/>
      <x:c r="S6" s="402"/>
      <x:c r="T6" s="402"/>
      <x:c r="U6" s="402"/>
      <x:c r="V6" s="402"/>
      <x:c r="W6" s="402"/>
      <x:c r="X6" s="402"/>
      <x:c r="Y6" s="402"/>
      <x:c r="Z6" s="402"/>
    </x:row>
    <x:row r="7">
      <x:c r="A7" s="402" t="n">
        <x:v>3</x:v>
      </x:c>
      <x:c r="B7" s="402" t="str">
        <x:v>Customer value</x:v>
      </x:c>
      <x:c r="C7" s="402" t="str">
        <x:v>1 independently supported outcome</x:v>
      </x:c>
      <x:c r="D7" s="498" t="n">
        <x:v>0</x:v>
      </x:c>
      <x:c r="E7" s="500" t="str">
        <x:v>OPEN</x:v>
      </x:c>
      <x:c r="F7" s="402" t="str">
        <x:v>Credibility</x:v>
      </x:c>
      <x:c r="G7" s="402" t="str">
        <x:v>Outcome not verified</x:v>
      </x:c>
      <x:c r="H7" s="402" t="str"/>
      <x:c r="I7" s="402"/>
      <x:c r="J7" s="402"/>
      <x:c r="K7" s="402"/>
      <x:c r="L7" s="402"/>
      <x:c r="M7" s="402"/>
      <x:c r="N7" s="402"/>
      <x:c r="O7" s="402"/>
      <x:c r="P7" s="402"/>
      <x:c r="Q7" s="402"/>
      <x:c r="R7" s="402"/>
      <x:c r="S7" s="402"/>
      <x:c r="T7" s="402"/>
      <x:c r="U7" s="402"/>
      <x:c r="V7" s="402"/>
      <x:c r="W7" s="402"/>
      <x:c r="X7" s="402"/>
      <x:c r="Y7" s="402"/>
      <x:c r="Z7" s="402"/>
    </x:row>
    <x:row r="8">
      <x:c r="A8" s="402" t="n">
        <x:v>4</x:v>
      </x:c>
      <x:c r="B8" s="402" t="str">
        <x:v>Product confidence</x:v>
      </x:c>
      <x:c r="C8" s="402" t="str">
        <x:v>1 repeat / expansion</x:v>
      </x:c>
      <x:c r="D8" s="498" t="n">
        <x:v>0</x:v>
      </x:c>
      <x:c r="E8" s="500" t="str">
        <x:v>OPEN</x:v>
      </x:c>
      <x:c r="F8" s="402" t="str">
        <x:v>Confidence</x:v>
      </x:c>
      <x:c r="G8" s="402" t="str">
        <x:v>No repeat value</x:v>
      </x:c>
      <x:c r="H8" s="402" t="str"/>
      <x:c r="I8" s="402"/>
      <x:c r="J8" s="402"/>
      <x:c r="K8" s="402"/>
      <x:c r="L8" s="402"/>
      <x:c r="M8" s="402"/>
      <x:c r="N8" s="402"/>
      <x:c r="O8" s="402"/>
      <x:c r="P8" s="402"/>
      <x:c r="Q8" s="402"/>
      <x:c r="R8" s="402"/>
      <x:c r="S8" s="402"/>
      <x:c r="T8" s="402"/>
      <x:c r="U8" s="402"/>
      <x:c r="V8" s="402"/>
      <x:c r="W8" s="402"/>
      <x:c r="X8" s="402"/>
      <x:c r="Y8" s="402"/>
      <x:c r="Z8" s="402"/>
    </x:row>
    <x:row r="9">
      <x:c r="A9" s="402" t="n">
        <x:v>5</x:v>
      </x:c>
      <x:c r="B9" s="402" t="str">
        <x:v>Platform evidence</x:v>
      </x:c>
      <x:c r="C9" s="402" t="str">
        <x:v>1 fresh transfer test passes</x:v>
      </x:c>
      <x:c r="D9" s="498" t="n">
        <x:v>0</x:v>
      </x:c>
      <x:c r="E9" s="500" t="str">
        <x:v>OPEN</x:v>
      </x:c>
      <x:c r="F9" s="402" t="str">
        <x:v>Platform candidate</x:v>
      </x:c>
      <x:c r="G9" s="402" t="str">
        <x:v>Guardrails deteriorate</x:v>
      </x:c>
      <x:c r="H9" s="402" t="str"/>
      <x:c r="I9" s="402"/>
      <x:c r="J9" s="402"/>
      <x:c r="K9" s="402"/>
      <x:c r="L9" s="402"/>
      <x:c r="M9" s="402"/>
      <x:c r="N9" s="402"/>
      <x:c r="O9" s="402"/>
      <x:c r="P9" s="402"/>
      <x:c r="Q9" s="402"/>
      <x:c r="R9" s="402"/>
      <x:c r="S9" s="402"/>
      <x:c r="T9" s="402"/>
      <x:c r="U9" s="402"/>
      <x:c r="V9" s="402"/>
      <x:c r="W9" s="402"/>
      <x:c r="X9" s="402"/>
      <x:c r="Y9" s="402"/>
      <x:c r="Z9" s="402"/>
    </x:row>
    <x:row r="10">
      <x:c r="A10" s="402" t="n">
        <x:v>6</x:v>
      </x:c>
      <x:c r="B10" s="402" t="str">
        <x:v>Repeatable business</x:v>
      </x:c>
      <x:c r="C10" s="402" t="str">
        <x:v>Positive contribution + recurring revenue</x:v>
      </x:c>
      <x:c r="D10" s="498" t="n">
        <x:v>0</x:v>
      </x:c>
      <x:c r="E10" s="500" t="str">
        <x:v>OPEN</x:v>
      </x:c>
      <x:c r="F10" s="402" t="str">
        <x:v>Viable business</x:v>
      </x:c>
      <x:c r="G10" s="402" t="str">
        <x:v>Founder dependence / negative economics</x:v>
      </x:c>
      <x:c r="H10" s="402" t="str"/>
      <x:c r="I10" s="402"/>
      <x:c r="J10" s="402"/>
      <x:c r="K10" s="402"/>
      <x:c r="L10" s="402"/>
      <x:c r="M10" s="402"/>
      <x:c r="N10" s="402"/>
      <x:c r="O10" s="402"/>
      <x:c r="P10" s="402"/>
      <x:c r="Q10" s="402"/>
      <x:c r="R10" s="402"/>
      <x:c r="S10" s="402"/>
      <x:c r="T10" s="402"/>
      <x:c r="U10" s="402"/>
      <x:c r="V10" s="402"/>
      <x:c r="W10" s="402"/>
      <x:c r="X10" s="402"/>
      <x:c r="Y10" s="402"/>
      <x:c r="Z10" s="402"/>
    </x:row>
    <x:row r="11">
      <x:c r="A11" s="402" t="n">
        <x:v>7</x:v>
      </x:c>
      <x:c r="B11" s="402" t="str">
        <x:v>Category scale</x:v>
      </x:c>
      <x:c r="C11" s="402" t="str">
        <x:v>$100M+ recurring-revenue trajectory</x:v>
      </x:c>
      <x:c r="D11" s="498" t="n">
        <x:v>0</x:v>
      </x:c>
      <x:c r="E11" s="500" t="str">
        <x:v>OPEN</x:v>
      </x:c>
      <x:c r="F11" s="402" t="str">
        <x:v>Serious decacorn candidate</x:v>
      </x:c>
      <x:c r="G11" s="402" t="str">
        <x:v>Weak retention or copied value</x:v>
      </x:c>
      <x:c r="H11" s="402" t="str"/>
      <x:c r="I11" s="402"/>
      <x:c r="J11" s="402"/>
      <x:c r="K11" s="402"/>
      <x:c r="L11" s="402"/>
      <x:c r="M11" s="402"/>
      <x:c r="N11" s="402"/>
      <x:c r="O11" s="402"/>
      <x:c r="P11" s="402"/>
      <x:c r="Q11" s="402"/>
      <x:c r="R11" s="402"/>
      <x:c r="S11" s="402"/>
      <x:c r="T11" s="402"/>
      <x:c r="U11" s="402"/>
      <x:c r="V11" s="402"/>
      <x:c r="W11" s="402"/>
      <x:c r="X11" s="402"/>
      <x:c r="Y11" s="402"/>
      <x:c r="Z11" s="402"/>
    </x:row>
    <x:row r="12">
      <x:c r="A12" s="402" t="n">
        <x:v>8</x:v>
      </x:c>
      <x:c r="B12" s="402" t="str">
        <x:v>Infrastructure scale</x:v>
      </x:c>
      <x:c r="C12" s="402" t="str">
        <x:v>Measured productive assets and capital allocation</x:v>
      </x:c>
      <x:c r="D12" s="592" t="n">
        <x:v>0</x:v>
      </x:c>
      <x:c r="E12" s="588" t="str">
        <x:v>OPEN</x:v>
      </x:c>
      <x:c r="F12" s="402" t="str">
        <x:v>Serious megacorn candidate</x:v>
      </x:c>
      <x:c r="G12" s="402" t="str">
        <x:v>No independent physical/economic output</x:v>
      </x:c>
      <x:c r="H12" s="402" t="str"/>
      <x:c r="I12" s="402"/>
      <x:c r="J12" s="402"/>
      <x:c r="K12" s="402"/>
      <x:c r="L12" s="402"/>
      <x:c r="M12" s="402"/>
      <x:c r="N12" s="402"/>
      <x:c r="O12" s="402"/>
      <x:c r="P12" s="402"/>
      <x:c r="Q12" s="402"/>
      <x:c r="R12" s="402"/>
      <x:c r="S12" s="402"/>
      <x:c r="T12" s="402"/>
      <x:c r="U12" s="402"/>
      <x:c r="V12" s="402"/>
      <x:c r="W12" s="402"/>
      <x:c r="X12" s="402"/>
      <x:c r="Y12" s="402"/>
      <x:c r="Z12" s="402"/>
    </x:row>
    <x:row r="13">
      <x:c r="A13" s="402"/>
      <x:c r="B13" s="402"/>
      <x:c r="C13" s="402"/>
      <x:c r="D13" s="402"/>
      <x:c r="E13" s="402"/>
      <x:c r="F13" s="402"/>
      <x:c r="G13" s="402"/>
      <x:c r="H13" s="402"/>
      <x:c r="I13" s="402"/>
      <x:c r="J13" s="402"/>
      <x:c r="K13" s="402"/>
      <x:c r="L13" s="402"/>
      <x:c r="M13" s="402"/>
      <x:c r="N13" s="402"/>
      <x:c r="O13" s="402"/>
      <x:c r="P13" s="402"/>
      <x:c r="Q13" s="402"/>
      <x:c r="R13" s="402"/>
      <x:c r="S13" s="402"/>
      <x:c r="T13" s="402"/>
      <x:c r="U13" s="402"/>
      <x:c r="V13" s="402"/>
      <x:c r="W13" s="402"/>
      <x:c r="X13" s="402"/>
      <x:c r="Y13" s="402"/>
      <x:c r="Z13" s="402"/>
    </x:row>
    <x:row r="14">
      <x:c r="A14" s="402"/>
      <x:c r="B14" s="402"/>
      <x:c r="C14" s="402"/>
      <x:c r="D14" s="402"/>
      <x:c r="E14" s="402"/>
      <x:c r="F14" s="402"/>
      <x:c r="G14" s="402"/>
      <x:c r="H14" s="402"/>
      <x:c r="I14" s="402"/>
      <x:c r="J14" s="402"/>
      <x:c r="K14" s="402"/>
      <x:c r="L14" s="402"/>
      <x:c r="M14" s="402"/>
      <x:c r="N14" s="402"/>
      <x:c r="O14" s="402"/>
      <x:c r="P14" s="402"/>
      <x:c r="Q14" s="402"/>
      <x:c r="R14" s="402"/>
      <x:c r="S14" s="402"/>
      <x:c r="T14" s="402"/>
      <x:c r="U14" s="402"/>
      <x:c r="V14" s="402"/>
      <x:c r="W14" s="402"/>
      <x:c r="X14" s="402"/>
      <x:c r="Y14" s="402"/>
      <x:c r="Z14" s="402"/>
    </x:row>
    <x:row r="15">
      <x:c r="A15" s="402"/>
      <x:c r="B15" s="402"/>
      <x:c r="C15" s="402"/>
      <x:c r="D15" s="402"/>
      <x:c r="E15" s="402"/>
      <x:c r="F15" s="402"/>
      <x:c r="G15" s="402"/>
      <x:c r="H15" s="402"/>
      <x:c r="I15" s="402"/>
      <x:c r="J15" s="402"/>
      <x:c r="K15" s="402"/>
      <x:c r="L15" s="402"/>
      <x:c r="M15" s="402"/>
      <x:c r="N15" s="402"/>
      <x:c r="O15" s="402"/>
      <x:c r="P15" s="402"/>
      <x:c r="Q15" s="402"/>
      <x:c r="R15" s="402"/>
      <x:c r="S15" s="402"/>
      <x:c r="T15" s="402"/>
      <x:c r="U15" s="402"/>
      <x:c r="V15" s="402"/>
      <x:c r="W15" s="402"/>
      <x:c r="X15" s="402"/>
      <x:c r="Y15" s="402"/>
      <x:c r="Z15" s="402"/>
    </x:row>
    <x:row r="16">
      <x:c r="A16" s="402"/>
      <x:c r="B16" s="402"/>
      <x:c r="C16" s="402"/>
      <x:c r="D16" s="402"/>
      <x:c r="E16" s="402"/>
      <x:c r="F16" s="402"/>
      <x:c r="G16" s="402"/>
      <x:c r="H16" s="402"/>
      <x:c r="I16" s="402"/>
      <x:c r="J16" s="402"/>
      <x:c r="K16" s="402"/>
      <x:c r="L16" s="402"/>
      <x:c r="M16" s="402"/>
      <x:c r="N16" s="402"/>
      <x:c r="O16" s="402"/>
      <x:c r="P16" s="402"/>
      <x:c r="Q16" s="402"/>
      <x:c r="R16" s="402"/>
      <x:c r="S16" s="402"/>
      <x:c r="T16" s="402"/>
      <x:c r="U16" s="402"/>
      <x:c r="V16" s="402"/>
      <x:c r="W16" s="402"/>
      <x:c r="X16" s="402"/>
      <x:c r="Y16" s="402"/>
      <x:c r="Z16" s="402"/>
    </x:row>
    <x:row r="17">
      <x:c r="A17" s="402"/>
      <x:c r="B17" s="402"/>
      <x:c r="C17" s="402"/>
      <x:c r="D17" s="402"/>
      <x:c r="E17" s="402"/>
      <x:c r="F17" s="402"/>
      <x:c r="G17" s="402"/>
      <x:c r="H17" s="402"/>
      <x:c r="I17" s="402"/>
      <x:c r="J17" s="402"/>
      <x:c r="K17" s="402"/>
      <x:c r="L17" s="402"/>
      <x:c r="M17" s="402"/>
      <x:c r="N17" s="402"/>
      <x:c r="O17" s="402"/>
      <x:c r="P17" s="402"/>
      <x:c r="Q17" s="402"/>
      <x:c r="R17" s="402"/>
      <x:c r="S17" s="402"/>
      <x:c r="T17" s="402"/>
      <x:c r="U17" s="402"/>
      <x:c r="V17" s="402"/>
      <x:c r="W17" s="402"/>
      <x:c r="X17" s="402"/>
      <x:c r="Y17" s="402"/>
      <x:c r="Z17" s="402"/>
    </x:row>
    <x:row r="18">
      <x:c r="A18" s="402"/>
      <x:c r="B18" s="402"/>
      <x:c r="C18" s="402"/>
      <x:c r="D18" s="402"/>
      <x:c r="E18" s="402"/>
      <x:c r="F18" s="402"/>
      <x:c r="G18" s="402"/>
      <x:c r="H18" s="402"/>
      <x:c r="I18" s="402"/>
      <x:c r="J18" s="402"/>
      <x:c r="K18" s="402"/>
      <x:c r="L18" s="402"/>
      <x:c r="M18" s="402"/>
      <x:c r="N18" s="402"/>
      <x:c r="O18" s="402"/>
      <x:c r="P18" s="402"/>
      <x:c r="Q18" s="402"/>
      <x:c r="R18" s="402"/>
      <x:c r="S18" s="402"/>
      <x:c r="T18" s="402"/>
      <x:c r="U18" s="402"/>
      <x:c r="V18" s="402"/>
      <x:c r="W18" s="402"/>
      <x:c r="X18" s="402"/>
      <x:c r="Y18" s="402"/>
      <x:c r="Z18" s="402"/>
    </x:row>
    <x:row r="19">
      <x:c r="A19" s="402"/>
      <x:c r="B19" s="402"/>
      <x:c r="C19" s="402"/>
      <x:c r="D19" s="402"/>
      <x:c r="E19" s="402"/>
      <x:c r="F19" s="402"/>
      <x:c r="G19" s="402"/>
      <x:c r="H19" s="402"/>
      <x:c r="I19" s="402"/>
      <x:c r="J19" s="402"/>
      <x:c r="K19" s="402"/>
      <x:c r="L19" s="402"/>
      <x:c r="M19" s="402"/>
      <x:c r="N19" s="402"/>
      <x:c r="O19" s="402"/>
      <x:c r="P19" s="402"/>
      <x:c r="Q19" s="402"/>
      <x:c r="R19" s="402"/>
      <x:c r="S19" s="402"/>
      <x:c r="T19" s="402"/>
      <x:c r="U19" s="402"/>
      <x:c r="V19" s="402"/>
      <x:c r="W19" s="402"/>
      <x:c r="X19" s="402"/>
      <x:c r="Y19" s="402"/>
      <x:c r="Z19" s="402"/>
    </x:row>
    <x:row r="20">
      <x:c r="A20" s="402"/>
      <x:c r="B20" s="402"/>
      <x:c r="C20" s="402"/>
      <x:c r="D20" s="402"/>
      <x:c r="E20" s="402"/>
      <x:c r="F20" s="402"/>
      <x:c r="G20" s="402"/>
      <x:c r="H20" s="402"/>
      <x:c r="I20" s="402"/>
      <x:c r="J20" s="402"/>
      <x:c r="K20" s="402"/>
      <x:c r="L20" s="402"/>
      <x:c r="M20" s="402"/>
      <x:c r="N20" s="402"/>
      <x:c r="O20" s="402"/>
      <x:c r="P20" s="402"/>
      <x:c r="Q20" s="402"/>
      <x:c r="R20" s="402"/>
      <x:c r="S20" s="402"/>
      <x:c r="T20" s="402"/>
      <x:c r="U20" s="402"/>
      <x:c r="V20" s="402"/>
      <x:c r="W20" s="402"/>
      <x:c r="X20" s="402"/>
      <x:c r="Y20" s="402"/>
      <x:c r="Z20" s="402"/>
    </x:row>
    <x:row r="21">
      <x:c r="A21" s="402"/>
      <x:c r="B21" s="402"/>
      <x:c r="C21" s="402"/>
      <x:c r="D21" s="402"/>
      <x:c r="E21" s="402"/>
      <x:c r="F21" s="402"/>
      <x:c r="G21" s="402"/>
      <x:c r="H21" s="402"/>
      <x:c r="I21" s="402"/>
      <x:c r="J21" s="402"/>
      <x:c r="K21" s="402"/>
      <x:c r="L21" s="402"/>
      <x:c r="M21" s="402"/>
      <x:c r="N21" s="402"/>
      <x:c r="O21" s="402"/>
      <x:c r="P21" s="402"/>
      <x:c r="Q21" s="402"/>
      <x:c r="R21" s="402"/>
      <x:c r="S21" s="402"/>
      <x:c r="T21" s="402"/>
      <x:c r="U21" s="402"/>
      <x:c r="V21" s="402"/>
      <x:c r="W21" s="402"/>
      <x:c r="X21" s="402"/>
      <x:c r="Y21" s="402"/>
      <x:c r="Z21" s="402"/>
    </x:row>
    <x:row r="22">
      <x:c r="A22" s="402"/>
      <x:c r="B22" s="402"/>
      <x:c r="C22" s="402"/>
      <x:c r="D22" s="402"/>
      <x:c r="E22" s="402"/>
      <x:c r="F22" s="402"/>
      <x:c r="G22" s="402"/>
      <x:c r="H22" s="402"/>
      <x:c r="I22" s="402"/>
      <x:c r="J22" s="402"/>
      <x:c r="K22" s="402"/>
      <x:c r="L22" s="402"/>
      <x:c r="M22" s="402"/>
      <x:c r="N22" s="402"/>
      <x:c r="O22" s="402"/>
      <x:c r="P22" s="402"/>
      <x:c r="Q22" s="402"/>
      <x:c r="R22" s="402"/>
      <x:c r="S22" s="402"/>
      <x:c r="T22" s="402"/>
      <x:c r="U22" s="402"/>
      <x:c r="V22" s="402"/>
      <x:c r="W22" s="402"/>
      <x:c r="X22" s="402"/>
      <x:c r="Y22" s="402"/>
      <x:c r="Z22" s="402"/>
    </x:row>
    <x:row r="23">
      <x:c r="A23" s="402"/>
      <x:c r="B23" s="402"/>
      <x:c r="C23" s="402"/>
      <x:c r="D23" s="402"/>
      <x:c r="E23" s="402"/>
      <x:c r="F23" s="402"/>
      <x:c r="G23" s="402"/>
      <x:c r="H23" s="402"/>
      <x:c r="I23" s="402"/>
      <x:c r="J23" s="402"/>
      <x:c r="K23" s="402"/>
      <x:c r="L23" s="402"/>
      <x:c r="M23" s="402"/>
      <x:c r="N23" s="402"/>
      <x:c r="O23" s="402"/>
      <x:c r="P23" s="402"/>
      <x:c r="Q23" s="402"/>
      <x:c r="R23" s="402"/>
      <x:c r="S23" s="402"/>
      <x:c r="T23" s="402"/>
      <x:c r="U23" s="402"/>
      <x:c r="V23" s="402"/>
      <x:c r="W23" s="402"/>
      <x:c r="X23" s="402"/>
      <x:c r="Y23" s="402"/>
      <x:c r="Z23" s="402"/>
    </x:row>
    <x:row r="24">
      <x:c r="A24" s="402"/>
      <x:c r="B24" s="402"/>
      <x:c r="C24" s="402"/>
      <x:c r="D24" s="402"/>
      <x:c r="E24" s="402"/>
      <x:c r="F24" s="402"/>
      <x:c r="G24" s="402"/>
      <x:c r="H24" s="402"/>
      <x:c r="I24" s="402"/>
      <x:c r="J24" s="402"/>
      <x:c r="K24" s="402"/>
      <x:c r="L24" s="402"/>
      <x:c r="M24" s="402"/>
      <x:c r="N24" s="402"/>
      <x:c r="O24" s="402"/>
      <x:c r="P24" s="402"/>
      <x:c r="Q24" s="402"/>
      <x:c r="R24" s="402"/>
      <x:c r="S24" s="402"/>
      <x:c r="T24" s="402"/>
      <x:c r="U24" s="402"/>
      <x:c r="V24" s="402"/>
      <x:c r="W24" s="402"/>
      <x:c r="X24" s="402"/>
      <x:c r="Y24" s="402"/>
      <x:c r="Z24" s="402"/>
    </x:row>
    <x:row r="25">
      <x:c r="A25" s="402"/>
      <x:c r="B25" s="402"/>
      <x:c r="C25" s="402"/>
      <x:c r="D25" s="402"/>
      <x:c r="E25" s="402"/>
      <x:c r="F25" s="402"/>
      <x:c r="G25" s="402"/>
      <x:c r="H25" s="402"/>
      <x:c r="I25" s="402"/>
      <x:c r="J25" s="402"/>
      <x:c r="K25" s="402"/>
      <x:c r="L25" s="402"/>
      <x:c r="M25" s="402"/>
      <x:c r="N25" s="402"/>
      <x:c r="O25" s="402"/>
      <x:c r="P25" s="402"/>
      <x:c r="Q25" s="402"/>
      <x:c r="R25" s="402"/>
      <x:c r="S25" s="402"/>
      <x:c r="T25" s="402"/>
      <x:c r="U25" s="402"/>
      <x:c r="V25" s="402"/>
      <x:c r="W25" s="402"/>
      <x:c r="X25" s="402"/>
      <x:c r="Y25" s="402"/>
      <x:c r="Z25" s="402"/>
    </x:row>
    <x:row r="26">
      <x:c r="A26" s="402"/>
      <x:c r="B26" s="402"/>
      <x:c r="C26" s="402"/>
      <x:c r="D26" s="402"/>
      <x:c r="E26" s="402"/>
      <x:c r="F26" s="402"/>
      <x:c r="G26" s="402"/>
      <x:c r="H26" s="402"/>
      <x:c r="I26" s="402"/>
      <x:c r="J26" s="402"/>
      <x:c r="K26" s="402"/>
      <x:c r="L26" s="402"/>
      <x:c r="M26" s="402"/>
      <x:c r="N26" s="402"/>
      <x:c r="O26" s="402"/>
      <x:c r="P26" s="402"/>
      <x:c r="Q26" s="402"/>
      <x:c r="R26" s="402"/>
      <x:c r="S26" s="402"/>
      <x:c r="T26" s="402"/>
      <x:c r="U26" s="402"/>
      <x:c r="V26" s="402"/>
      <x:c r="W26" s="402"/>
      <x:c r="X26" s="402"/>
      <x:c r="Y26" s="402"/>
      <x:c r="Z26" s="402"/>
    </x:row>
    <x:row r="27">
      <x:c r="A27" s="402"/>
      <x:c r="B27" s="402"/>
      <x:c r="C27" s="402"/>
      <x:c r="D27" s="402"/>
      <x:c r="E27" s="402"/>
      <x:c r="F27" s="402"/>
      <x:c r="G27" s="402"/>
      <x:c r="H27" s="402"/>
      <x:c r="I27" s="402"/>
      <x:c r="J27" s="402"/>
      <x:c r="K27" s="402"/>
      <x:c r="L27" s="402"/>
      <x:c r="M27" s="402"/>
      <x:c r="N27" s="402"/>
      <x:c r="O27" s="402"/>
      <x:c r="P27" s="402"/>
      <x:c r="Q27" s="402"/>
      <x:c r="R27" s="402"/>
      <x:c r="S27" s="402"/>
      <x:c r="T27" s="402"/>
      <x:c r="U27" s="402"/>
      <x:c r="V27" s="402"/>
      <x:c r="W27" s="402"/>
      <x:c r="X27" s="402"/>
      <x:c r="Y27" s="402"/>
      <x:c r="Z27" s="402"/>
    </x:row>
    <x:row r="28">
      <x:c r="A28" s="402"/>
      <x:c r="B28" s="402"/>
      <x:c r="C28" s="402"/>
      <x:c r="D28" s="402"/>
      <x:c r="E28" s="402"/>
      <x:c r="F28" s="402"/>
      <x:c r="G28" s="402"/>
      <x:c r="H28" s="402"/>
      <x:c r="I28" s="402"/>
      <x:c r="J28" s="402"/>
      <x:c r="K28" s="402"/>
      <x:c r="L28" s="402"/>
      <x:c r="M28" s="402"/>
      <x:c r="N28" s="402"/>
      <x:c r="O28" s="402"/>
      <x:c r="P28" s="402"/>
      <x:c r="Q28" s="402"/>
      <x:c r="R28" s="402"/>
      <x:c r="S28" s="402"/>
      <x:c r="T28" s="402"/>
      <x:c r="U28" s="402"/>
      <x:c r="V28" s="402"/>
      <x:c r="W28" s="402"/>
      <x:c r="X28" s="402"/>
      <x:c r="Y28" s="402"/>
      <x:c r="Z28" s="402"/>
    </x:row>
    <x:row r="29">
      <x:c r="A29" s="402"/>
      <x:c r="B29" s="402"/>
      <x:c r="C29" s="402"/>
      <x:c r="D29" s="402"/>
      <x:c r="E29" s="402"/>
      <x:c r="F29" s="402"/>
      <x:c r="G29" s="402"/>
      <x:c r="H29" s="402"/>
      <x:c r="I29" s="402"/>
      <x:c r="J29" s="402"/>
      <x:c r="K29" s="402"/>
      <x:c r="L29" s="402"/>
      <x:c r="M29" s="402"/>
      <x:c r="N29" s="402"/>
      <x:c r="O29" s="402"/>
      <x:c r="P29" s="402"/>
      <x:c r="Q29" s="402"/>
      <x:c r="R29" s="402"/>
      <x:c r="S29" s="402"/>
      <x:c r="T29" s="402"/>
      <x:c r="U29" s="402"/>
      <x:c r="V29" s="402"/>
      <x:c r="W29" s="402"/>
      <x:c r="X29" s="402"/>
      <x:c r="Y29" s="402"/>
      <x:c r="Z29" s="402"/>
    </x:row>
    <x:row r="30">
      <x:c r="A30" s="402"/>
      <x:c r="B30" s="402"/>
      <x:c r="C30" s="402"/>
      <x:c r="D30" s="402"/>
      <x:c r="E30" s="402"/>
      <x:c r="F30" s="402"/>
      <x:c r="G30" s="402"/>
      <x:c r="H30" s="402"/>
      <x:c r="I30" s="402"/>
      <x:c r="J30" s="402"/>
      <x:c r="K30" s="402"/>
      <x:c r="L30" s="402"/>
      <x:c r="M30" s="402"/>
      <x:c r="N30" s="402"/>
      <x:c r="O30" s="402"/>
      <x:c r="P30" s="402"/>
      <x:c r="Q30" s="402"/>
      <x:c r="R30" s="402"/>
      <x:c r="S30" s="402"/>
      <x:c r="T30" s="402"/>
      <x:c r="U30" s="402"/>
      <x:c r="V30" s="402"/>
      <x:c r="W30" s="402"/>
      <x:c r="X30" s="402"/>
      <x:c r="Y30" s="402"/>
      <x:c r="Z30" s="402"/>
    </x:row>
    <x:row r="31">
      <x:c r="A31" s="402"/>
      <x:c r="B31" s="402"/>
      <x:c r="C31" s="402"/>
      <x:c r="D31" s="402"/>
      <x:c r="E31" s="402"/>
      <x:c r="F31" s="402"/>
      <x:c r="G31" s="402"/>
      <x:c r="H31" s="402"/>
      <x:c r="I31" s="402"/>
      <x:c r="J31" s="402"/>
      <x:c r="K31" s="402"/>
      <x:c r="L31" s="402"/>
      <x:c r="M31" s="402"/>
      <x:c r="N31" s="402"/>
      <x:c r="O31" s="402"/>
      <x:c r="P31" s="402"/>
      <x:c r="Q31" s="402"/>
      <x:c r="R31" s="402"/>
      <x:c r="S31" s="402"/>
      <x:c r="T31" s="402"/>
      <x:c r="U31" s="402"/>
      <x:c r="V31" s="402"/>
      <x:c r="W31" s="402"/>
      <x:c r="X31" s="402"/>
      <x:c r="Y31" s="402"/>
      <x:c r="Z31" s="402"/>
    </x:row>
    <x:row r="32">
      <x:c r="A32" s="402"/>
      <x:c r="B32" s="402"/>
      <x:c r="C32" s="402"/>
      <x:c r="D32" s="402"/>
      <x:c r="E32" s="402"/>
      <x:c r="F32" s="402"/>
      <x:c r="G32" s="402"/>
      <x:c r="H32" s="402"/>
      <x:c r="I32" s="402"/>
      <x:c r="J32" s="402"/>
      <x:c r="K32" s="402"/>
      <x:c r="L32" s="402"/>
      <x:c r="M32" s="402"/>
      <x:c r="N32" s="402"/>
      <x:c r="O32" s="402"/>
      <x:c r="P32" s="402"/>
      <x:c r="Q32" s="402"/>
      <x:c r="R32" s="402"/>
      <x:c r="S32" s="402"/>
      <x:c r="T32" s="402"/>
      <x:c r="U32" s="402"/>
      <x:c r="V32" s="402"/>
      <x:c r="W32" s="402"/>
      <x:c r="X32" s="402"/>
      <x:c r="Y32" s="402"/>
      <x:c r="Z32" s="402"/>
    </x:row>
    <x:row r="33">
      <x:c r="A33" s="402"/>
      <x:c r="B33" s="402"/>
      <x:c r="C33" s="402"/>
      <x:c r="D33" s="402"/>
      <x:c r="E33" s="402"/>
      <x:c r="F33" s="402"/>
      <x:c r="G33" s="402"/>
      <x:c r="H33" s="402"/>
      <x:c r="I33" s="402"/>
      <x:c r="J33" s="402"/>
      <x:c r="K33" s="402"/>
      <x:c r="L33" s="402"/>
      <x:c r="M33" s="402"/>
      <x:c r="N33" s="402"/>
      <x:c r="O33" s="402"/>
      <x:c r="P33" s="402"/>
      <x:c r="Q33" s="402"/>
      <x:c r="R33" s="402"/>
      <x:c r="S33" s="402"/>
      <x:c r="T33" s="402"/>
      <x:c r="U33" s="402"/>
      <x:c r="V33" s="402"/>
      <x:c r="W33" s="402"/>
      <x:c r="X33" s="402"/>
      <x:c r="Y33" s="402"/>
      <x:c r="Z33" s="402"/>
    </x:row>
    <x:row r="34">
      <x:c r="A34" s="402"/>
      <x:c r="B34" s="402"/>
      <x:c r="C34" s="402"/>
      <x:c r="D34" s="402"/>
      <x:c r="E34" s="402"/>
      <x:c r="F34" s="402"/>
      <x:c r="G34" s="402"/>
      <x:c r="H34" s="402"/>
      <x:c r="I34" s="402"/>
      <x:c r="J34" s="402"/>
      <x:c r="K34" s="402"/>
      <x:c r="L34" s="402"/>
      <x:c r="M34" s="402"/>
      <x:c r="N34" s="402"/>
      <x:c r="O34" s="402"/>
      <x:c r="P34" s="402"/>
      <x:c r="Q34" s="402"/>
      <x:c r="R34" s="402"/>
      <x:c r="S34" s="402"/>
      <x:c r="T34" s="402"/>
      <x:c r="U34" s="402"/>
      <x:c r="V34" s="402"/>
      <x:c r="W34" s="402"/>
      <x:c r="X34" s="402"/>
      <x:c r="Y34" s="402"/>
      <x:c r="Z34" s="402"/>
    </x:row>
    <x:row r="35">
      <x:c r="A35" s="402"/>
      <x:c r="B35" s="402"/>
      <x:c r="C35" s="402"/>
      <x:c r="D35" s="402"/>
      <x:c r="E35" s="402"/>
      <x:c r="F35" s="402"/>
      <x:c r="G35" s="402"/>
      <x:c r="H35" s="402"/>
      <x:c r="I35" s="402"/>
      <x:c r="J35" s="402"/>
      <x:c r="K35" s="402"/>
      <x:c r="L35" s="402"/>
      <x:c r="M35" s="402"/>
      <x:c r="N35" s="402"/>
      <x:c r="O35" s="402"/>
      <x:c r="P35" s="402"/>
      <x:c r="Q35" s="402"/>
      <x:c r="R35" s="402"/>
      <x:c r="S35" s="402"/>
      <x:c r="T35" s="402"/>
      <x:c r="U35" s="402"/>
      <x:c r="V35" s="402"/>
      <x:c r="W35" s="402"/>
      <x:c r="X35" s="402"/>
      <x:c r="Y35" s="402"/>
      <x:c r="Z35" s="402"/>
    </x:row>
    <x:row r="36">
      <x:c r="A36" s="402"/>
      <x:c r="B36" s="402"/>
      <x:c r="C36" s="402"/>
      <x:c r="D36" s="402"/>
      <x:c r="E36" s="402"/>
      <x:c r="F36" s="402"/>
      <x:c r="G36" s="402"/>
      <x:c r="H36" s="402"/>
      <x:c r="I36" s="402"/>
      <x:c r="J36" s="402"/>
      <x:c r="K36" s="402"/>
      <x:c r="L36" s="402"/>
      <x:c r="M36" s="402"/>
      <x:c r="N36" s="402"/>
      <x:c r="O36" s="402"/>
      <x:c r="P36" s="402"/>
      <x:c r="Q36" s="402"/>
      <x:c r="R36" s="402"/>
      <x:c r="S36" s="402"/>
      <x:c r="T36" s="402"/>
      <x:c r="U36" s="402"/>
      <x:c r="V36" s="402"/>
      <x:c r="W36" s="402"/>
      <x:c r="X36" s="402"/>
      <x:c r="Y36" s="402"/>
      <x:c r="Z36" s="402"/>
    </x:row>
    <x:row r="37">
      <x:c r="A37" s="402"/>
      <x:c r="B37" s="402"/>
      <x:c r="C37" s="402"/>
      <x:c r="D37" s="402"/>
      <x:c r="E37" s="402"/>
      <x:c r="F37" s="402"/>
      <x:c r="G37" s="402"/>
      <x:c r="H37" s="402"/>
      <x:c r="I37" s="402"/>
      <x:c r="J37" s="402"/>
      <x:c r="K37" s="402"/>
      <x:c r="L37" s="402"/>
      <x:c r="M37" s="402"/>
      <x:c r="N37" s="402"/>
      <x:c r="O37" s="402"/>
      <x:c r="P37" s="402"/>
      <x:c r="Q37" s="402"/>
      <x:c r="R37" s="402"/>
      <x:c r="S37" s="402"/>
      <x:c r="T37" s="402"/>
      <x:c r="U37" s="402"/>
      <x:c r="V37" s="402"/>
      <x:c r="W37" s="402"/>
      <x:c r="X37" s="402"/>
      <x:c r="Y37" s="402"/>
      <x:c r="Z37" s="402"/>
    </x:row>
    <x:row r="38">
      <x:c r="A38" s="402"/>
      <x:c r="B38" s="402"/>
      <x:c r="C38" s="402"/>
      <x:c r="D38" s="402"/>
      <x:c r="E38" s="402"/>
      <x:c r="F38" s="402"/>
      <x:c r="G38" s="402"/>
      <x:c r="H38" s="402"/>
      <x:c r="I38" s="402"/>
      <x:c r="J38" s="402"/>
      <x:c r="K38" s="402"/>
      <x:c r="L38" s="402"/>
      <x:c r="M38" s="402"/>
      <x:c r="N38" s="402"/>
      <x:c r="O38" s="402"/>
      <x:c r="P38" s="402"/>
      <x:c r="Q38" s="402"/>
      <x:c r="R38" s="402"/>
      <x:c r="S38" s="402"/>
      <x:c r="T38" s="402"/>
      <x:c r="U38" s="402"/>
      <x:c r="V38" s="402"/>
      <x:c r="W38" s="402"/>
      <x:c r="X38" s="402"/>
      <x:c r="Y38" s="402"/>
      <x:c r="Z38" s="402"/>
    </x:row>
    <x:row r="39">
      <x:c r="A39" s="402"/>
      <x:c r="B39" s="402"/>
      <x:c r="C39" s="402"/>
      <x:c r="D39" s="402"/>
      <x:c r="E39" s="402"/>
      <x:c r="F39" s="402"/>
      <x:c r="G39" s="402"/>
      <x:c r="H39" s="402"/>
      <x:c r="I39" s="402"/>
      <x:c r="J39" s="402"/>
      <x:c r="K39" s="402"/>
      <x:c r="L39" s="402"/>
      <x:c r="M39" s="402"/>
      <x:c r="N39" s="402"/>
      <x:c r="O39" s="402"/>
      <x:c r="P39" s="402"/>
      <x:c r="Q39" s="402"/>
      <x:c r="R39" s="402"/>
      <x:c r="S39" s="402"/>
      <x:c r="T39" s="402"/>
      <x:c r="U39" s="402"/>
      <x:c r="V39" s="402"/>
      <x:c r="W39" s="402"/>
      <x:c r="X39" s="402"/>
      <x:c r="Y39" s="402"/>
      <x:c r="Z39" s="402"/>
    </x:row>
    <x:row r="40">
      <x:c r="A40" s="402"/>
      <x:c r="B40" s="402"/>
      <x:c r="C40" s="402"/>
      <x:c r="D40" s="402"/>
      <x:c r="E40" s="402"/>
      <x:c r="F40" s="402"/>
      <x:c r="G40" s="402"/>
      <x:c r="H40" s="402"/>
      <x:c r="I40" s="402"/>
      <x:c r="J40" s="402"/>
      <x:c r="K40" s="402"/>
      <x:c r="L40" s="402"/>
      <x:c r="M40" s="402"/>
      <x:c r="N40" s="402"/>
      <x:c r="O40" s="402"/>
      <x:c r="P40" s="402"/>
      <x:c r="Q40" s="402"/>
      <x:c r="R40" s="402"/>
      <x:c r="S40" s="402"/>
      <x:c r="T40" s="402"/>
      <x:c r="U40" s="402"/>
      <x:c r="V40" s="402"/>
      <x:c r="W40" s="402"/>
      <x:c r="X40" s="402"/>
      <x:c r="Y40" s="402"/>
      <x:c r="Z40" s="402"/>
    </x:row>
    <x:row r="41">
      <x:c r="A41" s="402"/>
      <x:c r="B41" s="402"/>
      <x:c r="C41" s="402"/>
      <x:c r="D41" s="402"/>
      <x:c r="E41" s="402"/>
      <x:c r="F41" s="402"/>
      <x:c r="G41" s="402"/>
      <x:c r="H41" s="402"/>
      <x:c r="I41" s="402"/>
      <x:c r="J41" s="402"/>
      <x:c r="K41" s="402"/>
      <x:c r="L41" s="402"/>
      <x:c r="M41" s="402"/>
      <x:c r="N41" s="402"/>
      <x:c r="O41" s="402"/>
      <x:c r="P41" s="402"/>
      <x:c r="Q41" s="402"/>
      <x:c r="R41" s="402"/>
      <x:c r="S41" s="402"/>
      <x:c r="T41" s="402"/>
      <x:c r="U41" s="402"/>
      <x:c r="V41" s="402"/>
      <x:c r="W41" s="402"/>
      <x:c r="X41" s="402"/>
      <x:c r="Y41" s="402"/>
      <x:c r="Z41" s="402"/>
    </x:row>
    <x:row r="42">
      <x:c r="A42" s="402"/>
      <x:c r="B42" s="402"/>
      <x:c r="C42" s="402"/>
      <x:c r="D42" s="402"/>
      <x:c r="E42" s="402"/>
      <x:c r="F42" s="402"/>
      <x:c r="G42" s="402"/>
      <x:c r="H42" s="402"/>
      <x:c r="I42" s="402"/>
      <x:c r="J42" s="402"/>
      <x:c r="K42" s="402"/>
      <x:c r="L42" s="402"/>
      <x:c r="M42" s="402"/>
      <x:c r="N42" s="402"/>
      <x:c r="O42" s="402"/>
      <x:c r="P42" s="402"/>
      <x:c r="Q42" s="402"/>
      <x:c r="R42" s="402"/>
      <x:c r="S42" s="402"/>
      <x:c r="T42" s="402"/>
      <x:c r="U42" s="402"/>
      <x:c r="V42" s="402"/>
      <x:c r="W42" s="402"/>
      <x:c r="X42" s="402"/>
      <x:c r="Y42" s="402"/>
      <x:c r="Z42" s="402"/>
    </x:row>
    <x:row r="43">
      <x:c r="A43" s="402"/>
      <x:c r="B43" s="402"/>
      <x:c r="C43" s="402"/>
      <x:c r="D43" s="402"/>
      <x:c r="E43" s="402"/>
      <x:c r="F43" s="402"/>
      <x:c r="G43" s="402"/>
      <x:c r="H43" s="402"/>
      <x:c r="I43" s="402"/>
      <x:c r="J43" s="402"/>
      <x:c r="K43" s="402"/>
      <x:c r="L43" s="402"/>
      <x:c r="M43" s="402"/>
      <x:c r="N43" s="402"/>
      <x:c r="O43" s="402"/>
      <x:c r="P43" s="402"/>
      <x:c r="Q43" s="402"/>
      <x:c r="R43" s="402"/>
      <x:c r="S43" s="402"/>
      <x:c r="T43" s="402"/>
      <x:c r="U43" s="402"/>
      <x:c r="V43" s="402"/>
      <x:c r="W43" s="402"/>
      <x:c r="X43" s="402"/>
      <x:c r="Y43" s="402"/>
      <x:c r="Z43" s="402"/>
    </x:row>
    <x:row r="44">
      <x:c r="A44" s="402"/>
      <x:c r="B44" s="402"/>
      <x:c r="C44" s="402"/>
      <x:c r="D44" s="402"/>
      <x:c r="E44" s="402"/>
      <x:c r="F44" s="402"/>
      <x:c r="G44" s="402"/>
      <x:c r="H44" s="402"/>
      <x:c r="I44" s="402"/>
      <x:c r="J44" s="402"/>
      <x:c r="K44" s="402"/>
      <x:c r="L44" s="402"/>
      <x:c r="M44" s="402"/>
      <x:c r="N44" s="402"/>
      <x:c r="O44" s="402"/>
      <x:c r="P44" s="402"/>
      <x:c r="Q44" s="402"/>
      <x:c r="R44" s="402"/>
      <x:c r="S44" s="402"/>
      <x:c r="T44" s="402"/>
      <x:c r="U44" s="402"/>
      <x:c r="V44" s="402"/>
      <x:c r="W44" s="402"/>
      <x:c r="X44" s="402"/>
      <x:c r="Y44" s="402"/>
      <x:c r="Z44" s="402"/>
    </x:row>
    <x:row r="45">
      <x:c r="A45" s="402"/>
      <x:c r="B45" s="402"/>
      <x:c r="C45" s="402"/>
      <x:c r="D45" s="402"/>
      <x:c r="E45" s="402"/>
      <x:c r="F45" s="402"/>
      <x:c r="G45" s="402"/>
      <x:c r="H45" s="402"/>
      <x:c r="I45" s="402"/>
      <x:c r="J45" s="402"/>
      <x:c r="K45" s="402"/>
      <x:c r="L45" s="402"/>
      <x:c r="M45" s="402"/>
      <x:c r="N45" s="402"/>
      <x:c r="O45" s="402"/>
      <x:c r="P45" s="402"/>
      <x:c r="Q45" s="402"/>
      <x:c r="R45" s="402"/>
      <x:c r="S45" s="402"/>
      <x:c r="T45" s="402"/>
      <x:c r="U45" s="402"/>
      <x:c r="V45" s="402"/>
      <x:c r="W45" s="402"/>
      <x:c r="X45" s="402"/>
      <x:c r="Y45" s="402"/>
      <x:c r="Z45" s="402"/>
    </x:row>
    <x:row r="46">
      <x:c r="A46" s="402"/>
      <x:c r="B46" s="402"/>
      <x:c r="C46" s="402"/>
      <x:c r="D46" s="402"/>
      <x:c r="E46" s="402"/>
      <x:c r="F46" s="402"/>
      <x:c r="G46" s="402"/>
      <x:c r="H46" s="402"/>
      <x:c r="I46" s="402"/>
      <x:c r="J46" s="402"/>
      <x:c r="K46" s="402"/>
      <x:c r="L46" s="402"/>
      <x:c r="M46" s="402"/>
      <x:c r="N46" s="402"/>
      <x:c r="O46" s="402"/>
      <x:c r="P46" s="402"/>
      <x:c r="Q46" s="402"/>
      <x:c r="R46" s="402"/>
      <x:c r="S46" s="402"/>
      <x:c r="T46" s="402"/>
      <x:c r="U46" s="402"/>
      <x:c r="V46" s="402"/>
      <x:c r="W46" s="402"/>
      <x:c r="X46" s="402"/>
      <x:c r="Y46" s="402"/>
      <x:c r="Z46" s="402"/>
    </x:row>
    <x:row r="47">
      <x:c r="A47" s="402"/>
      <x:c r="B47" s="402"/>
      <x:c r="C47" s="402"/>
      <x:c r="D47" s="402"/>
      <x:c r="E47" s="402"/>
      <x:c r="F47" s="402"/>
      <x:c r="G47" s="402"/>
      <x:c r="H47" s="402"/>
      <x:c r="I47" s="402"/>
      <x:c r="J47" s="402"/>
      <x:c r="K47" s="402"/>
      <x:c r="L47" s="402"/>
      <x:c r="M47" s="402"/>
      <x:c r="N47" s="402"/>
      <x:c r="O47" s="402"/>
      <x:c r="P47" s="402"/>
      <x:c r="Q47" s="402"/>
      <x:c r="R47" s="402"/>
      <x:c r="S47" s="402"/>
      <x:c r="T47" s="402"/>
      <x:c r="U47" s="402"/>
      <x:c r="V47" s="402"/>
      <x:c r="W47" s="402"/>
      <x:c r="X47" s="402"/>
      <x:c r="Y47" s="402"/>
      <x:c r="Z47" s="402"/>
    </x:row>
    <x:row r="48">
      <x:c r="A48" s="402"/>
      <x:c r="B48" s="402"/>
      <x:c r="C48" s="402"/>
      <x:c r="D48" s="402"/>
      <x:c r="E48" s="402"/>
      <x:c r="F48" s="402"/>
      <x:c r="G48" s="402"/>
      <x:c r="H48" s="402"/>
      <x:c r="I48" s="402"/>
      <x:c r="J48" s="402"/>
      <x:c r="K48" s="402"/>
      <x:c r="L48" s="402"/>
      <x:c r="M48" s="402"/>
      <x:c r="N48" s="402"/>
      <x:c r="O48" s="402"/>
      <x:c r="P48" s="402"/>
      <x:c r="Q48" s="402"/>
      <x:c r="R48" s="402"/>
      <x:c r="S48" s="402"/>
      <x:c r="T48" s="402"/>
      <x:c r="U48" s="402"/>
      <x:c r="V48" s="402"/>
      <x:c r="W48" s="402"/>
      <x:c r="X48" s="402"/>
      <x:c r="Y48" s="402"/>
      <x:c r="Z48" s="402"/>
    </x:row>
    <x:row r="49">
      <x:c r="A49" s="402"/>
      <x:c r="B49" s="402"/>
      <x:c r="C49" s="402"/>
      <x:c r="D49" s="402"/>
      <x:c r="E49" s="402"/>
      <x:c r="F49" s="402"/>
      <x:c r="G49" s="402"/>
      <x:c r="H49" s="402"/>
      <x:c r="I49" s="402"/>
      <x:c r="J49" s="402"/>
      <x:c r="K49" s="402"/>
      <x:c r="L49" s="402"/>
      <x:c r="M49" s="402"/>
      <x:c r="N49" s="402"/>
      <x:c r="O49" s="402"/>
      <x:c r="P49" s="402"/>
      <x:c r="Q49" s="402"/>
      <x:c r="R49" s="402"/>
      <x:c r="S49" s="402"/>
      <x:c r="T49" s="402"/>
      <x:c r="U49" s="402"/>
      <x:c r="V49" s="402"/>
      <x:c r="W49" s="402"/>
      <x:c r="X49" s="402"/>
      <x:c r="Y49" s="402"/>
      <x:c r="Z49" s="402"/>
    </x:row>
    <x:row r="50">
      <x:c r="A50" s="402"/>
      <x:c r="B50" s="402"/>
      <x:c r="C50" s="402"/>
      <x:c r="D50" s="402"/>
      <x:c r="E50" s="402"/>
      <x:c r="F50" s="402"/>
      <x:c r="G50" s="402"/>
      <x:c r="H50" s="402"/>
      <x:c r="I50" s="402"/>
      <x:c r="J50" s="402"/>
      <x:c r="K50" s="402"/>
      <x:c r="L50" s="402"/>
      <x:c r="M50" s="402"/>
      <x:c r="N50" s="402"/>
      <x:c r="O50" s="402"/>
      <x:c r="P50" s="402"/>
      <x:c r="Q50" s="402"/>
      <x:c r="R50" s="402"/>
      <x:c r="S50" s="402"/>
      <x:c r="T50" s="402"/>
      <x:c r="U50" s="402"/>
      <x:c r="V50" s="402"/>
      <x:c r="W50" s="402"/>
      <x:c r="X50" s="402"/>
      <x:c r="Y50" s="402"/>
      <x:c r="Z50" s="402"/>
    </x:row>
    <x:row r="51">
      <x:c r="A51" s="402"/>
      <x:c r="B51" s="402"/>
      <x:c r="C51" s="402"/>
      <x:c r="D51" s="402"/>
      <x:c r="E51" s="402"/>
      <x:c r="F51" s="402"/>
      <x:c r="G51" s="402"/>
      <x:c r="H51" s="402"/>
      <x:c r="I51" s="402"/>
      <x:c r="J51" s="402"/>
      <x:c r="K51" s="402"/>
      <x:c r="L51" s="402"/>
      <x:c r="M51" s="402"/>
      <x:c r="N51" s="402"/>
      <x:c r="O51" s="402"/>
      <x:c r="P51" s="402"/>
      <x:c r="Q51" s="402"/>
      <x:c r="R51" s="402"/>
      <x:c r="S51" s="402"/>
      <x:c r="T51" s="402"/>
      <x:c r="U51" s="402"/>
      <x:c r="V51" s="402"/>
      <x:c r="W51" s="402"/>
      <x:c r="X51" s="402"/>
      <x:c r="Y51" s="402"/>
      <x:c r="Z51" s="402"/>
    </x:row>
    <x:row r="52">
      <x:c r="A52" s="402"/>
      <x:c r="B52" s="402"/>
      <x:c r="C52" s="402"/>
      <x:c r="D52" s="402"/>
      <x:c r="E52" s="402"/>
      <x:c r="F52" s="402"/>
      <x:c r="G52" s="402"/>
      <x:c r="H52" s="402"/>
      <x:c r="I52" s="402"/>
      <x:c r="J52" s="402"/>
      <x:c r="K52" s="402"/>
      <x:c r="L52" s="402"/>
      <x:c r="M52" s="402"/>
      <x:c r="N52" s="402"/>
      <x:c r="O52" s="402"/>
      <x:c r="P52" s="402"/>
      <x:c r="Q52" s="402"/>
      <x:c r="R52" s="402"/>
      <x:c r="S52" s="402"/>
      <x:c r="T52" s="402"/>
      <x:c r="U52" s="402"/>
      <x:c r="V52" s="402"/>
      <x:c r="W52" s="402"/>
      <x:c r="X52" s="402"/>
      <x:c r="Y52" s="402"/>
      <x:c r="Z52" s="402"/>
    </x:row>
    <x:row r="53">
      <x:c r="A53" s="402"/>
      <x:c r="B53" s="402"/>
      <x:c r="C53" s="402"/>
      <x:c r="D53" s="402"/>
      <x:c r="E53" s="402"/>
      <x:c r="F53" s="402"/>
      <x:c r="G53" s="402"/>
      <x:c r="H53" s="402"/>
      <x:c r="I53" s="402"/>
      <x:c r="J53" s="402"/>
      <x:c r="K53" s="402"/>
      <x:c r="L53" s="402"/>
      <x:c r="M53" s="402"/>
      <x:c r="N53" s="402"/>
      <x:c r="O53" s="402"/>
      <x:c r="P53" s="402"/>
      <x:c r="Q53" s="402"/>
      <x:c r="R53" s="402"/>
      <x:c r="S53" s="402"/>
      <x:c r="T53" s="402"/>
      <x:c r="U53" s="402"/>
      <x:c r="V53" s="402"/>
      <x:c r="W53" s="402"/>
      <x:c r="X53" s="402"/>
      <x:c r="Y53" s="402"/>
      <x:c r="Z53" s="402"/>
    </x:row>
    <x:row r="54">
      <x:c r="A54" s="402"/>
      <x:c r="B54" s="402"/>
      <x:c r="C54" s="402"/>
      <x:c r="D54" s="402"/>
      <x:c r="E54" s="402"/>
      <x:c r="F54" s="402"/>
      <x:c r="G54" s="402"/>
      <x:c r="H54" s="402"/>
      <x:c r="I54" s="402"/>
      <x:c r="J54" s="402"/>
      <x:c r="K54" s="402"/>
      <x:c r="L54" s="402"/>
      <x:c r="M54" s="402"/>
      <x:c r="N54" s="402"/>
      <x:c r="O54" s="402"/>
      <x:c r="P54" s="402"/>
      <x:c r="Q54" s="402"/>
      <x:c r="R54" s="402"/>
      <x:c r="S54" s="402"/>
      <x:c r="T54" s="402"/>
      <x:c r="U54" s="402"/>
      <x:c r="V54" s="402"/>
      <x:c r="W54" s="402"/>
      <x:c r="X54" s="402"/>
      <x:c r="Y54" s="402"/>
      <x:c r="Z54" s="402"/>
    </x:row>
    <x:row r="55">
      <x:c r="A55" s="402"/>
      <x:c r="B55" s="402"/>
      <x:c r="C55" s="402"/>
      <x:c r="D55" s="402"/>
      <x:c r="E55" s="402"/>
      <x:c r="F55" s="402"/>
      <x:c r="G55" s="402"/>
      <x:c r="H55" s="402"/>
      <x:c r="I55" s="402"/>
      <x:c r="J55" s="402"/>
      <x:c r="K55" s="402"/>
      <x:c r="L55" s="402"/>
      <x:c r="M55" s="402"/>
      <x:c r="N55" s="402"/>
      <x:c r="O55" s="402"/>
      <x:c r="P55" s="402"/>
      <x:c r="Q55" s="402"/>
      <x:c r="R55" s="402"/>
      <x:c r="S55" s="402"/>
      <x:c r="T55" s="402"/>
      <x:c r="U55" s="402"/>
      <x:c r="V55" s="402"/>
      <x:c r="W55" s="402"/>
      <x:c r="X55" s="402"/>
      <x:c r="Y55" s="402"/>
      <x:c r="Z55" s="402"/>
    </x:row>
    <x:row r="56">
      <x:c r="A56" s="402"/>
      <x:c r="B56" s="402"/>
      <x:c r="C56" s="402"/>
      <x:c r="D56" s="402"/>
      <x:c r="E56" s="402"/>
      <x:c r="F56" s="402"/>
      <x:c r="G56" s="402"/>
      <x:c r="H56" s="402"/>
      <x:c r="I56" s="402"/>
      <x:c r="J56" s="402"/>
      <x:c r="K56" s="402"/>
      <x:c r="L56" s="402"/>
      <x:c r="M56" s="402"/>
      <x:c r="N56" s="402"/>
      <x:c r="O56" s="402"/>
      <x:c r="P56" s="402"/>
      <x:c r="Q56" s="402"/>
      <x:c r="R56" s="402"/>
      <x:c r="S56" s="402"/>
      <x:c r="T56" s="402"/>
      <x:c r="U56" s="402"/>
      <x:c r="V56" s="402"/>
      <x:c r="W56" s="402"/>
      <x:c r="X56" s="402"/>
      <x:c r="Y56" s="402"/>
      <x:c r="Z56" s="402"/>
    </x:row>
    <x:row r="57">
      <x:c r="A57" s="402"/>
      <x:c r="B57" s="402"/>
      <x:c r="C57" s="402"/>
      <x:c r="D57" s="402"/>
      <x:c r="E57" s="402"/>
      <x:c r="F57" s="402"/>
      <x:c r="G57" s="402"/>
      <x:c r="H57" s="402"/>
      <x:c r="I57" s="402"/>
      <x:c r="J57" s="402"/>
      <x:c r="K57" s="402"/>
      <x:c r="L57" s="402"/>
      <x:c r="M57" s="402"/>
      <x:c r="N57" s="402"/>
      <x:c r="O57" s="402"/>
      <x:c r="P57" s="402"/>
      <x:c r="Q57" s="402"/>
      <x:c r="R57" s="402"/>
      <x:c r="S57" s="402"/>
      <x:c r="T57" s="402"/>
      <x:c r="U57" s="402"/>
      <x:c r="V57" s="402"/>
      <x:c r="W57" s="402"/>
      <x:c r="X57" s="402"/>
      <x:c r="Y57" s="402"/>
      <x:c r="Z57" s="402"/>
    </x:row>
    <x:row r="58">
      <x:c r="A58" s="402"/>
      <x:c r="B58" s="402"/>
      <x:c r="C58" s="402"/>
      <x:c r="D58" s="402"/>
      <x:c r="E58" s="402"/>
      <x:c r="F58" s="402"/>
      <x:c r="G58" s="402"/>
      <x:c r="H58" s="402"/>
      <x:c r="I58" s="402"/>
      <x:c r="J58" s="402"/>
      <x:c r="K58" s="402"/>
      <x:c r="L58" s="402"/>
      <x:c r="M58" s="402"/>
      <x:c r="N58" s="402"/>
      <x:c r="O58" s="402"/>
      <x:c r="P58" s="402"/>
      <x:c r="Q58" s="402"/>
      <x:c r="R58" s="402"/>
      <x:c r="S58" s="402"/>
      <x:c r="T58" s="402"/>
      <x:c r="U58" s="402"/>
      <x:c r="V58" s="402"/>
      <x:c r="W58" s="402"/>
      <x:c r="X58" s="402"/>
      <x:c r="Y58" s="402"/>
      <x:c r="Z58" s="402"/>
    </x:row>
    <x:row r="59">
      <x:c r="A59" s="402"/>
      <x:c r="B59" s="402"/>
      <x:c r="C59" s="402"/>
      <x:c r="D59" s="402"/>
      <x:c r="E59" s="402"/>
      <x:c r="F59" s="402"/>
      <x:c r="G59" s="402"/>
      <x:c r="H59" s="402"/>
      <x:c r="I59" s="402"/>
      <x:c r="J59" s="402"/>
      <x:c r="K59" s="402"/>
      <x:c r="L59" s="402"/>
      <x:c r="M59" s="402"/>
      <x:c r="N59" s="402"/>
      <x:c r="O59" s="402"/>
      <x:c r="P59" s="402"/>
      <x:c r="Q59" s="402"/>
      <x:c r="R59" s="402"/>
      <x:c r="S59" s="402"/>
      <x:c r="T59" s="402"/>
      <x:c r="U59" s="402"/>
      <x:c r="V59" s="402"/>
      <x:c r="W59" s="402"/>
      <x:c r="X59" s="402"/>
      <x:c r="Y59" s="402"/>
      <x:c r="Z59" s="402"/>
    </x:row>
    <x:row r="60">
      <x:c r="A60" s="402"/>
      <x:c r="B60" s="402"/>
      <x:c r="C60" s="402"/>
      <x:c r="D60" s="402"/>
      <x:c r="E60" s="402"/>
      <x:c r="F60" s="402"/>
      <x:c r="G60" s="402"/>
      <x:c r="H60" s="402"/>
      <x:c r="I60" s="402"/>
      <x:c r="J60" s="402"/>
      <x:c r="K60" s="402"/>
      <x:c r="L60" s="402"/>
      <x:c r="M60" s="402"/>
      <x:c r="N60" s="402"/>
      <x:c r="O60" s="402"/>
      <x:c r="P60" s="402"/>
      <x:c r="Q60" s="402"/>
      <x:c r="R60" s="402"/>
      <x:c r="S60" s="402"/>
      <x:c r="T60" s="402"/>
      <x:c r="U60" s="402"/>
      <x:c r="V60" s="402"/>
      <x:c r="W60" s="402"/>
      <x:c r="X60" s="402"/>
      <x:c r="Y60" s="402"/>
      <x:c r="Z60" s="402"/>
    </x:row>
    <x:row r="61">
      <x:c r="A61" s="402"/>
      <x:c r="B61" s="402"/>
      <x:c r="C61" s="402"/>
      <x:c r="D61" s="402"/>
      <x:c r="E61" s="402"/>
      <x:c r="F61" s="402"/>
      <x:c r="G61" s="402"/>
      <x:c r="H61" s="402"/>
      <x:c r="I61" s="402"/>
      <x:c r="J61" s="402"/>
      <x:c r="K61" s="402"/>
      <x:c r="L61" s="402"/>
      <x:c r="M61" s="402"/>
      <x:c r="N61" s="402"/>
      <x:c r="O61" s="402"/>
      <x:c r="P61" s="402"/>
      <x:c r="Q61" s="402"/>
      <x:c r="R61" s="402"/>
      <x:c r="S61" s="402"/>
      <x:c r="T61" s="402"/>
      <x:c r="U61" s="402"/>
      <x:c r="V61" s="402"/>
      <x:c r="W61" s="402"/>
      <x:c r="X61" s="402"/>
      <x:c r="Y61" s="402"/>
      <x:c r="Z61" s="402"/>
    </x:row>
    <x:row r="62">
      <x:c r="A62" s="402"/>
      <x:c r="B62" s="402"/>
      <x:c r="C62" s="402"/>
      <x:c r="D62" s="402"/>
      <x:c r="E62" s="402"/>
      <x:c r="F62" s="402"/>
      <x:c r="G62" s="402"/>
      <x:c r="H62" s="402"/>
      <x:c r="I62" s="402"/>
      <x:c r="J62" s="402"/>
      <x:c r="K62" s="402"/>
      <x:c r="L62" s="402"/>
      <x:c r="M62" s="402"/>
      <x:c r="N62" s="402"/>
      <x:c r="O62" s="402"/>
      <x:c r="P62" s="402"/>
      <x:c r="Q62" s="402"/>
      <x:c r="R62" s="402"/>
      <x:c r="S62" s="402"/>
      <x:c r="T62" s="402"/>
      <x:c r="U62" s="402"/>
      <x:c r="V62" s="402"/>
      <x:c r="W62" s="402"/>
      <x:c r="X62" s="402"/>
      <x:c r="Y62" s="402"/>
      <x:c r="Z62" s="402"/>
    </x:row>
    <x:row r="63">
      <x:c r="A63" s="402"/>
      <x:c r="B63" s="402"/>
      <x:c r="C63" s="402"/>
      <x:c r="D63" s="402"/>
      <x:c r="E63" s="402"/>
      <x:c r="F63" s="402"/>
      <x:c r="G63" s="402"/>
      <x:c r="H63" s="402"/>
      <x:c r="I63" s="402"/>
      <x:c r="J63" s="402"/>
      <x:c r="K63" s="402"/>
      <x:c r="L63" s="402"/>
      <x:c r="M63" s="402"/>
      <x:c r="N63" s="402"/>
      <x:c r="O63" s="402"/>
      <x:c r="P63" s="402"/>
      <x:c r="Q63" s="402"/>
      <x:c r="R63" s="402"/>
      <x:c r="S63" s="402"/>
      <x:c r="T63" s="402"/>
      <x:c r="U63" s="402"/>
      <x:c r="V63" s="402"/>
      <x:c r="W63" s="402"/>
      <x:c r="X63" s="402"/>
      <x:c r="Y63" s="402"/>
      <x:c r="Z63" s="402"/>
    </x:row>
    <x:row r="64">
      <x:c r="A64" s="402"/>
      <x:c r="B64" s="402"/>
      <x:c r="C64" s="402"/>
      <x:c r="D64" s="402"/>
      <x:c r="E64" s="402"/>
      <x:c r="F64" s="402"/>
      <x:c r="G64" s="402"/>
      <x:c r="H64" s="402"/>
      <x:c r="I64" s="402"/>
      <x:c r="J64" s="402"/>
      <x:c r="K64" s="402"/>
      <x:c r="L64" s="402"/>
      <x:c r="M64" s="402"/>
      <x:c r="N64" s="402"/>
      <x:c r="O64" s="402"/>
      <x:c r="P64" s="402"/>
      <x:c r="Q64" s="402"/>
      <x:c r="R64" s="402"/>
      <x:c r="S64" s="402"/>
      <x:c r="T64" s="402"/>
      <x:c r="U64" s="402"/>
      <x:c r="V64" s="402"/>
      <x:c r="W64" s="402"/>
      <x:c r="X64" s="402"/>
      <x:c r="Y64" s="402"/>
      <x:c r="Z64" s="402"/>
    </x:row>
    <x:row r="65">
      <x:c r="A65" s="402"/>
      <x:c r="B65" s="402"/>
      <x:c r="C65" s="402"/>
      <x:c r="D65" s="402"/>
      <x:c r="E65" s="402"/>
      <x:c r="F65" s="402"/>
      <x:c r="G65" s="402"/>
      <x:c r="H65" s="402"/>
      <x:c r="I65" s="402"/>
      <x:c r="J65" s="402"/>
      <x:c r="K65" s="402"/>
      <x:c r="L65" s="402"/>
      <x:c r="M65" s="402"/>
      <x:c r="N65" s="402"/>
      <x:c r="O65" s="402"/>
      <x:c r="P65" s="402"/>
      <x:c r="Q65" s="402"/>
      <x:c r="R65" s="402"/>
      <x:c r="S65" s="402"/>
      <x:c r="T65" s="402"/>
      <x:c r="U65" s="402"/>
      <x:c r="V65" s="402"/>
      <x:c r="W65" s="402"/>
      <x:c r="X65" s="402"/>
      <x:c r="Y65" s="402"/>
      <x:c r="Z65" s="402"/>
    </x:row>
    <x:row r="66">
      <x:c r="A66" s="402"/>
      <x:c r="B66" s="402"/>
      <x:c r="C66" s="402"/>
      <x:c r="D66" s="402"/>
      <x:c r="E66" s="402"/>
      <x:c r="F66" s="402"/>
      <x:c r="G66" s="402"/>
      <x:c r="H66" s="402"/>
      <x:c r="I66" s="402"/>
      <x:c r="J66" s="402"/>
      <x:c r="K66" s="402"/>
      <x:c r="L66" s="402"/>
      <x:c r="M66" s="402"/>
      <x:c r="N66" s="402"/>
      <x:c r="O66" s="402"/>
      <x:c r="P66" s="402"/>
      <x:c r="Q66" s="402"/>
      <x:c r="R66" s="402"/>
      <x:c r="S66" s="402"/>
      <x:c r="T66" s="402"/>
      <x:c r="U66" s="402"/>
      <x:c r="V66" s="402"/>
      <x:c r="W66" s="402"/>
      <x:c r="X66" s="402"/>
      <x:c r="Y66" s="402"/>
      <x:c r="Z66" s="402"/>
    </x:row>
    <x:row r="67">
      <x:c r="A67" s="402"/>
      <x:c r="B67" s="402"/>
      <x:c r="C67" s="402"/>
      <x:c r="D67" s="402"/>
      <x:c r="E67" s="402"/>
      <x:c r="F67" s="402"/>
      <x:c r="G67" s="402"/>
      <x:c r="H67" s="402"/>
      <x:c r="I67" s="402"/>
      <x:c r="J67" s="402"/>
      <x:c r="K67" s="402"/>
      <x:c r="L67" s="402"/>
      <x:c r="M67" s="402"/>
      <x:c r="N67" s="402"/>
      <x:c r="O67" s="402"/>
      <x:c r="P67" s="402"/>
      <x:c r="Q67" s="402"/>
      <x:c r="R67" s="402"/>
      <x:c r="S67" s="402"/>
      <x:c r="T67" s="402"/>
      <x:c r="U67" s="402"/>
      <x:c r="V67" s="402"/>
      <x:c r="W67" s="402"/>
      <x:c r="X67" s="402"/>
      <x:c r="Y67" s="402"/>
      <x:c r="Z67" s="402"/>
    </x:row>
    <x:row r="68">
      <x:c r="A68" s="402"/>
      <x:c r="B68" s="402"/>
      <x:c r="C68" s="402"/>
      <x:c r="D68" s="402"/>
      <x:c r="E68" s="402"/>
      <x:c r="F68" s="402"/>
      <x:c r="G68" s="402"/>
      <x:c r="H68" s="402"/>
      <x:c r="I68" s="402"/>
      <x:c r="J68" s="402"/>
      <x:c r="K68" s="402"/>
      <x:c r="L68" s="402"/>
      <x:c r="M68" s="402"/>
      <x:c r="N68" s="402"/>
      <x:c r="O68" s="402"/>
      <x:c r="P68" s="402"/>
      <x:c r="Q68" s="402"/>
      <x:c r="R68" s="402"/>
      <x:c r="S68" s="402"/>
      <x:c r="T68" s="402"/>
      <x:c r="U68" s="402"/>
      <x:c r="V68" s="402"/>
      <x:c r="W68" s="402"/>
      <x:c r="X68" s="402"/>
      <x:c r="Y68" s="402"/>
      <x:c r="Z68" s="402"/>
    </x:row>
    <x:row r="69">
      <x:c r="A69" s="402"/>
      <x:c r="B69" s="402"/>
      <x:c r="C69" s="402"/>
      <x:c r="D69" s="402"/>
      <x:c r="E69" s="402"/>
      <x:c r="F69" s="402"/>
      <x:c r="G69" s="402"/>
      <x:c r="H69" s="402"/>
      <x:c r="I69" s="402"/>
      <x:c r="J69" s="402"/>
      <x:c r="K69" s="402"/>
      <x:c r="L69" s="402"/>
      <x:c r="M69" s="402"/>
      <x:c r="N69" s="402"/>
      <x:c r="O69" s="402"/>
      <x:c r="P69" s="402"/>
      <x:c r="Q69" s="402"/>
      <x:c r="R69" s="402"/>
      <x:c r="S69" s="402"/>
      <x:c r="T69" s="402"/>
      <x:c r="U69" s="402"/>
      <x:c r="V69" s="402"/>
      <x:c r="W69" s="402"/>
      <x:c r="X69" s="402"/>
      <x:c r="Y69" s="402"/>
      <x:c r="Z69" s="402"/>
    </x:row>
    <x:row r="70">
      <x:c r="A70" s="402"/>
      <x:c r="B70" s="402"/>
      <x:c r="C70" s="402"/>
      <x:c r="D70" s="402"/>
      <x:c r="E70" s="402"/>
      <x:c r="F70" s="402"/>
      <x:c r="G70" s="402"/>
      <x:c r="H70" s="402"/>
      <x:c r="I70" s="402"/>
      <x:c r="J70" s="402"/>
      <x:c r="K70" s="402"/>
      <x:c r="L70" s="402"/>
      <x:c r="M70" s="402"/>
      <x:c r="N70" s="402"/>
      <x:c r="O70" s="402"/>
      <x:c r="P70" s="402"/>
      <x:c r="Q70" s="402"/>
      <x:c r="R70" s="402"/>
      <x:c r="S70" s="402"/>
      <x:c r="T70" s="402"/>
      <x:c r="U70" s="402"/>
      <x:c r="V70" s="402"/>
      <x:c r="W70" s="402"/>
      <x:c r="X70" s="402"/>
      <x:c r="Y70" s="402"/>
      <x:c r="Z70" s="402"/>
    </x:row>
    <x:row r="71">
      <x:c r="A71" s="402"/>
      <x:c r="B71" s="402"/>
      <x:c r="C71" s="402"/>
      <x:c r="D71" s="402"/>
      <x:c r="E71" s="402"/>
      <x:c r="F71" s="402"/>
      <x:c r="G71" s="402"/>
      <x:c r="H71" s="402"/>
      <x:c r="I71" s="402"/>
      <x:c r="J71" s="402"/>
      <x:c r="K71" s="402"/>
      <x:c r="L71" s="402"/>
      <x:c r="M71" s="402"/>
      <x:c r="N71" s="402"/>
      <x:c r="O71" s="402"/>
      <x:c r="P71" s="402"/>
      <x:c r="Q71" s="402"/>
      <x:c r="R71" s="402"/>
      <x:c r="S71" s="402"/>
      <x:c r="T71" s="402"/>
      <x:c r="U71" s="402"/>
      <x:c r="V71" s="402"/>
      <x:c r="W71" s="402"/>
      <x:c r="X71" s="402"/>
      <x:c r="Y71" s="402"/>
      <x:c r="Z71" s="402"/>
    </x:row>
    <x:row r="72">
      <x:c r="A72" s="402"/>
      <x:c r="B72" s="402"/>
      <x:c r="C72" s="402"/>
      <x:c r="D72" s="402"/>
      <x:c r="E72" s="402"/>
      <x:c r="F72" s="402"/>
      <x:c r="G72" s="402"/>
      <x:c r="H72" s="402"/>
      <x:c r="I72" s="402"/>
      <x:c r="J72" s="402"/>
      <x:c r="K72" s="402"/>
      <x:c r="L72" s="402"/>
      <x:c r="M72" s="402"/>
      <x:c r="N72" s="402"/>
      <x:c r="O72" s="402"/>
      <x:c r="P72" s="402"/>
      <x:c r="Q72" s="402"/>
      <x:c r="R72" s="402"/>
      <x:c r="S72" s="402"/>
      <x:c r="T72" s="402"/>
      <x:c r="U72" s="402"/>
      <x:c r="V72" s="402"/>
      <x:c r="W72" s="402"/>
      <x:c r="X72" s="402"/>
      <x:c r="Y72" s="402"/>
      <x:c r="Z72" s="402"/>
    </x:row>
    <x:row r="73">
      <x:c r="A73" s="402"/>
      <x:c r="B73" s="402"/>
      <x:c r="C73" s="402"/>
      <x:c r="D73" s="402"/>
      <x:c r="E73" s="402"/>
      <x:c r="F73" s="402"/>
      <x:c r="G73" s="402"/>
      <x:c r="H73" s="402"/>
      <x:c r="I73" s="402"/>
      <x:c r="J73" s="402"/>
      <x:c r="K73" s="402"/>
      <x:c r="L73" s="402"/>
      <x:c r="M73" s="402"/>
      <x:c r="N73" s="402"/>
      <x:c r="O73" s="402"/>
      <x:c r="P73" s="402"/>
      <x:c r="Q73" s="402"/>
      <x:c r="R73" s="402"/>
      <x:c r="S73" s="402"/>
      <x:c r="T73" s="402"/>
      <x:c r="U73" s="402"/>
      <x:c r="V73" s="402"/>
      <x:c r="W73" s="402"/>
      <x:c r="X73" s="402"/>
      <x:c r="Y73" s="402"/>
      <x:c r="Z73" s="402"/>
    </x:row>
    <x:row r="74">
      <x:c r="A74" s="402"/>
      <x:c r="B74" s="402"/>
      <x:c r="C74" s="402"/>
      <x:c r="D74" s="402"/>
      <x:c r="E74" s="402"/>
      <x:c r="F74" s="402"/>
      <x:c r="G74" s="402"/>
      <x:c r="H74" s="402"/>
      <x:c r="I74" s="402"/>
      <x:c r="J74" s="402"/>
      <x:c r="K74" s="402"/>
      <x:c r="L74" s="402"/>
      <x:c r="M74" s="402"/>
      <x:c r="N74" s="402"/>
      <x:c r="O74" s="402"/>
      <x:c r="P74" s="402"/>
      <x:c r="Q74" s="402"/>
      <x:c r="R74" s="402"/>
      <x:c r="S74" s="402"/>
      <x:c r="T74" s="402"/>
      <x:c r="U74" s="402"/>
      <x:c r="V74" s="402"/>
      <x:c r="W74" s="402"/>
      <x:c r="X74" s="402"/>
      <x:c r="Y74" s="402"/>
      <x:c r="Z74" s="402"/>
    </x:row>
    <x:row r="75">
      <x:c r="A75" s="402"/>
      <x:c r="B75" s="402"/>
      <x:c r="C75" s="402"/>
      <x:c r="D75" s="402"/>
      <x:c r="E75" s="402"/>
      <x:c r="F75" s="402"/>
      <x:c r="G75" s="402"/>
      <x:c r="H75" s="402"/>
      <x:c r="I75" s="402"/>
      <x:c r="J75" s="402"/>
      <x:c r="K75" s="402"/>
      <x:c r="L75" s="402"/>
      <x:c r="M75" s="402"/>
      <x:c r="N75" s="402"/>
      <x:c r="O75" s="402"/>
      <x:c r="P75" s="402"/>
      <x:c r="Q75" s="402"/>
      <x:c r="R75" s="402"/>
      <x:c r="S75" s="402"/>
      <x:c r="T75" s="402"/>
      <x:c r="U75" s="402"/>
      <x:c r="V75" s="402"/>
      <x:c r="W75" s="402"/>
      <x:c r="X75" s="402"/>
      <x:c r="Y75" s="402"/>
      <x:c r="Z75" s="402"/>
    </x:row>
    <x:row r="76">
      <x:c r="A76" s="402"/>
      <x:c r="B76" s="402"/>
      <x:c r="C76" s="402"/>
      <x:c r="D76" s="402"/>
      <x:c r="E76" s="402"/>
      <x:c r="F76" s="402"/>
      <x:c r="G76" s="402"/>
      <x:c r="H76" s="402"/>
      <x:c r="I76" s="402"/>
      <x:c r="J76" s="402"/>
      <x:c r="K76" s="402"/>
      <x:c r="L76" s="402"/>
      <x:c r="M76" s="402"/>
      <x:c r="N76" s="402"/>
      <x:c r="O76" s="402"/>
      <x:c r="P76" s="402"/>
      <x:c r="Q76" s="402"/>
      <x:c r="R76" s="402"/>
      <x:c r="S76" s="402"/>
      <x:c r="T76" s="402"/>
      <x:c r="U76" s="402"/>
      <x:c r="V76" s="402"/>
      <x:c r="W76" s="402"/>
      <x:c r="X76" s="402"/>
      <x:c r="Y76" s="402"/>
      <x:c r="Z76" s="402"/>
    </x:row>
    <x:row r="77">
      <x:c r="A77" s="402"/>
      <x:c r="B77" s="402"/>
      <x:c r="C77" s="402"/>
      <x:c r="D77" s="402"/>
      <x:c r="E77" s="402"/>
      <x:c r="F77" s="402"/>
      <x:c r="G77" s="402"/>
      <x:c r="H77" s="402"/>
      <x:c r="I77" s="402"/>
      <x:c r="J77" s="402"/>
      <x:c r="K77" s="402"/>
      <x:c r="L77" s="402"/>
      <x:c r="M77" s="402"/>
      <x:c r="N77" s="402"/>
      <x:c r="O77" s="402"/>
      <x:c r="P77" s="402"/>
      <x:c r="Q77" s="402"/>
      <x:c r="R77" s="402"/>
      <x:c r="S77" s="402"/>
      <x:c r="T77" s="402"/>
      <x:c r="U77" s="402"/>
      <x:c r="V77" s="402"/>
      <x:c r="W77" s="402"/>
      <x:c r="X77" s="402"/>
      <x:c r="Y77" s="402"/>
      <x:c r="Z77" s="402"/>
    </x:row>
    <x:row r="78">
      <x:c r="A78" s="402"/>
      <x:c r="B78" s="402"/>
      <x:c r="C78" s="402"/>
      <x:c r="D78" s="402"/>
      <x:c r="E78" s="402"/>
      <x:c r="F78" s="402"/>
      <x:c r="G78" s="402"/>
      <x:c r="H78" s="402"/>
      <x:c r="I78" s="402"/>
      <x:c r="J78" s="402"/>
      <x:c r="K78" s="402"/>
      <x:c r="L78" s="402"/>
      <x:c r="M78" s="402"/>
      <x:c r="N78" s="402"/>
      <x:c r="O78" s="402"/>
      <x:c r="P78" s="402"/>
      <x:c r="Q78" s="402"/>
      <x:c r="R78" s="402"/>
      <x:c r="S78" s="402"/>
      <x:c r="T78" s="402"/>
      <x:c r="U78" s="402"/>
      <x:c r="V78" s="402"/>
      <x:c r="W78" s="402"/>
      <x:c r="X78" s="402"/>
      <x:c r="Y78" s="402"/>
      <x:c r="Z78" s="402"/>
    </x:row>
    <x:row r="79">
      <x:c r="A79" s="402"/>
      <x:c r="B79" s="402"/>
      <x:c r="C79" s="402"/>
      <x:c r="D79" s="402"/>
      <x:c r="E79" s="402"/>
      <x:c r="F79" s="402"/>
      <x:c r="G79" s="402"/>
      <x:c r="H79" s="402"/>
      <x:c r="I79" s="402"/>
      <x:c r="J79" s="402"/>
      <x:c r="K79" s="402"/>
      <x:c r="L79" s="402"/>
      <x:c r="M79" s="402"/>
      <x:c r="N79" s="402"/>
      <x:c r="O79" s="402"/>
      <x:c r="P79" s="402"/>
      <x:c r="Q79" s="402"/>
      <x:c r="R79" s="402"/>
      <x:c r="S79" s="402"/>
      <x:c r="T79" s="402"/>
      <x:c r="U79" s="402"/>
      <x:c r="V79" s="402"/>
      <x:c r="W79" s="402"/>
      <x:c r="X79" s="402"/>
      <x:c r="Y79" s="402"/>
      <x:c r="Z79" s="402"/>
    </x:row>
    <x:row r="80">
      <x:c r="A80" s="402"/>
      <x:c r="B80" s="402"/>
      <x:c r="C80" s="402"/>
      <x:c r="D80" s="402"/>
      <x:c r="E80" s="402"/>
      <x:c r="F80" s="402"/>
      <x:c r="G80" s="402"/>
      <x:c r="H80" s="402"/>
      <x:c r="I80" s="402"/>
      <x:c r="J80" s="402"/>
      <x:c r="K80" s="402"/>
      <x:c r="L80" s="402"/>
      <x:c r="M80" s="402"/>
      <x:c r="N80" s="402"/>
      <x:c r="O80" s="402"/>
      <x:c r="P80" s="402"/>
      <x:c r="Q80" s="402"/>
      <x:c r="R80" s="402"/>
      <x:c r="S80" s="402"/>
      <x:c r="T80" s="402"/>
      <x:c r="U80" s="402"/>
      <x:c r="V80" s="402"/>
      <x:c r="W80" s="402"/>
      <x:c r="X80" s="402"/>
      <x:c r="Y80" s="402"/>
      <x:c r="Z80" s="402"/>
    </x:row>
    <x:row r="81">
      <x:c r="A81" s="402"/>
      <x:c r="B81" s="402"/>
      <x:c r="C81" s="402"/>
      <x:c r="D81" s="402"/>
      <x:c r="E81" s="402"/>
      <x:c r="F81" s="402"/>
      <x:c r="G81" s="402"/>
      <x:c r="H81" s="402"/>
      <x:c r="I81" s="402"/>
      <x:c r="J81" s="402"/>
      <x:c r="K81" s="402"/>
      <x:c r="L81" s="402"/>
      <x:c r="M81" s="402"/>
      <x:c r="N81" s="402"/>
      <x:c r="O81" s="402"/>
      <x:c r="P81" s="402"/>
      <x:c r="Q81" s="402"/>
      <x:c r="R81" s="402"/>
      <x:c r="S81" s="402"/>
      <x:c r="T81" s="402"/>
      <x:c r="U81" s="402"/>
      <x:c r="V81" s="402"/>
      <x:c r="W81" s="402"/>
      <x:c r="X81" s="402"/>
      <x:c r="Y81" s="402"/>
      <x:c r="Z81" s="402"/>
    </x:row>
    <x:row r="82">
      <x:c r="A82" s="402"/>
      <x:c r="B82" s="402"/>
      <x:c r="C82" s="402"/>
      <x:c r="D82" s="402"/>
      <x:c r="E82" s="402"/>
      <x:c r="F82" s="402"/>
      <x:c r="G82" s="402"/>
      <x:c r="H82" s="402"/>
      <x:c r="I82" s="402"/>
      <x:c r="J82" s="402"/>
      <x:c r="K82" s="402"/>
      <x:c r="L82" s="402"/>
      <x:c r="M82" s="402"/>
      <x:c r="N82" s="402"/>
      <x:c r="O82" s="402"/>
      <x:c r="P82" s="402"/>
      <x:c r="Q82" s="402"/>
      <x:c r="R82" s="402"/>
      <x:c r="S82" s="402"/>
      <x:c r="T82" s="402"/>
      <x:c r="U82" s="402"/>
      <x:c r="V82" s="402"/>
      <x:c r="W82" s="402"/>
      <x:c r="X82" s="402"/>
      <x:c r="Y82" s="402"/>
      <x:c r="Z82" s="402"/>
    </x:row>
    <x:row r="83">
      <x:c r="A83" s="402"/>
      <x:c r="B83" s="402"/>
      <x:c r="C83" s="402"/>
      <x:c r="D83" s="402"/>
      <x:c r="E83" s="402"/>
      <x:c r="F83" s="402"/>
      <x:c r="G83" s="402"/>
      <x:c r="H83" s="402"/>
      <x:c r="I83" s="402"/>
      <x:c r="J83" s="402"/>
      <x:c r="K83" s="402"/>
      <x:c r="L83" s="402"/>
      <x:c r="M83" s="402"/>
      <x:c r="N83" s="402"/>
      <x:c r="O83" s="402"/>
      <x:c r="P83" s="402"/>
      <x:c r="Q83" s="402"/>
      <x:c r="R83" s="402"/>
      <x:c r="S83" s="402"/>
      <x:c r="T83" s="402"/>
      <x:c r="U83" s="402"/>
      <x:c r="V83" s="402"/>
      <x:c r="W83" s="402"/>
      <x:c r="X83" s="402"/>
      <x:c r="Y83" s="402"/>
      <x:c r="Z83" s="402"/>
    </x:row>
    <x:row r="84">
      <x:c r="A84" s="402"/>
      <x:c r="B84" s="402"/>
      <x:c r="C84" s="402"/>
      <x:c r="D84" s="402"/>
      <x:c r="E84" s="402"/>
      <x:c r="F84" s="402"/>
      <x:c r="G84" s="402"/>
      <x:c r="H84" s="402"/>
      <x:c r="I84" s="402"/>
      <x:c r="J84" s="402"/>
      <x:c r="K84" s="402"/>
      <x:c r="L84" s="402"/>
      <x:c r="M84" s="402"/>
      <x:c r="N84" s="402"/>
      <x:c r="O84" s="402"/>
      <x:c r="P84" s="402"/>
      <x:c r="Q84" s="402"/>
      <x:c r="R84" s="402"/>
      <x:c r="S84" s="402"/>
      <x:c r="T84" s="402"/>
      <x:c r="U84" s="402"/>
      <x:c r="V84" s="402"/>
      <x:c r="W84" s="402"/>
      <x:c r="X84" s="402"/>
      <x:c r="Y84" s="402"/>
      <x:c r="Z84" s="402"/>
    </x:row>
    <x:row r="85">
      <x:c r="A85" s="402"/>
      <x:c r="B85" s="402"/>
      <x:c r="C85" s="402"/>
      <x:c r="D85" s="402"/>
      <x:c r="E85" s="402"/>
      <x:c r="F85" s="402"/>
      <x:c r="G85" s="402"/>
      <x:c r="H85" s="402"/>
      <x:c r="I85" s="402"/>
      <x:c r="J85" s="402"/>
      <x:c r="K85" s="402"/>
      <x:c r="L85" s="402"/>
      <x:c r="M85" s="402"/>
      <x:c r="N85" s="402"/>
      <x:c r="O85" s="402"/>
      <x:c r="P85" s="402"/>
      <x:c r="Q85" s="402"/>
      <x:c r="R85" s="402"/>
      <x:c r="S85" s="402"/>
      <x:c r="T85" s="402"/>
      <x:c r="U85" s="402"/>
      <x:c r="V85" s="402"/>
      <x:c r="W85" s="402"/>
      <x:c r="X85" s="402"/>
      <x:c r="Y85" s="402"/>
      <x:c r="Z85" s="402"/>
    </x:row>
    <x:row r="86">
      <x:c r="A86" s="402"/>
      <x:c r="B86" s="402"/>
      <x:c r="C86" s="402"/>
      <x:c r="D86" s="402"/>
      <x:c r="E86" s="402"/>
      <x:c r="F86" s="402"/>
      <x:c r="G86" s="402"/>
      <x:c r="H86" s="402"/>
      <x:c r="I86" s="402"/>
      <x:c r="J86" s="402"/>
      <x:c r="K86" s="402"/>
      <x:c r="L86" s="402"/>
      <x:c r="M86" s="402"/>
      <x:c r="N86" s="402"/>
      <x:c r="O86" s="402"/>
      <x:c r="P86" s="402"/>
      <x:c r="Q86" s="402"/>
      <x:c r="R86" s="402"/>
      <x:c r="S86" s="402"/>
      <x:c r="T86" s="402"/>
      <x:c r="U86" s="402"/>
      <x:c r="V86" s="402"/>
      <x:c r="W86" s="402"/>
      <x:c r="X86" s="402"/>
      <x:c r="Y86" s="402"/>
      <x:c r="Z86" s="402"/>
    </x:row>
    <x:row r="87">
      <x:c r="A87" s="402"/>
      <x:c r="B87" s="402"/>
      <x:c r="C87" s="402"/>
      <x:c r="D87" s="402"/>
      <x:c r="E87" s="402"/>
      <x:c r="F87" s="402"/>
      <x:c r="G87" s="402"/>
      <x:c r="H87" s="402"/>
      <x:c r="I87" s="402"/>
      <x:c r="J87" s="402"/>
      <x:c r="K87" s="402"/>
      <x:c r="L87" s="402"/>
      <x:c r="M87" s="402"/>
      <x:c r="N87" s="402"/>
      <x:c r="O87" s="402"/>
      <x:c r="P87" s="402"/>
      <x:c r="Q87" s="402"/>
      <x:c r="R87" s="402"/>
      <x:c r="S87" s="402"/>
      <x:c r="T87" s="402"/>
      <x:c r="U87" s="402"/>
      <x:c r="V87" s="402"/>
      <x:c r="W87" s="402"/>
      <x:c r="X87" s="402"/>
      <x:c r="Y87" s="402"/>
      <x:c r="Z87" s="402"/>
    </x:row>
    <x:row r="88">
      <x:c r="A88" s="402"/>
      <x:c r="B88" s="402"/>
      <x:c r="C88" s="402"/>
      <x:c r="D88" s="402"/>
      <x:c r="E88" s="402"/>
      <x:c r="F88" s="402"/>
      <x:c r="G88" s="402"/>
      <x:c r="H88" s="402"/>
      <x:c r="I88" s="402"/>
      <x:c r="J88" s="402"/>
      <x:c r="K88" s="402"/>
      <x:c r="L88" s="402"/>
      <x:c r="M88" s="402"/>
      <x:c r="N88" s="402"/>
      <x:c r="O88" s="402"/>
      <x:c r="P88" s="402"/>
      <x:c r="Q88" s="402"/>
      <x:c r="R88" s="402"/>
      <x:c r="S88" s="402"/>
      <x:c r="T88" s="402"/>
      <x:c r="U88" s="402"/>
      <x:c r="V88" s="402"/>
      <x:c r="W88" s="402"/>
      <x:c r="X88" s="402"/>
      <x:c r="Y88" s="402"/>
      <x:c r="Z88" s="402"/>
    </x:row>
    <x:row r="89">
      <x:c r="A89" s="402"/>
      <x:c r="B89" s="402"/>
      <x:c r="C89" s="402"/>
      <x:c r="D89" s="402"/>
      <x:c r="E89" s="402"/>
      <x:c r="F89" s="402"/>
      <x:c r="G89" s="402"/>
      <x:c r="H89" s="402"/>
      <x:c r="I89" s="402"/>
      <x:c r="J89" s="402"/>
      <x:c r="K89" s="402"/>
      <x:c r="L89" s="402"/>
      <x:c r="M89" s="402"/>
      <x:c r="N89" s="402"/>
      <x:c r="O89" s="402"/>
      <x:c r="P89" s="402"/>
      <x:c r="Q89" s="402"/>
      <x:c r="R89" s="402"/>
      <x:c r="S89" s="402"/>
      <x:c r="T89" s="402"/>
      <x:c r="U89" s="402"/>
      <x:c r="V89" s="402"/>
      <x:c r="W89" s="402"/>
      <x:c r="X89" s="402"/>
      <x:c r="Y89" s="402"/>
      <x:c r="Z89" s="402"/>
    </x:row>
    <x:row r="90">
      <x:c r="A90" s="402"/>
      <x:c r="B90" s="402"/>
      <x:c r="C90" s="402"/>
      <x:c r="D90" s="402"/>
      <x:c r="E90" s="402"/>
      <x:c r="F90" s="402"/>
      <x:c r="G90" s="402"/>
      <x:c r="H90" s="402"/>
      <x:c r="I90" s="402"/>
      <x:c r="J90" s="402"/>
      <x:c r="K90" s="402"/>
      <x:c r="L90" s="402"/>
      <x:c r="M90" s="402"/>
      <x:c r="N90" s="402"/>
      <x:c r="O90" s="402"/>
      <x:c r="P90" s="402"/>
      <x:c r="Q90" s="402"/>
      <x:c r="R90" s="402"/>
      <x:c r="S90" s="402"/>
      <x:c r="T90" s="402"/>
      <x:c r="U90" s="402"/>
      <x:c r="V90" s="402"/>
      <x:c r="W90" s="402"/>
      <x:c r="X90" s="402"/>
      <x:c r="Y90" s="402"/>
      <x:c r="Z90" s="402"/>
    </x:row>
    <x:row r="91">
      <x:c r="A91" s="402"/>
      <x:c r="B91" s="402"/>
      <x:c r="C91" s="402"/>
      <x:c r="D91" s="402"/>
      <x:c r="E91" s="402"/>
      <x:c r="F91" s="402"/>
      <x:c r="G91" s="402"/>
      <x:c r="H91" s="402"/>
      <x:c r="I91" s="402"/>
      <x:c r="J91" s="402"/>
      <x:c r="K91" s="402"/>
      <x:c r="L91" s="402"/>
      <x:c r="M91" s="402"/>
      <x:c r="N91" s="402"/>
      <x:c r="O91" s="402"/>
      <x:c r="P91" s="402"/>
      <x:c r="Q91" s="402"/>
      <x:c r="R91" s="402"/>
      <x:c r="S91" s="402"/>
      <x:c r="T91" s="402"/>
      <x:c r="U91" s="402"/>
      <x:c r="V91" s="402"/>
      <x:c r="W91" s="402"/>
      <x:c r="X91" s="402"/>
      <x:c r="Y91" s="402"/>
      <x:c r="Z91" s="402"/>
    </x:row>
    <x:row r="92">
      <x:c r="A92" s="402"/>
      <x:c r="B92" s="402"/>
      <x:c r="C92" s="402"/>
      <x:c r="D92" s="402"/>
      <x:c r="E92" s="402"/>
      <x:c r="F92" s="402"/>
      <x:c r="G92" s="402"/>
      <x:c r="H92" s="402"/>
      <x:c r="I92" s="402"/>
      <x:c r="J92" s="402"/>
      <x:c r="K92" s="402"/>
      <x:c r="L92" s="402"/>
      <x:c r="M92" s="402"/>
      <x:c r="N92" s="402"/>
      <x:c r="O92" s="402"/>
      <x:c r="P92" s="402"/>
      <x:c r="Q92" s="402"/>
      <x:c r="R92" s="402"/>
      <x:c r="S92" s="402"/>
      <x:c r="T92" s="402"/>
      <x:c r="U92" s="402"/>
      <x:c r="V92" s="402"/>
      <x:c r="W92" s="402"/>
      <x:c r="X92" s="402"/>
      <x:c r="Y92" s="402"/>
      <x:c r="Z92" s="402"/>
    </x:row>
    <x:row r="93">
      <x:c r="A93" s="402"/>
      <x:c r="B93" s="402"/>
      <x:c r="C93" s="402"/>
      <x:c r="D93" s="402"/>
      <x:c r="E93" s="402"/>
      <x:c r="F93" s="402"/>
      <x:c r="G93" s="402"/>
      <x:c r="H93" s="402"/>
      <x:c r="I93" s="402"/>
      <x:c r="J93" s="402"/>
      <x:c r="K93" s="402"/>
      <x:c r="L93" s="402"/>
      <x:c r="M93" s="402"/>
      <x:c r="N93" s="402"/>
      <x:c r="O93" s="402"/>
      <x:c r="P93" s="402"/>
      <x:c r="Q93" s="402"/>
      <x:c r="R93" s="402"/>
      <x:c r="S93" s="402"/>
      <x:c r="T93" s="402"/>
      <x:c r="U93" s="402"/>
      <x:c r="V93" s="402"/>
      <x:c r="W93" s="402"/>
      <x:c r="X93" s="402"/>
      <x:c r="Y93" s="402"/>
      <x:c r="Z93" s="402"/>
    </x:row>
    <x:row r="94">
      <x:c r="A94" s="402"/>
      <x:c r="B94" s="402"/>
      <x:c r="C94" s="402"/>
      <x:c r="D94" s="402"/>
      <x:c r="E94" s="402"/>
      <x:c r="F94" s="402"/>
      <x:c r="G94" s="402"/>
      <x:c r="H94" s="402"/>
      <x:c r="I94" s="402"/>
      <x:c r="J94" s="402"/>
      <x:c r="K94" s="402"/>
      <x:c r="L94" s="402"/>
      <x:c r="M94" s="402"/>
      <x:c r="N94" s="402"/>
      <x:c r="O94" s="402"/>
      <x:c r="P94" s="402"/>
      <x:c r="Q94" s="402"/>
      <x:c r="R94" s="402"/>
      <x:c r="S94" s="402"/>
      <x:c r="T94" s="402"/>
      <x:c r="U94" s="402"/>
      <x:c r="V94" s="402"/>
      <x:c r="W94" s="402"/>
      <x:c r="X94" s="402"/>
      <x:c r="Y94" s="402"/>
      <x:c r="Z94" s="402"/>
    </x:row>
    <x:row r="95">
      <x:c r="A95" s="402"/>
      <x:c r="B95" s="402"/>
      <x:c r="C95" s="402"/>
      <x:c r="D95" s="402"/>
      <x:c r="E95" s="402"/>
      <x:c r="F95" s="402"/>
      <x:c r="G95" s="402"/>
      <x:c r="H95" s="402"/>
      <x:c r="I95" s="402"/>
      <x:c r="J95" s="402"/>
      <x:c r="K95" s="402"/>
      <x:c r="L95" s="402"/>
      <x:c r="M95" s="402"/>
      <x:c r="N95" s="402"/>
      <x:c r="O95" s="402"/>
      <x:c r="P95" s="402"/>
      <x:c r="Q95" s="402"/>
      <x:c r="R95" s="402"/>
      <x:c r="S95" s="402"/>
      <x:c r="T95" s="402"/>
      <x:c r="U95" s="402"/>
      <x:c r="V95" s="402"/>
      <x:c r="W95" s="402"/>
      <x:c r="X95" s="402"/>
      <x:c r="Y95" s="402"/>
      <x:c r="Z95" s="402"/>
    </x:row>
    <x:row r="96">
      <x:c r="A96" s="402"/>
      <x:c r="B96" s="402"/>
      <x:c r="C96" s="402"/>
      <x:c r="D96" s="402"/>
      <x:c r="E96" s="402"/>
      <x:c r="F96" s="402"/>
      <x:c r="G96" s="402"/>
      <x:c r="H96" s="402"/>
      <x:c r="I96" s="402"/>
      <x:c r="J96" s="402"/>
      <x:c r="K96" s="402"/>
      <x:c r="L96" s="402"/>
      <x:c r="M96" s="402"/>
      <x:c r="N96" s="402"/>
      <x:c r="O96" s="402"/>
      <x:c r="P96" s="402"/>
      <x:c r="Q96" s="402"/>
      <x:c r="R96" s="402"/>
      <x:c r="S96" s="402"/>
      <x:c r="T96" s="402"/>
      <x:c r="U96" s="402"/>
      <x:c r="V96" s="402"/>
      <x:c r="W96" s="402"/>
      <x:c r="X96" s="402"/>
      <x:c r="Y96" s="402"/>
      <x:c r="Z96" s="402"/>
    </x:row>
    <x:row r="97">
      <x:c r="A97" s="402"/>
      <x:c r="B97" s="402"/>
      <x:c r="C97" s="402"/>
      <x:c r="D97" s="402"/>
      <x:c r="E97" s="402"/>
      <x:c r="F97" s="402"/>
      <x:c r="G97" s="402"/>
      <x:c r="H97" s="402"/>
      <x:c r="I97" s="402"/>
      <x:c r="J97" s="402"/>
      <x:c r="K97" s="402"/>
      <x:c r="L97" s="402"/>
      <x:c r="M97" s="402"/>
      <x:c r="N97" s="402"/>
      <x:c r="O97" s="402"/>
      <x:c r="P97" s="402"/>
      <x:c r="Q97" s="402"/>
      <x:c r="R97" s="402"/>
      <x:c r="S97" s="402"/>
      <x:c r="T97" s="402"/>
      <x:c r="U97" s="402"/>
      <x:c r="V97" s="402"/>
      <x:c r="W97" s="402"/>
      <x:c r="X97" s="402"/>
      <x:c r="Y97" s="402"/>
      <x:c r="Z97" s="402"/>
    </x:row>
    <x:row r="98">
      <x:c r="A98" s="402"/>
      <x:c r="B98" s="402"/>
      <x:c r="C98" s="402"/>
      <x:c r="D98" s="402"/>
      <x:c r="E98" s="402"/>
      <x:c r="F98" s="402"/>
      <x:c r="G98" s="402"/>
      <x:c r="H98" s="402"/>
      <x:c r="I98" s="402"/>
      <x:c r="J98" s="402"/>
      <x:c r="K98" s="402"/>
      <x:c r="L98" s="402"/>
      <x:c r="M98" s="402"/>
      <x:c r="N98" s="402"/>
      <x:c r="O98" s="402"/>
      <x:c r="P98" s="402"/>
      <x:c r="Q98" s="402"/>
      <x:c r="R98" s="402"/>
      <x:c r="S98" s="402"/>
      <x:c r="T98" s="402"/>
      <x:c r="U98" s="402"/>
      <x:c r="V98" s="402"/>
      <x:c r="W98" s="402"/>
      <x:c r="X98" s="402"/>
      <x:c r="Y98" s="402"/>
      <x:c r="Z98" s="402"/>
    </x:row>
    <x:row r="99">
      <x:c r="A99" s="402"/>
      <x:c r="B99" s="402"/>
      <x:c r="C99" s="402"/>
      <x:c r="D99" s="402"/>
      <x:c r="E99" s="402"/>
      <x:c r="F99" s="402"/>
      <x:c r="G99" s="402"/>
      <x:c r="H99" s="402"/>
      <x:c r="I99" s="402"/>
      <x:c r="J99" s="402"/>
      <x:c r="K99" s="402"/>
      <x:c r="L99" s="402"/>
      <x:c r="M99" s="402"/>
      <x:c r="N99" s="402"/>
      <x:c r="O99" s="402"/>
      <x:c r="P99" s="402"/>
      <x:c r="Q99" s="402"/>
      <x:c r="R99" s="402"/>
      <x:c r="S99" s="402"/>
      <x:c r="T99" s="402"/>
      <x:c r="U99" s="402"/>
      <x:c r="V99" s="402"/>
      <x:c r="W99" s="402"/>
      <x:c r="X99" s="402"/>
      <x:c r="Y99" s="402"/>
      <x:c r="Z99" s="402"/>
    </x:row>
    <x:row r="100">
      <x:c r="A100" s="402"/>
      <x:c r="B100" s="402"/>
      <x:c r="C100" s="402"/>
      <x:c r="D100" s="402"/>
      <x:c r="E100" s="402"/>
      <x:c r="F100" s="402"/>
      <x:c r="G100" s="402"/>
      <x:c r="H100" s="402"/>
      <x:c r="I100" s="402"/>
      <x:c r="J100" s="402"/>
      <x:c r="K100" s="402"/>
      <x:c r="L100" s="402"/>
      <x:c r="M100" s="402"/>
      <x:c r="N100" s="402"/>
      <x:c r="O100" s="402"/>
      <x:c r="P100" s="402"/>
      <x:c r="Q100" s="402"/>
      <x:c r="R100" s="402"/>
      <x:c r="S100" s="402"/>
      <x:c r="T100" s="402"/>
      <x:c r="U100" s="402"/>
      <x:c r="V100" s="402"/>
      <x:c r="W100" s="402"/>
      <x:c r="X100" s="402"/>
      <x:c r="Y100" s="402"/>
      <x:c r="Z100" s="402"/>
    </x:row>
    <x:row r="101">
      <x:c r="A101" s="402"/>
      <x:c r="B101" s="402"/>
      <x:c r="C101" s="402"/>
      <x:c r="D101" s="402"/>
      <x:c r="E101" s="402"/>
      <x:c r="F101" s="402"/>
      <x:c r="G101" s="402"/>
      <x:c r="H101" s="402"/>
      <x:c r="I101" s="402"/>
      <x:c r="J101" s="402"/>
      <x:c r="K101" s="402"/>
      <x:c r="L101" s="402"/>
      <x:c r="M101" s="402"/>
      <x:c r="N101" s="402"/>
      <x:c r="O101" s="402"/>
      <x:c r="P101" s="402"/>
      <x:c r="Q101" s="402"/>
      <x:c r="R101" s="402"/>
      <x:c r="S101" s="402"/>
      <x:c r="T101" s="402"/>
      <x:c r="U101" s="402"/>
      <x:c r="V101" s="402"/>
      <x:c r="W101" s="402"/>
      <x:c r="X101" s="402"/>
      <x:c r="Y101" s="402"/>
      <x:c r="Z101" s="402"/>
    </x:row>
    <x:row r="102">
      <x:c r="A102" s="402"/>
      <x:c r="B102" s="402"/>
      <x:c r="C102" s="402"/>
      <x:c r="D102" s="402"/>
      <x:c r="E102" s="402"/>
      <x:c r="F102" s="402"/>
      <x:c r="G102" s="402"/>
      <x:c r="H102" s="402"/>
      <x:c r="I102" s="402"/>
      <x:c r="J102" s="402"/>
      <x:c r="K102" s="402"/>
      <x:c r="L102" s="402"/>
      <x:c r="M102" s="402"/>
      <x:c r="N102" s="402"/>
      <x:c r="O102" s="402"/>
      <x:c r="P102" s="402"/>
      <x:c r="Q102" s="402"/>
      <x:c r="R102" s="402"/>
      <x:c r="S102" s="402"/>
      <x:c r="T102" s="402"/>
      <x:c r="U102" s="402"/>
      <x:c r="V102" s="402"/>
      <x:c r="W102" s="402"/>
      <x:c r="X102" s="402"/>
      <x:c r="Y102" s="402"/>
      <x:c r="Z102" s="402"/>
    </x:row>
    <x:row r="103">
      <x:c r="A103" s="402"/>
      <x:c r="B103" s="402"/>
      <x:c r="C103" s="402"/>
      <x:c r="D103" s="402"/>
      <x:c r="E103" s="402"/>
      <x:c r="F103" s="402"/>
      <x:c r="G103" s="402"/>
      <x:c r="H103" s="402"/>
      <x:c r="I103" s="402"/>
      <x:c r="J103" s="402"/>
      <x:c r="K103" s="402"/>
      <x:c r="L103" s="402"/>
      <x:c r="M103" s="402"/>
      <x:c r="N103" s="402"/>
      <x:c r="O103" s="402"/>
      <x:c r="P103" s="402"/>
      <x:c r="Q103" s="402"/>
      <x:c r="R103" s="402"/>
      <x:c r="S103" s="402"/>
      <x:c r="T103" s="402"/>
      <x:c r="U103" s="402"/>
      <x:c r="V103" s="402"/>
      <x:c r="W103" s="402"/>
      <x:c r="X103" s="402"/>
      <x:c r="Y103" s="402"/>
      <x:c r="Z103" s="402"/>
    </x:row>
    <x:row r="104">
      <x:c r="A104" s="402"/>
      <x:c r="B104" s="402"/>
      <x:c r="C104" s="402"/>
      <x:c r="D104" s="402"/>
      <x:c r="E104" s="402"/>
      <x:c r="F104" s="402"/>
      <x:c r="G104" s="402"/>
      <x:c r="H104" s="402"/>
      <x:c r="I104" s="402"/>
      <x:c r="J104" s="402"/>
      <x:c r="K104" s="402"/>
      <x:c r="L104" s="402"/>
      <x:c r="M104" s="402"/>
      <x:c r="N104" s="402"/>
      <x:c r="O104" s="402"/>
      <x:c r="P104" s="402"/>
      <x:c r="Q104" s="402"/>
      <x:c r="R104" s="402"/>
      <x:c r="S104" s="402"/>
      <x:c r="T104" s="402"/>
      <x:c r="U104" s="402"/>
      <x:c r="V104" s="402"/>
      <x:c r="W104" s="402"/>
      <x:c r="X104" s="402"/>
      <x:c r="Y104" s="402"/>
      <x:c r="Z104" s="402"/>
    </x:row>
    <x:row r="105">
      <x:c r="A105" s="402"/>
      <x:c r="B105" s="402"/>
      <x:c r="C105" s="402"/>
      <x:c r="D105" s="402"/>
      <x:c r="E105" s="402"/>
      <x:c r="F105" s="402"/>
      <x:c r="G105" s="402"/>
      <x:c r="H105" s="402"/>
      <x:c r="I105" s="402"/>
      <x:c r="J105" s="402"/>
      <x:c r="K105" s="402"/>
      <x:c r="L105" s="402"/>
      <x:c r="M105" s="402"/>
      <x:c r="N105" s="402"/>
      <x:c r="O105" s="402"/>
      <x:c r="P105" s="402"/>
      <x:c r="Q105" s="402"/>
      <x:c r="R105" s="402"/>
      <x:c r="S105" s="402"/>
      <x:c r="T105" s="402"/>
      <x:c r="U105" s="402"/>
      <x:c r="V105" s="402"/>
      <x:c r="W105" s="402"/>
      <x:c r="X105" s="402"/>
      <x:c r="Y105" s="402"/>
      <x:c r="Z105" s="402"/>
    </x:row>
    <x:row r="106">
      <x:c r="A106" s="402"/>
      <x:c r="B106" s="402"/>
      <x:c r="C106" s="402"/>
      <x:c r="D106" s="402"/>
      <x:c r="E106" s="402"/>
      <x:c r="F106" s="402"/>
      <x:c r="G106" s="402"/>
      <x:c r="H106" s="402"/>
      <x:c r="I106" s="402"/>
      <x:c r="J106" s="402"/>
      <x:c r="K106" s="402"/>
      <x:c r="L106" s="402"/>
      <x:c r="M106" s="402"/>
      <x:c r="N106" s="402"/>
      <x:c r="O106" s="402"/>
      <x:c r="P106" s="402"/>
      <x:c r="Q106" s="402"/>
      <x:c r="R106" s="402"/>
      <x:c r="S106" s="402"/>
      <x:c r="T106" s="402"/>
      <x:c r="U106" s="402"/>
      <x:c r="V106" s="402"/>
      <x:c r="W106" s="402"/>
      <x:c r="X106" s="402"/>
      <x:c r="Y106" s="402"/>
      <x:c r="Z106" s="402"/>
    </x:row>
    <x:row r="107">
      <x:c r="A107" s="402"/>
      <x:c r="B107" s="402"/>
      <x:c r="C107" s="402"/>
      <x:c r="D107" s="402"/>
      <x:c r="E107" s="402"/>
      <x:c r="F107" s="402"/>
      <x:c r="G107" s="402"/>
      <x:c r="H107" s="402"/>
      <x:c r="I107" s="402"/>
      <x:c r="J107" s="402"/>
      <x:c r="K107" s="402"/>
      <x:c r="L107" s="402"/>
      <x:c r="M107" s="402"/>
      <x:c r="N107" s="402"/>
      <x:c r="O107" s="402"/>
      <x:c r="P107" s="402"/>
      <x:c r="Q107" s="402"/>
      <x:c r="R107" s="402"/>
      <x:c r="S107" s="402"/>
      <x:c r="T107" s="402"/>
      <x:c r="U107" s="402"/>
      <x:c r="V107" s="402"/>
      <x:c r="W107" s="402"/>
      <x:c r="X107" s="402"/>
      <x:c r="Y107" s="402"/>
      <x:c r="Z107" s="402"/>
    </x:row>
    <x:row r="108">
      <x:c r="A108" s="402"/>
      <x:c r="B108" s="402"/>
      <x:c r="C108" s="402"/>
      <x:c r="D108" s="402"/>
      <x:c r="E108" s="402"/>
      <x:c r="F108" s="402"/>
      <x:c r="G108" s="402"/>
      <x:c r="H108" s="402"/>
      <x:c r="I108" s="402"/>
      <x:c r="J108" s="402"/>
      <x:c r="K108" s="402"/>
      <x:c r="L108" s="402"/>
      <x:c r="M108" s="402"/>
      <x:c r="N108" s="402"/>
      <x:c r="O108" s="402"/>
      <x:c r="P108" s="402"/>
      <x:c r="Q108" s="402"/>
      <x:c r="R108" s="402"/>
      <x:c r="S108" s="402"/>
      <x:c r="T108" s="402"/>
      <x:c r="U108" s="402"/>
      <x:c r="V108" s="402"/>
      <x:c r="W108" s="402"/>
      <x:c r="X108" s="402"/>
      <x:c r="Y108" s="402"/>
      <x:c r="Z108" s="402"/>
    </x:row>
    <x:row r="109">
      <x:c r="A109" s="402"/>
      <x:c r="B109" s="402"/>
      <x:c r="C109" s="402"/>
      <x:c r="D109" s="402"/>
      <x:c r="E109" s="402"/>
      <x:c r="F109" s="402"/>
      <x:c r="G109" s="402"/>
      <x:c r="H109" s="402"/>
      <x:c r="I109" s="402"/>
      <x:c r="J109" s="402"/>
      <x:c r="K109" s="402"/>
      <x:c r="L109" s="402"/>
      <x:c r="M109" s="402"/>
      <x:c r="N109" s="402"/>
      <x:c r="O109" s="402"/>
      <x:c r="P109" s="402"/>
      <x:c r="Q109" s="402"/>
      <x:c r="R109" s="402"/>
      <x:c r="S109" s="402"/>
      <x:c r="T109" s="402"/>
      <x:c r="U109" s="402"/>
      <x:c r="V109" s="402"/>
      <x:c r="W109" s="402"/>
      <x:c r="X109" s="402"/>
      <x:c r="Y109" s="402"/>
      <x:c r="Z109" s="402"/>
    </x:row>
    <x:row r="110">
      <x:c r="A110" s="402"/>
      <x:c r="B110" s="402"/>
      <x:c r="C110" s="402"/>
      <x:c r="D110" s="402"/>
      <x:c r="E110" s="402"/>
      <x:c r="F110" s="402"/>
      <x:c r="G110" s="402"/>
      <x:c r="H110" s="402"/>
      <x:c r="I110" s="402"/>
      <x:c r="J110" s="402"/>
      <x:c r="K110" s="402"/>
      <x:c r="L110" s="402"/>
      <x:c r="M110" s="402"/>
      <x:c r="N110" s="402"/>
      <x:c r="O110" s="402"/>
      <x:c r="P110" s="402"/>
      <x:c r="Q110" s="402"/>
      <x:c r="R110" s="402"/>
      <x:c r="S110" s="402"/>
      <x:c r="T110" s="402"/>
      <x:c r="U110" s="402"/>
      <x:c r="V110" s="402"/>
      <x:c r="W110" s="402"/>
      <x:c r="X110" s="402"/>
      <x:c r="Y110" s="402"/>
      <x:c r="Z110" s="402"/>
    </x:row>
    <x:row r="111">
      <x:c r="A111" s="402"/>
      <x:c r="B111" s="402"/>
      <x:c r="C111" s="402"/>
      <x:c r="D111" s="402"/>
      <x:c r="E111" s="402"/>
      <x:c r="F111" s="402"/>
      <x:c r="G111" s="402"/>
      <x:c r="H111" s="402"/>
      <x:c r="I111" s="402"/>
      <x:c r="J111" s="402"/>
      <x:c r="K111" s="402"/>
      <x:c r="L111" s="402"/>
      <x:c r="M111" s="402"/>
      <x:c r="N111" s="402"/>
      <x:c r="O111" s="402"/>
      <x:c r="P111" s="402"/>
      <x:c r="Q111" s="402"/>
      <x:c r="R111" s="402"/>
      <x:c r="S111" s="402"/>
      <x:c r="T111" s="402"/>
      <x:c r="U111" s="402"/>
      <x:c r="V111" s="402"/>
      <x:c r="W111" s="402"/>
      <x:c r="X111" s="402"/>
      <x:c r="Y111" s="402"/>
      <x:c r="Z111" s="402"/>
    </x:row>
    <x:row r="112">
      <x:c r="A112" s="402"/>
      <x:c r="B112" s="402"/>
      <x:c r="C112" s="402"/>
      <x:c r="D112" s="402"/>
      <x:c r="E112" s="402"/>
      <x:c r="F112" s="402"/>
      <x:c r="G112" s="402"/>
      <x:c r="H112" s="402"/>
      <x:c r="I112" s="402"/>
      <x:c r="J112" s="402"/>
      <x:c r="K112" s="402"/>
      <x:c r="L112" s="402"/>
      <x:c r="M112" s="402"/>
      <x:c r="N112" s="402"/>
      <x:c r="O112" s="402"/>
      <x:c r="P112" s="402"/>
      <x:c r="Q112" s="402"/>
      <x:c r="R112" s="402"/>
      <x:c r="S112" s="402"/>
      <x:c r="T112" s="402"/>
      <x:c r="U112" s="402"/>
      <x:c r="V112" s="402"/>
      <x:c r="W112" s="402"/>
      <x:c r="X112" s="402"/>
      <x:c r="Y112" s="402"/>
      <x:c r="Z112" s="402"/>
    </x:row>
    <x:row r="113">
      <x:c r="A113" s="402"/>
      <x:c r="B113" s="402"/>
      <x:c r="C113" s="402"/>
      <x:c r="D113" s="402"/>
      <x:c r="E113" s="402"/>
      <x:c r="F113" s="402"/>
      <x:c r="G113" s="402"/>
      <x:c r="H113" s="402"/>
      <x:c r="I113" s="402"/>
      <x:c r="J113" s="402"/>
      <x:c r="K113" s="402"/>
      <x:c r="L113" s="402"/>
      <x:c r="M113" s="402"/>
      <x:c r="N113" s="402"/>
      <x:c r="O113" s="402"/>
      <x:c r="P113" s="402"/>
      <x:c r="Q113" s="402"/>
      <x:c r="R113" s="402"/>
      <x:c r="S113" s="402"/>
      <x:c r="T113" s="402"/>
      <x:c r="U113" s="402"/>
      <x:c r="V113" s="402"/>
      <x:c r="W113" s="402"/>
      <x:c r="X113" s="402"/>
      <x:c r="Y113" s="402"/>
      <x:c r="Z113" s="402"/>
    </x:row>
    <x:row r="114">
      <x:c r="A114" s="402"/>
      <x:c r="B114" s="402"/>
      <x:c r="C114" s="402"/>
      <x:c r="D114" s="402"/>
      <x:c r="E114" s="402"/>
      <x:c r="F114" s="402"/>
      <x:c r="G114" s="402"/>
      <x:c r="H114" s="402"/>
      <x:c r="I114" s="402"/>
      <x:c r="J114" s="402"/>
      <x:c r="K114" s="402"/>
      <x:c r="L114" s="402"/>
      <x:c r="M114" s="402"/>
      <x:c r="N114" s="402"/>
      <x:c r="O114" s="402"/>
      <x:c r="P114" s="402"/>
      <x:c r="Q114" s="402"/>
      <x:c r="R114" s="402"/>
      <x:c r="S114" s="402"/>
      <x:c r="T114" s="402"/>
      <x:c r="U114" s="402"/>
      <x:c r="V114" s="402"/>
      <x:c r="W114" s="402"/>
      <x:c r="X114" s="402"/>
      <x:c r="Y114" s="402"/>
      <x:c r="Z114" s="402"/>
    </x:row>
    <x:row r="115">
      <x:c r="A115" s="402"/>
      <x:c r="B115" s="402"/>
      <x:c r="C115" s="402"/>
      <x:c r="D115" s="402"/>
      <x:c r="E115" s="402"/>
      <x:c r="F115" s="402"/>
      <x:c r="G115" s="402"/>
      <x:c r="H115" s="402"/>
      <x:c r="I115" s="402"/>
      <x:c r="J115" s="402"/>
      <x:c r="K115" s="402"/>
      <x:c r="L115" s="402"/>
      <x:c r="M115" s="402"/>
      <x:c r="N115" s="402"/>
      <x:c r="O115" s="402"/>
      <x:c r="P115" s="402"/>
      <x:c r="Q115" s="402"/>
      <x:c r="R115" s="402"/>
      <x:c r="S115" s="402"/>
      <x:c r="T115" s="402"/>
      <x:c r="U115" s="402"/>
      <x:c r="V115" s="402"/>
      <x:c r="W115" s="402"/>
      <x:c r="X115" s="402"/>
      <x:c r="Y115" s="402"/>
      <x:c r="Z115" s="402"/>
    </x:row>
    <x:row r="116">
      <x:c r="A116" s="402"/>
      <x:c r="B116" s="402"/>
      <x:c r="C116" s="402"/>
      <x:c r="D116" s="402"/>
      <x:c r="E116" s="402"/>
      <x:c r="F116" s="402"/>
      <x:c r="G116" s="402"/>
      <x:c r="H116" s="402"/>
      <x:c r="I116" s="402"/>
      <x:c r="J116" s="402"/>
      <x:c r="K116" s="402"/>
      <x:c r="L116" s="402"/>
      <x:c r="M116" s="402"/>
      <x:c r="N116" s="402"/>
      <x:c r="O116" s="402"/>
      <x:c r="P116" s="402"/>
      <x:c r="Q116" s="402"/>
      <x:c r="R116" s="402"/>
      <x:c r="S116" s="402"/>
      <x:c r="T116" s="402"/>
      <x:c r="U116" s="402"/>
      <x:c r="V116" s="402"/>
      <x:c r="W116" s="402"/>
      <x:c r="X116" s="402"/>
      <x:c r="Y116" s="402"/>
      <x:c r="Z116" s="402"/>
    </x:row>
    <x:row r="117">
      <x:c r="A117" s="402"/>
      <x:c r="B117" s="402"/>
      <x:c r="C117" s="402"/>
      <x:c r="D117" s="402"/>
      <x:c r="E117" s="402"/>
      <x:c r="F117" s="402"/>
      <x:c r="G117" s="402"/>
      <x:c r="H117" s="402"/>
      <x:c r="I117" s="402"/>
      <x:c r="J117" s="402"/>
      <x:c r="K117" s="402"/>
      <x:c r="L117" s="402"/>
      <x:c r="M117" s="402"/>
      <x:c r="N117" s="402"/>
      <x:c r="O117" s="402"/>
      <x:c r="P117" s="402"/>
      <x:c r="Q117" s="402"/>
      <x:c r="R117" s="402"/>
      <x:c r="S117" s="402"/>
      <x:c r="T117" s="402"/>
      <x:c r="U117" s="402"/>
      <x:c r="V117" s="402"/>
      <x:c r="W117" s="402"/>
      <x:c r="X117" s="402"/>
      <x:c r="Y117" s="402"/>
      <x:c r="Z117" s="402"/>
    </x:row>
    <x:row r="118">
      <x:c r="A118" s="402"/>
      <x:c r="B118" s="402"/>
      <x:c r="C118" s="402"/>
      <x:c r="D118" s="402"/>
      <x:c r="E118" s="402"/>
      <x:c r="F118" s="402"/>
      <x:c r="G118" s="402"/>
      <x:c r="H118" s="402"/>
      <x:c r="I118" s="402"/>
      <x:c r="J118" s="402"/>
      <x:c r="K118" s="402"/>
      <x:c r="L118" s="402"/>
      <x:c r="M118" s="402"/>
      <x:c r="N118" s="402"/>
      <x:c r="O118" s="402"/>
      <x:c r="P118" s="402"/>
      <x:c r="Q118" s="402"/>
      <x:c r="R118" s="402"/>
      <x:c r="S118" s="402"/>
      <x:c r="T118" s="402"/>
      <x:c r="U118" s="402"/>
      <x:c r="V118" s="402"/>
      <x:c r="W118" s="402"/>
      <x:c r="X118" s="402"/>
      <x:c r="Y118" s="402"/>
      <x:c r="Z118" s="402"/>
    </x:row>
    <x:row r="119">
      <x:c r="A119" s="402"/>
      <x:c r="B119" s="402"/>
      <x:c r="C119" s="402"/>
      <x:c r="D119" s="402"/>
      <x:c r="E119" s="402"/>
      <x:c r="F119" s="402"/>
      <x:c r="G119" s="402"/>
      <x:c r="H119" s="402"/>
      <x:c r="I119" s="402"/>
      <x:c r="J119" s="402"/>
      <x:c r="K119" s="402"/>
      <x:c r="L119" s="402"/>
      <x:c r="M119" s="402"/>
      <x:c r="N119" s="402"/>
      <x:c r="O119" s="402"/>
      <x:c r="P119" s="402"/>
      <x:c r="Q119" s="402"/>
      <x:c r="R119" s="402"/>
      <x:c r="S119" s="402"/>
      <x:c r="T119" s="402"/>
      <x:c r="U119" s="402"/>
      <x:c r="V119" s="402"/>
      <x:c r="W119" s="402"/>
      <x:c r="X119" s="402"/>
      <x:c r="Y119" s="402"/>
      <x:c r="Z119" s="402"/>
    </x:row>
    <x:row r="120">
      <x:c r="A120" s="402"/>
      <x:c r="B120" s="402"/>
      <x:c r="C120" s="402"/>
      <x:c r="D120" s="402"/>
      <x:c r="E120" s="402"/>
      <x:c r="F120" s="402"/>
      <x:c r="G120" s="402"/>
      <x:c r="H120" s="402"/>
      <x:c r="I120" s="402"/>
      <x:c r="J120" s="402"/>
      <x:c r="K120" s="402"/>
      <x:c r="L120" s="402"/>
      <x:c r="M120" s="402"/>
      <x:c r="N120" s="402"/>
      <x:c r="O120" s="402"/>
      <x:c r="P120" s="402"/>
      <x:c r="Q120" s="402"/>
      <x:c r="R120" s="402"/>
      <x:c r="S120" s="402"/>
      <x:c r="T120" s="402"/>
      <x:c r="U120" s="402"/>
      <x:c r="V120" s="402"/>
      <x:c r="W120" s="402"/>
      <x:c r="X120" s="402"/>
      <x:c r="Y120" s="402"/>
      <x:c r="Z120" s="402"/>
    </x:row>
    <x:row r="121">
      <x:c r="A121" s="402"/>
      <x:c r="B121" s="402"/>
      <x:c r="C121" s="402"/>
      <x:c r="D121" s="402"/>
      <x:c r="E121" s="402"/>
      <x:c r="F121" s="402"/>
      <x:c r="G121" s="402"/>
      <x:c r="H121" s="402"/>
      <x:c r="I121" s="402"/>
      <x:c r="J121" s="402"/>
      <x:c r="K121" s="402"/>
      <x:c r="L121" s="402"/>
      <x:c r="M121" s="402"/>
      <x:c r="N121" s="402"/>
      <x:c r="O121" s="402"/>
      <x:c r="P121" s="402"/>
      <x:c r="Q121" s="402"/>
      <x:c r="R121" s="402"/>
      <x:c r="S121" s="402"/>
      <x:c r="T121" s="402"/>
      <x:c r="U121" s="402"/>
      <x:c r="V121" s="402"/>
      <x:c r="W121" s="402"/>
      <x:c r="X121" s="402"/>
      <x:c r="Y121" s="402"/>
      <x:c r="Z121" s="402"/>
    </x:row>
    <x:row r="122">
      <x:c r="A122" s="402"/>
      <x:c r="B122" s="402"/>
      <x:c r="C122" s="402"/>
      <x:c r="D122" s="402"/>
      <x:c r="E122" s="402"/>
      <x:c r="F122" s="402"/>
      <x:c r="G122" s="402"/>
      <x:c r="H122" s="402"/>
      <x:c r="I122" s="402"/>
      <x:c r="J122" s="402"/>
      <x:c r="K122" s="402"/>
      <x:c r="L122" s="402"/>
      <x:c r="M122" s="402"/>
      <x:c r="N122" s="402"/>
      <x:c r="O122" s="402"/>
      <x:c r="P122" s="402"/>
      <x:c r="Q122" s="402"/>
      <x:c r="R122" s="402"/>
      <x:c r="S122" s="402"/>
      <x:c r="T122" s="402"/>
      <x:c r="U122" s="402"/>
      <x:c r="V122" s="402"/>
      <x:c r="W122" s="402"/>
      <x:c r="X122" s="402"/>
      <x:c r="Y122" s="402"/>
      <x:c r="Z122" s="402"/>
    </x:row>
    <x:row r="123">
      <x:c r="A123" s="402"/>
      <x:c r="B123" s="402"/>
      <x:c r="C123" s="402"/>
      <x:c r="D123" s="402"/>
      <x:c r="E123" s="402"/>
      <x:c r="F123" s="402"/>
      <x:c r="G123" s="402"/>
      <x:c r="H123" s="402"/>
      <x:c r="I123" s="402"/>
      <x:c r="J123" s="402"/>
      <x:c r="K123" s="402"/>
      <x:c r="L123" s="402"/>
      <x:c r="M123" s="402"/>
      <x:c r="N123" s="402"/>
      <x:c r="O123" s="402"/>
      <x:c r="P123" s="402"/>
      <x:c r="Q123" s="402"/>
      <x:c r="R123" s="402"/>
      <x:c r="S123" s="402"/>
      <x:c r="T123" s="402"/>
      <x:c r="U123" s="402"/>
      <x:c r="V123" s="402"/>
      <x:c r="W123" s="402"/>
      <x:c r="X123" s="402"/>
      <x:c r="Y123" s="402"/>
      <x:c r="Z123" s="402"/>
    </x:row>
    <x:row r="124">
      <x:c r="A124" s="402"/>
      <x:c r="B124" s="402"/>
      <x:c r="C124" s="402"/>
      <x:c r="D124" s="402"/>
      <x:c r="E124" s="402"/>
      <x:c r="F124" s="402"/>
      <x:c r="G124" s="402"/>
      <x:c r="H124" s="402"/>
      <x:c r="I124" s="402"/>
      <x:c r="J124" s="402"/>
      <x:c r="K124" s="402"/>
      <x:c r="L124" s="402"/>
      <x:c r="M124" s="402"/>
      <x:c r="N124" s="402"/>
      <x:c r="O124" s="402"/>
      <x:c r="P124" s="402"/>
      <x:c r="Q124" s="402"/>
      <x:c r="R124" s="402"/>
      <x:c r="S124" s="402"/>
      <x:c r="T124" s="402"/>
      <x:c r="U124" s="402"/>
      <x:c r="V124" s="402"/>
      <x:c r="W124" s="402"/>
      <x:c r="X124" s="402"/>
      <x:c r="Y124" s="402"/>
      <x:c r="Z124" s="402"/>
    </x:row>
    <x:row r="125">
      <x:c r="A125" s="402"/>
      <x:c r="B125" s="402"/>
      <x:c r="C125" s="402"/>
      <x:c r="D125" s="402"/>
      <x:c r="E125" s="402"/>
      <x:c r="F125" s="402"/>
      <x:c r="G125" s="402"/>
      <x:c r="H125" s="402"/>
      <x:c r="I125" s="402"/>
      <x:c r="J125" s="402"/>
      <x:c r="K125" s="402"/>
      <x:c r="L125" s="402"/>
      <x:c r="M125" s="402"/>
      <x:c r="N125" s="402"/>
      <x:c r="O125" s="402"/>
      <x:c r="P125" s="402"/>
      <x:c r="Q125" s="402"/>
      <x:c r="R125" s="402"/>
      <x:c r="S125" s="402"/>
      <x:c r="T125" s="402"/>
      <x:c r="U125" s="402"/>
      <x:c r="V125" s="402"/>
      <x:c r="W125" s="402"/>
      <x:c r="X125" s="402"/>
      <x:c r="Y125" s="402"/>
      <x:c r="Z125" s="402"/>
    </x:row>
    <x:row r="126">
      <x:c r="A126" s="402"/>
      <x:c r="B126" s="402"/>
      <x:c r="C126" s="402"/>
      <x:c r="D126" s="402"/>
      <x:c r="E126" s="402"/>
      <x:c r="F126" s="402"/>
      <x:c r="G126" s="402"/>
      <x:c r="H126" s="402"/>
      <x:c r="I126" s="402"/>
      <x:c r="J126" s="402"/>
      <x:c r="K126" s="402"/>
      <x:c r="L126" s="402"/>
      <x:c r="M126" s="402"/>
      <x:c r="N126" s="402"/>
      <x:c r="O126" s="402"/>
      <x:c r="P126" s="402"/>
      <x:c r="Q126" s="402"/>
      <x:c r="R126" s="402"/>
      <x:c r="S126" s="402"/>
      <x:c r="T126" s="402"/>
      <x:c r="U126" s="402"/>
      <x:c r="V126" s="402"/>
      <x:c r="W126" s="402"/>
      <x:c r="X126" s="402"/>
      <x:c r="Y126" s="402"/>
      <x:c r="Z126" s="402"/>
    </x:row>
    <x:row r="127">
      <x:c r="A127" s="402"/>
      <x:c r="B127" s="402"/>
      <x:c r="C127" s="402"/>
      <x:c r="D127" s="402"/>
      <x:c r="E127" s="402"/>
      <x:c r="F127" s="402"/>
      <x:c r="G127" s="402"/>
      <x:c r="H127" s="402"/>
      <x:c r="I127" s="402"/>
      <x:c r="J127" s="402"/>
      <x:c r="K127" s="402"/>
      <x:c r="L127" s="402"/>
      <x:c r="M127" s="402"/>
      <x:c r="N127" s="402"/>
      <x:c r="O127" s="402"/>
      <x:c r="P127" s="402"/>
      <x:c r="Q127" s="402"/>
      <x:c r="R127" s="402"/>
      <x:c r="S127" s="402"/>
      <x:c r="T127" s="402"/>
      <x:c r="U127" s="402"/>
      <x:c r="V127" s="402"/>
      <x:c r="W127" s="402"/>
      <x:c r="X127" s="402"/>
      <x:c r="Y127" s="402"/>
      <x:c r="Z127" s="402"/>
    </x:row>
    <x:row r="128">
      <x:c r="A128" s="402"/>
      <x:c r="B128" s="402"/>
      <x:c r="C128" s="402"/>
      <x:c r="D128" s="402"/>
      <x:c r="E128" s="402"/>
      <x:c r="F128" s="402"/>
      <x:c r="G128" s="402"/>
      <x:c r="H128" s="402"/>
      <x:c r="I128" s="402"/>
      <x:c r="J128" s="402"/>
      <x:c r="K128" s="402"/>
      <x:c r="L128" s="402"/>
      <x:c r="M128" s="402"/>
      <x:c r="N128" s="402"/>
      <x:c r="O128" s="402"/>
      <x:c r="P128" s="402"/>
      <x:c r="Q128" s="402"/>
      <x:c r="R128" s="402"/>
      <x:c r="S128" s="402"/>
      <x:c r="T128" s="402"/>
      <x:c r="U128" s="402"/>
      <x:c r="V128" s="402"/>
      <x:c r="W128" s="402"/>
      <x:c r="X128" s="402"/>
      <x:c r="Y128" s="402"/>
      <x:c r="Z128" s="402"/>
    </x:row>
    <x:row r="129">
      <x:c r="A129" s="402"/>
      <x:c r="B129" s="402"/>
      <x:c r="C129" s="402"/>
      <x:c r="D129" s="402"/>
      <x:c r="E129" s="402"/>
      <x:c r="F129" s="402"/>
      <x:c r="G129" s="402"/>
      <x:c r="H129" s="402"/>
      <x:c r="I129" s="402"/>
      <x:c r="J129" s="402"/>
      <x:c r="K129" s="402"/>
      <x:c r="L129" s="402"/>
      <x:c r="M129" s="402"/>
      <x:c r="N129" s="402"/>
      <x:c r="O129" s="402"/>
      <x:c r="P129" s="402"/>
      <x:c r="Q129" s="402"/>
      <x:c r="R129" s="402"/>
      <x:c r="S129" s="402"/>
      <x:c r="T129" s="402"/>
      <x:c r="U129" s="402"/>
      <x:c r="V129" s="402"/>
      <x:c r="W129" s="402"/>
      <x:c r="X129" s="402"/>
      <x:c r="Y129" s="402"/>
      <x:c r="Z129" s="402"/>
    </x:row>
    <x:row r="130">
      <x:c r="A130" s="402"/>
      <x:c r="B130" s="402"/>
      <x:c r="C130" s="402"/>
      <x:c r="D130" s="402"/>
      <x:c r="E130" s="402"/>
      <x:c r="F130" s="402"/>
      <x:c r="G130" s="402"/>
      <x:c r="H130" s="402"/>
      <x:c r="I130" s="402"/>
      <x:c r="J130" s="402"/>
      <x:c r="K130" s="402"/>
      <x:c r="L130" s="402"/>
      <x:c r="M130" s="402"/>
      <x:c r="N130" s="402"/>
      <x:c r="O130" s="402"/>
      <x:c r="P130" s="402"/>
      <x:c r="Q130" s="402"/>
      <x:c r="R130" s="402"/>
      <x:c r="S130" s="402"/>
      <x:c r="T130" s="402"/>
      <x:c r="U130" s="402"/>
      <x:c r="V130" s="402"/>
      <x:c r="W130" s="402"/>
      <x:c r="X130" s="402"/>
      <x:c r="Y130" s="402"/>
      <x:c r="Z130" s="402"/>
    </x:row>
    <x:row r="131">
      <x:c r="A131" s="402"/>
      <x:c r="B131" s="402"/>
      <x:c r="C131" s="402"/>
      <x:c r="D131" s="402"/>
      <x:c r="E131" s="402"/>
      <x:c r="F131" s="402"/>
      <x:c r="G131" s="402"/>
      <x:c r="H131" s="402"/>
      <x:c r="I131" s="402"/>
      <x:c r="J131" s="402"/>
      <x:c r="K131" s="402"/>
      <x:c r="L131" s="402"/>
      <x:c r="M131" s="402"/>
      <x:c r="N131" s="402"/>
      <x:c r="O131" s="402"/>
      <x:c r="P131" s="402"/>
      <x:c r="Q131" s="402"/>
      <x:c r="R131" s="402"/>
      <x:c r="S131" s="402"/>
      <x:c r="T131" s="402"/>
      <x:c r="U131" s="402"/>
      <x:c r="V131" s="402"/>
      <x:c r="W131" s="402"/>
      <x:c r="X131" s="402"/>
      <x:c r="Y131" s="402"/>
      <x:c r="Z131" s="402"/>
    </x:row>
    <x:row r="132">
      <x:c r="A132" s="402"/>
      <x:c r="B132" s="402"/>
      <x:c r="C132" s="402"/>
      <x:c r="D132" s="402"/>
      <x:c r="E132" s="402"/>
      <x:c r="F132" s="402"/>
      <x:c r="G132" s="402"/>
      <x:c r="H132" s="402"/>
      <x:c r="I132" s="402"/>
      <x:c r="J132" s="402"/>
      <x:c r="K132" s="402"/>
      <x:c r="L132" s="402"/>
      <x:c r="M132" s="402"/>
      <x:c r="N132" s="402"/>
      <x:c r="O132" s="402"/>
      <x:c r="P132" s="402"/>
      <x:c r="Q132" s="402"/>
      <x:c r="R132" s="402"/>
      <x:c r="S132" s="402"/>
      <x:c r="T132" s="402"/>
      <x:c r="U132" s="402"/>
      <x:c r="V132" s="402"/>
      <x:c r="W132" s="402"/>
      <x:c r="X132" s="402"/>
      <x:c r="Y132" s="402"/>
      <x:c r="Z132" s="402"/>
    </x:row>
    <x:row r="133">
      <x:c r="A133" s="402"/>
      <x:c r="B133" s="402"/>
      <x:c r="C133" s="402"/>
      <x:c r="D133" s="402"/>
      <x:c r="E133" s="402"/>
      <x:c r="F133" s="402"/>
      <x:c r="G133" s="402"/>
      <x:c r="H133" s="402"/>
      <x:c r="I133" s="402"/>
      <x:c r="J133" s="402"/>
      <x:c r="K133" s="402"/>
      <x:c r="L133" s="402"/>
      <x:c r="M133" s="402"/>
      <x:c r="N133" s="402"/>
      <x:c r="O133" s="402"/>
      <x:c r="P133" s="402"/>
      <x:c r="Q133" s="402"/>
      <x:c r="R133" s="402"/>
      <x:c r="S133" s="402"/>
      <x:c r="T133" s="402"/>
      <x:c r="U133" s="402"/>
      <x:c r="V133" s="402"/>
      <x:c r="W133" s="402"/>
      <x:c r="X133" s="402"/>
      <x:c r="Y133" s="402"/>
      <x:c r="Z133" s="402"/>
    </x:row>
    <x:row r="134">
      <x:c r="A134" s="402"/>
      <x:c r="B134" s="402"/>
      <x:c r="C134" s="402"/>
      <x:c r="D134" s="402"/>
      <x:c r="E134" s="402"/>
      <x:c r="F134" s="402"/>
      <x:c r="G134" s="402"/>
      <x:c r="H134" s="402"/>
      <x:c r="I134" s="402"/>
      <x:c r="J134" s="402"/>
      <x:c r="K134" s="402"/>
      <x:c r="L134" s="402"/>
      <x:c r="M134" s="402"/>
      <x:c r="N134" s="402"/>
      <x:c r="O134" s="402"/>
      <x:c r="P134" s="402"/>
      <x:c r="Q134" s="402"/>
      <x:c r="R134" s="402"/>
      <x:c r="S134" s="402"/>
      <x:c r="T134" s="402"/>
      <x:c r="U134" s="402"/>
      <x:c r="V134" s="402"/>
      <x:c r="W134" s="402"/>
      <x:c r="X134" s="402"/>
      <x:c r="Y134" s="402"/>
      <x:c r="Z134" s="402"/>
    </x:row>
    <x:row r="135">
      <x:c r="A135" s="402"/>
      <x:c r="B135" s="402"/>
      <x:c r="C135" s="402"/>
      <x:c r="D135" s="402"/>
      <x:c r="E135" s="402"/>
      <x:c r="F135" s="402"/>
      <x:c r="G135" s="402"/>
      <x:c r="H135" s="402"/>
      <x:c r="I135" s="402"/>
      <x:c r="J135" s="402"/>
      <x:c r="K135" s="402"/>
      <x:c r="L135" s="402"/>
      <x:c r="M135" s="402"/>
      <x:c r="N135" s="402"/>
      <x:c r="O135" s="402"/>
      <x:c r="P135" s="402"/>
      <x:c r="Q135" s="402"/>
      <x:c r="R135" s="402"/>
      <x:c r="S135" s="402"/>
      <x:c r="T135" s="402"/>
      <x:c r="U135" s="402"/>
      <x:c r="V135" s="402"/>
      <x:c r="W135" s="402"/>
      <x:c r="X135" s="402"/>
      <x:c r="Y135" s="402"/>
      <x:c r="Z135" s="402"/>
    </x:row>
    <x:row r="136">
      <x:c r="A136" s="402"/>
      <x:c r="B136" s="402"/>
      <x:c r="C136" s="402"/>
      <x:c r="D136" s="402"/>
      <x:c r="E136" s="402"/>
      <x:c r="F136" s="402"/>
      <x:c r="G136" s="402"/>
      <x:c r="H136" s="402"/>
      <x:c r="I136" s="402"/>
      <x:c r="J136" s="402"/>
      <x:c r="K136" s="402"/>
      <x:c r="L136" s="402"/>
      <x:c r="M136" s="402"/>
      <x:c r="N136" s="402"/>
      <x:c r="O136" s="402"/>
      <x:c r="P136" s="402"/>
      <x:c r="Q136" s="402"/>
      <x:c r="R136" s="402"/>
      <x:c r="S136" s="402"/>
      <x:c r="T136" s="402"/>
      <x:c r="U136" s="402"/>
      <x:c r="V136" s="402"/>
      <x:c r="W136" s="402"/>
      <x:c r="X136" s="402"/>
      <x:c r="Y136" s="402"/>
      <x:c r="Z136" s="402"/>
    </x:row>
    <x:row r="137">
      <x:c r="A137" s="402"/>
      <x:c r="B137" s="402"/>
      <x:c r="C137" s="402"/>
      <x:c r="D137" s="402"/>
      <x:c r="E137" s="402"/>
      <x:c r="F137" s="402"/>
      <x:c r="G137" s="402"/>
      <x:c r="H137" s="402"/>
      <x:c r="I137" s="402"/>
      <x:c r="J137" s="402"/>
      <x:c r="K137" s="402"/>
      <x:c r="L137" s="402"/>
      <x:c r="M137" s="402"/>
      <x:c r="N137" s="402"/>
      <x:c r="O137" s="402"/>
      <x:c r="P137" s="402"/>
      <x:c r="Q137" s="402"/>
      <x:c r="R137" s="402"/>
      <x:c r="S137" s="402"/>
      <x:c r="T137" s="402"/>
      <x:c r="U137" s="402"/>
      <x:c r="V137" s="402"/>
      <x:c r="W137" s="402"/>
      <x:c r="X137" s="402"/>
      <x:c r="Y137" s="402"/>
      <x:c r="Z137" s="402"/>
    </x:row>
    <x:row r="138">
      <x:c r="A138" s="402"/>
      <x:c r="B138" s="402"/>
      <x:c r="C138" s="402"/>
      <x:c r="D138" s="402"/>
      <x:c r="E138" s="402"/>
      <x:c r="F138" s="402"/>
      <x:c r="G138" s="402"/>
      <x:c r="H138" s="402"/>
      <x:c r="I138" s="402"/>
      <x:c r="J138" s="402"/>
      <x:c r="K138" s="402"/>
      <x:c r="L138" s="402"/>
      <x:c r="M138" s="402"/>
      <x:c r="N138" s="402"/>
      <x:c r="O138" s="402"/>
      <x:c r="P138" s="402"/>
      <x:c r="Q138" s="402"/>
      <x:c r="R138" s="402"/>
      <x:c r="S138" s="402"/>
      <x:c r="T138" s="402"/>
      <x:c r="U138" s="402"/>
      <x:c r="V138" s="402"/>
      <x:c r="W138" s="402"/>
      <x:c r="X138" s="402"/>
      <x:c r="Y138" s="402"/>
      <x:c r="Z138" s="402"/>
    </x:row>
    <x:row r="139">
      <x:c r="A139" s="402"/>
      <x:c r="B139" s="402"/>
      <x:c r="C139" s="402"/>
      <x:c r="D139" s="402"/>
      <x:c r="E139" s="402"/>
      <x:c r="F139" s="402"/>
      <x:c r="G139" s="402"/>
      <x:c r="H139" s="402"/>
      <x:c r="I139" s="402"/>
      <x:c r="J139" s="402"/>
      <x:c r="K139" s="402"/>
      <x:c r="L139" s="402"/>
      <x:c r="M139" s="402"/>
      <x:c r="N139" s="402"/>
      <x:c r="O139" s="402"/>
      <x:c r="P139" s="402"/>
      <x:c r="Q139" s="402"/>
      <x:c r="R139" s="402"/>
      <x:c r="S139" s="402"/>
      <x:c r="T139" s="402"/>
      <x:c r="U139" s="402"/>
      <x:c r="V139" s="402"/>
      <x:c r="W139" s="402"/>
      <x:c r="X139" s="402"/>
      <x:c r="Y139" s="402"/>
      <x:c r="Z139" s="402"/>
    </x:row>
    <x:row r="140">
      <x:c r="A140" s="402"/>
      <x:c r="B140" s="402"/>
      <x:c r="C140" s="402"/>
      <x:c r="D140" s="402"/>
      <x:c r="E140" s="402"/>
      <x:c r="F140" s="402"/>
      <x:c r="G140" s="402"/>
      <x:c r="H140" s="402"/>
      <x:c r="I140" s="402"/>
      <x:c r="J140" s="402"/>
      <x:c r="K140" s="402"/>
      <x:c r="L140" s="402"/>
      <x:c r="M140" s="402"/>
      <x:c r="N140" s="402"/>
      <x:c r="O140" s="402"/>
      <x:c r="P140" s="402"/>
      <x:c r="Q140" s="402"/>
      <x:c r="R140" s="402"/>
      <x:c r="S140" s="402"/>
      <x:c r="T140" s="402"/>
      <x:c r="U140" s="402"/>
      <x:c r="V140" s="402"/>
      <x:c r="W140" s="402"/>
      <x:c r="X140" s="402"/>
      <x:c r="Y140" s="402"/>
      <x:c r="Z140" s="402"/>
    </x:row>
    <x:row r="141">
      <x:c r="A141" s="402"/>
      <x:c r="B141" s="402"/>
      <x:c r="C141" s="402"/>
      <x:c r="D141" s="402"/>
      <x:c r="E141" s="402"/>
      <x:c r="F141" s="402"/>
      <x:c r="G141" s="402"/>
      <x:c r="H141" s="402"/>
      <x:c r="I141" s="402"/>
      <x:c r="J141" s="402"/>
      <x:c r="K141" s="402"/>
      <x:c r="L141" s="402"/>
      <x:c r="M141" s="402"/>
      <x:c r="N141" s="402"/>
      <x:c r="O141" s="402"/>
      <x:c r="P141" s="402"/>
      <x:c r="Q141" s="402"/>
      <x:c r="R141" s="402"/>
      <x:c r="S141" s="402"/>
      <x:c r="T141" s="402"/>
      <x:c r="U141" s="402"/>
      <x:c r="V141" s="402"/>
      <x:c r="W141" s="402"/>
      <x:c r="X141" s="402"/>
      <x:c r="Y141" s="402"/>
      <x:c r="Z141" s="402"/>
    </x:row>
    <x:row r="142">
      <x:c r="A142" s="402"/>
      <x:c r="B142" s="402"/>
      <x:c r="C142" s="402"/>
      <x:c r="D142" s="402"/>
      <x:c r="E142" s="402"/>
      <x:c r="F142" s="402"/>
      <x:c r="G142" s="402"/>
      <x:c r="H142" s="402"/>
      <x:c r="I142" s="402"/>
      <x:c r="J142" s="402"/>
      <x:c r="K142" s="402"/>
      <x:c r="L142" s="402"/>
      <x:c r="M142" s="402"/>
      <x:c r="N142" s="402"/>
      <x:c r="O142" s="402"/>
      <x:c r="P142" s="402"/>
      <x:c r="Q142" s="402"/>
      <x:c r="R142" s="402"/>
      <x:c r="S142" s="402"/>
      <x:c r="T142" s="402"/>
      <x:c r="U142" s="402"/>
      <x:c r="V142" s="402"/>
      <x:c r="W142" s="402"/>
      <x:c r="X142" s="402"/>
      <x:c r="Y142" s="402"/>
      <x:c r="Z142" s="402"/>
    </x:row>
    <x:row r="143">
      <x:c r="A143" s="402"/>
      <x:c r="B143" s="402"/>
      <x:c r="C143" s="402"/>
      <x:c r="D143" s="402"/>
      <x:c r="E143" s="402"/>
      <x:c r="F143" s="402"/>
      <x:c r="G143" s="402"/>
      <x:c r="H143" s="402"/>
      <x:c r="I143" s="402"/>
      <x:c r="J143" s="402"/>
      <x:c r="K143" s="402"/>
      <x:c r="L143" s="402"/>
      <x:c r="M143" s="402"/>
      <x:c r="N143" s="402"/>
      <x:c r="O143" s="402"/>
      <x:c r="P143" s="402"/>
      <x:c r="Q143" s="402"/>
      <x:c r="R143" s="402"/>
      <x:c r="S143" s="402"/>
      <x:c r="T143" s="402"/>
      <x:c r="U143" s="402"/>
      <x:c r="V143" s="402"/>
      <x:c r="W143" s="402"/>
      <x:c r="X143" s="402"/>
      <x:c r="Y143" s="402"/>
      <x:c r="Z143" s="402"/>
    </x:row>
    <x:row r="144">
      <x:c r="A144" s="402"/>
      <x:c r="B144" s="402"/>
      <x:c r="C144" s="402"/>
      <x:c r="D144" s="402"/>
      <x:c r="E144" s="402"/>
      <x:c r="F144" s="402"/>
      <x:c r="G144" s="402"/>
      <x:c r="H144" s="402"/>
      <x:c r="I144" s="402"/>
      <x:c r="J144" s="402"/>
      <x:c r="K144" s="402"/>
      <x:c r="L144" s="402"/>
      <x:c r="M144" s="402"/>
      <x:c r="N144" s="402"/>
      <x:c r="O144" s="402"/>
      <x:c r="P144" s="402"/>
      <x:c r="Q144" s="402"/>
      <x:c r="R144" s="402"/>
      <x:c r="S144" s="402"/>
      <x:c r="T144" s="402"/>
      <x:c r="U144" s="402"/>
      <x:c r="V144" s="402"/>
      <x:c r="W144" s="402"/>
      <x:c r="X144" s="402"/>
      <x:c r="Y144" s="402"/>
      <x:c r="Z144" s="402"/>
    </x:row>
    <x:row r="145">
      <x:c r="A145" s="402"/>
      <x:c r="B145" s="402"/>
      <x:c r="C145" s="402"/>
      <x:c r="D145" s="402"/>
      <x:c r="E145" s="402"/>
      <x:c r="F145" s="402"/>
      <x:c r="G145" s="402"/>
      <x:c r="H145" s="402"/>
      <x:c r="I145" s="402"/>
      <x:c r="J145" s="402"/>
      <x:c r="K145" s="402"/>
      <x:c r="L145" s="402"/>
      <x:c r="M145" s="402"/>
      <x:c r="N145" s="402"/>
      <x:c r="O145" s="402"/>
      <x:c r="P145" s="402"/>
      <x:c r="Q145" s="402"/>
      <x:c r="R145" s="402"/>
      <x:c r="S145" s="402"/>
      <x:c r="T145" s="402"/>
      <x:c r="U145" s="402"/>
      <x:c r="V145" s="402"/>
      <x:c r="W145" s="402"/>
      <x:c r="X145" s="402"/>
      <x:c r="Y145" s="402"/>
      <x:c r="Z145" s="402"/>
    </x:row>
    <x:row r="146">
      <x:c r="A146" s="402"/>
      <x:c r="B146" s="402"/>
      <x:c r="C146" s="402"/>
      <x:c r="D146" s="402"/>
      <x:c r="E146" s="402"/>
      <x:c r="F146" s="402"/>
      <x:c r="G146" s="402"/>
      <x:c r="H146" s="402"/>
      <x:c r="I146" s="402"/>
      <x:c r="J146" s="402"/>
      <x:c r="K146" s="402"/>
      <x:c r="L146" s="402"/>
      <x:c r="M146" s="402"/>
      <x:c r="N146" s="402"/>
      <x:c r="O146" s="402"/>
      <x:c r="P146" s="402"/>
      <x:c r="Q146" s="402"/>
      <x:c r="R146" s="402"/>
      <x:c r="S146" s="402"/>
      <x:c r="T146" s="402"/>
      <x:c r="U146" s="402"/>
      <x:c r="V146" s="402"/>
      <x:c r="W146" s="402"/>
      <x:c r="X146" s="402"/>
      <x:c r="Y146" s="402"/>
      <x:c r="Z146" s="402"/>
    </x:row>
    <x:row r="147">
      <x:c r="A147" s="402"/>
      <x:c r="B147" s="402"/>
      <x:c r="C147" s="402"/>
      <x:c r="D147" s="402"/>
      <x:c r="E147" s="402"/>
      <x:c r="F147" s="402"/>
      <x:c r="G147" s="402"/>
      <x:c r="H147" s="402"/>
      <x:c r="I147" s="402"/>
      <x:c r="J147" s="402"/>
      <x:c r="K147" s="402"/>
      <x:c r="L147" s="402"/>
      <x:c r="M147" s="402"/>
      <x:c r="N147" s="402"/>
      <x:c r="O147" s="402"/>
      <x:c r="P147" s="402"/>
      <x:c r="Q147" s="402"/>
      <x:c r="R147" s="402"/>
      <x:c r="S147" s="402"/>
      <x:c r="T147" s="402"/>
      <x:c r="U147" s="402"/>
      <x:c r="V147" s="402"/>
      <x:c r="W147" s="402"/>
      <x:c r="X147" s="402"/>
      <x:c r="Y147" s="402"/>
      <x:c r="Z147" s="402"/>
    </x:row>
    <x:row r="148">
      <x:c r="A148" s="402"/>
      <x:c r="B148" s="402"/>
      <x:c r="C148" s="402"/>
      <x:c r="D148" s="402"/>
      <x:c r="E148" s="402"/>
      <x:c r="F148" s="402"/>
      <x:c r="G148" s="402"/>
      <x:c r="H148" s="402"/>
      <x:c r="I148" s="402"/>
      <x:c r="J148" s="402"/>
      <x:c r="K148" s="402"/>
      <x:c r="L148" s="402"/>
      <x:c r="M148" s="402"/>
      <x:c r="N148" s="402"/>
      <x:c r="O148" s="402"/>
      <x:c r="P148" s="402"/>
      <x:c r="Q148" s="402"/>
      <x:c r="R148" s="402"/>
      <x:c r="S148" s="402"/>
      <x:c r="T148" s="402"/>
      <x:c r="U148" s="402"/>
      <x:c r="V148" s="402"/>
      <x:c r="W148" s="402"/>
      <x:c r="X148" s="402"/>
      <x:c r="Y148" s="402"/>
      <x:c r="Z148" s="402"/>
    </x:row>
    <x:row r="149">
      <x:c r="A149" s="402"/>
      <x:c r="B149" s="402"/>
      <x:c r="C149" s="402"/>
      <x:c r="D149" s="402"/>
      <x:c r="E149" s="402"/>
      <x:c r="F149" s="402"/>
      <x:c r="G149" s="402"/>
      <x:c r="H149" s="402"/>
      <x:c r="I149" s="402"/>
      <x:c r="J149" s="402"/>
      <x:c r="K149" s="402"/>
      <x:c r="L149" s="402"/>
      <x:c r="M149" s="402"/>
      <x:c r="N149" s="402"/>
      <x:c r="O149" s="402"/>
      <x:c r="P149" s="402"/>
      <x:c r="Q149" s="402"/>
      <x:c r="R149" s="402"/>
      <x:c r="S149" s="402"/>
      <x:c r="T149" s="402"/>
      <x:c r="U149" s="402"/>
      <x:c r="V149" s="402"/>
      <x:c r="W149" s="402"/>
      <x:c r="X149" s="402"/>
      <x:c r="Y149" s="402"/>
      <x:c r="Z149" s="402"/>
    </x:row>
    <x:row r="150">
      <x:c r="A150" s="402"/>
      <x:c r="B150" s="402"/>
      <x:c r="C150" s="402"/>
      <x:c r="D150" s="402"/>
      <x:c r="E150" s="402"/>
      <x:c r="F150" s="402"/>
      <x:c r="G150" s="402"/>
      <x:c r="H150" s="402"/>
      <x:c r="I150" s="402"/>
      <x:c r="J150" s="402"/>
      <x:c r="K150" s="402"/>
      <x:c r="L150" s="402"/>
      <x:c r="M150" s="402"/>
      <x:c r="N150" s="402"/>
      <x:c r="O150" s="402"/>
      <x:c r="P150" s="402"/>
      <x:c r="Q150" s="402"/>
      <x:c r="R150" s="402"/>
      <x:c r="S150" s="402"/>
      <x:c r="T150" s="402"/>
      <x:c r="U150" s="402"/>
      <x:c r="V150" s="402"/>
      <x:c r="W150" s="402"/>
      <x:c r="X150" s="402"/>
      <x:c r="Y150" s="402"/>
      <x:c r="Z150" s="402"/>
    </x:row>
    <x:row r="151">
      <x:c r="A151" s="402"/>
      <x:c r="B151" s="402"/>
      <x:c r="C151" s="402"/>
      <x:c r="D151" s="402"/>
      <x:c r="E151" s="402"/>
      <x:c r="F151" s="402"/>
      <x:c r="G151" s="402"/>
      <x:c r="H151" s="402"/>
      <x:c r="I151" s="402"/>
      <x:c r="J151" s="402"/>
      <x:c r="K151" s="402"/>
      <x:c r="L151" s="402"/>
      <x:c r="M151" s="402"/>
      <x:c r="N151" s="402"/>
      <x:c r="O151" s="402"/>
      <x:c r="P151" s="402"/>
      <x:c r="Q151" s="402"/>
      <x:c r="R151" s="402"/>
      <x:c r="S151" s="402"/>
      <x:c r="T151" s="402"/>
      <x:c r="U151" s="402"/>
      <x:c r="V151" s="402"/>
      <x:c r="W151" s="402"/>
      <x:c r="X151" s="402"/>
      <x:c r="Y151" s="402"/>
      <x:c r="Z151" s="402"/>
    </x:row>
    <x:row r="152">
      <x:c r="A152" s="402"/>
      <x:c r="B152" s="402"/>
      <x:c r="C152" s="402"/>
      <x:c r="D152" s="402"/>
      <x:c r="E152" s="402"/>
      <x:c r="F152" s="402"/>
      <x:c r="G152" s="402"/>
      <x:c r="H152" s="402"/>
      <x:c r="I152" s="402"/>
      <x:c r="J152" s="402"/>
      <x:c r="K152" s="402"/>
      <x:c r="L152" s="402"/>
      <x:c r="M152" s="402"/>
      <x:c r="N152" s="402"/>
      <x:c r="O152" s="402"/>
      <x:c r="P152" s="402"/>
      <x:c r="Q152" s="402"/>
      <x:c r="R152" s="402"/>
      <x:c r="S152" s="402"/>
      <x:c r="T152" s="402"/>
      <x:c r="U152" s="402"/>
      <x:c r="V152" s="402"/>
      <x:c r="W152" s="402"/>
      <x:c r="X152" s="402"/>
      <x:c r="Y152" s="402"/>
      <x:c r="Z152" s="402"/>
    </x:row>
    <x:row r="153">
      <x:c r="A153" s="402"/>
      <x:c r="B153" s="402"/>
      <x:c r="C153" s="402"/>
      <x:c r="D153" s="402"/>
      <x:c r="E153" s="402"/>
      <x:c r="F153" s="402"/>
      <x:c r="G153" s="402"/>
      <x:c r="H153" s="402"/>
      <x:c r="I153" s="402"/>
      <x:c r="J153" s="402"/>
      <x:c r="K153" s="402"/>
      <x:c r="L153" s="402"/>
      <x:c r="M153" s="402"/>
      <x:c r="N153" s="402"/>
      <x:c r="O153" s="402"/>
      <x:c r="P153" s="402"/>
      <x:c r="Q153" s="402"/>
      <x:c r="R153" s="402"/>
      <x:c r="S153" s="402"/>
      <x:c r="T153" s="402"/>
      <x:c r="U153" s="402"/>
      <x:c r="V153" s="402"/>
      <x:c r="W153" s="402"/>
      <x:c r="X153" s="402"/>
      <x:c r="Y153" s="402"/>
      <x:c r="Z153" s="402"/>
    </x:row>
    <x:row r="154">
      <x:c r="A154" s="402"/>
      <x:c r="B154" s="402"/>
      <x:c r="C154" s="402"/>
      <x:c r="D154" s="402"/>
      <x:c r="E154" s="402"/>
      <x:c r="F154" s="402"/>
      <x:c r="G154" s="402"/>
      <x:c r="H154" s="402"/>
      <x:c r="I154" s="402"/>
      <x:c r="J154" s="402"/>
      <x:c r="K154" s="402"/>
      <x:c r="L154" s="402"/>
      <x:c r="M154" s="402"/>
      <x:c r="N154" s="402"/>
      <x:c r="O154" s="402"/>
      <x:c r="P154" s="402"/>
      <x:c r="Q154" s="402"/>
      <x:c r="R154" s="402"/>
      <x:c r="S154" s="402"/>
      <x:c r="T154" s="402"/>
      <x:c r="U154" s="402"/>
      <x:c r="V154" s="402"/>
      <x:c r="W154" s="402"/>
      <x:c r="X154" s="402"/>
      <x:c r="Y154" s="402"/>
      <x:c r="Z154" s="402"/>
    </x:row>
    <x:row r="155">
      <x:c r="A155" s="402"/>
      <x:c r="B155" s="402"/>
      <x:c r="C155" s="402"/>
      <x:c r="D155" s="402"/>
      <x:c r="E155" s="402"/>
      <x:c r="F155" s="402"/>
      <x:c r="G155" s="402"/>
      <x:c r="H155" s="402"/>
      <x:c r="I155" s="402"/>
      <x:c r="J155" s="402"/>
      <x:c r="K155" s="402"/>
      <x:c r="L155" s="402"/>
      <x:c r="M155" s="402"/>
      <x:c r="N155" s="402"/>
      <x:c r="O155" s="402"/>
      <x:c r="P155" s="402"/>
      <x:c r="Q155" s="402"/>
      <x:c r="R155" s="402"/>
      <x:c r="S155" s="402"/>
      <x:c r="T155" s="402"/>
      <x:c r="U155" s="402"/>
      <x:c r="V155" s="402"/>
      <x:c r="W155" s="402"/>
      <x:c r="X155" s="402"/>
      <x:c r="Y155" s="402"/>
      <x:c r="Z155" s="402"/>
    </x:row>
    <x:row r="156">
      <x:c r="A156" s="402"/>
      <x:c r="B156" s="402"/>
      <x:c r="C156" s="402"/>
      <x:c r="D156" s="402"/>
      <x:c r="E156" s="402"/>
      <x:c r="F156" s="402"/>
      <x:c r="G156" s="402"/>
      <x:c r="H156" s="402"/>
      <x:c r="I156" s="402"/>
      <x:c r="J156" s="402"/>
      <x:c r="K156" s="402"/>
      <x:c r="L156" s="402"/>
      <x:c r="M156" s="402"/>
      <x:c r="N156" s="402"/>
      <x:c r="O156" s="402"/>
      <x:c r="P156" s="402"/>
      <x:c r="Q156" s="402"/>
      <x:c r="R156" s="402"/>
      <x:c r="S156" s="402"/>
      <x:c r="T156" s="402"/>
      <x:c r="U156" s="402"/>
      <x:c r="V156" s="402"/>
      <x:c r="W156" s="402"/>
      <x:c r="X156" s="402"/>
      <x:c r="Y156" s="402"/>
      <x:c r="Z156" s="402"/>
    </x:row>
    <x:row r="157">
      <x:c r="A157" s="402"/>
      <x:c r="B157" s="402"/>
      <x:c r="C157" s="402"/>
      <x:c r="D157" s="402"/>
      <x:c r="E157" s="402"/>
      <x:c r="F157" s="402"/>
      <x:c r="G157" s="402"/>
      <x:c r="H157" s="402"/>
      <x:c r="I157" s="402"/>
      <x:c r="J157" s="402"/>
      <x:c r="K157" s="402"/>
      <x:c r="L157" s="402"/>
      <x:c r="M157" s="402"/>
      <x:c r="N157" s="402"/>
      <x:c r="O157" s="402"/>
      <x:c r="P157" s="402"/>
      <x:c r="Q157" s="402"/>
      <x:c r="R157" s="402"/>
      <x:c r="S157" s="402"/>
      <x:c r="T157" s="402"/>
      <x:c r="U157" s="402"/>
      <x:c r="V157" s="402"/>
      <x:c r="W157" s="402"/>
      <x:c r="X157" s="402"/>
      <x:c r="Y157" s="402"/>
      <x:c r="Z157" s="402"/>
    </x:row>
    <x:row r="158">
      <x:c r="A158" s="402"/>
      <x:c r="B158" s="402"/>
      <x:c r="C158" s="402"/>
      <x:c r="D158" s="402"/>
      <x:c r="E158" s="402"/>
      <x:c r="F158" s="402"/>
      <x:c r="G158" s="402"/>
      <x:c r="H158" s="402"/>
      <x:c r="I158" s="402"/>
      <x:c r="J158" s="402"/>
      <x:c r="K158" s="402"/>
      <x:c r="L158" s="402"/>
      <x:c r="M158" s="402"/>
      <x:c r="N158" s="402"/>
      <x:c r="O158" s="402"/>
      <x:c r="P158" s="402"/>
      <x:c r="Q158" s="402"/>
      <x:c r="R158" s="402"/>
      <x:c r="S158" s="402"/>
      <x:c r="T158" s="402"/>
      <x:c r="U158" s="402"/>
      <x:c r="V158" s="402"/>
      <x:c r="W158" s="402"/>
      <x:c r="X158" s="402"/>
      <x:c r="Y158" s="402"/>
      <x:c r="Z158" s="402"/>
    </x:row>
    <x:row r="159">
      <x:c r="A159" s="402"/>
      <x:c r="B159" s="402"/>
      <x:c r="C159" s="402"/>
      <x:c r="D159" s="402"/>
      <x:c r="E159" s="402"/>
      <x:c r="F159" s="402"/>
      <x:c r="G159" s="402"/>
      <x:c r="H159" s="402"/>
      <x:c r="I159" s="402"/>
      <x:c r="J159" s="402"/>
      <x:c r="K159" s="402"/>
      <x:c r="L159" s="402"/>
      <x:c r="M159" s="402"/>
      <x:c r="N159" s="402"/>
      <x:c r="O159" s="402"/>
      <x:c r="P159" s="402"/>
      <x:c r="Q159" s="402"/>
      <x:c r="R159" s="402"/>
      <x:c r="S159" s="402"/>
      <x:c r="T159" s="402"/>
      <x:c r="U159" s="402"/>
      <x:c r="V159" s="402"/>
      <x:c r="W159" s="402"/>
      <x:c r="X159" s="402"/>
      <x:c r="Y159" s="402"/>
      <x:c r="Z159" s="402"/>
    </x:row>
    <x:row r="160">
      <x:c r="A160" s="402"/>
      <x:c r="B160" s="402"/>
      <x:c r="C160" s="402"/>
      <x:c r="D160" s="402"/>
      <x:c r="E160" s="402"/>
      <x:c r="F160" s="402"/>
      <x:c r="G160" s="402"/>
      <x:c r="H160" s="402"/>
      <x:c r="I160" s="402"/>
      <x:c r="J160" s="402"/>
      <x:c r="K160" s="402"/>
      <x:c r="L160" s="402"/>
      <x:c r="M160" s="402"/>
      <x:c r="N160" s="402"/>
      <x:c r="O160" s="402"/>
      <x:c r="P160" s="402"/>
      <x:c r="Q160" s="402"/>
      <x:c r="R160" s="402"/>
      <x:c r="S160" s="402"/>
      <x:c r="T160" s="402"/>
      <x:c r="U160" s="402"/>
      <x:c r="V160" s="402"/>
      <x:c r="W160" s="402"/>
      <x:c r="X160" s="402"/>
      <x:c r="Y160" s="402"/>
      <x:c r="Z160" s="402"/>
    </x:row>
    <x:row r="161">
      <x:c r="A161" s="402"/>
      <x:c r="B161" s="402"/>
      <x:c r="C161" s="402"/>
      <x:c r="D161" s="402"/>
      <x:c r="E161" s="402"/>
      <x:c r="F161" s="402"/>
      <x:c r="G161" s="402"/>
      <x:c r="H161" s="402"/>
      <x:c r="I161" s="402"/>
      <x:c r="J161" s="402"/>
      <x:c r="K161" s="402"/>
      <x:c r="L161" s="402"/>
      <x:c r="M161" s="402"/>
      <x:c r="N161" s="402"/>
      <x:c r="O161" s="402"/>
      <x:c r="P161" s="402"/>
      <x:c r="Q161" s="402"/>
      <x:c r="R161" s="402"/>
      <x:c r="S161" s="402"/>
      <x:c r="T161" s="402"/>
      <x:c r="U161" s="402"/>
      <x:c r="V161" s="402"/>
      <x:c r="W161" s="402"/>
      <x:c r="X161" s="402"/>
      <x:c r="Y161" s="402"/>
      <x:c r="Z161" s="402"/>
    </x:row>
    <x:row r="162">
      <x:c r="A162" s="402"/>
      <x:c r="B162" s="402"/>
      <x:c r="C162" s="402"/>
      <x:c r="D162" s="402"/>
      <x:c r="E162" s="402"/>
      <x:c r="F162" s="402"/>
      <x:c r="G162" s="402"/>
      <x:c r="H162" s="402"/>
      <x:c r="I162" s="402"/>
      <x:c r="J162" s="402"/>
      <x:c r="K162" s="402"/>
      <x:c r="L162" s="402"/>
      <x:c r="M162" s="402"/>
      <x:c r="N162" s="402"/>
      <x:c r="O162" s="402"/>
      <x:c r="P162" s="402"/>
      <x:c r="Q162" s="402"/>
      <x:c r="R162" s="402"/>
      <x:c r="S162" s="402"/>
      <x:c r="T162" s="402"/>
      <x:c r="U162" s="402"/>
      <x:c r="V162" s="402"/>
      <x:c r="W162" s="402"/>
      <x:c r="X162" s="402"/>
      <x:c r="Y162" s="402"/>
      <x:c r="Z162" s="402"/>
    </x:row>
    <x:row r="163">
      <x:c r="A163" s="402"/>
      <x:c r="B163" s="402"/>
      <x:c r="C163" s="402"/>
      <x:c r="D163" s="402"/>
      <x:c r="E163" s="402"/>
      <x:c r="F163" s="402"/>
      <x:c r="G163" s="402"/>
      <x:c r="H163" s="402"/>
      <x:c r="I163" s="402"/>
      <x:c r="J163" s="402"/>
      <x:c r="K163" s="402"/>
      <x:c r="L163" s="402"/>
      <x:c r="M163" s="402"/>
      <x:c r="N163" s="402"/>
      <x:c r="O163" s="402"/>
      <x:c r="P163" s="402"/>
      <x:c r="Q163" s="402"/>
      <x:c r="R163" s="402"/>
      <x:c r="S163" s="402"/>
      <x:c r="T163" s="402"/>
      <x:c r="U163" s="402"/>
      <x:c r="V163" s="402"/>
      <x:c r="W163" s="402"/>
      <x:c r="X163" s="402"/>
      <x:c r="Y163" s="402"/>
      <x:c r="Z163" s="402"/>
    </x:row>
    <x:row r="164">
      <x:c r="A164" s="402"/>
      <x:c r="B164" s="402"/>
      <x:c r="C164" s="402"/>
      <x:c r="D164" s="402"/>
      <x:c r="E164" s="402"/>
      <x:c r="F164" s="402"/>
      <x:c r="G164" s="402"/>
      <x:c r="H164" s="402"/>
      <x:c r="I164" s="402"/>
      <x:c r="J164" s="402"/>
      <x:c r="K164" s="402"/>
      <x:c r="L164" s="402"/>
      <x:c r="M164" s="402"/>
      <x:c r="N164" s="402"/>
      <x:c r="O164" s="402"/>
      <x:c r="P164" s="402"/>
      <x:c r="Q164" s="402"/>
      <x:c r="R164" s="402"/>
      <x:c r="S164" s="402"/>
      <x:c r="T164" s="402"/>
      <x:c r="U164" s="402"/>
      <x:c r="V164" s="402"/>
      <x:c r="W164" s="402"/>
      <x:c r="X164" s="402"/>
      <x:c r="Y164" s="402"/>
      <x:c r="Z164" s="402"/>
    </x:row>
    <x:row r="165">
      <x:c r="A165" s="402"/>
      <x:c r="B165" s="402"/>
      <x:c r="C165" s="402"/>
      <x:c r="D165" s="402"/>
      <x:c r="E165" s="402"/>
      <x:c r="F165" s="402"/>
      <x:c r="G165" s="402"/>
      <x:c r="H165" s="402"/>
      <x:c r="I165" s="402"/>
      <x:c r="J165" s="402"/>
      <x:c r="K165" s="402"/>
      <x:c r="L165" s="402"/>
      <x:c r="M165" s="402"/>
      <x:c r="N165" s="402"/>
      <x:c r="O165" s="402"/>
      <x:c r="P165" s="402"/>
      <x:c r="Q165" s="402"/>
      <x:c r="R165" s="402"/>
      <x:c r="S165" s="402"/>
      <x:c r="T165" s="402"/>
      <x:c r="U165" s="402"/>
      <x:c r="V165" s="402"/>
      <x:c r="W165" s="402"/>
      <x:c r="X165" s="402"/>
      <x:c r="Y165" s="402"/>
      <x:c r="Z165" s="402"/>
    </x:row>
    <x:row r="166">
      <x:c r="A166" s="402"/>
      <x:c r="B166" s="402"/>
      <x:c r="C166" s="402"/>
      <x:c r="D166" s="402"/>
      <x:c r="E166" s="402"/>
      <x:c r="F166" s="402"/>
      <x:c r="G166" s="402"/>
      <x:c r="H166" s="402"/>
      <x:c r="I166" s="402"/>
      <x:c r="J166" s="402"/>
      <x:c r="K166" s="402"/>
      <x:c r="L166" s="402"/>
      <x:c r="M166" s="402"/>
      <x:c r="N166" s="402"/>
      <x:c r="O166" s="402"/>
      <x:c r="P166" s="402"/>
      <x:c r="Q166" s="402"/>
      <x:c r="R166" s="402"/>
      <x:c r="S166" s="402"/>
      <x:c r="T166" s="402"/>
      <x:c r="U166" s="402"/>
      <x:c r="V166" s="402"/>
      <x:c r="W166" s="402"/>
      <x:c r="X166" s="402"/>
      <x:c r="Y166" s="402"/>
      <x:c r="Z166" s="402"/>
    </x:row>
    <x:row r="167">
      <x:c r="A167" s="402"/>
      <x:c r="B167" s="402"/>
      <x:c r="C167" s="402"/>
      <x:c r="D167" s="402"/>
      <x:c r="E167" s="402"/>
      <x:c r="F167" s="402"/>
      <x:c r="G167" s="402"/>
      <x:c r="H167" s="402"/>
      <x:c r="I167" s="402"/>
      <x:c r="J167" s="402"/>
      <x:c r="K167" s="402"/>
      <x:c r="L167" s="402"/>
      <x:c r="M167" s="402"/>
      <x:c r="N167" s="402"/>
      <x:c r="O167" s="402"/>
      <x:c r="P167" s="402"/>
      <x:c r="Q167" s="402"/>
      <x:c r="R167" s="402"/>
      <x:c r="S167" s="402"/>
      <x:c r="T167" s="402"/>
      <x:c r="U167" s="402"/>
      <x:c r="V167" s="402"/>
      <x:c r="W167" s="402"/>
      <x:c r="X167" s="402"/>
      <x:c r="Y167" s="402"/>
      <x:c r="Z167" s="402"/>
    </x:row>
    <x:row r="168">
      <x:c r="A168" s="402"/>
      <x:c r="B168" s="402"/>
      <x:c r="C168" s="402"/>
      <x:c r="D168" s="402"/>
      <x:c r="E168" s="402"/>
      <x:c r="F168" s="402"/>
      <x:c r="G168" s="402"/>
      <x:c r="H168" s="402"/>
      <x:c r="I168" s="402"/>
      <x:c r="J168" s="402"/>
      <x:c r="K168" s="402"/>
      <x:c r="L168" s="402"/>
      <x:c r="M168" s="402"/>
      <x:c r="N168" s="402"/>
      <x:c r="O168" s="402"/>
      <x:c r="P168" s="402"/>
      <x:c r="Q168" s="402"/>
      <x:c r="R168" s="402"/>
      <x:c r="S168" s="402"/>
      <x:c r="T168" s="402"/>
      <x:c r="U168" s="402"/>
      <x:c r="V168" s="402"/>
      <x:c r="W168" s="402"/>
      <x:c r="X168" s="402"/>
      <x:c r="Y168" s="402"/>
      <x:c r="Z168" s="402"/>
    </x:row>
    <x:row r="169">
      <x:c r="A169" s="402"/>
      <x:c r="B169" s="402"/>
      <x:c r="C169" s="402"/>
      <x:c r="D169" s="402"/>
      <x:c r="E169" s="402"/>
      <x:c r="F169" s="402"/>
      <x:c r="G169" s="402"/>
      <x:c r="H169" s="402"/>
      <x:c r="I169" s="402"/>
      <x:c r="J169" s="402"/>
      <x:c r="K169" s="402"/>
      <x:c r="L169" s="402"/>
      <x:c r="M169" s="402"/>
      <x:c r="N169" s="402"/>
      <x:c r="O169" s="402"/>
      <x:c r="P169" s="402"/>
      <x:c r="Q169" s="402"/>
      <x:c r="R169" s="402"/>
      <x:c r="S169" s="402"/>
      <x:c r="T169" s="402"/>
      <x:c r="U169" s="402"/>
      <x:c r="V169" s="402"/>
      <x:c r="W169" s="402"/>
      <x:c r="X169" s="402"/>
      <x:c r="Y169" s="402"/>
      <x:c r="Z169" s="402"/>
    </x:row>
    <x:row r="170">
      <x:c r="A170" s="402"/>
      <x:c r="B170" s="402"/>
      <x:c r="C170" s="402"/>
      <x:c r="D170" s="402"/>
      <x:c r="E170" s="402"/>
      <x:c r="F170" s="402"/>
      <x:c r="G170" s="402"/>
      <x:c r="H170" s="402"/>
      <x:c r="I170" s="402"/>
      <x:c r="J170" s="402"/>
      <x:c r="K170" s="402"/>
      <x:c r="L170" s="402"/>
      <x:c r="M170" s="402"/>
      <x:c r="N170" s="402"/>
      <x:c r="O170" s="402"/>
      <x:c r="P170" s="402"/>
      <x:c r="Q170" s="402"/>
      <x:c r="R170" s="402"/>
      <x:c r="S170" s="402"/>
      <x:c r="T170" s="402"/>
      <x:c r="U170" s="402"/>
      <x:c r="V170" s="402"/>
      <x:c r="W170" s="402"/>
      <x:c r="X170" s="402"/>
      <x:c r="Y170" s="402"/>
      <x:c r="Z170" s="402"/>
    </x:row>
    <x:row r="171">
      <x:c r="A171" s="402"/>
      <x:c r="B171" s="402"/>
      <x:c r="C171" s="402"/>
      <x:c r="D171" s="402"/>
      <x:c r="E171" s="402"/>
      <x:c r="F171" s="402"/>
      <x:c r="G171" s="402"/>
      <x:c r="H171" s="402"/>
      <x:c r="I171" s="402"/>
      <x:c r="J171" s="402"/>
      <x:c r="K171" s="402"/>
      <x:c r="L171" s="402"/>
      <x:c r="M171" s="402"/>
      <x:c r="N171" s="402"/>
      <x:c r="O171" s="402"/>
      <x:c r="P171" s="402"/>
      <x:c r="Q171" s="402"/>
      <x:c r="R171" s="402"/>
      <x:c r="S171" s="402"/>
      <x:c r="T171" s="402"/>
      <x:c r="U171" s="402"/>
      <x:c r="V171" s="402"/>
      <x:c r="W171" s="402"/>
      <x:c r="X171" s="402"/>
      <x:c r="Y171" s="402"/>
      <x:c r="Z171" s="402"/>
    </x:row>
    <x:row r="172">
      <x:c r="A172" s="402"/>
      <x:c r="B172" s="402"/>
      <x:c r="C172" s="402"/>
      <x:c r="D172" s="402"/>
      <x:c r="E172" s="402"/>
      <x:c r="F172" s="402"/>
      <x:c r="G172" s="402"/>
      <x:c r="H172" s="402"/>
      <x:c r="I172" s="402"/>
      <x:c r="J172" s="402"/>
      <x:c r="K172" s="402"/>
      <x:c r="L172" s="402"/>
      <x:c r="M172" s="402"/>
      <x:c r="N172" s="402"/>
      <x:c r="O172" s="402"/>
      <x:c r="P172" s="402"/>
      <x:c r="Q172" s="402"/>
      <x:c r="R172" s="402"/>
      <x:c r="S172" s="402"/>
      <x:c r="T172" s="402"/>
      <x:c r="U172" s="402"/>
      <x:c r="V172" s="402"/>
      <x:c r="W172" s="402"/>
      <x:c r="X172" s="402"/>
      <x:c r="Y172" s="402"/>
      <x:c r="Z172" s="402"/>
    </x:row>
    <x:row r="173">
      <x:c r="A173" s="402"/>
      <x:c r="B173" s="402"/>
      <x:c r="C173" s="402"/>
      <x:c r="D173" s="402"/>
      <x:c r="E173" s="402"/>
      <x:c r="F173" s="402"/>
      <x:c r="G173" s="402"/>
      <x:c r="H173" s="402"/>
      <x:c r="I173" s="402"/>
      <x:c r="J173" s="402"/>
      <x:c r="K173" s="402"/>
      <x:c r="L173" s="402"/>
      <x:c r="M173" s="402"/>
      <x:c r="N173" s="402"/>
      <x:c r="O173" s="402"/>
      <x:c r="P173" s="402"/>
      <x:c r="Q173" s="402"/>
      <x:c r="R173" s="402"/>
      <x:c r="S173" s="402"/>
      <x:c r="T173" s="402"/>
      <x:c r="U173" s="402"/>
      <x:c r="V173" s="402"/>
      <x:c r="W173" s="402"/>
      <x:c r="X173" s="402"/>
      <x:c r="Y173" s="402"/>
      <x:c r="Z173" s="402"/>
    </x:row>
    <x:row r="174">
      <x:c r="A174" s="402"/>
      <x:c r="B174" s="402"/>
      <x:c r="C174" s="402"/>
      <x:c r="D174" s="402"/>
      <x:c r="E174" s="402"/>
      <x:c r="F174" s="402"/>
      <x:c r="G174" s="402"/>
      <x:c r="H174" s="402"/>
      <x:c r="I174" s="402"/>
      <x:c r="J174" s="402"/>
      <x:c r="K174" s="402"/>
      <x:c r="L174" s="402"/>
      <x:c r="M174" s="402"/>
      <x:c r="N174" s="402"/>
      <x:c r="O174" s="402"/>
      <x:c r="P174" s="402"/>
      <x:c r="Q174" s="402"/>
      <x:c r="R174" s="402"/>
      <x:c r="S174" s="402"/>
      <x:c r="T174" s="402"/>
      <x:c r="U174" s="402"/>
      <x:c r="V174" s="402"/>
      <x:c r="W174" s="402"/>
      <x:c r="X174" s="402"/>
      <x:c r="Y174" s="402"/>
      <x:c r="Z174" s="402"/>
    </x:row>
    <x:row r="175">
      <x:c r="A175" s="402"/>
      <x:c r="B175" s="402"/>
      <x:c r="C175" s="402"/>
      <x:c r="D175" s="402"/>
      <x:c r="E175" s="402"/>
      <x:c r="F175" s="402"/>
      <x:c r="G175" s="402"/>
      <x:c r="H175" s="402"/>
      <x:c r="I175" s="402"/>
      <x:c r="J175" s="402"/>
      <x:c r="K175" s="402"/>
      <x:c r="L175" s="402"/>
      <x:c r="M175" s="402"/>
      <x:c r="N175" s="402"/>
      <x:c r="O175" s="402"/>
      <x:c r="P175" s="402"/>
      <x:c r="Q175" s="402"/>
      <x:c r="R175" s="402"/>
      <x:c r="S175" s="402"/>
      <x:c r="T175" s="402"/>
      <x:c r="U175" s="402"/>
      <x:c r="V175" s="402"/>
      <x:c r="W175" s="402"/>
      <x:c r="X175" s="402"/>
      <x:c r="Y175" s="402"/>
      <x:c r="Z175" s="402"/>
    </x:row>
    <x:row r="176">
      <x:c r="A176" s="402"/>
      <x:c r="B176" s="402"/>
      <x:c r="C176" s="402"/>
      <x:c r="D176" s="402"/>
      <x:c r="E176" s="402"/>
      <x:c r="F176" s="402"/>
      <x:c r="G176" s="402"/>
      <x:c r="H176" s="402"/>
      <x:c r="I176" s="402"/>
      <x:c r="J176" s="402"/>
      <x:c r="K176" s="402"/>
      <x:c r="L176" s="402"/>
      <x:c r="M176" s="402"/>
      <x:c r="N176" s="402"/>
      <x:c r="O176" s="402"/>
      <x:c r="P176" s="402"/>
      <x:c r="Q176" s="402"/>
      <x:c r="R176" s="402"/>
      <x:c r="S176" s="402"/>
      <x:c r="T176" s="402"/>
      <x:c r="U176" s="402"/>
      <x:c r="V176" s="402"/>
      <x:c r="W176" s="402"/>
      <x:c r="X176" s="402"/>
      <x:c r="Y176" s="402"/>
      <x:c r="Z176" s="402"/>
    </x:row>
    <x:row r="177">
      <x:c r="A177" s="402"/>
      <x:c r="B177" s="402"/>
      <x:c r="C177" s="402"/>
      <x:c r="D177" s="402"/>
      <x:c r="E177" s="402"/>
      <x:c r="F177" s="402"/>
      <x:c r="G177" s="402"/>
      <x:c r="H177" s="402"/>
      <x:c r="I177" s="402"/>
      <x:c r="J177" s="402"/>
      <x:c r="K177" s="402"/>
      <x:c r="L177" s="402"/>
      <x:c r="M177" s="402"/>
      <x:c r="N177" s="402"/>
      <x:c r="O177" s="402"/>
      <x:c r="P177" s="402"/>
      <x:c r="Q177" s="402"/>
      <x:c r="R177" s="402"/>
      <x:c r="S177" s="402"/>
      <x:c r="T177" s="402"/>
      <x:c r="U177" s="402"/>
      <x:c r="V177" s="402"/>
      <x:c r="W177" s="402"/>
      <x:c r="X177" s="402"/>
      <x:c r="Y177" s="402"/>
      <x:c r="Z177" s="402"/>
    </x:row>
    <x:row r="178">
      <x:c r="A178" s="402"/>
      <x:c r="B178" s="402"/>
      <x:c r="C178" s="402"/>
      <x:c r="D178" s="402"/>
      <x:c r="E178" s="402"/>
      <x:c r="F178" s="402"/>
      <x:c r="G178" s="402"/>
      <x:c r="H178" s="402"/>
      <x:c r="I178" s="402"/>
      <x:c r="J178" s="402"/>
      <x:c r="K178" s="402"/>
      <x:c r="L178" s="402"/>
      <x:c r="M178" s="402"/>
      <x:c r="N178" s="402"/>
      <x:c r="O178" s="402"/>
      <x:c r="P178" s="402"/>
      <x:c r="Q178" s="402"/>
      <x:c r="R178" s="402"/>
      <x:c r="S178" s="402"/>
      <x:c r="T178" s="402"/>
      <x:c r="U178" s="402"/>
      <x:c r="V178" s="402"/>
      <x:c r="W178" s="402"/>
      <x:c r="X178" s="402"/>
      <x:c r="Y178" s="402"/>
      <x:c r="Z178" s="402"/>
    </x:row>
    <x:row r="179">
      <x:c r="A179" s="402"/>
      <x:c r="B179" s="402"/>
      <x:c r="C179" s="402"/>
      <x:c r="D179" s="402"/>
      <x:c r="E179" s="402"/>
      <x:c r="F179" s="402"/>
      <x:c r="G179" s="402"/>
      <x:c r="H179" s="402"/>
      <x:c r="I179" s="402"/>
      <x:c r="J179" s="402"/>
      <x:c r="K179" s="402"/>
      <x:c r="L179" s="402"/>
      <x:c r="M179" s="402"/>
      <x:c r="N179" s="402"/>
      <x:c r="O179" s="402"/>
      <x:c r="P179" s="402"/>
      <x:c r="Q179" s="402"/>
      <x:c r="R179" s="402"/>
      <x:c r="S179" s="402"/>
      <x:c r="T179" s="402"/>
      <x:c r="U179" s="402"/>
      <x:c r="V179" s="402"/>
      <x:c r="W179" s="402"/>
      <x:c r="X179" s="402"/>
      <x:c r="Y179" s="402"/>
      <x:c r="Z179" s="402"/>
    </x:row>
    <x:row r="180">
      <x:c r="A180" s="402"/>
      <x:c r="B180" s="402"/>
      <x:c r="C180" s="402"/>
      <x:c r="D180" s="402"/>
      <x:c r="E180" s="402"/>
      <x:c r="F180" s="402"/>
      <x:c r="G180" s="402"/>
      <x:c r="H180" s="402"/>
      <x:c r="I180" s="402"/>
      <x:c r="J180" s="402"/>
      <x:c r="K180" s="402"/>
      <x:c r="L180" s="402"/>
      <x:c r="M180" s="402"/>
      <x:c r="N180" s="402"/>
      <x:c r="O180" s="402"/>
      <x:c r="P180" s="402"/>
      <x:c r="Q180" s="402"/>
      <x:c r="R180" s="402"/>
      <x:c r="S180" s="402"/>
      <x:c r="T180" s="402"/>
      <x:c r="U180" s="402"/>
      <x:c r="V180" s="402"/>
      <x:c r="W180" s="402"/>
      <x:c r="X180" s="402"/>
      <x:c r="Y180" s="402"/>
      <x:c r="Z180" s="402"/>
    </x:row>
    <x:row r="181">
      <x:c r="A181" s="402"/>
      <x:c r="B181" s="402"/>
      <x:c r="C181" s="402"/>
      <x:c r="D181" s="402"/>
      <x:c r="E181" s="402"/>
      <x:c r="F181" s="402"/>
      <x:c r="G181" s="402"/>
      <x:c r="H181" s="402"/>
      <x:c r="I181" s="402"/>
      <x:c r="J181" s="402"/>
      <x:c r="K181" s="402"/>
      <x:c r="L181" s="402"/>
      <x:c r="M181" s="402"/>
      <x:c r="N181" s="402"/>
      <x:c r="O181" s="402"/>
      <x:c r="P181" s="402"/>
      <x:c r="Q181" s="402"/>
      <x:c r="R181" s="402"/>
      <x:c r="S181" s="402"/>
      <x:c r="T181" s="402"/>
      <x:c r="U181" s="402"/>
      <x:c r="V181" s="402"/>
      <x:c r="W181" s="402"/>
      <x:c r="X181" s="402"/>
      <x:c r="Y181" s="402"/>
      <x:c r="Z181" s="402"/>
    </x:row>
    <x:row r="182">
      <x:c r="A182" s="402"/>
      <x:c r="B182" s="402"/>
      <x:c r="C182" s="402"/>
      <x:c r="D182" s="402"/>
      <x:c r="E182" s="402"/>
      <x:c r="F182" s="402"/>
      <x:c r="G182" s="402"/>
      <x:c r="H182" s="402"/>
      <x:c r="I182" s="402"/>
      <x:c r="J182" s="402"/>
      <x:c r="K182" s="402"/>
      <x:c r="L182" s="402"/>
      <x:c r="M182" s="402"/>
      <x:c r="N182" s="402"/>
      <x:c r="O182" s="402"/>
      <x:c r="P182" s="402"/>
      <x:c r="Q182" s="402"/>
      <x:c r="R182" s="402"/>
      <x:c r="S182" s="402"/>
      <x:c r="T182" s="402"/>
      <x:c r="U182" s="402"/>
      <x:c r="V182" s="402"/>
      <x:c r="W182" s="402"/>
      <x:c r="X182" s="402"/>
      <x:c r="Y182" s="402"/>
      <x:c r="Z182" s="402"/>
    </x:row>
    <x:row r="183">
      <x:c r="A183" s="402"/>
      <x:c r="B183" s="402"/>
      <x:c r="C183" s="402"/>
      <x:c r="D183" s="402"/>
      <x:c r="E183" s="402"/>
      <x:c r="F183" s="402"/>
      <x:c r="G183" s="402"/>
      <x:c r="H183" s="402"/>
      <x:c r="I183" s="402"/>
      <x:c r="J183" s="402"/>
      <x:c r="K183" s="402"/>
      <x:c r="L183" s="402"/>
      <x:c r="M183" s="402"/>
      <x:c r="N183" s="402"/>
      <x:c r="O183" s="402"/>
      <x:c r="P183" s="402"/>
      <x:c r="Q183" s="402"/>
      <x:c r="R183" s="402"/>
      <x:c r="S183" s="402"/>
      <x:c r="T183" s="402"/>
      <x:c r="U183" s="402"/>
      <x:c r="V183" s="402"/>
      <x:c r="W183" s="402"/>
      <x:c r="X183" s="402"/>
      <x:c r="Y183" s="402"/>
      <x:c r="Z183" s="402"/>
    </x:row>
    <x:row r="184">
      <x:c r="A184" s="402"/>
      <x:c r="B184" s="402"/>
      <x:c r="C184" s="402"/>
      <x:c r="D184" s="402"/>
      <x:c r="E184" s="402"/>
      <x:c r="F184" s="402"/>
      <x:c r="G184" s="402"/>
      <x:c r="H184" s="402"/>
      <x:c r="I184" s="402"/>
      <x:c r="J184" s="402"/>
      <x:c r="K184" s="402"/>
      <x:c r="L184" s="402"/>
      <x:c r="M184" s="402"/>
      <x:c r="N184" s="402"/>
      <x:c r="O184" s="402"/>
      <x:c r="P184" s="402"/>
      <x:c r="Q184" s="402"/>
      <x:c r="R184" s="402"/>
      <x:c r="S184" s="402"/>
      <x:c r="T184" s="402"/>
      <x:c r="U184" s="402"/>
      <x:c r="V184" s="402"/>
      <x:c r="W184" s="402"/>
      <x:c r="X184" s="402"/>
      <x:c r="Y184" s="402"/>
      <x:c r="Z184" s="402"/>
    </x:row>
    <x:row r="185">
      <x:c r="A185" s="402"/>
      <x:c r="B185" s="402"/>
      <x:c r="C185" s="402"/>
      <x:c r="D185" s="402"/>
      <x:c r="E185" s="402"/>
      <x:c r="F185" s="402"/>
      <x:c r="G185" s="402"/>
      <x:c r="H185" s="402"/>
      <x:c r="I185" s="402"/>
      <x:c r="J185" s="402"/>
      <x:c r="K185" s="402"/>
      <x:c r="L185" s="402"/>
      <x:c r="M185" s="402"/>
      <x:c r="N185" s="402"/>
      <x:c r="O185" s="402"/>
      <x:c r="P185" s="402"/>
      <x:c r="Q185" s="402"/>
      <x:c r="R185" s="402"/>
      <x:c r="S185" s="402"/>
      <x:c r="T185" s="402"/>
      <x:c r="U185" s="402"/>
      <x:c r="V185" s="402"/>
      <x:c r="W185" s="402"/>
      <x:c r="X185" s="402"/>
      <x:c r="Y185" s="402"/>
      <x:c r="Z185" s="402"/>
    </x:row>
    <x:row r="186">
      <x:c r="A186" s="402"/>
      <x:c r="B186" s="402"/>
      <x:c r="C186" s="402"/>
      <x:c r="D186" s="402"/>
      <x:c r="E186" s="402"/>
      <x:c r="F186" s="402"/>
      <x:c r="G186" s="402"/>
      <x:c r="H186" s="402"/>
      <x:c r="I186" s="402"/>
      <x:c r="J186" s="402"/>
      <x:c r="K186" s="402"/>
      <x:c r="L186" s="402"/>
      <x:c r="M186" s="402"/>
      <x:c r="N186" s="402"/>
      <x:c r="O186" s="402"/>
      <x:c r="P186" s="402"/>
      <x:c r="Q186" s="402"/>
      <x:c r="R186" s="402"/>
      <x:c r="S186" s="402"/>
      <x:c r="T186" s="402"/>
      <x:c r="U186" s="402"/>
      <x:c r="V186" s="402"/>
      <x:c r="W186" s="402"/>
      <x:c r="X186" s="402"/>
      <x:c r="Y186" s="402"/>
      <x:c r="Z186" s="402"/>
    </x:row>
    <x:row r="187">
      <x:c r="A187" s="402"/>
      <x:c r="B187" s="402"/>
      <x:c r="C187" s="402"/>
      <x:c r="D187" s="402"/>
      <x:c r="E187" s="402"/>
      <x:c r="F187" s="402"/>
      <x:c r="G187" s="402"/>
      <x:c r="H187" s="402"/>
      <x:c r="I187" s="402"/>
      <x:c r="J187" s="402"/>
      <x:c r="K187" s="402"/>
      <x:c r="L187" s="402"/>
      <x:c r="M187" s="402"/>
      <x:c r="N187" s="402"/>
      <x:c r="O187" s="402"/>
      <x:c r="P187" s="402"/>
      <x:c r="Q187" s="402"/>
      <x:c r="R187" s="402"/>
      <x:c r="S187" s="402"/>
      <x:c r="T187" s="402"/>
      <x:c r="U187" s="402"/>
      <x:c r="V187" s="402"/>
      <x:c r="W187" s="402"/>
      <x:c r="X187" s="402"/>
      <x:c r="Y187" s="402"/>
      <x:c r="Z187" s="402"/>
    </x:row>
    <x:row r="188">
      <x:c r="A188" s="402"/>
      <x:c r="B188" s="402"/>
      <x:c r="C188" s="402"/>
      <x:c r="D188" s="402"/>
      <x:c r="E188" s="402"/>
      <x:c r="F188" s="402"/>
      <x:c r="G188" s="402"/>
      <x:c r="H188" s="402"/>
      <x:c r="I188" s="402"/>
      <x:c r="J188" s="402"/>
      <x:c r="K188" s="402"/>
      <x:c r="L188" s="402"/>
      <x:c r="M188" s="402"/>
      <x:c r="N188" s="402"/>
      <x:c r="O188" s="402"/>
      <x:c r="P188" s="402"/>
      <x:c r="Q188" s="402"/>
      <x:c r="R188" s="402"/>
      <x:c r="S188" s="402"/>
      <x:c r="T188" s="402"/>
      <x:c r="U188" s="402"/>
      <x:c r="V188" s="402"/>
      <x:c r="W188" s="402"/>
      <x:c r="X188" s="402"/>
      <x:c r="Y188" s="402"/>
      <x:c r="Z188" s="402"/>
    </x:row>
    <x:row r="189">
      <x:c r="A189" s="402"/>
      <x:c r="B189" s="402"/>
      <x:c r="C189" s="402"/>
      <x:c r="D189" s="402"/>
      <x:c r="E189" s="402"/>
      <x:c r="F189" s="402"/>
      <x:c r="G189" s="402"/>
      <x:c r="H189" s="402"/>
      <x:c r="I189" s="402"/>
      <x:c r="J189" s="402"/>
      <x:c r="K189" s="402"/>
      <x:c r="L189" s="402"/>
      <x:c r="M189" s="402"/>
      <x:c r="N189" s="402"/>
      <x:c r="O189" s="402"/>
      <x:c r="P189" s="402"/>
      <x:c r="Q189" s="402"/>
      <x:c r="R189" s="402"/>
      <x:c r="S189" s="402"/>
      <x:c r="T189" s="402"/>
      <x:c r="U189" s="402"/>
      <x:c r="V189" s="402"/>
      <x:c r="W189" s="402"/>
      <x:c r="X189" s="402"/>
      <x:c r="Y189" s="402"/>
      <x:c r="Z189" s="402"/>
    </x:row>
    <x:row r="190">
      <x:c r="A190" s="402"/>
      <x:c r="B190" s="402"/>
      <x:c r="C190" s="402"/>
      <x:c r="D190" s="402"/>
      <x:c r="E190" s="402"/>
      <x:c r="F190" s="402"/>
      <x:c r="G190" s="402"/>
      <x:c r="H190" s="402"/>
      <x:c r="I190" s="402"/>
      <x:c r="J190" s="402"/>
      <x:c r="K190" s="402"/>
      <x:c r="L190" s="402"/>
      <x:c r="M190" s="402"/>
      <x:c r="N190" s="402"/>
      <x:c r="O190" s="402"/>
      <x:c r="P190" s="402"/>
      <x:c r="Q190" s="402"/>
      <x:c r="R190" s="402"/>
      <x:c r="S190" s="402"/>
      <x:c r="T190" s="402"/>
      <x:c r="U190" s="402"/>
      <x:c r="V190" s="402"/>
      <x:c r="W190" s="402"/>
      <x:c r="X190" s="402"/>
      <x:c r="Y190" s="402"/>
      <x:c r="Z190" s="402"/>
    </x:row>
    <x:row r="191">
      <x:c r="A191" s="402"/>
      <x:c r="B191" s="402"/>
      <x:c r="C191" s="402"/>
      <x:c r="D191" s="402"/>
      <x:c r="E191" s="402"/>
      <x:c r="F191" s="402"/>
      <x:c r="G191" s="402"/>
      <x:c r="H191" s="402"/>
      <x:c r="I191" s="402"/>
      <x:c r="J191" s="402"/>
      <x:c r="K191" s="402"/>
      <x:c r="L191" s="402"/>
      <x:c r="M191" s="402"/>
      <x:c r="N191" s="402"/>
      <x:c r="O191" s="402"/>
      <x:c r="P191" s="402"/>
      <x:c r="Q191" s="402"/>
      <x:c r="R191" s="402"/>
      <x:c r="S191" s="402"/>
      <x:c r="T191" s="402"/>
      <x:c r="U191" s="402"/>
      <x:c r="V191" s="402"/>
      <x:c r="W191" s="402"/>
      <x:c r="X191" s="402"/>
      <x:c r="Y191" s="402"/>
      <x:c r="Z191" s="402"/>
    </x:row>
    <x:row r="192">
      <x:c r="A192" s="402"/>
      <x:c r="B192" s="402"/>
      <x:c r="C192" s="402"/>
      <x:c r="D192" s="402"/>
      <x:c r="E192" s="402"/>
      <x:c r="F192" s="402"/>
      <x:c r="G192" s="402"/>
      <x:c r="H192" s="402"/>
      <x:c r="I192" s="402"/>
      <x:c r="J192" s="402"/>
      <x:c r="K192" s="402"/>
      <x:c r="L192" s="402"/>
      <x:c r="M192" s="402"/>
      <x:c r="N192" s="402"/>
      <x:c r="O192" s="402"/>
      <x:c r="P192" s="402"/>
      <x:c r="Q192" s="402"/>
      <x:c r="R192" s="402"/>
      <x:c r="S192" s="402"/>
      <x:c r="T192" s="402"/>
      <x:c r="U192" s="402"/>
      <x:c r="V192" s="402"/>
      <x:c r="W192" s="402"/>
      <x:c r="X192" s="402"/>
      <x:c r="Y192" s="402"/>
      <x:c r="Z192" s="402"/>
    </x:row>
    <x:row r="193">
      <x:c r="A193" s="402"/>
      <x:c r="B193" s="402"/>
      <x:c r="C193" s="402"/>
      <x:c r="D193" s="402"/>
      <x:c r="E193" s="402"/>
      <x:c r="F193" s="402"/>
      <x:c r="G193" s="402"/>
      <x:c r="H193" s="402"/>
      <x:c r="I193" s="402"/>
      <x:c r="J193" s="402"/>
      <x:c r="K193" s="402"/>
      <x:c r="L193" s="402"/>
      <x:c r="M193" s="402"/>
      <x:c r="N193" s="402"/>
      <x:c r="O193" s="402"/>
      <x:c r="P193" s="402"/>
      <x:c r="Q193" s="402"/>
      <x:c r="R193" s="402"/>
      <x:c r="S193" s="402"/>
      <x:c r="T193" s="402"/>
      <x:c r="U193" s="402"/>
      <x:c r="V193" s="402"/>
      <x:c r="W193" s="402"/>
      <x:c r="X193" s="402"/>
      <x:c r="Y193" s="402"/>
      <x:c r="Z193" s="402"/>
    </x:row>
    <x:row r="194">
      <x:c r="A194" s="402"/>
      <x:c r="B194" s="402"/>
      <x:c r="C194" s="402"/>
      <x:c r="D194" s="402"/>
      <x:c r="E194" s="402"/>
      <x:c r="F194" s="402"/>
      <x:c r="G194" s="402"/>
      <x:c r="H194" s="402"/>
      <x:c r="I194" s="402"/>
      <x:c r="J194" s="402"/>
      <x:c r="K194" s="402"/>
      <x:c r="L194" s="402"/>
      <x:c r="M194" s="402"/>
      <x:c r="N194" s="402"/>
      <x:c r="O194" s="402"/>
      <x:c r="P194" s="402"/>
      <x:c r="Q194" s="402"/>
      <x:c r="R194" s="402"/>
      <x:c r="S194" s="402"/>
      <x:c r="T194" s="402"/>
      <x:c r="U194" s="402"/>
      <x:c r="V194" s="402"/>
      <x:c r="W194" s="402"/>
      <x:c r="X194" s="402"/>
      <x:c r="Y194" s="402"/>
      <x:c r="Z194" s="402"/>
    </x:row>
    <x:row r="195">
      <x:c r="A195" s="402"/>
      <x:c r="B195" s="402"/>
      <x:c r="C195" s="402"/>
      <x:c r="D195" s="402"/>
      <x:c r="E195" s="402"/>
      <x:c r="F195" s="402"/>
      <x:c r="G195" s="402"/>
      <x:c r="H195" s="402"/>
      <x:c r="I195" s="402"/>
      <x:c r="J195" s="402"/>
      <x:c r="K195" s="402"/>
      <x:c r="L195" s="402"/>
      <x:c r="M195" s="402"/>
      <x:c r="N195" s="402"/>
      <x:c r="O195" s="402"/>
      <x:c r="P195" s="402"/>
      <x:c r="Q195" s="402"/>
      <x:c r="R195" s="402"/>
      <x:c r="S195" s="402"/>
      <x:c r="T195" s="402"/>
      <x:c r="U195" s="402"/>
      <x:c r="V195" s="402"/>
      <x:c r="W195" s="402"/>
      <x:c r="X195" s="402"/>
      <x:c r="Y195" s="402"/>
      <x:c r="Z195" s="402"/>
    </x:row>
    <x:row r="196">
      <x:c r="A196" s="402"/>
      <x:c r="B196" s="402"/>
      <x:c r="C196" s="402"/>
      <x:c r="D196" s="402"/>
      <x:c r="E196" s="402"/>
      <x:c r="F196" s="402"/>
      <x:c r="G196" s="402"/>
      <x:c r="H196" s="402"/>
      <x:c r="I196" s="402"/>
      <x:c r="J196" s="402"/>
      <x:c r="K196" s="402"/>
      <x:c r="L196" s="402"/>
      <x:c r="M196" s="402"/>
      <x:c r="N196" s="402"/>
      <x:c r="O196" s="402"/>
      <x:c r="P196" s="402"/>
      <x:c r="Q196" s="402"/>
      <x:c r="R196" s="402"/>
      <x:c r="S196" s="402"/>
      <x:c r="T196" s="402"/>
      <x:c r="U196" s="402"/>
      <x:c r="V196" s="402"/>
      <x:c r="W196" s="402"/>
      <x:c r="X196" s="402"/>
      <x:c r="Y196" s="402"/>
      <x:c r="Z196" s="402"/>
    </x:row>
    <x:row r="197">
      <x:c r="A197" s="402"/>
      <x:c r="B197" s="402"/>
      <x:c r="C197" s="402"/>
      <x:c r="D197" s="402"/>
      <x:c r="E197" s="402"/>
      <x:c r="F197" s="402"/>
      <x:c r="G197" s="402"/>
      <x:c r="H197" s="402"/>
      <x:c r="I197" s="402"/>
      <x:c r="J197" s="402"/>
      <x:c r="K197" s="402"/>
      <x:c r="L197" s="402"/>
      <x:c r="M197" s="402"/>
      <x:c r="N197" s="402"/>
      <x:c r="O197" s="402"/>
      <x:c r="P197" s="402"/>
      <x:c r="Q197" s="402"/>
      <x:c r="R197" s="402"/>
      <x:c r="S197" s="402"/>
      <x:c r="T197" s="402"/>
      <x:c r="U197" s="402"/>
      <x:c r="V197" s="402"/>
      <x:c r="W197" s="402"/>
      <x:c r="X197" s="402"/>
      <x:c r="Y197" s="402"/>
      <x:c r="Z197" s="402"/>
    </x:row>
    <x:row r="198">
      <x:c r="A198" s="402"/>
      <x:c r="B198" s="402"/>
      <x:c r="C198" s="402"/>
      <x:c r="D198" s="402"/>
      <x:c r="E198" s="402"/>
      <x:c r="F198" s="402"/>
      <x:c r="G198" s="402"/>
      <x:c r="H198" s="402"/>
      <x:c r="I198" s="402"/>
      <x:c r="J198" s="402"/>
      <x:c r="K198" s="402"/>
      <x:c r="L198" s="402"/>
      <x:c r="M198" s="402"/>
      <x:c r="N198" s="402"/>
      <x:c r="O198" s="402"/>
      <x:c r="P198" s="402"/>
      <x:c r="Q198" s="402"/>
      <x:c r="R198" s="402"/>
      <x:c r="S198" s="402"/>
      <x:c r="T198" s="402"/>
      <x:c r="U198" s="402"/>
      <x:c r="V198" s="402"/>
      <x:c r="W198" s="402"/>
      <x:c r="X198" s="402"/>
      <x:c r="Y198" s="402"/>
      <x:c r="Z198" s="402"/>
    </x:row>
    <x:row r="199">
      <x:c r="A199" s="402"/>
      <x:c r="B199" s="402"/>
      <x:c r="C199" s="402"/>
      <x:c r="D199" s="402"/>
      <x:c r="E199" s="402"/>
      <x:c r="F199" s="402"/>
      <x:c r="G199" s="402"/>
      <x:c r="H199" s="402"/>
      <x:c r="I199" s="402"/>
      <x:c r="J199" s="402"/>
      <x:c r="K199" s="402"/>
      <x:c r="L199" s="402"/>
      <x:c r="M199" s="402"/>
      <x:c r="N199" s="402"/>
      <x:c r="O199" s="402"/>
      <x:c r="P199" s="402"/>
      <x:c r="Q199" s="402"/>
      <x:c r="R199" s="402"/>
      <x:c r="S199" s="402"/>
      <x:c r="T199" s="402"/>
      <x:c r="U199" s="402"/>
      <x:c r="V199" s="402"/>
      <x:c r="W199" s="402"/>
      <x:c r="X199" s="402"/>
      <x:c r="Y199" s="402"/>
      <x:c r="Z199" s="402"/>
    </x:row>
    <x:row r="200">
      <x:c r="A200" s="402"/>
      <x:c r="B200" s="402"/>
      <x:c r="C200" s="402"/>
      <x:c r="D200" s="402"/>
      <x:c r="E200" s="402"/>
      <x:c r="F200" s="402"/>
      <x:c r="G200" s="402"/>
      <x:c r="H200" s="402"/>
      <x:c r="I200" s="402"/>
      <x:c r="J200" s="402"/>
      <x:c r="K200" s="402"/>
      <x:c r="L200" s="402"/>
      <x:c r="M200" s="402"/>
      <x:c r="N200" s="402"/>
      <x:c r="O200" s="402"/>
      <x:c r="P200" s="402"/>
      <x:c r="Q200" s="402"/>
      <x:c r="R200" s="402"/>
      <x:c r="S200" s="402"/>
      <x:c r="T200" s="402"/>
      <x:c r="U200" s="402"/>
      <x:c r="V200" s="402"/>
      <x:c r="W200" s="402"/>
      <x:c r="X200" s="402"/>
      <x:c r="Y200" s="402"/>
      <x:c r="Z200" s="402"/>
    </x:row>
  </x:sheetData>
  <x:mergeCells>
    <x:mergeCell ref="A1:H2"/>
  </x:mergeCells>
  <x:conditionalFormatting sqref="E5:E12">
    <x:cfRule type="expression" dxfId="2" priority="1">
      <x:formula>E5="PASS"</x:formula>
    </x:cfRule>
    <x:cfRule type="expression" dxfId="3" priority="2">
      <x:formula>E5="OPEN"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8" hidden="0" customWidth="1"/>
    <x:col min="3" max="3" width="20" hidden="0" customWidth="1"/>
    <x:col min="4" max="4" width="37" hidden="0" customWidth="1"/>
    <x:col min="5" max="5" width="36" hidden="0" customWidth="1"/>
    <x:col min="6" max="6" width="15" hidden="0" customWidth="1"/>
    <x:col min="7" max="7" width="24" hidden="0" customWidth="1"/>
    <x:col min="8" max="8" width="34" hidden="0" customWidth="1"/>
  </x:cols>
  <x:sheetData>
    <x:row r="1">
      <x:c r="A1" s="305" t="str">
        <x:v>Role</x:v>
      </x:c>
      <x:c r="B1" s="305" t="str">
        <x:v>Target Start Month</x:v>
      </x:c>
      <x:c r="C1" s="305" t="str">
        <x:v>Annual Fully Loaded Cost</x:v>
      </x:c>
      <x:c r="D1" s="305" t="str">
        <x:v>Mission</x:v>
      </x:c>
      <x:c r="E1" s="305" t="str">
        <x:v>Founder Bottleneck Removed</x:v>
      </x:c>
      <x:c r="F1" s="305" t="str">
        <x:v>Status</x:v>
      </x:c>
      <x:c r="G1" s="305" t="str">
        <x:v>Candidate</x:v>
      </x:c>
      <x:c r="H1" s="305" t="str">
        <x:v>Notes</x:v>
      </x:c>
      <x:c r="I1" s="402"/>
      <x:c r="J1" s="402"/>
      <x:c r="K1" s="402"/>
      <x:c r="L1" s="402"/>
      <x:c r="M1" s="402"/>
      <x:c r="N1" s="402"/>
      <x:c r="O1" s="402"/>
      <x:c r="P1" s="402"/>
      <x:c r="Q1" s="402"/>
      <x:c r="R1" s="402"/>
      <x:c r="S1" s="402"/>
      <x:c r="T1" s="402"/>
      <x:c r="U1" s="402"/>
      <x:c r="V1" s="402"/>
      <x:c r="W1" s="402"/>
      <x:c r="X1" s="402"/>
      <x:c r="Y1" s="402"/>
      <x:c r="Z1" s="402"/>
    </x:row>
    <x:row r="2">
      <x:c r="A2" s="402" t="str">
        <x:v>President / COO</x:v>
      </x:c>
      <x:c r="B2" s="494" t="n">
        <x:v>3</x:v>
      </x:c>
      <x:c r="C2" s="558" t="n">
        <x:v>250000</x:v>
      </x:c>
      <x:c r="D2" s="495" t="str">
        <x:v>Repeatable acquisition and delivery</x:v>
      </x:c>
      <x:c r="E2" s="495" t="str">
        <x:v>Operating cadence and delegation</x:v>
      </x:c>
      <x:c r="F2" s="495" t="str">
        <x:v>Not Started</x:v>
      </x:c>
      <x:c r="G2" s="495" t="str"/>
      <x:c r="H2" s="496" t="str"/>
      <x:c r="I2" s="402"/>
      <x:c r="J2" s="402"/>
      <x:c r="K2" s="402"/>
      <x:c r="L2" s="402"/>
      <x:c r="M2" s="402"/>
      <x:c r="N2" s="402"/>
      <x:c r="O2" s="402"/>
      <x:c r="P2" s="402"/>
      <x:c r="Q2" s="402"/>
      <x:c r="R2" s="402"/>
      <x:c r="S2" s="402"/>
      <x:c r="T2" s="402"/>
      <x:c r="U2" s="402"/>
      <x:c r="V2" s="402"/>
      <x:c r="W2" s="402"/>
      <x:c r="X2" s="402"/>
      <x:c r="Y2" s="402"/>
      <x:c r="Z2" s="402"/>
    </x:row>
    <x:row r="3">
      <x:c r="A3" s="402" t="str">
        <x:v>Chief Evidence Officer</x:v>
      </x:c>
      <x:c r="B3" s="498" t="n">
        <x:v>2</x:v>
      </x:c>
      <x:c r="C3" s="506" t="n">
        <x:v>220000</x:v>
      </x:c>
      <x:c r="D3" s="499" t="str">
        <x:v>Dockets, evaluators, replay and claims</x:v>
      </x:c>
      <x:c r="E3" s="499" t="str">
        <x:v>Independent evidence authority</x:v>
      </x:c>
      <x:c r="F3" s="499" t="str">
        <x:v>Not Started</x:v>
      </x:c>
      <x:c r="G3" s="499" t="str"/>
      <x:c r="H3" s="500" t="str"/>
      <x:c r="I3" s="402"/>
      <x:c r="J3" s="402"/>
      <x:c r="K3" s="402"/>
      <x:c r="L3" s="402"/>
      <x:c r="M3" s="402"/>
      <x:c r="N3" s="402"/>
      <x:c r="O3" s="402"/>
      <x:c r="P3" s="402"/>
      <x:c r="Q3" s="402"/>
      <x:c r="R3" s="402"/>
      <x:c r="S3" s="402"/>
      <x:c r="T3" s="402"/>
      <x:c r="U3" s="402"/>
      <x:c r="V3" s="402"/>
      <x:c r="W3" s="402"/>
      <x:c r="X3" s="402"/>
      <x:c r="Y3" s="402"/>
      <x:c r="Z3" s="402"/>
    </x:row>
    <x:row r="4">
      <x:c r="A4" s="402" t="str">
        <x:v>CTO / Runtime Lead</x:v>
      </x:c>
      <x:c r="B4" s="498" t="n">
        <x:v>4</x:v>
      </x:c>
      <x:c r="C4" s="506" t="n">
        <x:v>250000</x:v>
      </x:c>
      <x:c r="D4" s="499" t="str">
        <x:v>Models, tools, enterprise integrations</x:v>
      </x:c>
      <x:c r="E4" s="499" t="str">
        <x:v>Technical operating dependence</x:v>
      </x:c>
      <x:c r="F4" s="499" t="str">
        <x:v>Not Started</x:v>
      </x:c>
      <x:c r="G4" s="499" t="str"/>
      <x:c r="H4" s="500" t="str"/>
      <x:c r="I4" s="402"/>
      <x:c r="J4" s="402"/>
      <x:c r="K4" s="402"/>
      <x:c r="L4" s="402"/>
      <x:c r="M4" s="402"/>
      <x:c r="N4" s="402"/>
      <x:c r="O4" s="402"/>
      <x:c r="P4" s="402"/>
      <x:c r="Q4" s="402"/>
      <x:c r="R4" s="402"/>
      <x:c r="S4" s="402"/>
      <x:c r="T4" s="402"/>
      <x:c r="U4" s="402"/>
      <x:c r="V4" s="402"/>
      <x:c r="W4" s="402"/>
      <x:c r="X4" s="402"/>
      <x:c r="Y4" s="402"/>
      <x:c r="Z4" s="402"/>
    </x:row>
    <x:row r="5">
      <x:c r="A5" s="402" t="str">
        <x:v>Enterprise Sales Lead</x:v>
      </x:c>
      <x:c r="B5" s="498" t="n">
        <x:v>1</x:v>
      </x:c>
      <x:c r="C5" s="506" t="n">
        <x:v>190000</x:v>
      </x:c>
      <x:c r="D5" s="499" t="str">
        <x:v>100 named accounts and enterprise closing</x:v>
      </x:c>
      <x:c r="E5" s="499" t="str">
        <x:v>Founder-only pipeline</x:v>
      </x:c>
      <x:c r="F5" s="499" t="str">
        <x:v>Not Started</x:v>
      </x:c>
      <x:c r="G5" s="499" t="str"/>
      <x:c r="H5" s="500" t="str"/>
      <x:c r="I5" s="402"/>
      <x:c r="J5" s="402"/>
      <x:c r="K5" s="402"/>
      <x:c r="L5" s="402"/>
      <x:c r="M5" s="402"/>
      <x:c r="N5" s="402"/>
      <x:c r="O5" s="402"/>
      <x:c r="P5" s="402"/>
      <x:c r="Q5" s="402"/>
      <x:c r="R5" s="402"/>
      <x:c r="S5" s="402"/>
      <x:c r="T5" s="402"/>
      <x:c r="U5" s="402"/>
      <x:c r="V5" s="402"/>
      <x:c r="W5" s="402"/>
      <x:c r="X5" s="402"/>
      <x:c r="Y5" s="402"/>
      <x:c r="Z5" s="402"/>
    </x:row>
    <x:row r="6">
      <x:c r="A6" s="402" t="str">
        <x:v>Customer Mission Lead</x:v>
      </x:c>
      <x:c r="B6" s="498" t="n">
        <x:v>3</x:v>
      </x:c>
      <x:c r="C6" s="506" t="n">
        <x:v>170000</x:v>
      </x:c>
      <x:c r="D6" s="499" t="str">
        <x:v>Mission quality, repeat and Proof Office</x:v>
      </x:c>
      <x:c r="E6" s="499" t="str">
        <x:v>Founder-only delivery</x:v>
      </x:c>
      <x:c r="F6" s="499" t="str">
        <x:v>Not Started</x:v>
      </x:c>
      <x:c r="G6" s="499" t="str"/>
      <x:c r="H6" s="500" t="str"/>
      <x:c r="I6" s="402"/>
      <x:c r="J6" s="402"/>
      <x:c r="K6" s="402"/>
      <x:c r="L6" s="402"/>
      <x:c r="M6" s="402"/>
      <x:c r="N6" s="402"/>
      <x:c r="O6" s="402"/>
      <x:c r="P6" s="402"/>
      <x:c r="Q6" s="402"/>
      <x:c r="R6" s="402"/>
      <x:c r="S6" s="402"/>
      <x:c r="T6" s="402"/>
      <x:c r="U6" s="402"/>
      <x:c r="V6" s="402"/>
      <x:c r="W6" s="402"/>
      <x:c r="X6" s="402"/>
      <x:c r="Y6" s="402"/>
      <x:c r="Z6" s="402"/>
    </x:row>
    <x:row r="7">
      <x:c r="A7" s="402" t="str">
        <x:v>Security &amp; Identity Lead</x:v>
      </x:c>
      <x:c r="B7" s="498" t="n">
        <x:v>6</x:v>
      </x:c>
      <x:c r="C7" s="506" t="n">
        <x:v>220000</x:v>
      </x:c>
      <x:c r="D7" s="499" t="str">
        <x:v>Entitlements, ENS, Chronicle, protected execution</x:v>
      </x:c>
      <x:c r="E7" s="499" t="str">
        <x:v>Security governance</x:v>
      </x:c>
      <x:c r="F7" s="499" t="str">
        <x:v>Not Started</x:v>
      </x:c>
      <x:c r="G7" s="499" t="str"/>
      <x:c r="H7" s="500" t="str"/>
      <x:c r="I7" s="402"/>
      <x:c r="J7" s="402"/>
      <x:c r="K7" s="402"/>
      <x:c r="L7" s="402"/>
      <x:c r="M7" s="402"/>
      <x:c r="N7" s="402"/>
      <x:c r="O7" s="402"/>
      <x:c r="P7" s="402"/>
      <x:c r="Q7" s="402"/>
      <x:c r="R7" s="402"/>
      <x:c r="S7" s="402"/>
      <x:c r="T7" s="402"/>
      <x:c r="U7" s="402"/>
      <x:c r="V7" s="402"/>
      <x:c r="W7" s="402"/>
      <x:c r="X7" s="402"/>
      <x:c r="Y7" s="402"/>
      <x:c r="Z7" s="402"/>
    </x:row>
    <x:row r="8">
      <x:c r="A8" s="402" t="str">
        <x:v>Finance / Capital Lead</x:v>
      </x:c>
      <x:c r="B8" s="498" t="n">
        <x:v>9</x:v>
      </x:c>
      <x:c r="C8" s="506" t="n">
        <x:v>200000</x:v>
      </x:c>
      <x:c r="D8" s="499" t="str">
        <x:v>Unit economics, treasury and capital</x:v>
      </x:c>
      <x:c r="E8" s="499" t="str">
        <x:v>Founder-only financing</x:v>
      </x:c>
      <x:c r="F8" s="499" t="str">
        <x:v>Not Started</x:v>
      </x:c>
      <x:c r="G8" s="499" t="str"/>
      <x:c r="H8" s="500" t="str"/>
      <x:c r="I8" s="402"/>
      <x:c r="J8" s="402"/>
      <x:c r="K8" s="402"/>
      <x:c r="L8" s="402"/>
      <x:c r="M8" s="402"/>
      <x:c r="N8" s="402"/>
      <x:c r="O8" s="402"/>
      <x:c r="P8" s="402"/>
      <x:c r="Q8" s="402"/>
      <x:c r="R8" s="402"/>
      <x:c r="S8" s="402"/>
      <x:c r="T8" s="402"/>
      <x:c r="U8" s="402"/>
      <x:c r="V8" s="402"/>
      <x:c r="W8" s="402"/>
      <x:c r="X8" s="402"/>
      <x:c r="Y8" s="402"/>
      <x:c r="Z8" s="402"/>
    </x:row>
    <x:row r="9">
      <x:c r="A9" s="402"/>
      <x:c r="B9" s="498"/>
      <x:c r="C9" s="499"/>
      <x:c r="D9" s="499"/>
      <x:c r="E9" s="499"/>
      <x:c r="F9" s="499"/>
      <x:c r="G9" s="499"/>
      <x:c r="H9" s="500"/>
      <x:c r="I9" s="402"/>
      <x:c r="J9" s="402"/>
      <x:c r="K9" s="402"/>
      <x:c r="L9" s="402"/>
      <x:c r="M9" s="402"/>
      <x:c r="N9" s="402"/>
      <x:c r="O9" s="402"/>
      <x:c r="P9" s="402"/>
      <x:c r="Q9" s="402"/>
      <x:c r="R9" s="402"/>
      <x:c r="S9" s="402"/>
      <x:c r="T9" s="402"/>
      <x:c r="U9" s="402"/>
      <x:c r="V9" s="402"/>
      <x:c r="W9" s="402"/>
      <x:c r="X9" s="402"/>
      <x:c r="Y9" s="402"/>
      <x:c r="Z9" s="402"/>
    </x:row>
    <x:row r="10">
      <x:c r="A10" s="402"/>
      <x:c r="B10" s="498"/>
      <x:c r="C10" s="499"/>
      <x:c r="D10" s="499"/>
      <x:c r="E10" s="499"/>
      <x:c r="F10" s="499"/>
      <x:c r="G10" s="499"/>
      <x:c r="H10" s="500"/>
      <x:c r="I10" s="402"/>
      <x:c r="J10" s="402"/>
      <x:c r="K10" s="402"/>
      <x:c r="L10" s="402"/>
      <x:c r="M10" s="402"/>
      <x:c r="N10" s="402"/>
      <x:c r="O10" s="402"/>
      <x:c r="P10" s="402"/>
      <x:c r="Q10" s="402"/>
      <x:c r="R10" s="402"/>
      <x:c r="S10" s="402"/>
      <x:c r="T10" s="402"/>
      <x:c r="U10" s="402"/>
      <x:c r="V10" s="402"/>
      <x:c r="W10" s="402"/>
      <x:c r="X10" s="402"/>
      <x:c r="Y10" s="402"/>
      <x:c r="Z10" s="402"/>
    </x:row>
    <x:row r="11">
      <x:c r="A11" s="402"/>
      <x:c r="B11" s="498"/>
      <x:c r="C11" s="499"/>
      <x:c r="D11" s="499"/>
      <x:c r="E11" s="499"/>
      <x:c r="F11" s="499"/>
      <x:c r="G11" s="499"/>
      <x:c r="H11" s="500"/>
      <x:c r="I11" s="402"/>
      <x:c r="J11" s="402"/>
      <x:c r="K11" s="402"/>
      <x:c r="L11" s="402"/>
      <x:c r="M11" s="402"/>
      <x:c r="N11" s="402"/>
      <x:c r="O11" s="402"/>
      <x:c r="P11" s="402"/>
      <x:c r="Q11" s="402"/>
      <x:c r="R11" s="402"/>
      <x:c r="S11" s="402"/>
      <x:c r="T11" s="402"/>
      <x:c r="U11" s="402"/>
      <x:c r="V11" s="402"/>
      <x:c r="W11" s="402"/>
      <x:c r="X11" s="402"/>
      <x:c r="Y11" s="402"/>
      <x:c r="Z11" s="402"/>
    </x:row>
    <x:row r="12">
      <x:c r="A12" s="402"/>
      <x:c r="B12" s="498"/>
      <x:c r="C12" s="499"/>
      <x:c r="D12" s="499"/>
      <x:c r="E12" s="499"/>
      <x:c r="F12" s="499"/>
      <x:c r="G12" s="499"/>
      <x:c r="H12" s="500"/>
      <x:c r="I12" s="402"/>
      <x:c r="J12" s="402"/>
      <x:c r="K12" s="402"/>
      <x:c r="L12" s="402"/>
      <x:c r="M12" s="402"/>
      <x:c r="N12" s="402"/>
      <x:c r="O12" s="402"/>
      <x:c r="P12" s="402"/>
      <x:c r="Q12" s="402"/>
      <x:c r="R12" s="402"/>
      <x:c r="S12" s="402"/>
      <x:c r="T12" s="402"/>
      <x:c r="U12" s="402"/>
      <x:c r="V12" s="402"/>
      <x:c r="W12" s="402"/>
      <x:c r="X12" s="402"/>
      <x:c r="Y12" s="402"/>
      <x:c r="Z12" s="402"/>
    </x:row>
    <x:row r="13">
      <x:c r="A13" s="402"/>
      <x:c r="B13" s="498"/>
      <x:c r="C13" s="499"/>
      <x:c r="D13" s="499"/>
      <x:c r="E13" s="499"/>
      <x:c r="F13" s="499"/>
      <x:c r="G13" s="499"/>
      <x:c r="H13" s="500"/>
      <x:c r="I13" s="402"/>
      <x:c r="J13" s="402"/>
      <x:c r="K13" s="402"/>
      <x:c r="L13" s="402"/>
      <x:c r="M13" s="402"/>
      <x:c r="N13" s="402"/>
      <x:c r="O13" s="402"/>
      <x:c r="P13" s="402"/>
      <x:c r="Q13" s="402"/>
      <x:c r="R13" s="402"/>
      <x:c r="S13" s="402"/>
      <x:c r="T13" s="402"/>
      <x:c r="U13" s="402"/>
      <x:c r="V13" s="402"/>
      <x:c r="W13" s="402"/>
      <x:c r="X13" s="402"/>
      <x:c r="Y13" s="402"/>
      <x:c r="Z13" s="402"/>
    </x:row>
    <x:row r="14">
      <x:c r="A14" s="402"/>
      <x:c r="B14" s="498"/>
      <x:c r="C14" s="499"/>
      <x:c r="D14" s="499"/>
      <x:c r="E14" s="499"/>
      <x:c r="F14" s="499"/>
      <x:c r="G14" s="499"/>
      <x:c r="H14" s="500"/>
      <x:c r="I14" s="402"/>
      <x:c r="J14" s="402"/>
      <x:c r="K14" s="402"/>
      <x:c r="L14" s="402"/>
      <x:c r="M14" s="402"/>
      <x:c r="N14" s="402"/>
      <x:c r="O14" s="402"/>
      <x:c r="P14" s="402"/>
      <x:c r="Q14" s="402"/>
      <x:c r="R14" s="402"/>
      <x:c r="S14" s="402"/>
      <x:c r="T14" s="402"/>
      <x:c r="U14" s="402"/>
      <x:c r="V14" s="402"/>
      <x:c r="W14" s="402"/>
      <x:c r="X14" s="402"/>
      <x:c r="Y14" s="402"/>
      <x:c r="Z14" s="402"/>
    </x:row>
    <x:row r="15">
      <x:c r="A15" s="402"/>
      <x:c r="B15" s="498"/>
      <x:c r="C15" s="499"/>
      <x:c r="D15" s="499"/>
      <x:c r="E15" s="499"/>
      <x:c r="F15" s="499"/>
      <x:c r="G15" s="499"/>
      <x:c r="H15" s="500"/>
      <x:c r="I15" s="402"/>
      <x:c r="J15" s="402"/>
      <x:c r="K15" s="402"/>
      <x:c r="L15" s="402"/>
      <x:c r="M15" s="402"/>
      <x:c r="N15" s="402"/>
      <x:c r="O15" s="402"/>
      <x:c r="P15" s="402"/>
      <x:c r="Q15" s="402"/>
      <x:c r="R15" s="402"/>
      <x:c r="S15" s="402"/>
      <x:c r="T15" s="402"/>
      <x:c r="U15" s="402"/>
      <x:c r="V15" s="402"/>
      <x:c r="W15" s="402"/>
      <x:c r="X15" s="402"/>
      <x:c r="Y15" s="402"/>
      <x:c r="Z15" s="402"/>
    </x:row>
    <x:row r="16">
      <x:c r="A16" s="402"/>
      <x:c r="B16" s="498"/>
      <x:c r="C16" s="499"/>
      <x:c r="D16" s="499"/>
      <x:c r="E16" s="499"/>
      <x:c r="F16" s="499"/>
      <x:c r="G16" s="499"/>
      <x:c r="H16" s="500"/>
      <x:c r="I16" s="402"/>
      <x:c r="J16" s="402"/>
      <x:c r="K16" s="402"/>
      <x:c r="L16" s="402"/>
      <x:c r="M16" s="402"/>
      <x:c r="N16" s="402"/>
      <x:c r="O16" s="402"/>
      <x:c r="P16" s="402"/>
      <x:c r="Q16" s="402"/>
      <x:c r="R16" s="402"/>
      <x:c r="S16" s="402"/>
      <x:c r="T16" s="402"/>
      <x:c r="U16" s="402"/>
      <x:c r="V16" s="402"/>
      <x:c r="W16" s="402"/>
      <x:c r="X16" s="402"/>
      <x:c r="Y16" s="402"/>
      <x:c r="Z16" s="402"/>
    </x:row>
    <x:row r="17">
      <x:c r="A17" s="402"/>
      <x:c r="B17" s="498"/>
      <x:c r="C17" s="499"/>
      <x:c r="D17" s="499"/>
      <x:c r="E17" s="499"/>
      <x:c r="F17" s="499"/>
      <x:c r="G17" s="499"/>
      <x:c r="H17" s="500"/>
      <x:c r="I17" s="402"/>
      <x:c r="J17" s="402"/>
      <x:c r="K17" s="402"/>
      <x:c r="L17" s="402"/>
      <x:c r="M17" s="402"/>
      <x:c r="N17" s="402"/>
      <x:c r="O17" s="402"/>
      <x:c r="P17" s="402"/>
      <x:c r="Q17" s="402"/>
      <x:c r="R17" s="402"/>
      <x:c r="S17" s="402"/>
      <x:c r="T17" s="402"/>
      <x:c r="U17" s="402"/>
      <x:c r="V17" s="402"/>
      <x:c r="W17" s="402"/>
      <x:c r="X17" s="402"/>
      <x:c r="Y17" s="402"/>
      <x:c r="Z17" s="402"/>
    </x:row>
    <x:row r="18">
      <x:c r="A18" s="402"/>
      <x:c r="B18" s="498"/>
      <x:c r="C18" s="499"/>
      <x:c r="D18" s="499"/>
      <x:c r="E18" s="499"/>
      <x:c r="F18" s="499"/>
      <x:c r="G18" s="499"/>
      <x:c r="H18" s="500"/>
      <x:c r="I18" s="402"/>
      <x:c r="J18" s="402"/>
      <x:c r="K18" s="402"/>
      <x:c r="L18" s="402"/>
      <x:c r="M18" s="402"/>
      <x:c r="N18" s="402"/>
      <x:c r="O18" s="402"/>
      <x:c r="P18" s="402"/>
      <x:c r="Q18" s="402"/>
      <x:c r="R18" s="402"/>
      <x:c r="S18" s="402"/>
      <x:c r="T18" s="402"/>
      <x:c r="U18" s="402"/>
      <x:c r="V18" s="402"/>
      <x:c r="W18" s="402"/>
      <x:c r="X18" s="402"/>
      <x:c r="Y18" s="402"/>
      <x:c r="Z18" s="402"/>
    </x:row>
    <x:row r="19">
      <x:c r="A19" s="402"/>
      <x:c r="B19" s="498"/>
      <x:c r="C19" s="499"/>
      <x:c r="D19" s="499"/>
      <x:c r="E19" s="499"/>
      <x:c r="F19" s="499"/>
      <x:c r="G19" s="499"/>
      <x:c r="H19" s="500"/>
      <x:c r="I19" s="402"/>
      <x:c r="J19" s="402"/>
      <x:c r="K19" s="402"/>
      <x:c r="L19" s="402"/>
      <x:c r="M19" s="402"/>
      <x:c r="N19" s="402"/>
      <x:c r="O19" s="402"/>
      <x:c r="P19" s="402"/>
      <x:c r="Q19" s="402"/>
      <x:c r="R19" s="402"/>
      <x:c r="S19" s="402"/>
      <x:c r="T19" s="402"/>
      <x:c r="U19" s="402"/>
      <x:c r="V19" s="402"/>
      <x:c r="W19" s="402"/>
      <x:c r="X19" s="402"/>
      <x:c r="Y19" s="402"/>
      <x:c r="Z19" s="402"/>
    </x:row>
    <x:row r="20">
      <x:c r="A20" s="402"/>
      <x:c r="B20" s="498"/>
      <x:c r="C20" s="499"/>
      <x:c r="D20" s="499"/>
      <x:c r="E20" s="499"/>
      <x:c r="F20" s="499"/>
      <x:c r="G20" s="499"/>
      <x:c r="H20" s="500"/>
      <x:c r="I20" s="402"/>
      <x:c r="J20" s="402"/>
      <x:c r="K20" s="402"/>
      <x:c r="L20" s="402"/>
      <x:c r="M20" s="402"/>
      <x:c r="N20" s="402"/>
      <x:c r="O20" s="402"/>
      <x:c r="P20" s="402"/>
      <x:c r="Q20" s="402"/>
      <x:c r="R20" s="402"/>
      <x:c r="S20" s="402"/>
      <x:c r="T20" s="402"/>
      <x:c r="U20" s="402"/>
      <x:c r="V20" s="402"/>
      <x:c r="W20" s="402"/>
      <x:c r="X20" s="402"/>
      <x:c r="Y20" s="402"/>
      <x:c r="Z20" s="402"/>
    </x:row>
    <x:row r="21">
      <x:c r="A21" s="402"/>
      <x:c r="B21" s="498"/>
      <x:c r="C21" s="499"/>
      <x:c r="D21" s="499"/>
      <x:c r="E21" s="499"/>
      <x:c r="F21" s="499"/>
      <x:c r="G21" s="499"/>
      <x:c r="H21" s="500"/>
      <x:c r="I21" s="402"/>
      <x:c r="J21" s="402"/>
      <x:c r="K21" s="402"/>
      <x:c r="L21" s="402"/>
      <x:c r="M21" s="402"/>
      <x:c r="N21" s="402"/>
      <x:c r="O21" s="402"/>
      <x:c r="P21" s="402"/>
      <x:c r="Q21" s="402"/>
      <x:c r="R21" s="402"/>
      <x:c r="S21" s="402"/>
      <x:c r="T21" s="402"/>
      <x:c r="U21" s="402"/>
      <x:c r="V21" s="402"/>
      <x:c r="W21" s="402"/>
      <x:c r="X21" s="402"/>
      <x:c r="Y21" s="402"/>
      <x:c r="Z21" s="402"/>
    </x:row>
    <x:row r="22">
      <x:c r="A22" s="402"/>
      <x:c r="B22" s="498"/>
      <x:c r="C22" s="499"/>
      <x:c r="D22" s="499"/>
      <x:c r="E22" s="499"/>
      <x:c r="F22" s="499"/>
      <x:c r="G22" s="499"/>
      <x:c r="H22" s="500"/>
      <x:c r="I22" s="402"/>
      <x:c r="J22" s="402"/>
      <x:c r="K22" s="402"/>
      <x:c r="L22" s="402"/>
      <x:c r="M22" s="402"/>
      <x:c r="N22" s="402"/>
      <x:c r="O22" s="402"/>
      <x:c r="P22" s="402"/>
      <x:c r="Q22" s="402"/>
      <x:c r="R22" s="402"/>
      <x:c r="S22" s="402"/>
      <x:c r="T22" s="402"/>
      <x:c r="U22" s="402"/>
      <x:c r="V22" s="402"/>
      <x:c r="W22" s="402"/>
      <x:c r="X22" s="402"/>
      <x:c r="Y22" s="402"/>
      <x:c r="Z22" s="402"/>
    </x:row>
    <x:row r="23">
      <x:c r="A23" s="402"/>
      <x:c r="B23" s="498"/>
      <x:c r="C23" s="499"/>
      <x:c r="D23" s="499"/>
      <x:c r="E23" s="499"/>
      <x:c r="F23" s="499"/>
      <x:c r="G23" s="499"/>
      <x:c r="H23" s="500"/>
      <x:c r="I23" s="402"/>
      <x:c r="J23" s="402"/>
      <x:c r="K23" s="402"/>
      <x:c r="L23" s="402"/>
      <x:c r="M23" s="402"/>
      <x:c r="N23" s="402"/>
      <x:c r="O23" s="402"/>
      <x:c r="P23" s="402"/>
      <x:c r="Q23" s="402"/>
      <x:c r="R23" s="402"/>
      <x:c r="S23" s="402"/>
      <x:c r="T23" s="402"/>
      <x:c r="U23" s="402"/>
      <x:c r="V23" s="402"/>
      <x:c r="W23" s="402"/>
      <x:c r="X23" s="402"/>
      <x:c r="Y23" s="402"/>
      <x:c r="Z23" s="402"/>
    </x:row>
    <x:row r="24">
      <x:c r="A24" s="402"/>
      <x:c r="B24" s="498"/>
      <x:c r="C24" s="499"/>
      <x:c r="D24" s="499"/>
      <x:c r="E24" s="499"/>
      <x:c r="F24" s="499"/>
      <x:c r="G24" s="499"/>
      <x:c r="H24" s="500"/>
      <x:c r="I24" s="402"/>
      <x:c r="J24" s="402"/>
      <x:c r="K24" s="402"/>
      <x:c r="L24" s="402"/>
      <x:c r="M24" s="402"/>
      <x:c r="N24" s="402"/>
      <x:c r="O24" s="402"/>
      <x:c r="P24" s="402"/>
      <x:c r="Q24" s="402"/>
      <x:c r="R24" s="402"/>
      <x:c r="S24" s="402"/>
      <x:c r="T24" s="402"/>
      <x:c r="U24" s="402"/>
      <x:c r="V24" s="402"/>
      <x:c r="W24" s="402"/>
      <x:c r="X24" s="402"/>
      <x:c r="Y24" s="402"/>
      <x:c r="Z24" s="402"/>
    </x:row>
    <x:row r="25">
      <x:c r="A25" s="402"/>
      <x:c r="B25" s="498"/>
      <x:c r="C25" s="499"/>
      <x:c r="D25" s="499"/>
      <x:c r="E25" s="499"/>
      <x:c r="F25" s="499"/>
      <x:c r="G25" s="499"/>
      <x:c r="H25" s="500"/>
      <x:c r="I25" s="402"/>
      <x:c r="J25" s="402"/>
      <x:c r="K25" s="402"/>
      <x:c r="L25" s="402"/>
      <x:c r="M25" s="402"/>
      <x:c r="N25" s="402"/>
      <x:c r="O25" s="402"/>
      <x:c r="P25" s="402"/>
      <x:c r="Q25" s="402"/>
      <x:c r="R25" s="402"/>
      <x:c r="S25" s="402"/>
      <x:c r="T25" s="402"/>
      <x:c r="U25" s="402"/>
      <x:c r="V25" s="402"/>
      <x:c r="W25" s="402"/>
      <x:c r="X25" s="402"/>
      <x:c r="Y25" s="402"/>
      <x:c r="Z25" s="402"/>
    </x:row>
    <x:row r="26">
      <x:c r="A26" s="402"/>
      <x:c r="B26" s="498"/>
      <x:c r="C26" s="499"/>
      <x:c r="D26" s="499"/>
      <x:c r="E26" s="499"/>
      <x:c r="F26" s="499"/>
      <x:c r="G26" s="499"/>
      <x:c r="H26" s="500"/>
      <x:c r="I26" s="402"/>
      <x:c r="J26" s="402"/>
      <x:c r="K26" s="402"/>
      <x:c r="L26" s="402"/>
      <x:c r="M26" s="402"/>
      <x:c r="N26" s="402"/>
      <x:c r="O26" s="402"/>
      <x:c r="P26" s="402"/>
      <x:c r="Q26" s="402"/>
      <x:c r="R26" s="402"/>
      <x:c r="S26" s="402"/>
      <x:c r="T26" s="402"/>
      <x:c r="U26" s="402"/>
      <x:c r="V26" s="402"/>
      <x:c r="W26" s="402"/>
      <x:c r="X26" s="402"/>
      <x:c r="Y26" s="402"/>
      <x:c r="Z26" s="402"/>
    </x:row>
    <x:row r="27">
      <x:c r="A27" s="402"/>
      <x:c r="B27" s="498"/>
      <x:c r="C27" s="499"/>
      <x:c r="D27" s="499"/>
      <x:c r="E27" s="499"/>
      <x:c r="F27" s="499"/>
      <x:c r="G27" s="499"/>
      <x:c r="H27" s="500"/>
      <x:c r="I27" s="402"/>
      <x:c r="J27" s="402"/>
      <x:c r="K27" s="402"/>
      <x:c r="L27" s="402"/>
      <x:c r="M27" s="402"/>
      <x:c r="N27" s="402"/>
      <x:c r="O27" s="402"/>
      <x:c r="P27" s="402"/>
      <x:c r="Q27" s="402"/>
      <x:c r="R27" s="402"/>
      <x:c r="S27" s="402"/>
      <x:c r="T27" s="402"/>
      <x:c r="U27" s="402"/>
      <x:c r="V27" s="402"/>
      <x:c r="W27" s="402"/>
      <x:c r="X27" s="402"/>
      <x:c r="Y27" s="402"/>
      <x:c r="Z27" s="402"/>
    </x:row>
    <x:row r="28">
      <x:c r="A28" s="402"/>
      <x:c r="B28" s="498"/>
      <x:c r="C28" s="499"/>
      <x:c r="D28" s="499"/>
      <x:c r="E28" s="499"/>
      <x:c r="F28" s="499"/>
      <x:c r="G28" s="499"/>
      <x:c r="H28" s="500"/>
      <x:c r="I28" s="402"/>
      <x:c r="J28" s="402"/>
      <x:c r="K28" s="402"/>
      <x:c r="L28" s="402"/>
      <x:c r="M28" s="402"/>
      <x:c r="N28" s="402"/>
      <x:c r="O28" s="402"/>
      <x:c r="P28" s="402"/>
      <x:c r="Q28" s="402"/>
      <x:c r="R28" s="402"/>
      <x:c r="S28" s="402"/>
      <x:c r="T28" s="402"/>
      <x:c r="U28" s="402"/>
      <x:c r="V28" s="402"/>
      <x:c r="W28" s="402"/>
      <x:c r="X28" s="402"/>
      <x:c r="Y28" s="402"/>
      <x:c r="Z28" s="402"/>
    </x:row>
    <x:row r="29">
      <x:c r="A29" s="402"/>
      <x:c r="B29" s="498"/>
      <x:c r="C29" s="499"/>
      <x:c r="D29" s="499"/>
      <x:c r="E29" s="499"/>
      <x:c r="F29" s="499"/>
      <x:c r="G29" s="499"/>
      <x:c r="H29" s="500"/>
      <x:c r="I29" s="402"/>
      <x:c r="J29" s="402"/>
      <x:c r="K29" s="402"/>
      <x:c r="L29" s="402"/>
      <x:c r="M29" s="402"/>
      <x:c r="N29" s="402"/>
      <x:c r="O29" s="402"/>
      <x:c r="P29" s="402"/>
      <x:c r="Q29" s="402"/>
      <x:c r="R29" s="402"/>
      <x:c r="S29" s="402"/>
      <x:c r="T29" s="402"/>
      <x:c r="U29" s="402"/>
      <x:c r="V29" s="402"/>
      <x:c r="W29" s="402"/>
      <x:c r="X29" s="402"/>
      <x:c r="Y29" s="402"/>
      <x:c r="Z29" s="402"/>
    </x:row>
    <x:row r="30">
      <x:c r="A30" s="402"/>
      <x:c r="B30" s="498"/>
      <x:c r="C30" s="499"/>
      <x:c r="D30" s="499"/>
      <x:c r="E30" s="499"/>
      <x:c r="F30" s="499"/>
      <x:c r="G30" s="499"/>
      <x:c r="H30" s="500"/>
      <x:c r="I30" s="402"/>
      <x:c r="J30" s="402"/>
      <x:c r="K30" s="402"/>
      <x:c r="L30" s="402"/>
      <x:c r="M30" s="402"/>
      <x:c r="N30" s="402"/>
      <x:c r="O30" s="402"/>
      <x:c r="P30" s="402"/>
      <x:c r="Q30" s="402"/>
      <x:c r="R30" s="402"/>
      <x:c r="S30" s="402"/>
      <x:c r="T30" s="402"/>
      <x:c r="U30" s="402"/>
      <x:c r="V30" s="402"/>
      <x:c r="W30" s="402"/>
      <x:c r="X30" s="402"/>
      <x:c r="Y30" s="402"/>
      <x:c r="Z30" s="402"/>
    </x:row>
    <x:row r="31">
      <x:c r="A31" s="402"/>
      <x:c r="B31" s="498"/>
      <x:c r="C31" s="499"/>
      <x:c r="D31" s="499"/>
      <x:c r="E31" s="499"/>
      <x:c r="F31" s="499"/>
      <x:c r="G31" s="499"/>
      <x:c r="H31" s="500"/>
      <x:c r="I31" s="402"/>
      <x:c r="J31" s="402"/>
      <x:c r="K31" s="402"/>
      <x:c r="L31" s="402"/>
      <x:c r="M31" s="402"/>
      <x:c r="N31" s="402"/>
      <x:c r="O31" s="402"/>
      <x:c r="P31" s="402"/>
      <x:c r="Q31" s="402"/>
      <x:c r="R31" s="402"/>
      <x:c r="S31" s="402"/>
      <x:c r="T31" s="402"/>
      <x:c r="U31" s="402"/>
      <x:c r="V31" s="402"/>
      <x:c r="W31" s="402"/>
      <x:c r="X31" s="402"/>
      <x:c r="Y31" s="402"/>
      <x:c r="Z31" s="402"/>
    </x:row>
    <x:row r="32">
      <x:c r="A32" s="402"/>
      <x:c r="B32" s="498"/>
      <x:c r="C32" s="499"/>
      <x:c r="D32" s="499"/>
      <x:c r="E32" s="499"/>
      <x:c r="F32" s="499"/>
      <x:c r="G32" s="499"/>
      <x:c r="H32" s="500"/>
      <x:c r="I32" s="402"/>
      <x:c r="J32" s="402"/>
      <x:c r="K32" s="402"/>
      <x:c r="L32" s="402"/>
      <x:c r="M32" s="402"/>
      <x:c r="N32" s="402"/>
      <x:c r="O32" s="402"/>
      <x:c r="P32" s="402"/>
      <x:c r="Q32" s="402"/>
      <x:c r="R32" s="402"/>
      <x:c r="S32" s="402"/>
      <x:c r="T32" s="402"/>
      <x:c r="U32" s="402"/>
      <x:c r="V32" s="402"/>
      <x:c r="W32" s="402"/>
      <x:c r="X32" s="402"/>
      <x:c r="Y32" s="402"/>
      <x:c r="Z32" s="402"/>
    </x:row>
    <x:row r="33">
      <x:c r="A33" s="402"/>
      <x:c r="B33" s="498"/>
      <x:c r="C33" s="499"/>
      <x:c r="D33" s="499"/>
      <x:c r="E33" s="499"/>
      <x:c r="F33" s="499"/>
      <x:c r="G33" s="499"/>
      <x:c r="H33" s="500"/>
      <x:c r="I33" s="402"/>
      <x:c r="J33" s="402"/>
      <x:c r="K33" s="402"/>
      <x:c r="L33" s="402"/>
      <x:c r="M33" s="402"/>
      <x:c r="N33" s="402"/>
      <x:c r="O33" s="402"/>
      <x:c r="P33" s="402"/>
      <x:c r="Q33" s="402"/>
      <x:c r="R33" s="402"/>
      <x:c r="S33" s="402"/>
      <x:c r="T33" s="402"/>
      <x:c r="U33" s="402"/>
      <x:c r="V33" s="402"/>
      <x:c r="W33" s="402"/>
      <x:c r="X33" s="402"/>
      <x:c r="Y33" s="402"/>
      <x:c r="Z33" s="402"/>
    </x:row>
    <x:row r="34">
      <x:c r="A34" s="402"/>
      <x:c r="B34" s="498"/>
      <x:c r="C34" s="499"/>
      <x:c r="D34" s="499"/>
      <x:c r="E34" s="499"/>
      <x:c r="F34" s="499"/>
      <x:c r="G34" s="499"/>
      <x:c r="H34" s="500"/>
      <x:c r="I34" s="402"/>
      <x:c r="J34" s="402"/>
      <x:c r="K34" s="402"/>
      <x:c r="L34" s="402"/>
      <x:c r="M34" s="402"/>
      <x:c r="N34" s="402"/>
      <x:c r="O34" s="402"/>
      <x:c r="P34" s="402"/>
      <x:c r="Q34" s="402"/>
      <x:c r="R34" s="402"/>
      <x:c r="S34" s="402"/>
      <x:c r="T34" s="402"/>
      <x:c r="U34" s="402"/>
      <x:c r="V34" s="402"/>
      <x:c r="W34" s="402"/>
      <x:c r="X34" s="402"/>
      <x:c r="Y34" s="402"/>
      <x:c r="Z34" s="402"/>
    </x:row>
    <x:row r="35">
      <x:c r="A35" s="402"/>
      <x:c r="B35" s="498"/>
      <x:c r="C35" s="499"/>
      <x:c r="D35" s="499"/>
      <x:c r="E35" s="499"/>
      <x:c r="F35" s="499"/>
      <x:c r="G35" s="499"/>
      <x:c r="H35" s="500"/>
      <x:c r="I35" s="402"/>
      <x:c r="J35" s="402"/>
      <x:c r="K35" s="402"/>
      <x:c r="L35" s="402"/>
      <x:c r="M35" s="402"/>
      <x:c r="N35" s="402"/>
      <x:c r="O35" s="402"/>
      <x:c r="P35" s="402"/>
      <x:c r="Q35" s="402"/>
      <x:c r="R35" s="402"/>
      <x:c r="S35" s="402"/>
      <x:c r="T35" s="402"/>
      <x:c r="U35" s="402"/>
      <x:c r="V35" s="402"/>
      <x:c r="W35" s="402"/>
      <x:c r="X35" s="402"/>
      <x:c r="Y35" s="402"/>
      <x:c r="Z35" s="402"/>
    </x:row>
    <x:row r="36">
      <x:c r="A36" s="402"/>
      <x:c r="B36" s="498"/>
      <x:c r="C36" s="499"/>
      <x:c r="D36" s="499"/>
      <x:c r="E36" s="499"/>
      <x:c r="F36" s="499"/>
      <x:c r="G36" s="499"/>
      <x:c r="H36" s="500"/>
      <x:c r="I36" s="402"/>
      <x:c r="J36" s="402"/>
      <x:c r="K36" s="402"/>
      <x:c r="L36" s="402"/>
      <x:c r="M36" s="402"/>
      <x:c r="N36" s="402"/>
      <x:c r="O36" s="402"/>
      <x:c r="P36" s="402"/>
      <x:c r="Q36" s="402"/>
      <x:c r="R36" s="402"/>
      <x:c r="S36" s="402"/>
      <x:c r="T36" s="402"/>
      <x:c r="U36" s="402"/>
      <x:c r="V36" s="402"/>
      <x:c r="W36" s="402"/>
      <x:c r="X36" s="402"/>
      <x:c r="Y36" s="402"/>
      <x:c r="Z36" s="402"/>
    </x:row>
    <x:row r="37">
      <x:c r="A37" s="402"/>
      <x:c r="B37" s="498"/>
      <x:c r="C37" s="499"/>
      <x:c r="D37" s="499"/>
      <x:c r="E37" s="499"/>
      <x:c r="F37" s="499"/>
      <x:c r="G37" s="499"/>
      <x:c r="H37" s="500"/>
      <x:c r="I37" s="402"/>
      <x:c r="J37" s="402"/>
      <x:c r="K37" s="402"/>
      <x:c r="L37" s="402"/>
      <x:c r="M37" s="402"/>
      <x:c r="N37" s="402"/>
      <x:c r="O37" s="402"/>
      <x:c r="P37" s="402"/>
      <x:c r="Q37" s="402"/>
      <x:c r="R37" s="402"/>
      <x:c r="S37" s="402"/>
      <x:c r="T37" s="402"/>
      <x:c r="U37" s="402"/>
      <x:c r="V37" s="402"/>
      <x:c r="W37" s="402"/>
      <x:c r="X37" s="402"/>
      <x:c r="Y37" s="402"/>
      <x:c r="Z37" s="402"/>
    </x:row>
    <x:row r="38">
      <x:c r="A38" s="402"/>
      <x:c r="B38" s="498"/>
      <x:c r="C38" s="499"/>
      <x:c r="D38" s="499"/>
      <x:c r="E38" s="499"/>
      <x:c r="F38" s="499"/>
      <x:c r="G38" s="499"/>
      <x:c r="H38" s="500"/>
      <x:c r="I38" s="402"/>
      <x:c r="J38" s="402"/>
      <x:c r="K38" s="402"/>
      <x:c r="L38" s="402"/>
      <x:c r="M38" s="402"/>
      <x:c r="N38" s="402"/>
      <x:c r="O38" s="402"/>
      <x:c r="P38" s="402"/>
      <x:c r="Q38" s="402"/>
      <x:c r="R38" s="402"/>
      <x:c r="S38" s="402"/>
      <x:c r="T38" s="402"/>
      <x:c r="U38" s="402"/>
      <x:c r="V38" s="402"/>
      <x:c r="W38" s="402"/>
      <x:c r="X38" s="402"/>
      <x:c r="Y38" s="402"/>
      <x:c r="Z38" s="402"/>
    </x:row>
    <x:row r="39">
      <x:c r="A39" s="402"/>
      <x:c r="B39" s="498"/>
      <x:c r="C39" s="499"/>
      <x:c r="D39" s="499"/>
      <x:c r="E39" s="499"/>
      <x:c r="F39" s="499"/>
      <x:c r="G39" s="499"/>
      <x:c r="H39" s="500"/>
      <x:c r="I39" s="402"/>
      <x:c r="J39" s="402"/>
      <x:c r="K39" s="402"/>
      <x:c r="L39" s="402"/>
      <x:c r="M39" s="402"/>
      <x:c r="N39" s="402"/>
      <x:c r="O39" s="402"/>
      <x:c r="P39" s="402"/>
      <x:c r="Q39" s="402"/>
      <x:c r="R39" s="402"/>
      <x:c r="S39" s="402"/>
      <x:c r="T39" s="402"/>
      <x:c r="U39" s="402"/>
      <x:c r="V39" s="402"/>
      <x:c r="W39" s="402"/>
      <x:c r="X39" s="402"/>
      <x:c r="Y39" s="402"/>
      <x:c r="Z39" s="402"/>
    </x:row>
    <x:row r="40">
      <x:c r="A40" s="402"/>
      <x:c r="B40" s="498"/>
      <x:c r="C40" s="499"/>
      <x:c r="D40" s="499"/>
      <x:c r="E40" s="499"/>
      <x:c r="F40" s="499"/>
      <x:c r="G40" s="499"/>
      <x:c r="H40" s="500"/>
      <x:c r="I40" s="402"/>
      <x:c r="J40" s="402"/>
      <x:c r="K40" s="402"/>
      <x:c r="L40" s="402"/>
      <x:c r="M40" s="402"/>
      <x:c r="N40" s="402"/>
      <x:c r="O40" s="402"/>
      <x:c r="P40" s="402"/>
      <x:c r="Q40" s="402"/>
      <x:c r="R40" s="402"/>
      <x:c r="S40" s="402"/>
      <x:c r="T40" s="402"/>
      <x:c r="U40" s="402"/>
      <x:c r="V40" s="402"/>
      <x:c r="W40" s="402"/>
      <x:c r="X40" s="402"/>
      <x:c r="Y40" s="402"/>
      <x:c r="Z40" s="402"/>
    </x:row>
    <x:row r="41">
      <x:c r="A41" s="402"/>
      <x:c r="B41" s="498"/>
      <x:c r="C41" s="499"/>
      <x:c r="D41" s="499"/>
      <x:c r="E41" s="499"/>
      <x:c r="F41" s="499"/>
      <x:c r="G41" s="499"/>
      <x:c r="H41" s="500"/>
      <x:c r="I41" s="402"/>
      <x:c r="J41" s="402"/>
      <x:c r="K41" s="402"/>
      <x:c r="L41" s="402"/>
      <x:c r="M41" s="402"/>
      <x:c r="N41" s="402"/>
      <x:c r="O41" s="402"/>
      <x:c r="P41" s="402"/>
      <x:c r="Q41" s="402"/>
      <x:c r="R41" s="402"/>
      <x:c r="S41" s="402"/>
      <x:c r="T41" s="402"/>
      <x:c r="U41" s="402"/>
      <x:c r="V41" s="402"/>
      <x:c r="W41" s="402"/>
      <x:c r="X41" s="402"/>
      <x:c r="Y41" s="402"/>
      <x:c r="Z41" s="402"/>
    </x:row>
    <x:row r="42">
      <x:c r="A42" s="402"/>
      <x:c r="B42" s="498"/>
      <x:c r="C42" s="499"/>
      <x:c r="D42" s="499"/>
      <x:c r="E42" s="499"/>
      <x:c r="F42" s="499"/>
      <x:c r="G42" s="499"/>
      <x:c r="H42" s="500"/>
      <x:c r="I42" s="402"/>
      <x:c r="J42" s="402"/>
      <x:c r="K42" s="402"/>
      <x:c r="L42" s="402"/>
      <x:c r="M42" s="402"/>
      <x:c r="N42" s="402"/>
      <x:c r="O42" s="402"/>
      <x:c r="P42" s="402"/>
      <x:c r="Q42" s="402"/>
      <x:c r="R42" s="402"/>
      <x:c r="S42" s="402"/>
      <x:c r="T42" s="402"/>
      <x:c r="U42" s="402"/>
      <x:c r="V42" s="402"/>
      <x:c r="W42" s="402"/>
      <x:c r="X42" s="402"/>
      <x:c r="Y42" s="402"/>
      <x:c r="Z42" s="402"/>
    </x:row>
    <x:row r="43">
      <x:c r="A43" s="402"/>
      <x:c r="B43" s="498"/>
      <x:c r="C43" s="499"/>
      <x:c r="D43" s="499"/>
      <x:c r="E43" s="499"/>
      <x:c r="F43" s="499"/>
      <x:c r="G43" s="499"/>
      <x:c r="H43" s="500"/>
      <x:c r="I43" s="402"/>
      <x:c r="J43" s="402"/>
      <x:c r="K43" s="402"/>
      <x:c r="L43" s="402"/>
      <x:c r="M43" s="402"/>
      <x:c r="N43" s="402"/>
      <x:c r="O43" s="402"/>
      <x:c r="P43" s="402"/>
      <x:c r="Q43" s="402"/>
      <x:c r="R43" s="402"/>
      <x:c r="S43" s="402"/>
      <x:c r="T43" s="402"/>
      <x:c r="U43" s="402"/>
      <x:c r="V43" s="402"/>
      <x:c r="W43" s="402"/>
      <x:c r="X43" s="402"/>
      <x:c r="Y43" s="402"/>
      <x:c r="Z43" s="402"/>
    </x:row>
    <x:row r="44">
      <x:c r="A44" s="402"/>
      <x:c r="B44" s="498"/>
      <x:c r="C44" s="499"/>
      <x:c r="D44" s="499"/>
      <x:c r="E44" s="499"/>
      <x:c r="F44" s="499"/>
      <x:c r="G44" s="499"/>
      <x:c r="H44" s="500"/>
      <x:c r="I44" s="402"/>
      <x:c r="J44" s="402"/>
      <x:c r="K44" s="402"/>
      <x:c r="L44" s="402"/>
      <x:c r="M44" s="402"/>
      <x:c r="N44" s="402"/>
      <x:c r="O44" s="402"/>
      <x:c r="P44" s="402"/>
      <x:c r="Q44" s="402"/>
      <x:c r="R44" s="402"/>
      <x:c r="S44" s="402"/>
      <x:c r="T44" s="402"/>
      <x:c r="U44" s="402"/>
      <x:c r="V44" s="402"/>
      <x:c r="W44" s="402"/>
      <x:c r="X44" s="402"/>
      <x:c r="Y44" s="402"/>
      <x:c r="Z44" s="402"/>
    </x:row>
    <x:row r="45">
      <x:c r="A45" s="402"/>
      <x:c r="B45" s="498"/>
      <x:c r="C45" s="499"/>
      <x:c r="D45" s="499"/>
      <x:c r="E45" s="499"/>
      <x:c r="F45" s="499"/>
      <x:c r="G45" s="499"/>
      <x:c r="H45" s="500"/>
      <x:c r="I45" s="402"/>
      <x:c r="J45" s="402"/>
      <x:c r="K45" s="402"/>
      <x:c r="L45" s="402"/>
      <x:c r="M45" s="402"/>
      <x:c r="N45" s="402"/>
      <x:c r="O45" s="402"/>
      <x:c r="P45" s="402"/>
      <x:c r="Q45" s="402"/>
      <x:c r="R45" s="402"/>
      <x:c r="S45" s="402"/>
      <x:c r="T45" s="402"/>
      <x:c r="U45" s="402"/>
      <x:c r="V45" s="402"/>
      <x:c r="W45" s="402"/>
      <x:c r="X45" s="402"/>
      <x:c r="Y45" s="402"/>
      <x:c r="Z45" s="402"/>
    </x:row>
    <x:row r="46">
      <x:c r="A46" s="402"/>
      <x:c r="B46" s="498"/>
      <x:c r="C46" s="499"/>
      <x:c r="D46" s="499"/>
      <x:c r="E46" s="499"/>
      <x:c r="F46" s="499"/>
      <x:c r="G46" s="499"/>
      <x:c r="H46" s="500"/>
      <x:c r="I46" s="402"/>
      <x:c r="J46" s="402"/>
      <x:c r="K46" s="402"/>
      <x:c r="L46" s="402"/>
      <x:c r="M46" s="402"/>
      <x:c r="N46" s="402"/>
      <x:c r="O46" s="402"/>
      <x:c r="P46" s="402"/>
      <x:c r="Q46" s="402"/>
      <x:c r="R46" s="402"/>
      <x:c r="S46" s="402"/>
      <x:c r="T46" s="402"/>
      <x:c r="U46" s="402"/>
      <x:c r="V46" s="402"/>
      <x:c r="W46" s="402"/>
      <x:c r="X46" s="402"/>
      <x:c r="Y46" s="402"/>
      <x:c r="Z46" s="402"/>
    </x:row>
    <x:row r="47">
      <x:c r="A47" s="402"/>
      <x:c r="B47" s="498"/>
      <x:c r="C47" s="499"/>
      <x:c r="D47" s="499"/>
      <x:c r="E47" s="499"/>
      <x:c r="F47" s="499"/>
      <x:c r="G47" s="499"/>
      <x:c r="H47" s="500"/>
      <x:c r="I47" s="402"/>
      <x:c r="J47" s="402"/>
      <x:c r="K47" s="402"/>
      <x:c r="L47" s="402"/>
      <x:c r="M47" s="402"/>
      <x:c r="N47" s="402"/>
      <x:c r="O47" s="402"/>
      <x:c r="P47" s="402"/>
      <x:c r="Q47" s="402"/>
      <x:c r="R47" s="402"/>
      <x:c r="S47" s="402"/>
      <x:c r="T47" s="402"/>
      <x:c r="U47" s="402"/>
      <x:c r="V47" s="402"/>
      <x:c r="W47" s="402"/>
      <x:c r="X47" s="402"/>
      <x:c r="Y47" s="402"/>
      <x:c r="Z47" s="402"/>
    </x:row>
    <x:row r="48">
      <x:c r="A48" s="402"/>
      <x:c r="B48" s="498"/>
      <x:c r="C48" s="499"/>
      <x:c r="D48" s="499"/>
      <x:c r="E48" s="499"/>
      <x:c r="F48" s="499"/>
      <x:c r="G48" s="499"/>
      <x:c r="H48" s="500"/>
      <x:c r="I48" s="402"/>
      <x:c r="J48" s="402"/>
      <x:c r="K48" s="402"/>
      <x:c r="L48" s="402"/>
      <x:c r="M48" s="402"/>
      <x:c r="N48" s="402"/>
      <x:c r="O48" s="402"/>
      <x:c r="P48" s="402"/>
      <x:c r="Q48" s="402"/>
      <x:c r="R48" s="402"/>
      <x:c r="S48" s="402"/>
      <x:c r="T48" s="402"/>
      <x:c r="U48" s="402"/>
      <x:c r="V48" s="402"/>
      <x:c r="W48" s="402"/>
      <x:c r="X48" s="402"/>
      <x:c r="Y48" s="402"/>
      <x:c r="Z48" s="402"/>
    </x:row>
    <x:row r="49">
      <x:c r="A49" s="402"/>
      <x:c r="B49" s="498"/>
      <x:c r="C49" s="499"/>
      <x:c r="D49" s="499"/>
      <x:c r="E49" s="499"/>
      <x:c r="F49" s="499"/>
      <x:c r="G49" s="499"/>
      <x:c r="H49" s="500"/>
      <x:c r="I49" s="402"/>
      <x:c r="J49" s="402"/>
      <x:c r="K49" s="402"/>
      <x:c r="L49" s="402"/>
      <x:c r="M49" s="402"/>
      <x:c r="N49" s="402"/>
      <x:c r="O49" s="402"/>
      <x:c r="P49" s="402"/>
      <x:c r="Q49" s="402"/>
      <x:c r="R49" s="402"/>
      <x:c r="S49" s="402"/>
      <x:c r="T49" s="402"/>
      <x:c r="U49" s="402"/>
      <x:c r="V49" s="402"/>
      <x:c r="W49" s="402"/>
      <x:c r="X49" s="402"/>
      <x:c r="Y49" s="402"/>
      <x:c r="Z49" s="402"/>
    </x:row>
    <x:row r="50">
      <x:c r="A50" s="402"/>
      <x:c r="B50" s="498"/>
      <x:c r="C50" s="499"/>
      <x:c r="D50" s="499"/>
      <x:c r="E50" s="499"/>
      <x:c r="F50" s="499"/>
      <x:c r="G50" s="499"/>
      <x:c r="H50" s="500"/>
      <x:c r="I50" s="402"/>
      <x:c r="J50" s="402"/>
      <x:c r="K50" s="402"/>
      <x:c r="L50" s="402"/>
      <x:c r="M50" s="402"/>
      <x:c r="N50" s="402"/>
      <x:c r="O50" s="402"/>
      <x:c r="P50" s="402"/>
      <x:c r="Q50" s="402"/>
      <x:c r="R50" s="402"/>
      <x:c r="S50" s="402"/>
      <x:c r="T50" s="402"/>
      <x:c r="U50" s="402"/>
      <x:c r="V50" s="402"/>
      <x:c r="W50" s="402"/>
      <x:c r="X50" s="402"/>
      <x:c r="Y50" s="402"/>
      <x:c r="Z50" s="402"/>
    </x:row>
    <x:row r="51">
      <x:c r="A51" s="402"/>
      <x:c r="B51" s="498"/>
      <x:c r="C51" s="499"/>
      <x:c r="D51" s="499"/>
      <x:c r="E51" s="499"/>
      <x:c r="F51" s="499"/>
      <x:c r="G51" s="499"/>
      <x:c r="H51" s="500"/>
      <x:c r="I51" s="402"/>
      <x:c r="J51" s="402"/>
      <x:c r="K51" s="402"/>
      <x:c r="L51" s="402"/>
      <x:c r="M51" s="402"/>
      <x:c r="N51" s="402"/>
      <x:c r="O51" s="402"/>
      <x:c r="P51" s="402"/>
      <x:c r="Q51" s="402"/>
      <x:c r="R51" s="402"/>
      <x:c r="S51" s="402"/>
      <x:c r="T51" s="402"/>
      <x:c r="U51" s="402"/>
      <x:c r="V51" s="402"/>
      <x:c r="W51" s="402"/>
      <x:c r="X51" s="402"/>
      <x:c r="Y51" s="402"/>
      <x:c r="Z51" s="402"/>
    </x:row>
    <x:row r="52">
      <x:c r="A52" s="402"/>
      <x:c r="B52" s="498"/>
      <x:c r="C52" s="499"/>
      <x:c r="D52" s="499"/>
      <x:c r="E52" s="499"/>
      <x:c r="F52" s="499"/>
      <x:c r="G52" s="499"/>
      <x:c r="H52" s="500"/>
      <x:c r="I52" s="402"/>
      <x:c r="J52" s="402"/>
      <x:c r="K52" s="402"/>
      <x:c r="L52" s="402"/>
      <x:c r="M52" s="402"/>
      <x:c r="N52" s="402"/>
      <x:c r="O52" s="402"/>
      <x:c r="P52" s="402"/>
      <x:c r="Q52" s="402"/>
      <x:c r="R52" s="402"/>
      <x:c r="S52" s="402"/>
      <x:c r="T52" s="402"/>
      <x:c r="U52" s="402"/>
      <x:c r="V52" s="402"/>
      <x:c r="W52" s="402"/>
      <x:c r="X52" s="402"/>
      <x:c r="Y52" s="402"/>
      <x:c r="Z52" s="402"/>
    </x:row>
    <x:row r="53">
      <x:c r="A53" s="402"/>
      <x:c r="B53" s="498"/>
      <x:c r="C53" s="499"/>
      <x:c r="D53" s="499"/>
      <x:c r="E53" s="499"/>
      <x:c r="F53" s="499"/>
      <x:c r="G53" s="499"/>
      <x:c r="H53" s="500"/>
      <x:c r="I53" s="402"/>
      <x:c r="J53" s="402"/>
      <x:c r="K53" s="402"/>
      <x:c r="L53" s="402"/>
      <x:c r="M53" s="402"/>
      <x:c r="N53" s="402"/>
      <x:c r="O53" s="402"/>
      <x:c r="P53" s="402"/>
      <x:c r="Q53" s="402"/>
      <x:c r="R53" s="402"/>
      <x:c r="S53" s="402"/>
      <x:c r="T53" s="402"/>
      <x:c r="U53" s="402"/>
      <x:c r="V53" s="402"/>
      <x:c r="W53" s="402"/>
      <x:c r="X53" s="402"/>
      <x:c r="Y53" s="402"/>
      <x:c r="Z53" s="402"/>
    </x:row>
    <x:row r="54">
      <x:c r="A54" s="402"/>
      <x:c r="B54" s="498"/>
      <x:c r="C54" s="499"/>
      <x:c r="D54" s="499"/>
      <x:c r="E54" s="499"/>
      <x:c r="F54" s="499"/>
      <x:c r="G54" s="499"/>
      <x:c r="H54" s="500"/>
      <x:c r="I54" s="402"/>
      <x:c r="J54" s="402"/>
      <x:c r="K54" s="402"/>
      <x:c r="L54" s="402"/>
      <x:c r="M54" s="402"/>
      <x:c r="N54" s="402"/>
      <x:c r="O54" s="402"/>
      <x:c r="P54" s="402"/>
      <x:c r="Q54" s="402"/>
      <x:c r="R54" s="402"/>
      <x:c r="S54" s="402"/>
      <x:c r="T54" s="402"/>
      <x:c r="U54" s="402"/>
      <x:c r="V54" s="402"/>
      <x:c r="W54" s="402"/>
      <x:c r="X54" s="402"/>
      <x:c r="Y54" s="402"/>
      <x:c r="Z54" s="402"/>
    </x:row>
    <x:row r="55">
      <x:c r="A55" s="402"/>
      <x:c r="B55" s="498"/>
      <x:c r="C55" s="499"/>
      <x:c r="D55" s="499"/>
      <x:c r="E55" s="499"/>
      <x:c r="F55" s="499"/>
      <x:c r="G55" s="499"/>
      <x:c r="H55" s="500"/>
      <x:c r="I55" s="402"/>
      <x:c r="J55" s="402"/>
      <x:c r="K55" s="402"/>
      <x:c r="L55" s="402"/>
      <x:c r="M55" s="402"/>
      <x:c r="N55" s="402"/>
      <x:c r="O55" s="402"/>
      <x:c r="P55" s="402"/>
      <x:c r="Q55" s="402"/>
      <x:c r="R55" s="402"/>
      <x:c r="S55" s="402"/>
      <x:c r="T55" s="402"/>
      <x:c r="U55" s="402"/>
      <x:c r="V55" s="402"/>
      <x:c r="W55" s="402"/>
      <x:c r="X55" s="402"/>
      <x:c r="Y55" s="402"/>
      <x:c r="Z55" s="402"/>
    </x:row>
    <x:row r="56">
      <x:c r="A56" s="402"/>
      <x:c r="B56" s="498"/>
      <x:c r="C56" s="499"/>
      <x:c r="D56" s="499"/>
      <x:c r="E56" s="499"/>
      <x:c r="F56" s="499"/>
      <x:c r="G56" s="499"/>
      <x:c r="H56" s="500"/>
      <x:c r="I56" s="402"/>
      <x:c r="J56" s="402"/>
      <x:c r="K56" s="402"/>
      <x:c r="L56" s="402"/>
      <x:c r="M56" s="402"/>
      <x:c r="N56" s="402"/>
      <x:c r="O56" s="402"/>
      <x:c r="P56" s="402"/>
      <x:c r="Q56" s="402"/>
      <x:c r="R56" s="402"/>
      <x:c r="S56" s="402"/>
      <x:c r="T56" s="402"/>
      <x:c r="U56" s="402"/>
      <x:c r="V56" s="402"/>
      <x:c r="W56" s="402"/>
      <x:c r="X56" s="402"/>
      <x:c r="Y56" s="402"/>
      <x:c r="Z56" s="402"/>
    </x:row>
    <x:row r="57">
      <x:c r="A57" s="402"/>
      <x:c r="B57" s="498"/>
      <x:c r="C57" s="499"/>
      <x:c r="D57" s="499"/>
      <x:c r="E57" s="499"/>
      <x:c r="F57" s="499"/>
      <x:c r="G57" s="499"/>
      <x:c r="H57" s="500"/>
      <x:c r="I57" s="402"/>
      <x:c r="J57" s="402"/>
      <x:c r="K57" s="402"/>
      <x:c r="L57" s="402"/>
      <x:c r="M57" s="402"/>
      <x:c r="N57" s="402"/>
      <x:c r="O57" s="402"/>
      <x:c r="P57" s="402"/>
      <x:c r="Q57" s="402"/>
      <x:c r="R57" s="402"/>
      <x:c r="S57" s="402"/>
      <x:c r="T57" s="402"/>
      <x:c r="U57" s="402"/>
      <x:c r="V57" s="402"/>
      <x:c r="W57" s="402"/>
      <x:c r="X57" s="402"/>
      <x:c r="Y57" s="402"/>
      <x:c r="Z57" s="402"/>
    </x:row>
    <x:row r="58">
      <x:c r="A58" s="402"/>
      <x:c r="B58" s="498"/>
      <x:c r="C58" s="499"/>
      <x:c r="D58" s="499"/>
      <x:c r="E58" s="499"/>
      <x:c r="F58" s="499"/>
      <x:c r="G58" s="499"/>
      <x:c r="H58" s="500"/>
      <x:c r="I58" s="402"/>
      <x:c r="J58" s="402"/>
      <x:c r="K58" s="402"/>
      <x:c r="L58" s="402"/>
      <x:c r="M58" s="402"/>
      <x:c r="N58" s="402"/>
      <x:c r="O58" s="402"/>
      <x:c r="P58" s="402"/>
      <x:c r="Q58" s="402"/>
      <x:c r="R58" s="402"/>
      <x:c r="S58" s="402"/>
      <x:c r="T58" s="402"/>
      <x:c r="U58" s="402"/>
      <x:c r="V58" s="402"/>
      <x:c r="W58" s="402"/>
      <x:c r="X58" s="402"/>
      <x:c r="Y58" s="402"/>
      <x:c r="Z58" s="402"/>
    </x:row>
    <x:row r="59">
      <x:c r="A59" s="402"/>
      <x:c r="B59" s="498"/>
      <x:c r="C59" s="499"/>
      <x:c r="D59" s="499"/>
      <x:c r="E59" s="499"/>
      <x:c r="F59" s="499"/>
      <x:c r="G59" s="499"/>
      <x:c r="H59" s="500"/>
      <x:c r="I59" s="402"/>
      <x:c r="J59" s="402"/>
      <x:c r="K59" s="402"/>
      <x:c r="L59" s="402"/>
      <x:c r="M59" s="402"/>
      <x:c r="N59" s="402"/>
      <x:c r="O59" s="402"/>
      <x:c r="P59" s="402"/>
      <x:c r="Q59" s="402"/>
      <x:c r="R59" s="402"/>
      <x:c r="S59" s="402"/>
      <x:c r="T59" s="402"/>
      <x:c r="U59" s="402"/>
      <x:c r="V59" s="402"/>
      <x:c r="W59" s="402"/>
      <x:c r="X59" s="402"/>
      <x:c r="Y59" s="402"/>
      <x:c r="Z59" s="402"/>
    </x:row>
    <x:row r="60">
      <x:c r="A60" s="402"/>
      <x:c r="B60" s="498"/>
      <x:c r="C60" s="499"/>
      <x:c r="D60" s="499"/>
      <x:c r="E60" s="499"/>
      <x:c r="F60" s="499"/>
      <x:c r="G60" s="499"/>
      <x:c r="H60" s="500"/>
      <x:c r="I60" s="402"/>
      <x:c r="J60" s="402"/>
      <x:c r="K60" s="402"/>
      <x:c r="L60" s="402"/>
      <x:c r="M60" s="402"/>
      <x:c r="N60" s="402"/>
      <x:c r="O60" s="402"/>
      <x:c r="P60" s="402"/>
      <x:c r="Q60" s="402"/>
      <x:c r="R60" s="402"/>
      <x:c r="S60" s="402"/>
      <x:c r="T60" s="402"/>
      <x:c r="U60" s="402"/>
      <x:c r="V60" s="402"/>
      <x:c r="W60" s="402"/>
      <x:c r="X60" s="402"/>
      <x:c r="Y60" s="402"/>
      <x:c r="Z60" s="402"/>
    </x:row>
    <x:row r="61">
      <x:c r="A61" s="402"/>
      <x:c r="B61" s="498"/>
      <x:c r="C61" s="499"/>
      <x:c r="D61" s="499"/>
      <x:c r="E61" s="499"/>
      <x:c r="F61" s="499"/>
      <x:c r="G61" s="499"/>
      <x:c r="H61" s="500"/>
      <x:c r="I61" s="402"/>
      <x:c r="J61" s="402"/>
      <x:c r="K61" s="402"/>
      <x:c r="L61" s="402"/>
      <x:c r="M61" s="402"/>
      <x:c r="N61" s="402"/>
      <x:c r="O61" s="402"/>
      <x:c r="P61" s="402"/>
      <x:c r="Q61" s="402"/>
      <x:c r="R61" s="402"/>
      <x:c r="S61" s="402"/>
      <x:c r="T61" s="402"/>
      <x:c r="U61" s="402"/>
      <x:c r="V61" s="402"/>
      <x:c r="W61" s="402"/>
      <x:c r="X61" s="402"/>
      <x:c r="Y61" s="402"/>
      <x:c r="Z61" s="402"/>
    </x:row>
    <x:row r="62">
      <x:c r="A62" s="402"/>
      <x:c r="B62" s="498"/>
      <x:c r="C62" s="499"/>
      <x:c r="D62" s="499"/>
      <x:c r="E62" s="499"/>
      <x:c r="F62" s="499"/>
      <x:c r="G62" s="499"/>
      <x:c r="H62" s="500"/>
      <x:c r="I62" s="402"/>
      <x:c r="J62" s="402"/>
      <x:c r="K62" s="402"/>
      <x:c r="L62" s="402"/>
      <x:c r="M62" s="402"/>
      <x:c r="N62" s="402"/>
      <x:c r="O62" s="402"/>
      <x:c r="P62" s="402"/>
      <x:c r="Q62" s="402"/>
      <x:c r="R62" s="402"/>
      <x:c r="S62" s="402"/>
      <x:c r="T62" s="402"/>
      <x:c r="U62" s="402"/>
      <x:c r="V62" s="402"/>
      <x:c r="W62" s="402"/>
      <x:c r="X62" s="402"/>
      <x:c r="Y62" s="402"/>
      <x:c r="Z62" s="402"/>
    </x:row>
    <x:row r="63">
      <x:c r="A63" s="402"/>
      <x:c r="B63" s="498"/>
      <x:c r="C63" s="499"/>
      <x:c r="D63" s="499"/>
      <x:c r="E63" s="499"/>
      <x:c r="F63" s="499"/>
      <x:c r="G63" s="499"/>
      <x:c r="H63" s="500"/>
      <x:c r="I63" s="402"/>
      <x:c r="J63" s="402"/>
      <x:c r="K63" s="402"/>
      <x:c r="L63" s="402"/>
      <x:c r="M63" s="402"/>
      <x:c r="N63" s="402"/>
      <x:c r="O63" s="402"/>
      <x:c r="P63" s="402"/>
      <x:c r="Q63" s="402"/>
      <x:c r="R63" s="402"/>
      <x:c r="S63" s="402"/>
      <x:c r="T63" s="402"/>
      <x:c r="U63" s="402"/>
      <x:c r="V63" s="402"/>
      <x:c r="W63" s="402"/>
      <x:c r="X63" s="402"/>
      <x:c r="Y63" s="402"/>
      <x:c r="Z63" s="402"/>
    </x:row>
    <x:row r="64">
      <x:c r="A64" s="402"/>
      <x:c r="B64" s="498"/>
      <x:c r="C64" s="499"/>
      <x:c r="D64" s="499"/>
      <x:c r="E64" s="499"/>
      <x:c r="F64" s="499"/>
      <x:c r="G64" s="499"/>
      <x:c r="H64" s="500"/>
      <x:c r="I64" s="402"/>
      <x:c r="J64" s="402"/>
      <x:c r="K64" s="402"/>
      <x:c r="L64" s="402"/>
      <x:c r="M64" s="402"/>
      <x:c r="N64" s="402"/>
      <x:c r="O64" s="402"/>
      <x:c r="P64" s="402"/>
      <x:c r="Q64" s="402"/>
      <x:c r="R64" s="402"/>
      <x:c r="S64" s="402"/>
      <x:c r="T64" s="402"/>
      <x:c r="U64" s="402"/>
      <x:c r="V64" s="402"/>
      <x:c r="W64" s="402"/>
      <x:c r="X64" s="402"/>
      <x:c r="Y64" s="402"/>
      <x:c r="Z64" s="402"/>
    </x:row>
    <x:row r="65">
      <x:c r="A65" s="402"/>
      <x:c r="B65" s="498"/>
      <x:c r="C65" s="499"/>
      <x:c r="D65" s="499"/>
      <x:c r="E65" s="499"/>
      <x:c r="F65" s="499"/>
      <x:c r="G65" s="499"/>
      <x:c r="H65" s="500"/>
      <x:c r="I65" s="402"/>
      <x:c r="J65" s="402"/>
      <x:c r="K65" s="402"/>
      <x:c r="L65" s="402"/>
      <x:c r="M65" s="402"/>
      <x:c r="N65" s="402"/>
      <x:c r="O65" s="402"/>
      <x:c r="P65" s="402"/>
      <x:c r="Q65" s="402"/>
      <x:c r="R65" s="402"/>
      <x:c r="S65" s="402"/>
      <x:c r="T65" s="402"/>
      <x:c r="U65" s="402"/>
      <x:c r="V65" s="402"/>
      <x:c r="W65" s="402"/>
      <x:c r="X65" s="402"/>
      <x:c r="Y65" s="402"/>
      <x:c r="Z65" s="402"/>
    </x:row>
    <x:row r="66">
      <x:c r="A66" s="402"/>
      <x:c r="B66" s="498"/>
      <x:c r="C66" s="499"/>
      <x:c r="D66" s="499"/>
      <x:c r="E66" s="499"/>
      <x:c r="F66" s="499"/>
      <x:c r="G66" s="499"/>
      <x:c r="H66" s="500"/>
      <x:c r="I66" s="402"/>
      <x:c r="J66" s="402"/>
      <x:c r="K66" s="402"/>
      <x:c r="L66" s="402"/>
      <x:c r="M66" s="402"/>
      <x:c r="N66" s="402"/>
      <x:c r="O66" s="402"/>
      <x:c r="P66" s="402"/>
      <x:c r="Q66" s="402"/>
      <x:c r="R66" s="402"/>
      <x:c r="S66" s="402"/>
      <x:c r="T66" s="402"/>
      <x:c r="U66" s="402"/>
      <x:c r="V66" s="402"/>
      <x:c r="W66" s="402"/>
      <x:c r="X66" s="402"/>
      <x:c r="Y66" s="402"/>
      <x:c r="Z66" s="402"/>
    </x:row>
    <x:row r="67">
      <x:c r="A67" s="402"/>
      <x:c r="B67" s="498"/>
      <x:c r="C67" s="499"/>
      <x:c r="D67" s="499"/>
      <x:c r="E67" s="499"/>
      <x:c r="F67" s="499"/>
      <x:c r="G67" s="499"/>
      <x:c r="H67" s="500"/>
      <x:c r="I67" s="402"/>
      <x:c r="J67" s="402"/>
      <x:c r="K67" s="402"/>
      <x:c r="L67" s="402"/>
      <x:c r="M67" s="402"/>
      <x:c r="N67" s="402"/>
      <x:c r="O67" s="402"/>
      <x:c r="P67" s="402"/>
      <x:c r="Q67" s="402"/>
      <x:c r="R67" s="402"/>
      <x:c r="S67" s="402"/>
      <x:c r="T67" s="402"/>
      <x:c r="U67" s="402"/>
      <x:c r="V67" s="402"/>
      <x:c r="W67" s="402"/>
      <x:c r="X67" s="402"/>
      <x:c r="Y67" s="402"/>
      <x:c r="Z67" s="402"/>
    </x:row>
    <x:row r="68">
      <x:c r="A68" s="402"/>
      <x:c r="B68" s="498"/>
      <x:c r="C68" s="499"/>
      <x:c r="D68" s="499"/>
      <x:c r="E68" s="499"/>
      <x:c r="F68" s="499"/>
      <x:c r="G68" s="499"/>
      <x:c r="H68" s="500"/>
      <x:c r="I68" s="402"/>
      <x:c r="J68" s="402"/>
      <x:c r="K68" s="402"/>
      <x:c r="L68" s="402"/>
      <x:c r="M68" s="402"/>
      <x:c r="N68" s="402"/>
      <x:c r="O68" s="402"/>
      <x:c r="P68" s="402"/>
      <x:c r="Q68" s="402"/>
      <x:c r="R68" s="402"/>
      <x:c r="S68" s="402"/>
      <x:c r="T68" s="402"/>
      <x:c r="U68" s="402"/>
      <x:c r="V68" s="402"/>
      <x:c r="W68" s="402"/>
      <x:c r="X68" s="402"/>
      <x:c r="Y68" s="402"/>
      <x:c r="Z68" s="402"/>
    </x:row>
    <x:row r="69">
      <x:c r="A69" s="402"/>
      <x:c r="B69" s="498"/>
      <x:c r="C69" s="499"/>
      <x:c r="D69" s="499"/>
      <x:c r="E69" s="499"/>
      <x:c r="F69" s="499"/>
      <x:c r="G69" s="499"/>
      <x:c r="H69" s="500"/>
      <x:c r="I69" s="402"/>
      <x:c r="J69" s="402"/>
      <x:c r="K69" s="402"/>
      <x:c r="L69" s="402"/>
      <x:c r="M69" s="402"/>
      <x:c r="N69" s="402"/>
      <x:c r="O69" s="402"/>
      <x:c r="P69" s="402"/>
      <x:c r="Q69" s="402"/>
      <x:c r="R69" s="402"/>
      <x:c r="S69" s="402"/>
      <x:c r="T69" s="402"/>
      <x:c r="U69" s="402"/>
      <x:c r="V69" s="402"/>
      <x:c r="W69" s="402"/>
      <x:c r="X69" s="402"/>
      <x:c r="Y69" s="402"/>
      <x:c r="Z69" s="402"/>
    </x:row>
    <x:row r="70">
      <x:c r="A70" s="402"/>
      <x:c r="B70" s="498"/>
      <x:c r="C70" s="499"/>
      <x:c r="D70" s="499"/>
      <x:c r="E70" s="499"/>
      <x:c r="F70" s="499"/>
      <x:c r="G70" s="499"/>
      <x:c r="H70" s="500"/>
      <x:c r="I70" s="402"/>
      <x:c r="J70" s="402"/>
      <x:c r="K70" s="402"/>
      <x:c r="L70" s="402"/>
      <x:c r="M70" s="402"/>
      <x:c r="N70" s="402"/>
      <x:c r="O70" s="402"/>
      <x:c r="P70" s="402"/>
      <x:c r="Q70" s="402"/>
      <x:c r="R70" s="402"/>
      <x:c r="S70" s="402"/>
      <x:c r="T70" s="402"/>
      <x:c r="U70" s="402"/>
      <x:c r="V70" s="402"/>
      <x:c r="W70" s="402"/>
      <x:c r="X70" s="402"/>
      <x:c r="Y70" s="402"/>
      <x:c r="Z70" s="402"/>
    </x:row>
    <x:row r="71">
      <x:c r="A71" s="402"/>
      <x:c r="B71" s="498"/>
      <x:c r="C71" s="499"/>
      <x:c r="D71" s="499"/>
      <x:c r="E71" s="499"/>
      <x:c r="F71" s="499"/>
      <x:c r="G71" s="499"/>
      <x:c r="H71" s="500"/>
      <x:c r="I71" s="402"/>
      <x:c r="J71" s="402"/>
      <x:c r="K71" s="402"/>
      <x:c r="L71" s="402"/>
      <x:c r="M71" s="402"/>
      <x:c r="N71" s="402"/>
      <x:c r="O71" s="402"/>
      <x:c r="P71" s="402"/>
      <x:c r="Q71" s="402"/>
      <x:c r="R71" s="402"/>
      <x:c r="S71" s="402"/>
      <x:c r="T71" s="402"/>
      <x:c r="U71" s="402"/>
      <x:c r="V71" s="402"/>
      <x:c r="W71" s="402"/>
      <x:c r="X71" s="402"/>
      <x:c r="Y71" s="402"/>
      <x:c r="Z71" s="402"/>
    </x:row>
    <x:row r="72">
      <x:c r="A72" s="402"/>
      <x:c r="B72" s="498"/>
      <x:c r="C72" s="499"/>
      <x:c r="D72" s="499"/>
      <x:c r="E72" s="499"/>
      <x:c r="F72" s="499"/>
      <x:c r="G72" s="499"/>
      <x:c r="H72" s="500"/>
      <x:c r="I72" s="402"/>
      <x:c r="J72" s="402"/>
      <x:c r="K72" s="402"/>
      <x:c r="L72" s="402"/>
      <x:c r="M72" s="402"/>
      <x:c r="N72" s="402"/>
      <x:c r="O72" s="402"/>
      <x:c r="P72" s="402"/>
      <x:c r="Q72" s="402"/>
      <x:c r="R72" s="402"/>
      <x:c r="S72" s="402"/>
      <x:c r="T72" s="402"/>
      <x:c r="U72" s="402"/>
      <x:c r="V72" s="402"/>
      <x:c r="W72" s="402"/>
      <x:c r="X72" s="402"/>
      <x:c r="Y72" s="402"/>
      <x:c r="Z72" s="402"/>
    </x:row>
    <x:row r="73">
      <x:c r="A73" s="402"/>
      <x:c r="B73" s="498"/>
      <x:c r="C73" s="499"/>
      <x:c r="D73" s="499"/>
      <x:c r="E73" s="499"/>
      <x:c r="F73" s="499"/>
      <x:c r="G73" s="499"/>
      <x:c r="H73" s="500"/>
      <x:c r="I73" s="402"/>
      <x:c r="J73" s="402"/>
      <x:c r="K73" s="402"/>
      <x:c r="L73" s="402"/>
      <x:c r="M73" s="402"/>
      <x:c r="N73" s="402"/>
      <x:c r="O73" s="402"/>
      <x:c r="P73" s="402"/>
      <x:c r="Q73" s="402"/>
      <x:c r="R73" s="402"/>
      <x:c r="S73" s="402"/>
      <x:c r="T73" s="402"/>
      <x:c r="U73" s="402"/>
      <x:c r="V73" s="402"/>
      <x:c r="W73" s="402"/>
      <x:c r="X73" s="402"/>
      <x:c r="Y73" s="402"/>
      <x:c r="Z73" s="402"/>
    </x:row>
    <x:row r="74">
      <x:c r="A74" s="402"/>
      <x:c r="B74" s="498"/>
      <x:c r="C74" s="499"/>
      <x:c r="D74" s="499"/>
      <x:c r="E74" s="499"/>
      <x:c r="F74" s="499"/>
      <x:c r="G74" s="499"/>
      <x:c r="H74" s="500"/>
      <x:c r="I74" s="402"/>
      <x:c r="J74" s="402"/>
      <x:c r="K74" s="402"/>
      <x:c r="L74" s="402"/>
      <x:c r="M74" s="402"/>
      <x:c r="N74" s="402"/>
      <x:c r="O74" s="402"/>
      <x:c r="P74" s="402"/>
      <x:c r="Q74" s="402"/>
      <x:c r="R74" s="402"/>
      <x:c r="S74" s="402"/>
      <x:c r="T74" s="402"/>
      <x:c r="U74" s="402"/>
      <x:c r="V74" s="402"/>
      <x:c r="W74" s="402"/>
      <x:c r="X74" s="402"/>
      <x:c r="Y74" s="402"/>
      <x:c r="Z74" s="402"/>
    </x:row>
    <x:row r="75">
      <x:c r="A75" s="402"/>
      <x:c r="B75" s="498"/>
      <x:c r="C75" s="499"/>
      <x:c r="D75" s="499"/>
      <x:c r="E75" s="499"/>
      <x:c r="F75" s="499"/>
      <x:c r="G75" s="499"/>
      <x:c r="H75" s="500"/>
      <x:c r="I75" s="402"/>
      <x:c r="J75" s="402"/>
      <x:c r="K75" s="402"/>
      <x:c r="L75" s="402"/>
      <x:c r="M75" s="402"/>
      <x:c r="N75" s="402"/>
      <x:c r="O75" s="402"/>
      <x:c r="P75" s="402"/>
      <x:c r="Q75" s="402"/>
      <x:c r="R75" s="402"/>
      <x:c r="S75" s="402"/>
      <x:c r="T75" s="402"/>
      <x:c r="U75" s="402"/>
      <x:c r="V75" s="402"/>
      <x:c r="W75" s="402"/>
      <x:c r="X75" s="402"/>
      <x:c r="Y75" s="402"/>
      <x:c r="Z75" s="402"/>
    </x:row>
    <x:row r="76">
      <x:c r="A76" s="402"/>
      <x:c r="B76" s="498"/>
      <x:c r="C76" s="499"/>
      <x:c r="D76" s="499"/>
      <x:c r="E76" s="499"/>
      <x:c r="F76" s="499"/>
      <x:c r="G76" s="499"/>
      <x:c r="H76" s="500"/>
      <x:c r="I76" s="402"/>
      <x:c r="J76" s="402"/>
      <x:c r="K76" s="402"/>
      <x:c r="L76" s="402"/>
      <x:c r="M76" s="402"/>
      <x:c r="N76" s="402"/>
      <x:c r="O76" s="402"/>
      <x:c r="P76" s="402"/>
      <x:c r="Q76" s="402"/>
      <x:c r="R76" s="402"/>
      <x:c r="S76" s="402"/>
      <x:c r="T76" s="402"/>
      <x:c r="U76" s="402"/>
      <x:c r="V76" s="402"/>
      <x:c r="W76" s="402"/>
      <x:c r="X76" s="402"/>
      <x:c r="Y76" s="402"/>
      <x:c r="Z76" s="402"/>
    </x:row>
    <x:row r="77">
      <x:c r="A77" s="402"/>
      <x:c r="B77" s="498"/>
      <x:c r="C77" s="499"/>
      <x:c r="D77" s="499"/>
      <x:c r="E77" s="499"/>
      <x:c r="F77" s="499"/>
      <x:c r="G77" s="499"/>
      <x:c r="H77" s="500"/>
      <x:c r="I77" s="402"/>
      <x:c r="J77" s="402"/>
      <x:c r="K77" s="402"/>
      <x:c r="L77" s="402"/>
      <x:c r="M77" s="402"/>
      <x:c r="N77" s="402"/>
      <x:c r="O77" s="402"/>
      <x:c r="P77" s="402"/>
      <x:c r="Q77" s="402"/>
      <x:c r="R77" s="402"/>
      <x:c r="S77" s="402"/>
      <x:c r="T77" s="402"/>
      <x:c r="U77" s="402"/>
      <x:c r="V77" s="402"/>
      <x:c r="W77" s="402"/>
      <x:c r="X77" s="402"/>
      <x:c r="Y77" s="402"/>
      <x:c r="Z77" s="402"/>
    </x:row>
    <x:row r="78">
      <x:c r="A78" s="402"/>
      <x:c r="B78" s="498"/>
      <x:c r="C78" s="499"/>
      <x:c r="D78" s="499"/>
      <x:c r="E78" s="499"/>
      <x:c r="F78" s="499"/>
      <x:c r="G78" s="499"/>
      <x:c r="H78" s="500"/>
      <x:c r="I78" s="402"/>
      <x:c r="J78" s="402"/>
      <x:c r="K78" s="402"/>
      <x:c r="L78" s="402"/>
      <x:c r="M78" s="402"/>
      <x:c r="N78" s="402"/>
      <x:c r="O78" s="402"/>
      <x:c r="P78" s="402"/>
      <x:c r="Q78" s="402"/>
      <x:c r="R78" s="402"/>
      <x:c r="S78" s="402"/>
      <x:c r="T78" s="402"/>
      <x:c r="U78" s="402"/>
      <x:c r="V78" s="402"/>
      <x:c r="W78" s="402"/>
      <x:c r="X78" s="402"/>
      <x:c r="Y78" s="402"/>
      <x:c r="Z78" s="402"/>
    </x:row>
    <x:row r="79">
      <x:c r="A79" s="402"/>
      <x:c r="B79" s="498"/>
      <x:c r="C79" s="499"/>
      <x:c r="D79" s="499"/>
      <x:c r="E79" s="499"/>
      <x:c r="F79" s="499"/>
      <x:c r="G79" s="499"/>
      <x:c r="H79" s="500"/>
      <x:c r="I79" s="402"/>
      <x:c r="J79" s="402"/>
      <x:c r="K79" s="402"/>
      <x:c r="L79" s="402"/>
      <x:c r="M79" s="402"/>
      <x:c r="N79" s="402"/>
      <x:c r="O79" s="402"/>
      <x:c r="P79" s="402"/>
      <x:c r="Q79" s="402"/>
      <x:c r="R79" s="402"/>
      <x:c r="S79" s="402"/>
      <x:c r="T79" s="402"/>
      <x:c r="U79" s="402"/>
      <x:c r="V79" s="402"/>
      <x:c r="W79" s="402"/>
      <x:c r="X79" s="402"/>
      <x:c r="Y79" s="402"/>
      <x:c r="Z79" s="402"/>
    </x:row>
    <x:row r="80">
      <x:c r="A80" s="402"/>
      <x:c r="B80" s="498"/>
      <x:c r="C80" s="499"/>
      <x:c r="D80" s="499"/>
      <x:c r="E80" s="499"/>
      <x:c r="F80" s="499"/>
      <x:c r="G80" s="499"/>
      <x:c r="H80" s="500"/>
      <x:c r="I80" s="402"/>
      <x:c r="J80" s="402"/>
      <x:c r="K80" s="402"/>
      <x:c r="L80" s="402"/>
      <x:c r="M80" s="402"/>
      <x:c r="N80" s="402"/>
      <x:c r="O80" s="402"/>
      <x:c r="P80" s="402"/>
      <x:c r="Q80" s="402"/>
      <x:c r="R80" s="402"/>
      <x:c r="S80" s="402"/>
      <x:c r="T80" s="402"/>
      <x:c r="U80" s="402"/>
      <x:c r="V80" s="402"/>
      <x:c r="W80" s="402"/>
      <x:c r="X80" s="402"/>
      <x:c r="Y80" s="402"/>
      <x:c r="Z80" s="402"/>
    </x:row>
    <x:row r="81">
      <x:c r="A81" s="402"/>
      <x:c r="B81" s="498"/>
      <x:c r="C81" s="499"/>
      <x:c r="D81" s="499"/>
      <x:c r="E81" s="499"/>
      <x:c r="F81" s="499"/>
      <x:c r="G81" s="499"/>
      <x:c r="H81" s="500"/>
      <x:c r="I81" s="402"/>
      <x:c r="J81" s="402"/>
      <x:c r="K81" s="402"/>
      <x:c r="L81" s="402"/>
      <x:c r="M81" s="402"/>
      <x:c r="N81" s="402"/>
      <x:c r="O81" s="402"/>
      <x:c r="P81" s="402"/>
      <x:c r="Q81" s="402"/>
      <x:c r="R81" s="402"/>
      <x:c r="S81" s="402"/>
      <x:c r="T81" s="402"/>
      <x:c r="U81" s="402"/>
      <x:c r="V81" s="402"/>
      <x:c r="W81" s="402"/>
      <x:c r="X81" s="402"/>
      <x:c r="Y81" s="402"/>
      <x:c r="Z81" s="402"/>
    </x:row>
    <x:row r="82">
      <x:c r="A82" s="402"/>
      <x:c r="B82" s="498"/>
      <x:c r="C82" s="499"/>
      <x:c r="D82" s="499"/>
      <x:c r="E82" s="499"/>
      <x:c r="F82" s="499"/>
      <x:c r="G82" s="499"/>
      <x:c r="H82" s="500"/>
      <x:c r="I82" s="402"/>
      <x:c r="J82" s="402"/>
      <x:c r="K82" s="402"/>
      <x:c r="L82" s="402"/>
      <x:c r="M82" s="402"/>
      <x:c r="N82" s="402"/>
      <x:c r="O82" s="402"/>
      <x:c r="P82" s="402"/>
      <x:c r="Q82" s="402"/>
      <x:c r="R82" s="402"/>
      <x:c r="S82" s="402"/>
      <x:c r="T82" s="402"/>
      <x:c r="U82" s="402"/>
      <x:c r="V82" s="402"/>
      <x:c r="W82" s="402"/>
      <x:c r="X82" s="402"/>
      <x:c r="Y82" s="402"/>
      <x:c r="Z82" s="402"/>
    </x:row>
    <x:row r="83">
      <x:c r="A83" s="402"/>
      <x:c r="B83" s="498"/>
      <x:c r="C83" s="499"/>
      <x:c r="D83" s="499"/>
      <x:c r="E83" s="499"/>
      <x:c r="F83" s="499"/>
      <x:c r="G83" s="499"/>
      <x:c r="H83" s="500"/>
      <x:c r="I83" s="402"/>
      <x:c r="J83" s="402"/>
      <x:c r="K83" s="402"/>
      <x:c r="L83" s="402"/>
      <x:c r="M83" s="402"/>
      <x:c r="N83" s="402"/>
      <x:c r="O83" s="402"/>
      <x:c r="P83" s="402"/>
      <x:c r="Q83" s="402"/>
      <x:c r="R83" s="402"/>
      <x:c r="S83" s="402"/>
      <x:c r="T83" s="402"/>
      <x:c r="U83" s="402"/>
      <x:c r="V83" s="402"/>
      <x:c r="W83" s="402"/>
      <x:c r="X83" s="402"/>
      <x:c r="Y83" s="402"/>
      <x:c r="Z83" s="402"/>
    </x:row>
    <x:row r="84">
      <x:c r="A84" s="402"/>
      <x:c r="B84" s="498"/>
      <x:c r="C84" s="499"/>
      <x:c r="D84" s="499"/>
      <x:c r="E84" s="499"/>
      <x:c r="F84" s="499"/>
      <x:c r="G84" s="499"/>
      <x:c r="H84" s="500"/>
      <x:c r="I84" s="402"/>
      <x:c r="J84" s="402"/>
      <x:c r="K84" s="402"/>
      <x:c r="L84" s="402"/>
      <x:c r="M84" s="402"/>
      <x:c r="N84" s="402"/>
      <x:c r="O84" s="402"/>
      <x:c r="P84" s="402"/>
      <x:c r="Q84" s="402"/>
      <x:c r="R84" s="402"/>
      <x:c r="S84" s="402"/>
      <x:c r="T84" s="402"/>
      <x:c r="U84" s="402"/>
      <x:c r="V84" s="402"/>
      <x:c r="W84" s="402"/>
      <x:c r="X84" s="402"/>
      <x:c r="Y84" s="402"/>
      <x:c r="Z84" s="402"/>
    </x:row>
    <x:row r="85">
      <x:c r="A85" s="402"/>
      <x:c r="B85" s="498"/>
      <x:c r="C85" s="499"/>
      <x:c r="D85" s="499"/>
      <x:c r="E85" s="499"/>
      <x:c r="F85" s="499"/>
      <x:c r="G85" s="499"/>
      <x:c r="H85" s="500"/>
      <x:c r="I85" s="402"/>
      <x:c r="J85" s="402"/>
      <x:c r="K85" s="402"/>
      <x:c r="L85" s="402"/>
      <x:c r="M85" s="402"/>
      <x:c r="N85" s="402"/>
      <x:c r="O85" s="402"/>
      <x:c r="P85" s="402"/>
      <x:c r="Q85" s="402"/>
      <x:c r="R85" s="402"/>
      <x:c r="S85" s="402"/>
      <x:c r="T85" s="402"/>
      <x:c r="U85" s="402"/>
      <x:c r="V85" s="402"/>
      <x:c r="W85" s="402"/>
      <x:c r="X85" s="402"/>
      <x:c r="Y85" s="402"/>
      <x:c r="Z85" s="402"/>
    </x:row>
    <x:row r="86">
      <x:c r="A86" s="402"/>
      <x:c r="B86" s="498"/>
      <x:c r="C86" s="499"/>
      <x:c r="D86" s="499"/>
      <x:c r="E86" s="499"/>
      <x:c r="F86" s="499"/>
      <x:c r="G86" s="499"/>
      <x:c r="H86" s="500"/>
      <x:c r="I86" s="402"/>
      <x:c r="J86" s="402"/>
      <x:c r="K86" s="402"/>
      <x:c r="L86" s="402"/>
      <x:c r="M86" s="402"/>
      <x:c r="N86" s="402"/>
      <x:c r="O86" s="402"/>
      <x:c r="P86" s="402"/>
      <x:c r="Q86" s="402"/>
      <x:c r="R86" s="402"/>
      <x:c r="S86" s="402"/>
      <x:c r="T86" s="402"/>
      <x:c r="U86" s="402"/>
      <x:c r="V86" s="402"/>
      <x:c r="W86" s="402"/>
      <x:c r="X86" s="402"/>
      <x:c r="Y86" s="402"/>
      <x:c r="Z86" s="402"/>
    </x:row>
    <x:row r="87">
      <x:c r="A87" s="402"/>
      <x:c r="B87" s="498"/>
      <x:c r="C87" s="499"/>
      <x:c r="D87" s="499"/>
      <x:c r="E87" s="499"/>
      <x:c r="F87" s="499"/>
      <x:c r="G87" s="499"/>
      <x:c r="H87" s="500"/>
      <x:c r="I87" s="402"/>
      <x:c r="J87" s="402"/>
      <x:c r="K87" s="402"/>
      <x:c r="L87" s="402"/>
      <x:c r="M87" s="402"/>
      <x:c r="N87" s="402"/>
      <x:c r="O87" s="402"/>
      <x:c r="P87" s="402"/>
      <x:c r="Q87" s="402"/>
      <x:c r="R87" s="402"/>
      <x:c r="S87" s="402"/>
      <x:c r="T87" s="402"/>
      <x:c r="U87" s="402"/>
      <x:c r="V87" s="402"/>
      <x:c r="W87" s="402"/>
      <x:c r="X87" s="402"/>
      <x:c r="Y87" s="402"/>
      <x:c r="Z87" s="402"/>
    </x:row>
    <x:row r="88">
      <x:c r="A88" s="402"/>
      <x:c r="B88" s="498"/>
      <x:c r="C88" s="499"/>
      <x:c r="D88" s="499"/>
      <x:c r="E88" s="499"/>
      <x:c r="F88" s="499"/>
      <x:c r="G88" s="499"/>
      <x:c r="H88" s="500"/>
      <x:c r="I88" s="402"/>
      <x:c r="J88" s="402"/>
      <x:c r="K88" s="402"/>
      <x:c r="L88" s="402"/>
      <x:c r="M88" s="402"/>
      <x:c r="N88" s="402"/>
      <x:c r="O88" s="402"/>
      <x:c r="P88" s="402"/>
      <x:c r="Q88" s="402"/>
      <x:c r="R88" s="402"/>
      <x:c r="S88" s="402"/>
      <x:c r="T88" s="402"/>
      <x:c r="U88" s="402"/>
      <x:c r="V88" s="402"/>
      <x:c r="W88" s="402"/>
      <x:c r="X88" s="402"/>
      <x:c r="Y88" s="402"/>
      <x:c r="Z88" s="402"/>
    </x:row>
    <x:row r="89">
      <x:c r="A89" s="402"/>
      <x:c r="B89" s="498"/>
      <x:c r="C89" s="499"/>
      <x:c r="D89" s="499"/>
      <x:c r="E89" s="499"/>
      <x:c r="F89" s="499"/>
      <x:c r="G89" s="499"/>
      <x:c r="H89" s="500"/>
      <x:c r="I89" s="402"/>
      <x:c r="J89" s="402"/>
      <x:c r="K89" s="402"/>
      <x:c r="L89" s="402"/>
      <x:c r="M89" s="402"/>
      <x:c r="N89" s="402"/>
      <x:c r="O89" s="402"/>
      <x:c r="P89" s="402"/>
      <x:c r="Q89" s="402"/>
      <x:c r="R89" s="402"/>
      <x:c r="S89" s="402"/>
      <x:c r="T89" s="402"/>
      <x:c r="U89" s="402"/>
      <x:c r="V89" s="402"/>
      <x:c r="W89" s="402"/>
      <x:c r="X89" s="402"/>
      <x:c r="Y89" s="402"/>
      <x:c r="Z89" s="402"/>
    </x:row>
    <x:row r="90">
      <x:c r="A90" s="402"/>
      <x:c r="B90" s="498"/>
      <x:c r="C90" s="499"/>
      <x:c r="D90" s="499"/>
      <x:c r="E90" s="499"/>
      <x:c r="F90" s="499"/>
      <x:c r="G90" s="499"/>
      <x:c r="H90" s="500"/>
      <x:c r="I90" s="402"/>
      <x:c r="J90" s="402"/>
      <x:c r="K90" s="402"/>
      <x:c r="L90" s="402"/>
      <x:c r="M90" s="402"/>
      <x:c r="N90" s="402"/>
      <x:c r="O90" s="402"/>
      <x:c r="P90" s="402"/>
      <x:c r="Q90" s="402"/>
      <x:c r="R90" s="402"/>
      <x:c r="S90" s="402"/>
      <x:c r="T90" s="402"/>
      <x:c r="U90" s="402"/>
      <x:c r="V90" s="402"/>
      <x:c r="W90" s="402"/>
      <x:c r="X90" s="402"/>
      <x:c r="Y90" s="402"/>
      <x:c r="Z90" s="402"/>
    </x:row>
    <x:row r="91">
      <x:c r="A91" s="402"/>
      <x:c r="B91" s="498"/>
      <x:c r="C91" s="499"/>
      <x:c r="D91" s="499"/>
      <x:c r="E91" s="499"/>
      <x:c r="F91" s="499"/>
      <x:c r="G91" s="499"/>
      <x:c r="H91" s="500"/>
      <x:c r="I91" s="402"/>
      <x:c r="J91" s="402"/>
      <x:c r="K91" s="402"/>
      <x:c r="L91" s="402"/>
      <x:c r="M91" s="402"/>
      <x:c r="N91" s="402"/>
      <x:c r="O91" s="402"/>
      <x:c r="P91" s="402"/>
      <x:c r="Q91" s="402"/>
      <x:c r="R91" s="402"/>
      <x:c r="S91" s="402"/>
      <x:c r="T91" s="402"/>
      <x:c r="U91" s="402"/>
      <x:c r="V91" s="402"/>
      <x:c r="W91" s="402"/>
      <x:c r="X91" s="402"/>
      <x:c r="Y91" s="402"/>
      <x:c r="Z91" s="402"/>
    </x:row>
    <x:row r="92">
      <x:c r="A92" s="402"/>
      <x:c r="B92" s="498"/>
      <x:c r="C92" s="499"/>
      <x:c r="D92" s="499"/>
      <x:c r="E92" s="499"/>
      <x:c r="F92" s="499"/>
      <x:c r="G92" s="499"/>
      <x:c r="H92" s="500"/>
      <x:c r="I92" s="402"/>
      <x:c r="J92" s="402"/>
      <x:c r="K92" s="402"/>
      <x:c r="L92" s="402"/>
      <x:c r="M92" s="402"/>
      <x:c r="N92" s="402"/>
      <x:c r="O92" s="402"/>
      <x:c r="P92" s="402"/>
      <x:c r="Q92" s="402"/>
      <x:c r="R92" s="402"/>
      <x:c r="S92" s="402"/>
      <x:c r="T92" s="402"/>
      <x:c r="U92" s="402"/>
      <x:c r="V92" s="402"/>
      <x:c r="W92" s="402"/>
      <x:c r="X92" s="402"/>
      <x:c r="Y92" s="402"/>
      <x:c r="Z92" s="402"/>
    </x:row>
    <x:row r="93">
      <x:c r="A93" s="402"/>
      <x:c r="B93" s="498"/>
      <x:c r="C93" s="499"/>
      <x:c r="D93" s="499"/>
      <x:c r="E93" s="499"/>
      <x:c r="F93" s="499"/>
      <x:c r="G93" s="499"/>
      <x:c r="H93" s="500"/>
      <x:c r="I93" s="402"/>
      <x:c r="J93" s="402"/>
      <x:c r="K93" s="402"/>
      <x:c r="L93" s="402"/>
      <x:c r="M93" s="402"/>
      <x:c r="N93" s="402"/>
      <x:c r="O93" s="402"/>
      <x:c r="P93" s="402"/>
      <x:c r="Q93" s="402"/>
      <x:c r="R93" s="402"/>
      <x:c r="S93" s="402"/>
      <x:c r="T93" s="402"/>
      <x:c r="U93" s="402"/>
      <x:c r="V93" s="402"/>
      <x:c r="W93" s="402"/>
      <x:c r="X93" s="402"/>
      <x:c r="Y93" s="402"/>
      <x:c r="Z93" s="402"/>
    </x:row>
    <x:row r="94">
      <x:c r="A94" s="402"/>
      <x:c r="B94" s="498"/>
      <x:c r="C94" s="499"/>
      <x:c r="D94" s="499"/>
      <x:c r="E94" s="499"/>
      <x:c r="F94" s="499"/>
      <x:c r="G94" s="499"/>
      <x:c r="H94" s="500"/>
      <x:c r="I94" s="402"/>
      <x:c r="J94" s="402"/>
      <x:c r="K94" s="402"/>
      <x:c r="L94" s="402"/>
      <x:c r="M94" s="402"/>
      <x:c r="N94" s="402"/>
      <x:c r="O94" s="402"/>
      <x:c r="P94" s="402"/>
      <x:c r="Q94" s="402"/>
      <x:c r="R94" s="402"/>
      <x:c r="S94" s="402"/>
      <x:c r="T94" s="402"/>
      <x:c r="U94" s="402"/>
      <x:c r="V94" s="402"/>
      <x:c r="W94" s="402"/>
      <x:c r="X94" s="402"/>
      <x:c r="Y94" s="402"/>
      <x:c r="Z94" s="402"/>
    </x:row>
    <x:row r="95">
      <x:c r="A95" s="402"/>
      <x:c r="B95" s="498"/>
      <x:c r="C95" s="499"/>
      <x:c r="D95" s="499"/>
      <x:c r="E95" s="499"/>
      <x:c r="F95" s="499"/>
      <x:c r="G95" s="499"/>
      <x:c r="H95" s="500"/>
      <x:c r="I95" s="402"/>
      <x:c r="J95" s="402"/>
      <x:c r="K95" s="402"/>
      <x:c r="L95" s="402"/>
      <x:c r="M95" s="402"/>
      <x:c r="N95" s="402"/>
      <x:c r="O95" s="402"/>
      <x:c r="P95" s="402"/>
      <x:c r="Q95" s="402"/>
      <x:c r="R95" s="402"/>
      <x:c r="S95" s="402"/>
      <x:c r="T95" s="402"/>
      <x:c r="U95" s="402"/>
      <x:c r="V95" s="402"/>
      <x:c r="W95" s="402"/>
      <x:c r="X95" s="402"/>
      <x:c r="Y95" s="402"/>
      <x:c r="Z95" s="402"/>
    </x:row>
    <x:row r="96">
      <x:c r="A96" s="402"/>
      <x:c r="B96" s="498"/>
      <x:c r="C96" s="499"/>
      <x:c r="D96" s="499"/>
      <x:c r="E96" s="499"/>
      <x:c r="F96" s="499"/>
      <x:c r="G96" s="499"/>
      <x:c r="H96" s="500"/>
      <x:c r="I96" s="402"/>
      <x:c r="J96" s="402"/>
      <x:c r="K96" s="402"/>
      <x:c r="L96" s="402"/>
      <x:c r="M96" s="402"/>
      <x:c r="N96" s="402"/>
      <x:c r="O96" s="402"/>
      <x:c r="P96" s="402"/>
      <x:c r="Q96" s="402"/>
      <x:c r="R96" s="402"/>
      <x:c r="S96" s="402"/>
      <x:c r="T96" s="402"/>
      <x:c r="U96" s="402"/>
      <x:c r="V96" s="402"/>
      <x:c r="W96" s="402"/>
      <x:c r="X96" s="402"/>
      <x:c r="Y96" s="402"/>
      <x:c r="Z96" s="402"/>
    </x:row>
    <x:row r="97">
      <x:c r="A97" s="402"/>
      <x:c r="B97" s="498"/>
      <x:c r="C97" s="499"/>
      <x:c r="D97" s="499"/>
      <x:c r="E97" s="499"/>
      <x:c r="F97" s="499"/>
      <x:c r="G97" s="499"/>
      <x:c r="H97" s="500"/>
      <x:c r="I97" s="402"/>
      <x:c r="J97" s="402"/>
      <x:c r="K97" s="402"/>
      <x:c r="L97" s="402"/>
      <x:c r="M97" s="402"/>
      <x:c r="N97" s="402"/>
      <x:c r="O97" s="402"/>
      <x:c r="P97" s="402"/>
      <x:c r="Q97" s="402"/>
      <x:c r="R97" s="402"/>
      <x:c r="S97" s="402"/>
      <x:c r="T97" s="402"/>
      <x:c r="U97" s="402"/>
      <x:c r="V97" s="402"/>
      <x:c r="W97" s="402"/>
      <x:c r="X97" s="402"/>
      <x:c r="Y97" s="402"/>
      <x:c r="Z97" s="402"/>
    </x:row>
    <x:row r="98">
      <x:c r="A98" s="402"/>
      <x:c r="B98" s="498"/>
      <x:c r="C98" s="499"/>
      <x:c r="D98" s="499"/>
      <x:c r="E98" s="499"/>
      <x:c r="F98" s="499"/>
      <x:c r="G98" s="499"/>
      <x:c r="H98" s="500"/>
      <x:c r="I98" s="402"/>
      <x:c r="J98" s="402"/>
      <x:c r="K98" s="402"/>
      <x:c r="L98" s="402"/>
      <x:c r="M98" s="402"/>
      <x:c r="N98" s="402"/>
      <x:c r="O98" s="402"/>
      <x:c r="P98" s="402"/>
      <x:c r="Q98" s="402"/>
      <x:c r="R98" s="402"/>
      <x:c r="S98" s="402"/>
      <x:c r="T98" s="402"/>
      <x:c r="U98" s="402"/>
      <x:c r="V98" s="402"/>
      <x:c r="W98" s="402"/>
      <x:c r="X98" s="402"/>
      <x:c r="Y98" s="402"/>
      <x:c r="Z98" s="402"/>
    </x:row>
    <x:row r="99">
      <x:c r="A99" s="402"/>
      <x:c r="B99" s="498"/>
      <x:c r="C99" s="499"/>
      <x:c r="D99" s="499"/>
      <x:c r="E99" s="499"/>
      <x:c r="F99" s="499"/>
      <x:c r="G99" s="499"/>
      <x:c r="H99" s="500"/>
      <x:c r="I99" s="402"/>
      <x:c r="J99" s="402"/>
      <x:c r="K99" s="402"/>
      <x:c r="L99" s="402"/>
      <x:c r="M99" s="402"/>
      <x:c r="N99" s="402"/>
      <x:c r="O99" s="402"/>
      <x:c r="P99" s="402"/>
      <x:c r="Q99" s="402"/>
      <x:c r="R99" s="402"/>
      <x:c r="S99" s="402"/>
      <x:c r="T99" s="402"/>
      <x:c r="U99" s="402"/>
      <x:c r="V99" s="402"/>
      <x:c r="W99" s="402"/>
      <x:c r="X99" s="402"/>
      <x:c r="Y99" s="402"/>
      <x:c r="Z99" s="402"/>
    </x:row>
    <x:row r="100">
      <x:c r="A100" s="402"/>
      <x:c r="B100" s="592"/>
      <x:c r="C100" s="563"/>
      <x:c r="D100" s="563"/>
      <x:c r="E100" s="563"/>
      <x:c r="F100" s="563"/>
      <x:c r="G100" s="563"/>
      <x:c r="H100" s="588"/>
      <x:c r="I100" s="402"/>
      <x:c r="J100" s="402"/>
      <x:c r="K100" s="402"/>
      <x:c r="L100" s="402"/>
      <x:c r="M100" s="402"/>
      <x:c r="N100" s="402"/>
      <x:c r="O100" s="402"/>
      <x:c r="P100" s="402"/>
      <x:c r="Q100" s="402"/>
      <x:c r="R100" s="402"/>
      <x:c r="S100" s="402"/>
      <x:c r="T100" s="402"/>
      <x:c r="U100" s="402"/>
      <x:c r="V100" s="402"/>
      <x:c r="W100" s="402"/>
      <x:c r="X100" s="402"/>
      <x:c r="Y100" s="402"/>
      <x:c r="Z100" s="402"/>
    </x:row>
    <x:row r="101">
      <x:c r="A101" s="402"/>
      <x:c r="B101" s="402"/>
      <x:c r="C101" s="402"/>
      <x:c r="D101" s="402"/>
      <x:c r="E101" s="402"/>
      <x:c r="F101" s="402"/>
      <x:c r="G101" s="402"/>
      <x:c r="H101" s="402"/>
      <x:c r="I101" s="402"/>
      <x:c r="J101" s="402"/>
      <x:c r="K101" s="402"/>
      <x:c r="L101" s="402"/>
      <x:c r="M101" s="402"/>
      <x:c r="N101" s="402"/>
      <x:c r="O101" s="402"/>
      <x:c r="P101" s="402"/>
      <x:c r="Q101" s="402"/>
      <x:c r="R101" s="402"/>
      <x:c r="S101" s="402"/>
      <x:c r="T101" s="402"/>
      <x:c r="U101" s="402"/>
      <x:c r="V101" s="402"/>
      <x:c r="W101" s="402"/>
      <x:c r="X101" s="402"/>
      <x:c r="Y101" s="402"/>
      <x:c r="Z101" s="402"/>
    </x:row>
    <x:row r="102">
      <x:c r="A102" s="402"/>
      <x:c r="B102" s="402"/>
      <x:c r="C102" s="402"/>
      <x:c r="D102" s="402"/>
      <x:c r="E102" s="402"/>
      <x:c r="F102" s="402"/>
      <x:c r="G102" s="402"/>
      <x:c r="H102" s="402"/>
      <x:c r="I102" s="402"/>
      <x:c r="J102" s="402"/>
      <x:c r="K102" s="402"/>
      <x:c r="L102" s="402"/>
      <x:c r="M102" s="402"/>
      <x:c r="N102" s="402"/>
      <x:c r="O102" s="402"/>
      <x:c r="P102" s="402"/>
      <x:c r="Q102" s="402"/>
      <x:c r="R102" s="402"/>
      <x:c r="S102" s="402"/>
      <x:c r="T102" s="402"/>
      <x:c r="U102" s="402"/>
      <x:c r="V102" s="402"/>
      <x:c r="W102" s="402"/>
      <x:c r="X102" s="402"/>
      <x:c r="Y102" s="402"/>
      <x:c r="Z102" s="402"/>
    </x:row>
    <x:row r="103">
      <x:c r="A103" s="402"/>
      <x:c r="B103" s="402"/>
      <x:c r="C103" s="402"/>
      <x:c r="D103" s="402"/>
      <x:c r="E103" s="402"/>
      <x:c r="F103" s="402"/>
      <x:c r="G103" s="402"/>
      <x:c r="H103" s="402"/>
      <x:c r="I103" s="402"/>
      <x:c r="J103" s="402"/>
      <x:c r="K103" s="402"/>
      <x:c r="L103" s="402"/>
      <x:c r="M103" s="402"/>
      <x:c r="N103" s="402"/>
      <x:c r="O103" s="402"/>
      <x:c r="P103" s="402"/>
      <x:c r="Q103" s="402"/>
      <x:c r="R103" s="402"/>
      <x:c r="S103" s="402"/>
      <x:c r="T103" s="402"/>
      <x:c r="U103" s="402"/>
      <x:c r="V103" s="402"/>
      <x:c r="W103" s="402"/>
      <x:c r="X103" s="402"/>
      <x:c r="Y103" s="402"/>
      <x:c r="Z103" s="402"/>
    </x:row>
    <x:row r="104">
      <x:c r="A104" s="402"/>
      <x:c r="B104" s="402"/>
      <x:c r="C104" s="402"/>
      <x:c r="D104" s="402"/>
      <x:c r="E104" s="402"/>
      <x:c r="F104" s="402"/>
      <x:c r="G104" s="402"/>
      <x:c r="H104" s="402"/>
      <x:c r="I104" s="402"/>
      <x:c r="J104" s="402"/>
      <x:c r="K104" s="402"/>
      <x:c r="L104" s="402"/>
      <x:c r="M104" s="402"/>
      <x:c r="N104" s="402"/>
      <x:c r="O104" s="402"/>
      <x:c r="P104" s="402"/>
      <x:c r="Q104" s="402"/>
      <x:c r="R104" s="402"/>
      <x:c r="S104" s="402"/>
      <x:c r="T104" s="402"/>
      <x:c r="U104" s="402"/>
      <x:c r="V104" s="402"/>
      <x:c r="W104" s="402"/>
      <x:c r="X104" s="402"/>
      <x:c r="Y104" s="402"/>
      <x:c r="Z104" s="402"/>
    </x:row>
    <x:row r="105">
      <x:c r="A105" s="402"/>
      <x:c r="B105" s="402"/>
      <x:c r="C105" s="402"/>
      <x:c r="D105" s="402"/>
      <x:c r="E105" s="402"/>
      <x:c r="F105" s="402"/>
      <x:c r="G105" s="402"/>
      <x:c r="H105" s="402"/>
      <x:c r="I105" s="402"/>
      <x:c r="J105" s="402"/>
      <x:c r="K105" s="402"/>
      <x:c r="L105" s="402"/>
      <x:c r="M105" s="402"/>
      <x:c r="N105" s="402"/>
      <x:c r="O105" s="402"/>
      <x:c r="P105" s="402"/>
      <x:c r="Q105" s="402"/>
      <x:c r="R105" s="402"/>
      <x:c r="S105" s="402"/>
      <x:c r="T105" s="402"/>
      <x:c r="U105" s="402"/>
      <x:c r="V105" s="402"/>
      <x:c r="W105" s="402"/>
      <x:c r="X105" s="402"/>
      <x:c r="Y105" s="402"/>
      <x:c r="Z105" s="402"/>
    </x:row>
    <x:row r="106">
      <x:c r="A106" s="402"/>
      <x:c r="B106" s="402"/>
      <x:c r="C106" s="402"/>
      <x:c r="D106" s="402"/>
      <x:c r="E106" s="402"/>
      <x:c r="F106" s="402"/>
      <x:c r="G106" s="402"/>
      <x:c r="H106" s="402"/>
      <x:c r="I106" s="402"/>
      <x:c r="J106" s="402"/>
      <x:c r="K106" s="402"/>
      <x:c r="L106" s="402"/>
      <x:c r="M106" s="402"/>
      <x:c r="N106" s="402"/>
      <x:c r="O106" s="402"/>
      <x:c r="P106" s="402"/>
      <x:c r="Q106" s="402"/>
      <x:c r="R106" s="402"/>
      <x:c r="S106" s="402"/>
      <x:c r="T106" s="402"/>
      <x:c r="U106" s="402"/>
      <x:c r="V106" s="402"/>
      <x:c r="W106" s="402"/>
      <x:c r="X106" s="402"/>
      <x:c r="Y106" s="402"/>
      <x:c r="Z106" s="402"/>
    </x:row>
    <x:row r="107">
      <x:c r="A107" s="402"/>
      <x:c r="B107" s="402"/>
      <x:c r="C107" s="402"/>
      <x:c r="D107" s="402"/>
      <x:c r="E107" s="402"/>
      <x:c r="F107" s="402"/>
      <x:c r="G107" s="402"/>
      <x:c r="H107" s="402"/>
      <x:c r="I107" s="402"/>
      <x:c r="J107" s="402"/>
      <x:c r="K107" s="402"/>
      <x:c r="L107" s="402"/>
      <x:c r="M107" s="402"/>
      <x:c r="N107" s="402"/>
      <x:c r="O107" s="402"/>
      <x:c r="P107" s="402"/>
      <x:c r="Q107" s="402"/>
      <x:c r="R107" s="402"/>
      <x:c r="S107" s="402"/>
      <x:c r="T107" s="402"/>
      <x:c r="U107" s="402"/>
      <x:c r="V107" s="402"/>
      <x:c r="W107" s="402"/>
      <x:c r="X107" s="402"/>
      <x:c r="Y107" s="402"/>
      <x:c r="Z107" s="402"/>
    </x:row>
    <x:row r="108">
      <x:c r="A108" s="402"/>
      <x:c r="B108" s="402"/>
      <x:c r="C108" s="402"/>
      <x:c r="D108" s="402"/>
      <x:c r="E108" s="402"/>
      <x:c r="F108" s="402"/>
      <x:c r="G108" s="402"/>
      <x:c r="H108" s="402"/>
      <x:c r="I108" s="402"/>
      <x:c r="J108" s="402"/>
      <x:c r="K108" s="402"/>
      <x:c r="L108" s="402"/>
      <x:c r="M108" s="402"/>
      <x:c r="N108" s="402"/>
      <x:c r="O108" s="402"/>
      <x:c r="P108" s="402"/>
      <x:c r="Q108" s="402"/>
      <x:c r="R108" s="402"/>
      <x:c r="S108" s="402"/>
      <x:c r="T108" s="402"/>
      <x:c r="U108" s="402"/>
      <x:c r="V108" s="402"/>
      <x:c r="W108" s="402"/>
      <x:c r="X108" s="402"/>
      <x:c r="Y108" s="402"/>
      <x:c r="Z108" s="402"/>
    </x:row>
    <x:row r="109">
      <x:c r="A109" s="402"/>
      <x:c r="B109" s="402"/>
      <x:c r="C109" s="402"/>
      <x:c r="D109" s="402"/>
      <x:c r="E109" s="402"/>
      <x:c r="F109" s="402"/>
      <x:c r="G109" s="402"/>
      <x:c r="H109" s="402"/>
      <x:c r="I109" s="402"/>
      <x:c r="J109" s="402"/>
      <x:c r="K109" s="402"/>
      <x:c r="L109" s="402"/>
      <x:c r="M109" s="402"/>
      <x:c r="N109" s="402"/>
      <x:c r="O109" s="402"/>
      <x:c r="P109" s="402"/>
      <x:c r="Q109" s="402"/>
      <x:c r="R109" s="402"/>
      <x:c r="S109" s="402"/>
      <x:c r="T109" s="402"/>
      <x:c r="U109" s="402"/>
      <x:c r="V109" s="402"/>
      <x:c r="W109" s="402"/>
      <x:c r="X109" s="402"/>
      <x:c r="Y109" s="402"/>
      <x:c r="Z109" s="402"/>
    </x:row>
    <x:row r="110">
      <x:c r="A110" s="402"/>
      <x:c r="B110" s="402"/>
      <x:c r="C110" s="402"/>
      <x:c r="D110" s="402"/>
      <x:c r="E110" s="402"/>
      <x:c r="F110" s="402"/>
      <x:c r="G110" s="402"/>
      <x:c r="H110" s="402"/>
      <x:c r="I110" s="402"/>
      <x:c r="J110" s="402"/>
      <x:c r="K110" s="402"/>
      <x:c r="L110" s="402"/>
      <x:c r="M110" s="402"/>
      <x:c r="N110" s="402"/>
      <x:c r="O110" s="402"/>
      <x:c r="P110" s="402"/>
      <x:c r="Q110" s="402"/>
      <x:c r="R110" s="402"/>
      <x:c r="S110" s="402"/>
      <x:c r="T110" s="402"/>
      <x:c r="U110" s="402"/>
      <x:c r="V110" s="402"/>
      <x:c r="W110" s="402"/>
      <x:c r="X110" s="402"/>
      <x:c r="Y110" s="402"/>
      <x:c r="Z110" s="402"/>
    </x:row>
    <x:row r="111">
      <x:c r="A111" s="402"/>
      <x:c r="B111" s="402"/>
      <x:c r="C111" s="402"/>
      <x:c r="D111" s="402"/>
      <x:c r="E111" s="402"/>
      <x:c r="F111" s="402"/>
      <x:c r="G111" s="402"/>
      <x:c r="H111" s="402"/>
      <x:c r="I111" s="402"/>
      <x:c r="J111" s="402"/>
      <x:c r="K111" s="402"/>
      <x:c r="L111" s="402"/>
      <x:c r="M111" s="402"/>
      <x:c r="N111" s="402"/>
      <x:c r="O111" s="402"/>
      <x:c r="P111" s="402"/>
      <x:c r="Q111" s="402"/>
      <x:c r="R111" s="402"/>
      <x:c r="S111" s="402"/>
      <x:c r="T111" s="402"/>
      <x:c r="U111" s="402"/>
      <x:c r="V111" s="402"/>
      <x:c r="W111" s="402"/>
      <x:c r="X111" s="402"/>
      <x:c r="Y111" s="402"/>
      <x:c r="Z111" s="402"/>
    </x:row>
    <x:row r="112">
      <x:c r="A112" s="402"/>
      <x:c r="B112" s="402"/>
      <x:c r="C112" s="402"/>
      <x:c r="D112" s="402"/>
      <x:c r="E112" s="402"/>
      <x:c r="F112" s="402"/>
      <x:c r="G112" s="402"/>
      <x:c r="H112" s="402"/>
      <x:c r="I112" s="402"/>
      <x:c r="J112" s="402"/>
      <x:c r="K112" s="402"/>
      <x:c r="L112" s="402"/>
      <x:c r="M112" s="402"/>
      <x:c r="N112" s="402"/>
      <x:c r="O112" s="402"/>
      <x:c r="P112" s="402"/>
      <x:c r="Q112" s="402"/>
      <x:c r="R112" s="402"/>
      <x:c r="S112" s="402"/>
      <x:c r="T112" s="402"/>
      <x:c r="U112" s="402"/>
      <x:c r="V112" s="402"/>
      <x:c r="W112" s="402"/>
      <x:c r="X112" s="402"/>
      <x:c r="Y112" s="402"/>
      <x:c r="Z112" s="402"/>
    </x:row>
    <x:row r="113">
      <x:c r="A113" s="402"/>
      <x:c r="B113" s="402"/>
      <x:c r="C113" s="402"/>
      <x:c r="D113" s="402"/>
      <x:c r="E113" s="402"/>
      <x:c r="F113" s="402"/>
      <x:c r="G113" s="402"/>
      <x:c r="H113" s="402"/>
      <x:c r="I113" s="402"/>
      <x:c r="J113" s="402"/>
      <x:c r="K113" s="402"/>
      <x:c r="L113" s="402"/>
      <x:c r="M113" s="402"/>
      <x:c r="N113" s="402"/>
      <x:c r="O113" s="402"/>
      <x:c r="P113" s="402"/>
      <x:c r="Q113" s="402"/>
      <x:c r="R113" s="402"/>
      <x:c r="S113" s="402"/>
      <x:c r="T113" s="402"/>
      <x:c r="U113" s="402"/>
      <x:c r="V113" s="402"/>
      <x:c r="W113" s="402"/>
      <x:c r="X113" s="402"/>
      <x:c r="Y113" s="402"/>
      <x:c r="Z113" s="402"/>
    </x:row>
    <x:row r="114">
      <x:c r="A114" s="402"/>
      <x:c r="B114" s="402"/>
      <x:c r="C114" s="402"/>
      <x:c r="D114" s="402"/>
      <x:c r="E114" s="402"/>
      <x:c r="F114" s="402"/>
      <x:c r="G114" s="402"/>
      <x:c r="H114" s="402"/>
      <x:c r="I114" s="402"/>
      <x:c r="J114" s="402"/>
      <x:c r="K114" s="402"/>
      <x:c r="L114" s="402"/>
      <x:c r="M114" s="402"/>
      <x:c r="N114" s="402"/>
      <x:c r="O114" s="402"/>
      <x:c r="P114" s="402"/>
      <x:c r="Q114" s="402"/>
      <x:c r="R114" s="402"/>
      <x:c r="S114" s="402"/>
      <x:c r="T114" s="402"/>
      <x:c r="U114" s="402"/>
      <x:c r="V114" s="402"/>
      <x:c r="W114" s="402"/>
      <x:c r="X114" s="402"/>
      <x:c r="Y114" s="402"/>
      <x:c r="Z114" s="402"/>
    </x:row>
    <x:row r="115">
      <x:c r="A115" s="402"/>
      <x:c r="B115" s="402"/>
      <x:c r="C115" s="402"/>
      <x:c r="D115" s="402"/>
      <x:c r="E115" s="402"/>
      <x:c r="F115" s="402"/>
      <x:c r="G115" s="402"/>
      <x:c r="H115" s="402"/>
      <x:c r="I115" s="402"/>
      <x:c r="J115" s="402"/>
      <x:c r="K115" s="402"/>
      <x:c r="L115" s="402"/>
      <x:c r="M115" s="402"/>
      <x:c r="N115" s="402"/>
      <x:c r="O115" s="402"/>
      <x:c r="P115" s="402"/>
      <x:c r="Q115" s="402"/>
      <x:c r="R115" s="402"/>
      <x:c r="S115" s="402"/>
      <x:c r="T115" s="402"/>
      <x:c r="U115" s="402"/>
      <x:c r="V115" s="402"/>
      <x:c r="W115" s="402"/>
      <x:c r="X115" s="402"/>
      <x:c r="Y115" s="402"/>
      <x:c r="Z115" s="402"/>
    </x:row>
    <x:row r="116">
      <x:c r="A116" s="402"/>
      <x:c r="B116" s="402"/>
      <x:c r="C116" s="402"/>
      <x:c r="D116" s="402"/>
      <x:c r="E116" s="402"/>
      <x:c r="F116" s="402"/>
      <x:c r="G116" s="402"/>
      <x:c r="H116" s="402"/>
      <x:c r="I116" s="402"/>
      <x:c r="J116" s="402"/>
      <x:c r="K116" s="402"/>
      <x:c r="L116" s="402"/>
      <x:c r="M116" s="402"/>
      <x:c r="N116" s="402"/>
      <x:c r="O116" s="402"/>
      <x:c r="P116" s="402"/>
      <x:c r="Q116" s="402"/>
      <x:c r="R116" s="402"/>
      <x:c r="S116" s="402"/>
      <x:c r="T116" s="402"/>
      <x:c r="U116" s="402"/>
      <x:c r="V116" s="402"/>
      <x:c r="W116" s="402"/>
      <x:c r="X116" s="402"/>
      <x:c r="Y116" s="402"/>
      <x:c r="Z116" s="402"/>
    </x:row>
    <x:row r="117">
      <x:c r="A117" s="402"/>
      <x:c r="B117" s="402"/>
      <x:c r="C117" s="402"/>
      <x:c r="D117" s="402"/>
      <x:c r="E117" s="402"/>
      <x:c r="F117" s="402"/>
      <x:c r="G117" s="402"/>
      <x:c r="H117" s="402"/>
      <x:c r="I117" s="402"/>
      <x:c r="J117" s="402"/>
      <x:c r="K117" s="402"/>
      <x:c r="L117" s="402"/>
      <x:c r="M117" s="402"/>
      <x:c r="N117" s="402"/>
      <x:c r="O117" s="402"/>
      <x:c r="P117" s="402"/>
      <x:c r="Q117" s="402"/>
      <x:c r="R117" s="402"/>
      <x:c r="S117" s="402"/>
      <x:c r="T117" s="402"/>
      <x:c r="U117" s="402"/>
      <x:c r="V117" s="402"/>
      <x:c r="W117" s="402"/>
      <x:c r="X117" s="402"/>
      <x:c r="Y117" s="402"/>
      <x:c r="Z117" s="402"/>
    </x:row>
    <x:row r="118">
      <x:c r="A118" s="402"/>
      <x:c r="B118" s="402"/>
      <x:c r="C118" s="402"/>
      <x:c r="D118" s="402"/>
      <x:c r="E118" s="402"/>
      <x:c r="F118" s="402"/>
      <x:c r="G118" s="402"/>
      <x:c r="H118" s="402"/>
      <x:c r="I118" s="402"/>
      <x:c r="J118" s="402"/>
      <x:c r="K118" s="402"/>
      <x:c r="L118" s="402"/>
      <x:c r="M118" s="402"/>
      <x:c r="N118" s="402"/>
      <x:c r="O118" s="402"/>
      <x:c r="P118" s="402"/>
      <x:c r="Q118" s="402"/>
      <x:c r="R118" s="402"/>
      <x:c r="S118" s="402"/>
      <x:c r="T118" s="402"/>
      <x:c r="U118" s="402"/>
      <x:c r="V118" s="402"/>
      <x:c r="W118" s="402"/>
      <x:c r="X118" s="402"/>
      <x:c r="Y118" s="402"/>
      <x:c r="Z118" s="402"/>
    </x:row>
    <x:row r="119">
      <x:c r="A119" s="402"/>
      <x:c r="B119" s="402"/>
      <x:c r="C119" s="402"/>
      <x:c r="D119" s="402"/>
      <x:c r="E119" s="402"/>
      <x:c r="F119" s="402"/>
      <x:c r="G119" s="402"/>
      <x:c r="H119" s="402"/>
      <x:c r="I119" s="402"/>
      <x:c r="J119" s="402"/>
      <x:c r="K119" s="402"/>
      <x:c r="L119" s="402"/>
      <x:c r="M119" s="402"/>
      <x:c r="N119" s="402"/>
      <x:c r="O119" s="402"/>
      <x:c r="P119" s="402"/>
      <x:c r="Q119" s="402"/>
      <x:c r="R119" s="402"/>
      <x:c r="S119" s="402"/>
      <x:c r="T119" s="402"/>
      <x:c r="U119" s="402"/>
      <x:c r="V119" s="402"/>
      <x:c r="W119" s="402"/>
      <x:c r="X119" s="402"/>
      <x:c r="Y119" s="402"/>
      <x:c r="Z119" s="402"/>
    </x:row>
    <x:row r="120">
      <x:c r="A120" s="402"/>
      <x:c r="B120" s="402"/>
      <x:c r="C120" s="402"/>
      <x:c r="D120" s="402"/>
      <x:c r="E120" s="402"/>
      <x:c r="F120" s="402"/>
      <x:c r="G120" s="402"/>
      <x:c r="H120" s="402"/>
      <x:c r="I120" s="402"/>
      <x:c r="J120" s="402"/>
      <x:c r="K120" s="402"/>
      <x:c r="L120" s="402"/>
      <x:c r="M120" s="402"/>
      <x:c r="N120" s="402"/>
      <x:c r="O120" s="402"/>
      <x:c r="P120" s="402"/>
      <x:c r="Q120" s="402"/>
      <x:c r="R120" s="402"/>
      <x:c r="S120" s="402"/>
      <x:c r="T120" s="402"/>
      <x:c r="U120" s="402"/>
      <x:c r="V120" s="402"/>
      <x:c r="W120" s="402"/>
      <x:c r="X120" s="402"/>
      <x:c r="Y120" s="402"/>
      <x:c r="Z120" s="402"/>
    </x:row>
    <x:row r="121">
      <x:c r="A121" s="402"/>
      <x:c r="B121" s="402"/>
      <x:c r="C121" s="402"/>
      <x:c r="D121" s="402"/>
      <x:c r="E121" s="402"/>
      <x:c r="F121" s="402"/>
      <x:c r="G121" s="402"/>
      <x:c r="H121" s="402"/>
      <x:c r="I121" s="402"/>
      <x:c r="J121" s="402"/>
      <x:c r="K121" s="402"/>
      <x:c r="L121" s="402"/>
      <x:c r="M121" s="402"/>
      <x:c r="N121" s="402"/>
      <x:c r="O121" s="402"/>
      <x:c r="P121" s="402"/>
      <x:c r="Q121" s="402"/>
      <x:c r="R121" s="402"/>
      <x:c r="S121" s="402"/>
      <x:c r="T121" s="402"/>
      <x:c r="U121" s="402"/>
      <x:c r="V121" s="402"/>
      <x:c r="W121" s="402"/>
      <x:c r="X121" s="402"/>
      <x:c r="Y121" s="402"/>
      <x:c r="Z121" s="402"/>
    </x:row>
    <x:row r="122">
      <x:c r="A122" s="402"/>
      <x:c r="B122" s="402"/>
      <x:c r="C122" s="402"/>
      <x:c r="D122" s="402"/>
      <x:c r="E122" s="402"/>
      <x:c r="F122" s="402"/>
      <x:c r="G122" s="402"/>
      <x:c r="H122" s="402"/>
      <x:c r="I122" s="402"/>
      <x:c r="J122" s="402"/>
      <x:c r="K122" s="402"/>
      <x:c r="L122" s="402"/>
      <x:c r="M122" s="402"/>
      <x:c r="N122" s="402"/>
      <x:c r="O122" s="402"/>
      <x:c r="P122" s="402"/>
      <x:c r="Q122" s="402"/>
      <x:c r="R122" s="402"/>
      <x:c r="S122" s="402"/>
      <x:c r="T122" s="402"/>
      <x:c r="U122" s="402"/>
      <x:c r="V122" s="402"/>
      <x:c r="W122" s="402"/>
      <x:c r="X122" s="402"/>
      <x:c r="Y122" s="402"/>
      <x:c r="Z122" s="402"/>
    </x:row>
    <x:row r="123">
      <x:c r="A123" s="402"/>
      <x:c r="B123" s="402"/>
      <x:c r="C123" s="402"/>
      <x:c r="D123" s="402"/>
      <x:c r="E123" s="402"/>
      <x:c r="F123" s="402"/>
      <x:c r="G123" s="402"/>
      <x:c r="H123" s="402"/>
      <x:c r="I123" s="402"/>
      <x:c r="J123" s="402"/>
      <x:c r="K123" s="402"/>
      <x:c r="L123" s="402"/>
      <x:c r="M123" s="402"/>
      <x:c r="N123" s="402"/>
      <x:c r="O123" s="402"/>
      <x:c r="P123" s="402"/>
      <x:c r="Q123" s="402"/>
      <x:c r="R123" s="402"/>
      <x:c r="S123" s="402"/>
      <x:c r="T123" s="402"/>
      <x:c r="U123" s="402"/>
      <x:c r="V123" s="402"/>
      <x:c r="W123" s="402"/>
      <x:c r="X123" s="402"/>
      <x:c r="Y123" s="402"/>
      <x:c r="Z123" s="402"/>
    </x:row>
    <x:row r="124">
      <x:c r="A124" s="402"/>
      <x:c r="B124" s="402"/>
      <x:c r="C124" s="402"/>
      <x:c r="D124" s="402"/>
      <x:c r="E124" s="402"/>
      <x:c r="F124" s="402"/>
      <x:c r="G124" s="402"/>
      <x:c r="H124" s="402"/>
      <x:c r="I124" s="402"/>
      <x:c r="J124" s="402"/>
      <x:c r="K124" s="402"/>
      <x:c r="L124" s="402"/>
      <x:c r="M124" s="402"/>
      <x:c r="N124" s="402"/>
      <x:c r="O124" s="402"/>
      <x:c r="P124" s="402"/>
      <x:c r="Q124" s="402"/>
      <x:c r="R124" s="402"/>
      <x:c r="S124" s="402"/>
      <x:c r="T124" s="402"/>
      <x:c r="U124" s="402"/>
      <x:c r="V124" s="402"/>
      <x:c r="W124" s="402"/>
      <x:c r="X124" s="402"/>
      <x:c r="Y124" s="402"/>
      <x:c r="Z124" s="402"/>
    </x:row>
    <x:row r="125">
      <x:c r="A125" s="402"/>
      <x:c r="B125" s="402"/>
      <x:c r="C125" s="402"/>
      <x:c r="D125" s="402"/>
      <x:c r="E125" s="402"/>
      <x:c r="F125" s="402"/>
      <x:c r="G125" s="402"/>
      <x:c r="H125" s="402"/>
      <x:c r="I125" s="402"/>
      <x:c r="J125" s="402"/>
      <x:c r="K125" s="402"/>
      <x:c r="L125" s="402"/>
      <x:c r="M125" s="402"/>
      <x:c r="N125" s="402"/>
      <x:c r="O125" s="402"/>
      <x:c r="P125" s="402"/>
      <x:c r="Q125" s="402"/>
      <x:c r="R125" s="402"/>
      <x:c r="S125" s="402"/>
      <x:c r="T125" s="402"/>
      <x:c r="U125" s="402"/>
      <x:c r="V125" s="402"/>
      <x:c r="W125" s="402"/>
      <x:c r="X125" s="402"/>
      <x:c r="Y125" s="402"/>
      <x:c r="Z125" s="402"/>
    </x:row>
    <x:row r="126">
      <x:c r="A126" s="402"/>
      <x:c r="B126" s="402"/>
      <x:c r="C126" s="402"/>
      <x:c r="D126" s="402"/>
      <x:c r="E126" s="402"/>
      <x:c r="F126" s="402"/>
      <x:c r="G126" s="402"/>
      <x:c r="H126" s="402"/>
      <x:c r="I126" s="402"/>
      <x:c r="J126" s="402"/>
      <x:c r="K126" s="402"/>
      <x:c r="L126" s="402"/>
      <x:c r="M126" s="402"/>
      <x:c r="N126" s="402"/>
      <x:c r="O126" s="402"/>
      <x:c r="P126" s="402"/>
      <x:c r="Q126" s="402"/>
      <x:c r="R126" s="402"/>
      <x:c r="S126" s="402"/>
      <x:c r="T126" s="402"/>
      <x:c r="U126" s="402"/>
      <x:c r="V126" s="402"/>
      <x:c r="W126" s="402"/>
      <x:c r="X126" s="402"/>
      <x:c r="Y126" s="402"/>
      <x:c r="Z126" s="402"/>
    </x:row>
    <x:row r="127">
      <x:c r="A127" s="402"/>
      <x:c r="B127" s="402"/>
      <x:c r="C127" s="402"/>
      <x:c r="D127" s="402"/>
      <x:c r="E127" s="402"/>
      <x:c r="F127" s="402"/>
      <x:c r="G127" s="402"/>
      <x:c r="H127" s="402"/>
      <x:c r="I127" s="402"/>
      <x:c r="J127" s="402"/>
      <x:c r="K127" s="402"/>
      <x:c r="L127" s="402"/>
      <x:c r="M127" s="402"/>
      <x:c r="N127" s="402"/>
      <x:c r="O127" s="402"/>
      <x:c r="P127" s="402"/>
      <x:c r="Q127" s="402"/>
      <x:c r="R127" s="402"/>
      <x:c r="S127" s="402"/>
      <x:c r="T127" s="402"/>
      <x:c r="U127" s="402"/>
      <x:c r="V127" s="402"/>
      <x:c r="W127" s="402"/>
      <x:c r="X127" s="402"/>
      <x:c r="Y127" s="402"/>
      <x:c r="Z127" s="402"/>
    </x:row>
    <x:row r="128">
      <x:c r="A128" s="402"/>
      <x:c r="B128" s="402"/>
      <x:c r="C128" s="402"/>
      <x:c r="D128" s="402"/>
      <x:c r="E128" s="402"/>
      <x:c r="F128" s="402"/>
      <x:c r="G128" s="402"/>
      <x:c r="H128" s="402"/>
      <x:c r="I128" s="402"/>
      <x:c r="J128" s="402"/>
      <x:c r="K128" s="402"/>
      <x:c r="L128" s="402"/>
      <x:c r="M128" s="402"/>
      <x:c r="N128" s="402"/>
      <x:c r="O128" s="402"/>
      <x:c r="P128" s="402"/>
      <x:c r="Q128" s="402"/>
      <x:c r="R128" s="402"/>
      <x:c r="S128" s="402"/>
      <x:c r="T128" s="402"/>
      <x:c r="U128" s="402"/>
      <x:c r="V128" s="402"/>
      <x:c r="W128" s="402"/>
      <x:c r="X128" s="402"/>
      <x:c r="Y128" s="402"/>
      <x:c r="Z128" s="402"/>
    </x:row>
    <x:row r="129">
      <x:c r="A129" s="402"/>
      <x:c r="B129" s="402"/>
      <x:c r="C129" s="402"/>
      <x:c r="D129" s="402"/>
      <x:c r="E129" s="402"/>
      <x:c r="F129" s="402"/>
      <x:c r="G129" s="402"/>
      <x:c r="H129" s="402"/>
      <x:c r="I129" s="402"/>
      <x:c r="J129" s="402"/>
      <x:c r="K129" s="402"/>
      <x:c r="L129" s="402"/>
      <x:c r="M129" s="402"/>
      <x:c r="N129" s="402"/>
      <x:c r="O129" s="402"/>
      <x:c r="P129" s="402"/>
      <x:c r="Q129" s="402"/>
      <x:c r="R129" s="402"/>
      <x:c r="S129" s="402"/>
      <x:c r="T129" s="402"/>
      <x:c r="U129" s="402"/>
      <x:c r="V129" s="402"/>
      <x:c r="W129" s="402"/>
      <x:c r="X129" s="402"/>
      <x:c r="Y129" s="402"/>
      <x:c r="Z129" s="402"/>
    </x:row>
    <x:row r="130">
      <x:c r="A130" s="402"/>
      <x:c r="B130" s="402"/>
      <x:c r="C130" s="402"/>
      <x:c r="D130" s="402"/>
      <x:c r="E130" s="402"/>
      <x:c r="F130" s="402"/>
      <x:c r="G130" s="402"/>
      <x:c r="H130" s="402"/>
      <x:c r="I130" s="402"/>
      <x:c r="J130" s="402"/>
      <x:c r="K130" s="402"/>
      <x:c r="L130" s="402"/>
      <x:c r="M130" s="402"/>
      <x:c r="N130" s="402"/>
      <x:c r="O130" s="402"/>
      <x:c r="P130" s="402"/>
      <x:c r="Q130" s="402"/>
      <x:c r="R130" s="402"/>
      <x:c r="S130" s="402"/>
      <x:c r="T130" s="402"/>
      <x:c r="U130" s="402"/>
      <x:c r="V130" s="402"/>
      <x:c r="W130" s="402"/>
      <x:c r="X130" s="402"/>
      <x:c r="Y130" s="402"/>
      <x:c r="Z130" s="402"/>
    </x:row>
    <x:row r="131">
      <x:c r="A131" s="402"/>
      <x:c r="B131" s="402"/>
      <x:c r="C131" s="402"/>
      <x:c r="D131" s="402"/>
      <x:c r="E131" s="402"/>
      <x:c r="F131" s="402"/>
      <x:c r="G131" s="402"/>
      <x:c r="H131" s="402"/>
      <x:c r="I131" s="402"/>
      <x:c r="J131" s="402"/>
      <x:c r="K131" s="402"/>
      <x:c r="L131" s="402"/>
      <x:c r="M131" s="402"/>
      <x:c r="N131" s="402"/>
      <x:c r="O131" s="402"/>
      <x:c r="P131" s="402"/>
      <x:c r="Q131" s="402"/>
      <x:c r="R131" s="402"/>
      <x:c r="S131" s="402"/>
      <x:c r="T131" s="402"/>
      <x:c r="U131" s="402"/>
      <x:c r="V131" s="402"/>
      <x:c r="W131" s="402"/>
      <x:c r="X131" s="402"/>
      <x:c r="Y131" s="402"/>
      <x:c r="Z131" s="402"/>
    </x:row>
    <x:row r="132">
      <x:c r="A132" s="402"/>
      <x:c r="B132" s="402"/>
      <x:c r="C132" s="402"/>
      <x:c r="D132" s="402"/>
      <x:c r="E132" s="402"/>
      <x:c r="F132" s="402"/>
      <x:c r="G132" s="402"/>
      <x:c r="H132" s="402"/>
      <x:c r="I132" s="402"/>
      <x:c r="J132" s="402"/>
      <x:c r="K132" s="402"/>
      <x:c r="L132" s="402"/>
      <x:c r="M132" s="402"/>
      <x:c r="N132" s="402"/>
      <x:c r="O132" s="402"/>
      <x:c r="P132" s="402"/>
      <x:c r="Q132" s="402"/>
      <x:c r="R132" s="402"/>
      <x:c r="S132" s="402"/>
      <x:c r="T132" s="402"/>
      <x:c r="U132" s="402"/>
      <x:c r="V132" s="402"/>
      <x:c r="W132" s="402"/>
      <x:c r="X132" s="402"/>
      <x:c r="Y132" s="402"/>
      <x:c r="Z132" s="402"/>
    </x:row>
    <x:row r="133">
      <x:c r="A133" s="402"/>
      <x:c r="B133" s="402"/>
      <x:c r="C133" s="402"/>
      <x:c r="D133" s="402"/>
      <x:c r="E133" s="402"/>
      <x:c r="F133" s="402"/>
      <x:c r="G133" s="402"/>
      <x:c r="H133" s="402"/>
      <x:c r="I133" s="402"/>
      <x:c r="J133" s="402"/>
      <x:c r="K133" s="402"/>
      <x:c r="L133" s="402"/>
      <x:c r="M133" s="402"/>
      <x:c r="N133" s="402"/>
      <x:c r="O133" s="402"/>
      <x:c r="P133" s="402"/>
      <x:c r="Q133" s="402"/>
      <x:c r="R133" s="402"/>
      <x:c r="S133" s="402"/>
      <x:c r="T133" s="402"/>
      <x:c r="U133" s="402"/>
      <x:c r="V133" s="402"/>
      <x:c r="W133" s="402"/>
      <x:c r="X133" s="402"/>
      <x:c r="Y133" s="402"/>
      <x:c r="Z133" s="402"/>
    </x:row>
    <x:row r="134">
      <x:c r="A134" s="402"/>
      <x:c r="B134" s="402"/>
      <x:c r="C134" s="402"/>
      <x:c r="D134" s="402"/>
      <x:c r="E134" s="402"/>
      <x:c r="F134" s="402"/>
      <x:c r="G134" s="402"/>
      <x:c r="H134" s="402"/>
      <x:c r="I134" s="402"/>
      <x:c r="J134" s="402"/>
      <x:c r="K134" s="402"/>
      <x:c r="L134" s="402"/>
      <x:c r="M134" s="402"/>
      <x:c r="N134" s="402"/>
      <x:c r="O134" s="402"/>
      <x:c r="P134" s="402"/>
      <x:c r="Q134" s="402"/>
      <x:c r="R134" s="402"/>
      <x:c r="S134" s="402"/>
      <x:c r="T134" s="402"/>
      <x:c r="U134" s="402"/>
      <x:c r="V134" s="402"/>
      <x:c r="W134" s="402"/>
      <x:c r="X134" s="402"/>
      <x:c r="Y134" s="402"/>
      <x:c r="Z134" s="402"/>
    </x:row>
    <x:row r="135">
      <x:c r="A135" s="402"/>
      <x:c r="B135" s="402"/>
      <x:c r="C135" s="402"/>
      <x:c r="D135" s="402"/>
      <x:c r="E135" s="402"/>
      <x:c r="F135" s="402"/>
      <x:c r="G135" s="402"/>
      <x:c r="H135" s="402"/>
      <x:c r="I135" s="402"/>
      <x:c r="J135" s="402"/>
      <x:c r="K135" s="402"/>
      <x:c r="L135" s="402"/>
      <x:c r="M135" s="402"/>
      <x:c r="N135" s="402"/>
      <x:c r="O135" s="402"/>
      <x:c r="P135" s="402"/>
      <x:c r="Q135" s="402"/>
      <x:c r="R135" s="402"/>
      <x:c r="S135" s="402"/>
      <x:c r="T135" s="402"/>
      <x:c r="U135" s="402"/>
      <x:c r="V135" s="402"/>
      <x:c r="W135" s="402"/>
      <x:c r="X135" s="402"/>
      <x:c r="Y135" s="402"/>
      <x:c r="Z135" s="402"/>
    </x:row>
    <x:row r="136">
      <x:c r="A136" s="402"/>
      <x:c r="B136" s="402"/>
      <x:c r="C136" s="402"/>
      <x:c r="D136" s="402"/>
      <x:c r="E136" s="402"/>
      <x:c r="F136" s="402"/>
      <x:c r="G136" s="402"/>
      <x:c r="H136" s="402"/>
      <x:c r="I136" s="402"/>
      <x:c r="J136" s="402"/>
      <x:c r="K136" s="402"/>
      <x:c r="L136" s="402"/>
      <x:c r="M136" s="402"/>
      <x:c r="N136" s="402"/>
      <x:c r="O136" s="402"/>
      <x:c r="P136" s="402"/>
      <x:c r="Q136" s="402"/>
      <x:c r="R136" s="402"/>
      <x:c r="S136" s="402"/>
      <x:c r="T136" s="402"/>
      <x:c r="U136" s="402"/>
      <x:c r="V136" s="402"/>
      <x:c r="W136" s="402"/>
      <x:c r="X136" s="402"/>
      <x:c r="Y136" s="402"/>
      <x:c r="Z136" s="402"/>
    </x:row>
    <x:row r="137">
      <x:c r="A137" s="402"/>
      <x:c r="B137" s="402"/>
      <x:c r="C137" s="402"/>
      <x:c r="D137" s="402"/>
      <x:c r="E137" s="402"/>
      <x:c r="F137" s="402"/>
      <x:c r="G137" s="402"/>
      <x:c r="H137" s="402"/>
      <x:c r="I137" s="402"/>
      <x:c r="J137" s="402"/>
      <x:c r="K137" s="402"/>
      <x:c r="L137" s="402"/>
      <x:c r="M137" s="402"/>
      <x:c r="N137" s="402"/>
      <x:c r="O137" s="402"/>
      <x:c r="P137" s="402"/>
      <x:c r="Q137" s="402"/>
      <x:c r="R137" s="402"/>
      <x:c r="S137" s="402"/>
      <x:c r="T137" s="402"/>
      <x:c r="U137" s="402"/>
      <x:c r="V137" s="402"/>
      <x:c r="W137" s="402"/>
      <x:c r="X137" s="402"/>
      <x:c r="Y137" s="402"/>
      <x:c r="Z137" s="402"/>
    </x:row>
    <x:row r="138">
      <x:c r="A138" s="402"/>
      <x:c r="B138" s="402"/>
      <x:c r="C138" s="402"/>
      <x:c r="D138" s="402"/>
      <x:c r="E138" s="402"/>
      <x:c r="F138" s="402"/>
      <x:c r="G138" s="402"/>
      <x:c r="H138" s="402"/>
      <x:c r="I138" s="402"/>
      <x:c r="J138" s="402"/>
      <x:c r="K138" s="402"/>
      <x:c r="L138" s="402"/>
      <x:c r="M138" s="402"/>
      <x:c r="N138" s="402"/>
      <x:c r="O138" s="402"/>
      <x:c r="P138" s="402"/>
      <x:c r="Q138" s="402"/>
      <x:c r="R138" s="402"/>
      <x:c r="S138" s="402"/>
      <x:c r="T138" s="402"/>
      <x:c r="U138" s="402"/>
      <x:c r="V138" s="402"/>
      <x:c r="W138" s="402"/>
      <x:c r="X138" s="402"/>
      <x:c r="Y138" s="402"/>
      <x:c r="Z138" s="402"/>
    </x:row>
    <x:row r="139">
      <x:c r="A139" s="402"/>
      <x:c r="B139" s="402"/>
      <x:c r="C139" s="402"/>
      <x:c r="D139" s="402"/>
      <x:c r="E139" s="402"/>
      <x:c r="F139" s="402"/>
      <x:c r="G139" s="402"/>
      <x:c r="H139" s="402"/>
      <x:c r="I139" s="402"/>
      <x:c r="J139" s="402"/>
      <x:c r="K139" s="402"/>
      <x:c r="L139" s="402"/>
      <x:c r="M139" s="402"/>
      <x:c r="N139" s="402"/>
      <x:c r="O139" s="402"/>
      <x:c r="P139" s="402"/>
      <x:c r="Q139" s="402"/>
      <x:c r="R139" s="402"/>
      <x:c r="S139" s="402"/>
      <x:c r="T139" s="402"/>
      <x:c r="U139" s="402"/>
      <x:c r="V139" s="402"/>
      <x:c r="W139" s="402"/>
      <x:c r="X139" s="402"/>
      <x:c r="Y139" s="402"/>
      <x:c r="Z139" s="402"/>
    </x:row>
    <x:row r="140">
      <x:c r="A140" s="402"/>
      <x:c r="B140" s="402"/>
      <x:c r="C140" s="402"/>
      <x:c r="D140" s="402"/>
      <x:c r="E140" s="402"/>
      <x:c r="F140" s="402"/>
      <x:c r="G140" s="402"/>
      <x:c r="H140" s="402"/>
      <x:c r="I140" s="402"/>
      <x:c r="J140" s="402"/>
      <x:c r="K140" s="402"/>
      <x:c r="L140" s="402"/>
      <x:c r="M140" s="402"/>
      <x:c r="N140" s="402"/>
      <x:c r="O140" s="402"/>
      <x:c r="P140" s="402"/>
      <x:c r="Q140" s="402"/>
      <x:c r="R140" s="402"/>
      <x:c r="S140" s="402"/>
      <x:c r="T140" s="402"/>
      <x:c r="U140" s="402"/>
      <x:c r="V140" s="402"/>
      <x:c r="W140" s="402"/>
      <x:c r="X140" s="402"/>
      <x:c r="Y140" s="402"/>
      <x:c r="Z140" s="402"/>
    </x:row>
    <x:row r="141">
      <x:c r="A141" s="402"/>
      <x:c r="B141" s="402"/>
      <x:c r="C141" s="402"/>
      <x:c r="D141" s="402"/>
      <x:c r="E141" s="402"/>
      <x:c r="F141" s="402"/>
      <x:c r="G141" s="402"/>
      <x:c r="H141" s="402"/>
      <x:c r="I141" s="402"/>
      <x:c r="J141" s="402"/>
      <x:c r="K141" s="402"/>
      <x:c r="L141" s="402"/>
      <x:c r="M141" s="402"/>
      <x:c r="N141" s="402"/>
      <x:c r="O141" s="402"/>
      <x:c r="P141" s="402"/>
      <x:c r="Q141" s="402"/>
      <x:c r="R141" s="402"/>
      <x:c r="S141" s="402"/>
      <x:c r="T141" s="402"/>
      <x:c r="U141" s="402"/>
      <x:c r="V141" s="402"/>
      <x:c r="W141" s="402"/>
      <x:c r="X141" s="402"/>
      <x:c r="Y141" s="402"/>
      <x:c r="Z141" s="402"/>
    </x:row>
    <x:row r="142">
      <x:c r="A142" s="402"/>
      <x:c r="B142" s="402"/>
      <x:c r="C142" s="402"/>
      <x:c r="D142" s="402"/>
      <x:c r="E142" s="402"/>
      <x:c r="F142" s="402"/>
      <x:c r="G142" s="402"/>
      <x:c r="H142" s="402"/>
      <x:c r="I142" s="402"/>
      <x:c r="J142" s="402"/>
      <x:c r="K142" s="402"/>
      <x:c r="L142" s="402"/>
      <x:c r="M142" s="402"/>
      <x:c r="N142" s="402"/>
      <x:c r="O142" s="402"/>
      <x:c r="P142" s="402"/>
      <x:c r="Q142" s="402"/>
      <x:c r="R142" s="402"/>
      <x:c r="S142" s="402"/>
      <x:c r="T142" s="402"/>
      <x:c r="U142" s="402"/>
      <x:c r="V142" s="402"/>
      <x:c r="W142" s="402"/>
      <x:c r="X142" s="402"/>
      <x:c r="Y142" s="402"/>
      <x:c r="Z142" s="402"/>
    </x:row>
    <x:row r="143">
      <x:c r="A143" s="402"/>
      <x:c r="B143" s="402"/>
      <x:c r="C143" s="402"/>
      <x:c r="D143" s="402"/>
      <x:c r="E143" s="402"/>
      <x:c r="F143" s="402"/>
      <x:c r="G143" s="402"/>
      <x:c r="H143" s="402"/>
      <x:c r="I143" s="402"/>
      <x:c r="J143" s="402"/>
      <x:c r="K143" s="402"/>
      <x:c r="L143" s="402"/>
      <x:c r="M143" s="402"/>
      <x:c r="N143" s="402"/>
      <x:c r="O143" s="402"/>
      <x:c r="P143" s="402"/>
      <x:c r="Q143" s="402"/>
      <x:c r="R143" s="402"/>
      <x:c r="S143" s="402"/>
      <x:c r="T143" s="402"/>
      <x:c r="U143" s="402"/>
      <x:c r="V143" s="402"/>
      <x:c r="W143" s="402"/>
      <x:c r="X143" s="402"/>
      <x:c r="Y143" s="402"/>
      <x:c r="Z143" s="402"/>
    </x:row>
    <x:row r="144">
      <x:c r="A144" s="402"/>
      <x:c r="B144" s="402"/>
      <x:c r="C144" s="402"/>
      <x:c r="D144" s="402"/>
      <x:c r="E144" s="402"/>
      <x:c r="F144" s="402"/>
      <x:c r="G144" s="402"/>
      <x:c r="H144" s="402"/>
      <x:c r="I144" s="402"/>
      <x:c r="J144" s="402"/>
      <x:c r="K144" s="402"/>
      <x:c r="L144" s="402"/>
      <x:c r="M144" s="402"/>
      <x:c r="N144" s="402"/>
      <x:c r="O144" s="402"/>
      <x:c r="P144" s="402"/>
      <x:c r="Q144" s="402"/>
      <x:c r="R144" s="402"/>
      <x:c r="S144" s="402"/>
      <x:c r="T144" s="402"/>
      <x:c r="U144" s="402"/>
      <x:c r="V144" s="402"/>
      <x:c r="W144" s="402"/>
      <x:c r="X144" s="402"/>
      <x:c r="Y144" s="402"/>
      <x:c r="Z144" s="402"/>
    </x:row>
    <x:row r="145">
      <x:c r="A145" s="402"/>
      <x:c r="B145" s="402"/>
      <x:c r="C145" s="402"/>
      <x:c r="D145" s="402"/>
      <x:c r="E145" s="402"/>
      <x:c r="F145" s="402"/>
      <x:c r="G145" s="402"/>
      <x:c r="H145" s="402"/>
      <x:c r="I145" s="402"/>
      <x:c r="J145" s="402"/>
      <x:c r="K145" s="402"/>
      <x:c r="L145" s="402"/>
      <x:c r="M145" s="402"/>
      <x:c r="N145" s="402"/>
      <x:c r="O145" s="402"/>
      <x:c r="P145" s="402"/>
      <x:c r="Q145" s="402"/>
      <x:c r="R145" s="402"/>
      <x:c r="S145" s="402"/>
      <x:c r="T145" s="402"/>
      <x:c r="U145" s="402"/>
      <x:c r="V145" s="402"/>
      <x:c r="W145" s="402"/>
      <x:c r="X145" s="402"/>
      <x:c r="Y145" s="402"/>
      <x:c r="Z145" s="402"/>
    </x:row>
    <x:row r="146">
      <x:c r="A146" s="402"/>
      <x:c r="B146" s="402"/>
      <x:c r="C146" s="402"/>
      <x:c r="D146" s="402"/>
      <x:c r="E146" s="402"/>
      <x:c r="F146" s="402"/>
      <x:c r="G146" s="402"/>
      <x:c r="H146" s="402"/>
      <x:c r="I146" s="402"/>
      <x:c r="J146" s="402"/>
      <x:c r="K146" s="402"/>
      <x:c r="L146" s="402"/>
      <x:c r="M146" s="402"/>
      <x:c r="N146" s="402"/>
      <x:c r="O146" s="402"/>
      <x:c r="P146" s="402"/>
      <x:c r="Q146" s="402"/>
      <x:c r="R146" s="402"/>
      <x:c r="S146" s="402"/>
      <x:c r="T146" s="402"/>
      <x:c r="U146" s="402"/>
      <x:c r="V146" s="402"/>
      <x:c r="W146" s="402"/>
      <x:c r="X146" s="402"/>
      <x:c r="Y146" s="402"/>
      <x:c r="Z146" s="402"/>
    </x:row>
    <x:row r="147">
      <x:c r="A147" s="402"/>
      <x:c r="B147" s="402"/>
      <x:c r="C147" s="402"/>
      <x:c r="D147" s="402"/>
      <x:c r="E147" s="402"/>
      <x:c r="F147" s="402"/>
      <x:c r="G147" s="402"/>
      <x:c r="H147" s="402"/>
      <x:c r="I147" s="402"/>
      <x:c r="J147" s="402"/>
      <x:c r="K147" s="402"/>
      <x:c r="L147" s="402"/>
      <x:c r="M147" s="402"/>
      <x:c r="N147" s="402"/>
      <x:c r="O147" s="402"/>
      <x:c r="P147" s="402"/>
      <x:c r="Q147" s="402"/>
      <x:c r="R147" s="402"/>
      <x:c r="S147" s="402"/>
      <x:c r="T147" s="402"/>
      <x:c r="U147" s="402"/>
      <x:c r="V147" s="402"/>
      <x:c r="W147" s="402"/>
      <x:c r="X147" s="402"/>
      <x:c r="Y147" s="402"/>
      <x:c r="Z147" s="402"/>
    </x:row>
    <x:row r="148">
      <x:c r="A148" s="402"/>
      <x:c r="B148" s="402"/>
      <x:c r="C148" s="402"/>
      <x:c r="D148" s="402"/>
      <x:c r="E148" s="402"/>
      <x:c r="F148" s="402"/>
      <x:c r="G148" s="402"/>
      <x:c r="H148" s="402"/>
      <x:c r="I148" s="402"/>
      <x:c r="J148" s="402"/>
      <x:c r="K148" s="402"/>
      <x:c r="L148" s="402"/>
      <x:c r="M148" s="402"/>
      <x:c r="N148" s="402"/>
      <x:c r="O148" s="402"/>
      <x:c r="P148" s="402"/>
      <x:c r="Q148" s="402"/>
      <x:c r="R148" s="402"/>
      <x:c r="S148" s="402"/>
      <x:c r="T148" s="402"/>
      <x:c r="U148" s="402"/>
      <x:c r="V148" s="402"/>
      <x:c r="W148" s="402"/>
      <x:c r="X148" s="402"/>
      <x:c r="Y148" s="402"/>
      <x:c r="Z148" s="402"/>
    </x:row>
    <x:row r="149">
      <x:c r="A149" s="402"/>
      <x:c r="B149" s="402"/>
      <x:c r="C149" s="402"/>
      <x:c r="D149" s="402"/>
      <x:c r="E149" s="402"/>
      <x:c r="F149" s="402"/>
      <x:c r="G149" s="402"/>
      <x:c r="H149" s="402"/>
      <x:c r="I149" s="402"/>
      <x:c r="J149" s="402"/>
      <x:c r="K149" s="402"/>
      <x:c r="L149" s="402"/>
      <x:c r="M149" s="402"/>
      <x:c r="N149" s="402"/>
      <x:c r="O149" s="402"/>
      <x:c r="P149" s="402"/>
      <x:c r="Q149" s="402"/>
      <x:c r="R149" s="402"/>
      <x:c r="S149" s="402"/>
      <x:c r="T149" s="402"/>
      <x:c r="U149" s="402"/>
      <x:c r="V149" s="402"/>
      <x:c r="W149" s="402"/>
      <x:c r="X149" s="402"/>
      <x:c r="Y149" s="402"/>
      <x:c r="Z149" s="402"/>
    </x:row>
    <x:row r="150">
      <x:c r="A150" s="402"/>
      <x:c r="B150" s="402"/>
      <x:c r="C150" s="402"/>
      <x:c r="D150" s="402"/>
      <x:c r="E150" s="402"/>
      <x:c r="F150" s="402"/>
      <x:c r="G150" s="402"/>
      <x:c r="H150" s="402"/>
      <x:c r="I150" s="402"/>
      <x:c r="J150" s="402"/>
      <x:c r="K150" s="402"/>
      <x:c r="L150" s="402"/>
      <x:c r="M150" s="402"/>
      <x:c r="N150" s="402"/>
      <x:c r="O150" s="402"/>
      <x:c r="P150" s="402"/>
      <x:c r="Q150" s="402"/>
      <x:c r="R150" s="402"/>
      <x:c r="S150" s="402"/>
      <x:c r="T150" s="402"/>
      <x:c r="U150" s="402"/>
      <x:c r="V150" s="402"/>
      <x:c r="W150" s="402"/>
      <x:c r="X150" s="402"/>
      <x:c r="Y150" s="402"/>
      <x:c r="Z150" s="402"/>
    </x:row>
    <x:row r="151">
      <x:c r="A151" s="402"/>
      <x:c r="B151" s="402"/>
      <x:c r="C151" s="402"/>
      <x:c r="D151" s="402"/>
      <x:c r="E151" s="402"/>
      <x:c r="F151" s="402"/>
      <x:c r="G151" s="402"/>
      <x:c r="H151" s="402"/>
      <x:c r="I151" s="402"/>
      <x:c r="J151" s="402"/>
      <x:c r="K151" s="402"/>
      <x:c r="L151" s="402"/>
      <x:c r="M151" s="402"/>
      <x:c r="N151" s="402"/>
      <x:c r="O151" s="402"/>
      <x:c r="P151" s="402"/>
      <x:c r="Q151" s="402"/>
      <x:c r="R151" s="402"/>
      <x:c r="S151" s="402"/>
      <x:c r="T151" s="402"/>
      <x:c r="U151" s="402"/>
      <x:c r="V151" s="402"/>
      <x:c r="W151" s="402"/>
      <x:c r="X151" s="402"/>
      <x:c r="Y151" s="402"/>
      <x:c r="Z151" s="402"/>
    </x:row>
    <x:row r="152">
      <x:c r="A152" s="402"/>
      <x:c r="B152" s="402"/>
      <x:c r="C152" s="402"/>
      <x:c r="D152" s="402"/>
      <x:c r="E152" s="402"/>
      <x:c r="F152" s="402"/>
      <x:c r="G152" s="402"/>
      <x:c r="H152" s="402"/>
      <x:c r="I152" s="402"/>
      <x:c r="J152" s="402"/>
      <x:c r="K152" s="402"/>
      <x:c r="L152" s="402"/>
      <x:c r="M152" s="402"/>
      <x:c r="N152" s="402"/>
      <x:c r="O152" s="402"/>
      <x:c r="P152" s="402"/>
      <x:c r="Q152" s="402"/>
      <x:c r="R152" s="402"/>
      <x:c r="S152" s="402"/>
      <x:c r="T152" s="402"/>
      <x:c r="U152" s="402"/>
      <x:c r="V152" s="402"/>
      <x:c r="W152" s="402"/>
      <x:c r="X152" s="402"/>
      <x:c r="Y152" s="402"/>
      <x:c r="Z152" s="402"/>
    </x:row>
    <x:row r="153">
      <x:c r="A153" s="402"/>
      <x:c r="B153" s="402"/>
      <x:c r="C153" s="402"/>
      <x:c r="D153" s="402"/>
      <x:c r="E153" s="402"/>
      <x:c r="F153" s="402"/>
      <x:c r="G153" s="402"/>
      <x:c r="H153" s="402"/>
      <x:c r="I153" s="402"/>
      <x:c r="J153" s="402"/>
      <x:c r="K153" s="402"/>
      <x:c r="L153" s="402"/>
      <x:c r="M153" s="402"/>
      <x:c r="N153" s="402"/>
      <x:c r="O153" s="402"/>
      <x:c r="P153" s="402"/>
      <x:c r="Q153" s="402"/>
      <x:c r="R153" s="402"/>
      <x:c r="S153" s="402"/>
      <x:c r="T153" s="402"/>
      <x:c r="U153" s="402"/>
      <x:c r="V153" s="402"/>
      <x:c r="W153" s="402"/>
      <x:c r="X153" s="402"/>
      <x:c r="Y153" s="402"/>
      <x:c r="Z153" s="402"/>
    </x:row>
    <x:row r="154">
      <x:c r="A154" s="402"/>
      <x:c r="B154" s="402"/>
      <x:c r="C154" s="402"/>
      <x:c r="D154" s="402"/>
      <x:c r="E154" s="402"/>
      <x:c r="F154" s="402"/>
      <x:c r="G154" s="402"/>
      <x:c r="H154" s="402"/>
      <x:c r="I154" s="402"/>
      <x:c r="J154" s="402"/>
      <x:c r="K154" s="402"/>
      <x:c r="L154" s="402"/>
      <x:c r="M154" s="402"/>
      <x:c r="N154" s="402"/>
      <x:c r="O154" s="402"/>
      <x:c r="P154" s="402"/>
      <x:c r="Q154" s="402"/>
      <x:c r="R154" s="402"/>
      <x:c r="S154" s="402"/>
      <x:c r="T154" s="402"/>
      <x:c r="U154" s="402"/>
      <x:c r="V154" s="402"/>
      <x:c r="W154" s="402"/>
      <x:c r="X154" s="402"/>
      <x:c r="Y154" s="402"/>
      <x:c r="Z154" s="402"/>
    </x:row>
    <x:row r="155">
      <x:c r="A155" s="402"/>
      <x:c r="B155" s="402"/>
      <x:c r="C155" s="402"/>
      <x:c r="D155" s="402"/>
      <x:c r="E155" s="402"/>
      <x:c r="F155" s="402"/>
      <x:c r="G155" s="402"/>
      <x:c r="H155" s="402"/>
      <x:c r="I155" s="402"/>
      <x:c r="J155" s="402"/>
      <x:c r="K155" s="402"/>
      <x:c r="L155" s="402"/>
      <x:c r="M155" s="402"/>
      <x:c r="N155" s="402"/>
      <x:c r="O155" s="402"/>
      <x:c r="P155" s="402"/>
      <x:c r="Q155" s="402"/>
      <x:c r="R155" s="402"/>
      <x:c r="S155" s="402"/>
      <x:c r="T155" s="402"/>
      <x:c r="U155" s="402"/>
      <x:c r="V155" s="402"/>
      <x:c r="W155" s="402"/>
      <x:c r="X155" s="402"/>
      <x:c r="Y155" s="402"/>
      <x:c r="Z155" s="402"/>
    </x:row>
    <x:row r="156">
      <x:c r="A156" s="402"/>
      <x:c r="B156" s="402"/>
      <x:c r="C156" s="402"/>
      <x:c r="D156" s="402"/>
      <x:c r="E156" s="402"/>
      <x:c r="F156" s="402"/>
      <x:c r="G156" s="402"/>
      <x:c r="H156" s="402"/>
      <x:c r="I156" s="402"/>
      <x:c r="J156" s="402"/>
      <x:c r="K156" s="402"/>
      <x:c r="L156" s="402"/>
      <x:c r="M156" s="402"/>
      <x:c r="N156" s="402"/>
      <x:c r="O156" s="402"/>
      <x:c r="P156" s="402"/>
      <x:c r="Q156" s="402"/>
      <x:c r="R156" s="402"/>
      <x:c r="S156" s="402"/>
      <x:c r="T156" s="402"/>
      <x:c r="U156" s="402"/>
      <x:c r="V156" s="402"/>
      <x:c r="W156" s="402"/>
      <x:c r="X156" s="402"/>
      <x:c r="Y156" s="402"/>
      <x:c r="Z156" s="402"/>
    </x:row>
    <x:row r="157">
      <x:c r="A157" s="402"/>
      <x:c r="B157" s="402"/>
      <x:c r="C157" s="402"/>
      <x:c r="D157" s="402"/>
      <x:c r="E157" s="402"/>
      <x:c r="F157" s="402"/>
      <x:c r="G157" s="402"/>
      <x:c r="H157" s="402"/>
      <x:c r="I157" s="402"/>
      <x:c r="J157" s="402"/>
      <x:c r="K157" s="402"/>
      <x:c r="L157" s="402"/>
      <x:c r="M157" s="402"/>
      <x:c r="N157" s="402"/>
      <x:c r="O157" s="402"/>
      <x:c r="P157" s="402"/>
      <x:c r="Q157" s="402"/>
      <x:c r="R157" s="402"/>
      <x:c r="S157" s="402"/>
      <x:c r="T157" s="402"/>
      <x:c r="U157" s="402"/>
      <x:c r="V157" s="402"/>
      <x:c r="W157" s="402"/>
      <x:c r="X157" s="402"/>
      <x:c r="Y157" s="402"/>
      <x:c r="Z157" s="402"/>
    </x:row>
    <x:row r="158">
      <x:c r="A158" s="402"/>
      <x:c r="B158" s="402"/>
      <x:c r="C158" s="402"/>
      <x:c r="D158" s="402"/>
      <x:c r="E158" s="402"/>
      <x:c r="F158" s="402"/>
      <x:c r="G158" s="402"/>
      <x:c r="H158" s="402"/>
      <x:c r="I158" s="402"/>
      <x:c r="J158" s="402"/>
      <x:c r="K158" s="402"/>
      <x:c r="L158" s="402"/>
      <x:c r="M158" s="402"/>
      <x:c r="N158" s="402"/>
      <x:c r="O158" s="402"/>
      <x:c r="P158" s="402"/>
      <x:c r="Q158" s="402"/>
      <x:c r="R158" s="402"/>
      <x:c r="S158" s="402"/>
      <x:c r="T158" s="402"/>
      <x:c r="U158" s="402"/>
      <x:c r="V158" s="402"/>
      <x:c r="W158" s="402"/>
      <x:c r="X158" s="402"/>
      <x:c r="Y158" s="402"/>
      <x:c r="Z158" s="402"/>
    </x:row>
    <x:row r="159">
      <x:c r="A159" s="402"/>
      <x:c r="B159" s="402"/>
      <x:c r="C159" s="402"/>
      <x:c r="D159" s="402"/>
      <x:c r="E159" s="402"/>
      <x:c r="F159" s="402"/>
      <x:c r="G159" s="402"/>
      <x:c r="H159" s="402"/>
      <x:c r="I159" s="402"/>
      <x:c r="J159" s="402"/>
      <x:c r="K159" s="402"/>
      <x:c r="L159" s="402"/>
      <x:c r="M159" s="402"/>
      <x:c r="N159" s="402"/>
      <x:c r="O159" s="402"/>
      <x:c r="P159" s="402"/>
      <x:c r="Q159" s="402"/>
      <x:c r="R159" s="402"/>
      <x:c r="S159" s="402"/>
      <x:c r="T159" s="402"/>
      <x:c r="U159" s="402"/>
      <x:c r="V159" s="402"/>
      <x:c r="W159" s="402"/>
      <x:c r="X159" s="402"/>
      <x:c r="Y159" s="402"/>
      <x:c r="Z159" s="402"/>
    </x:row>
    <x:row r="160">
      <x:c r="A160" s="402"/>
      <x:c r="B160" s="402"/>
      <x:c r="C160" s="402"/>
      <x:c r="D160" s="402"/>
      <x:c r="E160" s="402"/>
      <x:c r="F160" s="402"/>
      <x:c r="G160" s="402"/>
      <x:c r="H160" s="402"/>
      <x:c r="I160" s="402"/>
      <x:c r="J160" s="402"/>
      <x:c r="K160" s="402"/>
      <x:c r="L160" s="402"/>
      <x:c r="M160" s="402"/>
      <x:c r="N160" s="402"/>
      <x:c r="O160" s="402"/>
      <x:c r="P160" s="402"/>
      <x:c r="Q160" s="402"/>
      <x:c r="R160" s="402"/>
      <x:c r="S160" s="402"/>
      <x:c r="T160" s="402"/>
      <x:c r="U160" s="402"/>
      <x:c r="V160" s="402"/>
      <x:c r="W160" s="402"/>
      <x:c r="X160" s="402"/>
      <x:c r="Y160" s="402"/>
      <x:c r="Z160" s="402"/>
    </x:row>
    <x:row r="161">
      <x:c r="A161" s="402"/>
      <x:c r="B161" s="402"/>
      <x:c r="C161" s="402"/>
      <x:c r="D161" s="402"/>
      <x:c r="E161" s="402"/>
      <x:c r="F161" s="402"/>
      <x:c r="G161" s="402"/>
      <x:c r="H161" s="402"/>
      <x:c r="I161" s="402"/>
      <x:c r="J161" s="402"/>
      <x:c r="K161" s="402"/>
      <x:c r="L161" s="402"/>
      <x:c r="M161" s="402"/>
      <x:c r="N161" s="402"/>
      <x:c r="O161" s="402"/>
      <x:c r="P161" s="402"/>
      <x:c r="Q161" s="402"/>
      <x:c r="R161" s="402"/>
      <x:c r="S161" s="402"/>
      <x:c r="T161" s="402"/>
      <x:c r="U161" s="402"/>
      <x:c r="V161" s="402"/>
      <x:c r="W161" s="402"/>
      <x:c r="X161" s="402"/>
      <x:c r="Y161" s="402"/>
      <x:c r="Z161" s="402"/>
    </x:row>
    <x:row r="162">
      <x:c r="A162" s="402"/>
      <x:c r="B162" s="402"/>
      <x:c r="C162" s="402"/>
      <x:c r="D162" s="402"/>
      <x:c r="E162" s="402"/>
      <x:c r="F162" s="402"/>
      <x:c r="G162" s="402"/>
      <x:c r="H162" s="402"/>
      <x:c r="I162" s="402"/>
      <x:c r="J162" s="402"/>
      <x:c r="K162" s="402"/>
      <x:c r="L162" s="402"/>
      <x:c r="M162" s="402"/>
      <x:c r="N162" s="402"/>
      <x:c r="O162" s="402"/>
      <x:c r="P162" s="402"/>
      <x:c r="Q162" s="402"/>
      <x:c r="R162" s="402"/>
      <x:c r="S162" s="402"/>
      <x:c r="T162" s="402"/>
      <x:c r="U162" s="402"/>
      <x:c r="V162" s="402"/>
      <x:c r="W162" s="402"/>
      <x:c r="X162" s="402"/>
      <x:c r="Y162" s="402"/>
      <x:c r="Z162" s="402"/>
    </x:row>
    <x:row r="163">
      <x:c r="A163" s="402"/>
      <x:c r="B163" s="402"/>
      <x:c r="C163" s="402"/>
      <x:c r="D163" s="402"/>
      <x:c r="E163" s="402"/>
      <x:c r="F163" s="402"/>
      <x:c r="G163" s="402"/>
      <x:c r="H163" s="402"/>
      <x:c r="I163" s="402"/>
      <x:c r="J163" s="402"/>
      <x:c r="K163" s="402"/>
      <x:c r="L163" s="402"/>
      <x:c r="M163" s="402"/>
      <x:c r="N163" s="402"/>
      <x:c r="O163" s="402"/>
      <x:c r="P163" s="402"/>
      <x:c r="Q163" s="402"/>
      <x:c r="R163" s="402"/>
      <x:c r="S163" s="402"/>
      <x:c r="T163" s="402"/>
      <x:c r="U163" s="402"/>
      <x:c r="V163" s="402"/>
      <x:c r="W163" s="402"/>
      <x:c r="X163" s="402"/>
      <x:c r="Y163" s="402"/>
      <x:c r="Z163" s="402"/>
    </x:row>
    <x:row r="164">
      <x:c r="A164" s="402"/>
      <x:c r="B164" s="402"/>
      <x:c r="C164" s="402"/>
      <x:c r="D164" s="402"/>
      <x:c r="E164" s="402"/>
      <x:c r="F164" s="402"/>
      <x:c r="G164" s="402"/>
      <x:c r="H164" s="402"/>
      <x:c r="I164" s="402"/>
      <x:c r="J164" s="402"/>
      <x:c r="K164" s="402"/>
      <x:c r="L164" s="402"/>
      <x:c r="M164" s="402"/>
      <x:c r="N164" s="402"/>
      <x:c r="O164" s="402"/>
      <x:c r="P164" s="402"/>
      <x:c r="Q164" s="402"/>
      <x:c r="R164" s="402"/>
      <x:c r="S164" s="402"/>
      <x:c r="T164" s="402"/>
      <x:c r="U164" s="402"/>
      <x:c r="V164" s="402"/>
      <x:c r="W164" s="402"/>
      <x:c r="X164" s="402"/>
      <x:c r="Y164" s="402"/>
      <x:c r="Z164" s="402"/>
    </x:row>
    <x:row r="165">
      <x:c r="A165" s="402"/>
      <x:c r="B165" s="402"/>
      <x:c r="C165" s="402"/>
      <x:c r="D165" s="402"/>
      <x:c r="E165" s="402"/>
      <x:c r="F165" s="402"/>
      <x:c r="G165" s="402"/>
      <x:c r="H165" s="402"/>
      <x:c r="I165" s="402"/>
      <x:c r="J165" s="402"/>
      <x:c r="K165" s="402"/>
      <x:c r="L165" s="402"/>
      <x:c r="M165" s="402"/>
      <x:c r="N165" s="402"/>
      <x:c r="O165" s="402"/>
      <x:c r="P165" s="402"/>
      <x:c r="Q165" s="402"/>
      <x:c r="R165" s="402"/>
      <x:c r="S165" s="402"/>
      <x:c r="T165" s="402"/>
      <x:c r="U165" s="402"/>
      <x:c r="V165" s="402"/>
      <x:c r="W165" s="402"/>
      <x:c r="X165" s="402"/>
      <x:c r="Y165" s="402"/>
      <x:c r="Z165" s="402"/>
    </x:row>
    <x:row r="166">
      <x:c r="A166" s="402"/>
      <x:c r="B166" s="402"/>
      <x:c r="C166" s="402"/>
      <x:c r="D166" s="402"/>
      <x:c r="E166" s="402"/>
      <x:c r="F166" s="402"/>
      <x:c r="G166" s="402"/>
      <x:c r="H166" s="402"/>
      <x:c r="I166" s="402"/>
      <x:c r="J166" s="402"/>
      <x:c r="K166" s="402"/>
      <x:c r="L166" s="402"/>
      <x:c r="M166" s="402"/>
      <x:c r="N166" s="402"/>
      <x:c r="O166" s="402"/>
      <x:c r="P166" s="402"/>
      <x:c r="Q166" s="402"/>
      <x:c r="R166" s="402"/>
      <x:c r="S166" s="402"/>
      <x:c r="T166" s="402"/>
      <x:c r="U166" s="402"/>
      <x:c r="V166" s="402"/>
      <x:c r="W166" s="402"/>
      <x:c r="X166" s="402"/>
      <x:c r="Y166" s="402"/>
      <x:c r="Z166" s="402"/>
    </x:row>
    <x:row r="167">
      <x:c r="A167" s="402"/>
      <x:c r="B167" s="402"/>
      <x:c r="C167" s="402"/>
      <x:c r="D167" s="402"/>
      <x:c r="E167" s="402"/>
      <x:c r="F167" s="402"/>
      <x:c r="G167" s="402"/>
      <x:c r="H167" s="402"/>
      <x:c r="I167" s="402"/>
      <x:c r="J167" s="402"/>
      <x:c r="K167" s="402"/>
      <x:c r="L167" s="402"/>
      <x:c r="M167" s="402"/>
      <x:c r="N167" s="402"/>
      <x:c r="O167" s="402"/>
      <x:c r="P167" s="402"/>
      <x:c r="Q167" s="402"/>
      <x:c r="R167" s="402"/>
      <x:c r="S167" s="402"/>
      <x:c r="T167" s="402"/>
      <x:c r="U167" s="402"/>
      <x:c r="V167" s="402"/>
      <x:c r="W167" s="402"/>
      <x:c r="X167" s="402"/>
      <x:c r="Y167" s="402"/>
      <x:c r="Z167" s="402"/>
    </x:row>
    <x:row r="168">
      <x:c r="A168" s="402"/>
      <x:c r="B168" s="402"/>
      <x:c r="C168" s="402"/>
      <x:c r="D168" s="402"/>
      <x:c r="E168" s="402"/>
      <x:c r="F168" s="402"/>
      <x:c r="G168" s="402"/>
      <x:c r="H168" s="402"/>
      <x:c r="I168" s="402"/>
      <x:c r="J168" s="402"/>
      <x:c r="K168" s="402"/>
      <x:c r="L168" s="402"/>
      <x:c r="M168" s="402"/>
      <x:c r="N168" s="402"/>
      <x:c r="O168" s="402"/>
      <x:c r="P168" s="402"/>
      <x:c r="Q168" s="402"/>
      <x:c r="R168" s="402"/>
      <x:c r="S168" s="402"/>
      <x:c r="T168" s="402"/>
      <x:c r="U168" s="402"/>
      <x:c r="V168" s="402"/>
      <x:c r="W168" s="402"/>
      <x:c r="X168" s="402"/>
      <x:c r="Y168" s="402"/>
      <x:c r="Z168" s="402"/>
    </x:row>
    <x:row r="169">
      <x:c r="A169" s="402"/>
      <x:c r="B169" s="402"/>
      <x:c r="C169" s="402"/>
      <x:c r="D169" s="402"/>
      <x:c r="E169" s="402"/>
      <x:c r="F169" s="402"/>
      <x:c r="G169" s="402"/>
      <x:c r="H169" s="402"/>
      <x:c r="I169" s="402"/>
      <x:c r="J169" s="402"/>
      <x:c r="K169" s="402"/>
      <x:c r="L169" s="402"/>
      <x:c r="M169" s="402"/>
      <x:c r="N169" s="402"/>
      <x:c r="O169" s="402"/>
      <x:c r="P169" s="402"/>
      <x:c r="Q169" s="402"/>
      <x:c r="R169" s="402"/>
      <x:c r="S169" s="402"/>
      <x:c r="T169" s="402"/>
      <x:c r="U169" s="402"/>
      <x:c r="V169" s="402"/>
      <x:c r="W169" s="402"/>
      <x:c r="X169" s="402"/>
      <x:c r="Y169" s="402"/>
      <x:c r="Z169" s="402"/>
    </x:row>
    <x:row r="170">
      <x:c r="A170" s="402"/>
      <x:c r="B170" s="402"/>
      <x:c r="C170" s="402"/>
      <x:c r="D170" s="402"/>
      <x:c r="E170" s="402"/>
      <x:c r="F170" s="402"/>
      <x:c r="G170" s="402"/>
      <x:c r="H170" s="402"/>
      <x:c r="I170" s="402"/>
      <x:c r="J170" s="402"/>
      <x:c r="K170" s="402"/>
      <x:c r="L170" s="402"/>
      <x:c r="M170" s="402"/>
      <x:c r="N170" s="402"/>
      <x:c r="O170" s="402"/>
      <x:c r="P170" s="402"/>
      <x:c r="Q170" s="402"/>
      <x:c r="R170" s="402"/>
      <x:c r="S170" s="402"/>
      <x:c r="T170" s="402"/>
      <x:c r="U170" s="402"/>
      <x:c r="V170" s="402"/>
      <x:c r="W170" s="402"/>
      <x:c r="X170" s="402"/>
      <x:c r="Y170" s="402"/>
      <x:c r="Z170" s="402"/>
    </x:row>
    <x:row r="171">
      <x:c r="A171" s="402"/>
      <x:c r="B171" s="402"/>
      <x:c r="C171" s="402"/>
      <x:c r="D171" s="402"/>
      <x:c r="E171" s="402"/>
      <x:c r="F171" s="402"/>
      <x:c r="G171" s="402"/>
      <x:c r="H171" s="402"/>
      <x:c r="I171" s="402"/>
      <x:c r="J171" s="402"/>
      <x:c r="K171" s="402"/>
      <x:c r="L171" s="402"/>
      <x:c r="M171" s="402"/>
      <x:c r="N171" s="402"/>
      <x:c r="O171" s="402"/>
      <x:c r="P171" s="402"/>
      <x:c r="Q171" s="402"/>
      <x:c r="R171" s="402"/>
      <x:c r="S171" s="402"/>
      <x:c r="T171" s="402"/>
      <x:c r="U171" s="402"/>
      <x:c r="V171" s="402"/>
      <x:c r="W171" s="402"/>
      <x:c r="X171" s="402"/>
      <x:c r="Y171" s="402"/>
      <x:c r="Z171" s="402"/>
    </x:row>
    <x:row r="172">
      <x:c r="A172" s="402"/>
      <x:c r="B172" s="402"/>
      <x:c r="C172" s="402"/>
      <x:c r="D172" s="402"/>
      <x:c r="E172" s="402"/>
      <x:c r="F172" s="402"/>
      <x:c r="G172" s="402"/>
      <x:c r="H172" s="402"/>
      <x:c r="I172" s="402"/>
      <x:c r="J172" s="402"/>
      <x:c r="K172" s="402"/>
      <x:c r="L172" s="402"/>
      <x:c r="M172" s="402"/>
      <x:c r="N172" s="402"/>
      <x:c r="O172" s="402"/>
      <x:c r="P172" s="402"/>
      <x:c r="Q172" s="402"/>
      <x:c r="R172" s="402"/>
      <x:c r="S172" s="402"/>
      <x:c r="T172" s="402"/>
      <x:c r="U172" s="402"/>
      <x:c r="V172" s="402"/>
      <x:c r="W172" s="402"/>
      <x:c r="X172" s="402"/>
      <x:c r="Y172" s="402"/>
      <x:c r="Z172" s="402"/>
    </x:row>
    <x:row r="173">
      <x:c r="A173" s="402"/>
      <x:c r="B173" s="402"/>
      <x:c r="C173" s="402"/>
      <x:c r="D173" s="402"/>
      <x:c r="E173" s="402"/>
      <x:c r="F173" s="402"/>
      <x:c r="G173" s="402"/>
      <x:c r="H173" s="402"/>
      <x:c r="I173" s="402"/>
      <x:c r="J173" s="402"/>
      <x:c r="K173" s="402"/>
      <x:c r="L173" s="402"/>
      <x:c r="M173" s="402"/>
      <x:c r="N173" s="402"/>
      <x:c r="O173" s="402"/>
      <x:c r="P173" s="402"/>
      <x:c r="Q173" s="402"/>
      <x:c r="R173" s="402"/>
      <x:c r="S173" s="402"/>
      <x:c r="T173" s="402"/>
      <x:c r="U173" s="402"/>
      <x:c r="V173" s="402"/>
      <x:c r="W173" s="402"/>
      <x:c r="X173" s="402"/>
      <x:c r="Y173" s="402"/>
      <x:c r="Z173" s="402"/>
    </x:row>
    <x:row r="174">
      <x:c r="A174" s="402"/>
      <x:c r="B174" s="402"/>
      <x:c r="C174" s="402"/>
      <x:c r="D174" s="402"/>
      <x:c r="E174" s="402"/>
      <x:c r="F174" s="402"/>
      <x:c r="G174" s="402"/>
      <x:c r="H174" s="402"/>
      <x:c r="I174" s="402"/>
      <x:c r="J174" s="402"/>
      <x:c r="K174" s="402"/>
      <x:c r="L174" s="402"/>
      <x:c r="M174" s="402"/>
      <x:c r="N174" s="402"/>
      <x:c r="O174" s="402"/>
      <x:c r="P174" s="402"/>
      <x:c r="Q174" s="402"/>
      <x:c r="R174" s="402"/>
      <x:c r="S174" s="402"/>
      <x:c r="T174" s="402"/>
      <x:c r="U174" s="402"/>
      <x:c r="V174" s="402"/>
      <x:c r="W174" s="402"/>
      <x:c r="X174" s="402"/>
      <x:c r="Y174" s="402"/>
      <x:c r="Z174" s="402"/>
    </x:row>
    <x:row r="175">
      <x:c r="A175" s="402"/>
      <x:c r="B175" s="402"/>
      <x:c r="C175" s="402"/>
      <x:c r="D175" s="402"/>
      <x:c r="E175" s="402"/>
      <x:c r="F175" s="402"/>
      <x:c r="G175" s="402"/>
      <x:c r="H175" s="402"/>
      <x:c r="I175" s="402"/>
      <x:c r="J175" s="402"/>
      <x:c r="K175" s="402"/>
      <x:c r="L175" s="402"/>
      <x:c r="M175" s="402"/>
      <x:c r="N175" s="402"/>
      <x:c r="O175" s="402"/>
      <x:c r="P175" s="402"/>
      <x:c r="Q175" s="402"/>
      <x:c r="R175" s="402"/>
      <x:c r="S175" s="402"/>
      <x:c r="T175" s="402"/>
      <x:c r="U175" s="402"/>
      <x:c r="V175" s="402"/>
      <x:c r="W175" s="402"/>
      <x:c r="X175" s="402"/>
      <x:c r="Y175" s="402"/>
      <x:c r="Z175" s="402"/>
    </x:row>
    <x:row r="176">
      <x:c r="A176" s="402"/>
      <x:c r="B176" s="402"/>
      <x:c r="C176" s="402"/>
      <x:c r="D176" s="402"/>
      <x:c r="E176" s="402"/>
      <x:c r="F176" s="402"/>
      <x:c r="G176" s="402"/>
      <x:c r="H176" s="402"/>
      <x:c r="I176" s="402"/>
      <x:c r="J176" s="402"/>
      <x:c r="K176" s="402"/>
      <x:c r="L176" s="402"/>
      <x:c r="M176" s="402"/>
      <x:c r="N176" s="402"/>
      <x:c r="O176" s="402"/>
      <x:c r="P176" s="402"/>
      <x:c r="Q176" s="402"/>
      <x:c r="R176" s="402"/>
      <x:c r="S176" s="402"/>
      <x:c r="T176" s="402"/>
      <x:c r="U176" s="402"/>
      <x:c r="V176" s="402"/>
      <x:c r="W176" s="402"/>
      <x:c r="X176" s="402"/>
      <x:c r="Y176" s="402"/>
      <x:c r="Z176" s="402"/>
    </x:row>
    <x:row r="177">
      <x:c r="A177" s="402"/>
      <x:c r="B177" s="402"/>
      <x:c r="C177" s="402"/>
      <x:c r="D177" s="402"/>
      <x:c r="E177" s="402"/>
      <x:c r="F177" s="402"/>
      <x:c r="G177" s="402"/>
      <x:c r="H177" s="402"/>
      <x:c r="I177" s="402"/>
      <x:c r="J177" s="402"/>
      <x:c r="K177" s="402"/>
      <x:c r="L177" s="402"/>
      <x:c r="M177" s="402"/>
      <x:c r="N177" s="402"/>
      <x:c r="O177" s="402"/>
      <x:c r="P177" s="402"/>
      <x:c r="Q177" s="402"/>
      <x:c r="R177" s="402"/>
      <x:c r="S177" s="402"/>
      <x:c r="T177" s="402"/>
      <x:c r="U177" s="402"/>
      <x:c r="V177" s="402"/>
      <x:c r="W177" s="402"/>
      <x:c r="X177" s="402"/>
      <x:c r="Y177" s="402"/>
      <x:c r="Z177" s="402"/>
    </x:row>
    <x:row r="178">
      <x:c r="A178" s="402"/>
      <x:c r="B178" s="402"/>
      <x:c r="C178" s="402"/>
      <x:c r="D178" s="402"/>
      <x:c r="E178" s="402"/>
      <x:c r="F178" s="402"/>
      <x:c r="G178" s="402"/>
      <x:c r="H178" s="402"/>
      <x:c r="I178" s="402"/>
      <x:c r="J178" s="402"/>
      <x:c r="K178" s="402"/>
      <x:c r="L178" s="402"/>
      <x:c r="M178" s="402"/>
      <x:c r="N178" s="402"/>
      <x:c r="O178" s="402"/>
      <x:c r="P178" s="402"/>
      <x:c r="Q178" s="402"/>
      <x:c r="R178" s="402"/>
      <x:c r="S178" s="402"/>
      <x:c r="T178" s="402"/>
      <x:c r="U178" s="402"/>
      <x:c r="V178" s="402"/>
      <x:c r="W178" s="402"/>
      <x:c r="X178" s="402"/>
      <x:c r="Y178" s="402"/>
      <x:c r="Z178" s="402"/>
    </x:row>
    <x:row r="179">
      <x:c r="A179" s="402"/>
      <x:c r="B179" s="402"/>
      <x:c r="C179" s="402"/>
      <x:c r="D179" s="402"/>
      <x:c r="E179" s="402"/>
      <x:c r="F179" s="402"/>
      <x:c r="G179" s="402"/>
      <x:c r="H179" s="402"/>
      <x:c r="I179" s="402"/>
      <x:c r="J179" s="402"/>
      <x:c r="K179" s="402"/>
      <x:c r="L179" s="402"/>
      <x:c r="M179" s="402"/>
      <x:c r="N179" s="402"/>
      <x:c r="O179" s="402"/>
      <x:c r="P179" s="402"/>
      <x:c r="Q179" s="402"/>
      <x:c r="R179" s="402"/>
      <x:c r="S179" s="402"/>
      <x:c r="T179" s="402"/>
      <x:c r="U179" s="402"/>
      <x:c r="V179" s="402"/>
      <x:c r="W179" s="402"/>
      <x:c r="X179" s="402"/>
      <x:c r="Y179" s="402"/>
      <x:c r="Z179" s="402"/>
    </x:row>
    <x:row r="180">
      <x:c r="A180" s="402"/>
      <x:c r="B180" s="402"/>
      <x:c r="C180" s="402"/>
      <x:c r="D180" s="402"/>
      <x:c r="E180" s="402"/>
      <x:c r="F180" s="402"/>
      <x:c r="G180" s="402"/>
      <x:c r="H180" s="402"/>
      <x:c r="I180" s="402"/>
      <x:c r="J180" s="402"/>
      <x:c r="K180" s="402"/>
      <x:c r="L180" s="402"/>
      <x:c r="M180" s="402"/>
      <x:c r="N180" s="402"/>
      <x:c r="O180" s="402"/>
      <x:c r="P180" s="402"/>
      <x:c r="Q180" s="402"/>
      <x:c r="R180" s="402"/>
      <x:c r="S180" s="402"/>
      <x:c r="T180" s="402"/>
      <x:c r="U180" s="402"/>
      <x:c r="V180" s="402"/>
      <x:c r="W180" s="402"/>
      <x:c r="X180" s="402"/>
      <x:c r="Y180" s="402"/>
      <x:c r="Z180" s="402"/>
    </x:row>
    <x:row r="181">
      <x:c r="A181" s="402"/>
      <x:c r="B181" s="402"/>
      <x:c r="C181" s="402"/>
      <x:c r="D181" s="402"/>
      <x:c r="E181" s="402"/>
      <x:c r="F181" s="402"/>
      <x:c r="G181" s="402"/>
      <x:c r="H181" s="402"/>
      <x:c r="I181" s="402"/>
      <x:c r="J181" s="402"/>
      <x:c r="K181" s="402"/>
      <x:c r="L181" s="402"/>
      <x:c r="M181" s="402"/>
      <x:c r="N181" s="402"/>
      <x:c r="O181" s="402"/>
      <x:c r="P181" s="402"/>
      <x:c r="Q181" s="402"/>
      <x:c r="R181" s="402"/>
      <x:c r="S181" s="402"/>
      <x:c r="T181" s="402"/>
      <x:c r="U181" s="402"/>
      <x:c r="V181" s="402"/>
      <x:c r="W181" s="402"/>
      <x:c r="X181" s="402"/>
      <x:c r="Y181" s="402"/>
      <x:c r="Z181" s="402"/>
    </x:row>
    <x:row r="182">
      <x:c r="A182" s="402"/>
      <x:c r="B182" s="402"/>
      <x:c r="C182" s="402"/>
      <x:c r="D182" s="402"/>
      <x:c r="E182" s="402"/>
      <x:c r="F182" s="402"/>
      <x:c r="G182" s="402"/>
      <x:c r="H182" s="402"/>
      <x:c r="I182" s="402"/>
      <x:c r="J182" s="402"/>
      <x:c r="K182" s="402"/>
      <x:c r="L182" s="402"/>
      <x:c r="M182" s="402"/>
      <x:c r="N182" s="402"/>
      <x:c r="O182" s="402"/>
      <x:c r="P182" s="402"/>
      <x:c r="Q182" s="402"/>
      <x:c r="R182" s="402"/>
      <x:c r="S182" s="402"/>
      <x:c r="T182" s="402"/>
      <x:c r="U182" s="402"/>
      <x:c r="V182" s="402"/>
      <x:c r="W182" s="402"/>
      <x:c r="X182" s="402"/>
      <x:c r="Y182" s="402"/>
      <x:c r="Z182" s="402"/>
    </x:row>
    <x:row r="183">
      <x:c r="A183" s="402"/>
      <x:c r="B183" s="402"/>
      <x:c r="C183" s="402"/>
      <x:c r="D183" s="402"/>
      <x:c r="E183" s="402"/>
      <x:c r="F183" s="402"/>
      <x:c r="G183" s="402"/>
      <x:c r="H183" s="402"/>
      <x:c r="I183" s="402"/>
      <x:c r="J183" s="402"/>
      <x:c r="K183" s="402"/>
      <x:c r="L183" s="402"/>
      <x:c r="M183" s="402"/>
      <x:c r="N183" s="402"/>
      <x:c r="O183" s="402"/>
      <x:c r="P183" s="402"/>
      <x:c r="Q183" s="402"/>
      <x:c r="R183" s="402"/>
      <x:c r="S183" s="402"/>
      <x:c r="T183" s="402"/>
      <x:c r="U183" s="402"/>
      <x:c r="V183" s="402"/>
      <x:c r="W183" s="402"/>
      <x:c r="X183" s="402"/>
      <x:c r="Y183" s="402"/>
      <x:c r="Z183" s="402"/>
    </x:row>
    <x:row r="184">
      <x:c r="A184" s="402"/>
      <x:c r="B184" s="402"/>
      <x:c r="C184" s="402"/>
      <x:c r="D184" s="402"/>
      <x:c r="E184" s="402"/>
      <x:c r="F184" s="402"/>
      <x:c r="G184" s="402"/>
      <x:c r="H184" s="402"/>
      <x:c r="I184" s="402"/>
      <x:c r="J184" s="402"/>
      <x:c r="K184" s="402"/>
      <x:c r="L184" s="402"/>
      <x:c r="M184" s="402"/>
      <x:c r="N184" s="402"/>
      <x:c r="O184" s="402"/>
      <x:c r="P184" s="402"/>
      <x:c r="Q184" s="402"/>
      <x:c r="R184" s="402"/>
      <x:c r="S184" s="402"/>
      <x:c r="T184" s="402"/>
      <x:c r="U184" s="402"/>
      <x:c r="V184" s="402"/>
      <x:c r="W184" s="402"/>
      <x:c r="X184" s="402"/>
      <x:c r="Y184" s="402"/>
      <x:c r="Z184" s="402"/>
    </x:row>
    <x:row r="185">
      <x:c r="A185" s="402"/>
      <x:c r="B185" s="402"/>
      <x:c r="C185" s="402"/>
      <x:c r="D185" s="402"/>
      <x:c r="E185" s="402"/>
      <x:c r="F185" s="402"/>
      <x:c r="G185" s="402"/>
      <x:c r="H185" s="402"/>
      <x:c r="I185" s="402"/>
      <x:c r="J185" s="402"/>
      <x:c r="K185" s="402"/>
      <x:c r="L185" s="402"/>
      <x:c r="M185" s="402"/>
      <x:c r="N185" s="402"/>
      <x:c r="O185" s="402"/>
      <x:c r="P185" s="402"/>
      <x:c r="Q185" s="402"/>
      <x:c r="R185" s="402"/>
      <x:c r="S185" s="402"/>
      <x:c r="T185" s="402"/>
      <x:c r="U185" s="402"/>
      <x:c r="V185" s="402"/>
      <x:c r="W185" s="402"/>
      <x:c r="X185" s="402"/>
      <x:c r="Y185" s="402"/>
      <x:c r="Z185" s="402"/>
    </x:row>
    <x:row r="186">
      <x:c r="A186" s="402"/>
      <x:c r="B186" s="402"/>
      <x:c r="C186" s="402"/>
      <x:c r="D186" s="402"/>
      <x:c r="E186" s="402"/>
      <x:c r="F186" s="402"/>
      <x:c r="G186" s="402"/>
      <x:c r="H186" s="402"/>
      <x:c r="I186" s="402"/>
      <x:c r="J186" s="402"/>
      <x:c r="K186" s="402"/>
      <x:c r="L186" s="402"/>
      <x:c r="M186" s="402"/>
      <x:c r="N186" s="402"/>
      <x:c r="O186" s="402"/>
      <x:c r="P186" s="402"/>
      <x:c r="Q186" s="402"/>
      <x:c r="R186" s="402"/>
      <x:c r="S186" s="402"/>
      <x:c r="T186" s="402"/>
      <x:c r="U186" s="402"/>
      <x:c r="V186" s="402"/>
      <x:c r="W186" s="402"/>
      <x:c r="X186" s="402"/>
      <x:c r="Y186" s="402"/>
      <x:c r="Z186" s="402"/>
    </x:row>
    <x:row r="187">
      <x:c r="A187" s="402"/>
      <x:c r="B187" s="402"/>
      <x:c r="C187" s="402"/>
      <x:c r="D187" s="402"/>
      <x:c r="E187" s="402"/>
      <x:c r="F187" s="402"/>
      <x:c r="G187" s="402"/>
      <x:c r="H187" s="402"/>
      <x:c r="I187" s="402"/>
      <x:c r="J187" s="402"/>
      <x:c r="K187" s="402"/>
      <x:c r="L187" s="402"/>
      <x:c r="M187" s="402"/>
      <x:c r="N187" s="402"/>
      <x:c r="O187" s="402"/>
      <x:c r="P187" s="402"/>
      <x:c r="Q187" s="402"/>
      <x:c r="R187" s="402"/>
      <x:c r="S187" s="402"/>
      <x:c r="T187" s="402"/>
      <x:c r="U187" s="402"/>
      <x:c r="V187" s="402"/>
      <x:c r="W187" s="402"/>
      <x:c r="X187" s="402"/>
      <x:c r="Y187" s="402"/>
      <x:c r="Z187" s="402"/>
    </x:row>
    <x:row r="188">
      <x:c r="A188" s="402"/>
      <x:c r="B188" s="402"/>
      <x:c r="C188" s="402"/>
      <x:c r="D188" s="402"/>
      <x:c r="E188" s="402"/>
      <x:c r="F188" s="402"/>
      <x:c r="G188" s="402"/>
      <x:c r="H188" s="402"/>
      <x:c r="I188" s="402"/>
      <x:c r="J188" s="402"/>
      <x:c r="K188" s="402"/>
      <x:c r="L188" s="402"/>
      <x:c r="M188" s="402"/>
      <x:c r="N188" s="402"/>
      <x:c r="O188" s="402"/>
      <x:c r="P188" s="402"/>
      <x:c r="Q188" s="402"/>
      <x:c r="R188" s="402"/>
      <x:c r="S188" s="402"/>
      <x:c r="T188" s="402"/>
      <x:c r="U188" s="402"/>
      <x:c r="V188" s="402"/>
      <x:c r="W188" s="402"/>
      <x:c r="X188" s="402"/>
      <x:c r="Y188" s="402"/>
      <x:c r="Z188" s="402"/>
    </x:row>
    <x:row r="189">
      <x:c r="A189" s="402"/>
      <x:c r="B189" s="402"/>
      <x:c r="C189" s="402"/>
      <x:c r="D189" s="402"/>
      <x:c r="E189" s="402"/>
      <x:c r="F189" s="402"/>
      <x:c r="G189" s="402"/>
      <x:c r="H189" s="402"/>
      <x:c r="I189" s="402"/>
      <x:c r="J189" s="402"/>
      <x:c r="K189" s="402"/>
      <x:c r="L189" s="402"/>
      <x:c r="M189" s="402"/>
      <x:c r="N189" s="402"/>
      <x:c r="O189" s="402"/>
      <x:c r="P189" s="402"/>
      <x:c r="Q189" s="402"/>
      <x:c r="R189" s="402"/>
      <x:c r="S189" s="402"/>
      <x:c r="T189" s="402"/>
      <x:c r="U189" s="402"/>
      <x:c r="V189" s="402"/>
      <x:c r="W189" s="402"/>
      <x:c r="X189" s="402"/>
      <x:c r="Y189" s="402"/>
      <x:c r="Z189" s="402"/>
    </x:row>
    <x:row r="190">
      <x:c r="A190" s="402"/>
      <x:c r="B190" s="402"/>
      <x:c r="C190" s="402"/>
      <x:c r="D190" s="402"/>
      <x:c r="E190" s="402"/>
      <x:c r="F190" s="402"/>
      <x:c r="G190" s="402"/>
      <x:c r="H190" s="402"/>
      <x:c r="I190" s="402"/>
      <x:c r="J190" s="402"/>
      <x:c r="K190" s="402"/>
      <x:c r="L190" s="402"/>
      <x:c r="M190" s="402"/>
      <x:c r="N190" s="402"/>
      <x:c r="O190" s="402"/>
      <x:c r="P190" s="402"/>
      <x:c r="Q190" s="402"/>
      <x:c r="R190" s="402"/>
      <x:c r="S190" s="402"/>
      <x:c r="T190" s="402"/>
      <x:c r="U190" s="402"/>
      <x:c r="V190" s="402"/>
      <x:c r="W190" s="402"/>
      <x:c r="X190" s="402"/>
      <x:c r="Y190" s="402"/>
      <x:c r="Z190" s="402"/>
    </x:row>
    <x:row r="191">
      <x:c r="A191" s="402"/>
      <x:c r="B191" s="402"/>
      <x:c r="C191" s="402"/>
      <x:c r="D191" s="402"/>
      <x:c r="E191" s="402"/>
      <x:c r="F191" s="402"/>
      <x:c r="G191" s="402"/>
      <x:c r="H191" s="402"/>
      <x:c r="I191" s="402"/>
      <x:c r="J191" s="402"/>
      <x:c r="K191" s="402"/>
      <x:c r="L191" s="402"/>
      <x:c r="M191" s="402"/>
      <x:c r="N191" s="402"/>
      <x:c r="O191" s="402"/>
      <x:c r="P191" s="402"/>
      <x:c r="Q191" s="402"/>
      <x:c r="R191" s="402"/>
      <x:c r="S191" s="402"/>
      <x:c r="T191" s="402"/>
      <x:c r="U191" s="402"/>
      <x:c r="V191" s="402"/>
      <x:c r="W191" s="402"/>
      <x:c r="X191" s="402"/>
      <x:c r="Y191" s="402"/>
      <x:c r="Z191" s="402"/>
    </x:row>
    <x:row r="192">
      <x:c r="A192" s="402"/>
      <x:c r="B192" s="402"/>
      <x:c r="C192" s="402"/>
      <x:c r="D192" s="402"/>
      <x:c r="E192" s="402"/>
      <x:c r="F192" s="402"/>
      <x:c r="G192" s="402"/>
      <x:c r="H192" s="402"/>
      <x:c r="I192" s="402"/>
      <x:c r="J192" s="402"/>
      <x:c r="K192" s="402"/>
      <x:c r="L192" s="402"/>
      <x:c r="M192" s="402"/>
      <x:c r="N192" s="402"/>
      <x:c r="O192" s="402"/>
      <x:c r="P192" s="402"/>
      <x:c r="Q192" s="402"/>
      <x:c r="R192" s="402"/>
      <x:c r="S192" s="402"/>
      <x:c r="T192" s="402"/>
      <x:c r="U192" s="402"/>
      <x:c r="V192" s="402"/>
      <x:c r="W192" s="402"/>
      <x:c r="X192" s="402"/>
      <x:c r="Y192" s="402"/>
      <x:c r="Z192" s="402"/>
    </x:row>
    <x:row r="193">
      <x:c r="A193" s="402"/>
      <x:c r="B193" s="402"/>
      <x:c r="C193" s="402"/>
      <x:c r="D193" s="402"/>
      <x:c r="E193" s="402"/>
      <x:c r="F193" s="402"/>
      <x:c r="G193" s="402"/>
      <x:c r="H193" s="402"/>
      <x:c r="I193" s="402"/>
      <x:c r="J193" s="402"/>
      <x:c r="K193" s="402"/>
      <x:c r="L193" s="402"/>
      <x:c r="M193" s="402"/>
      <x:c r="N193" s="402"/>
      <x:c r="O193" s="402"/>
      <x:c r="P193" s="402"/>
      <x:c r="Q193" s="402"/>
      <x:c r="R193" s="402"/>
      <x:c r="S193" s="402"/>
      <x:c r="T193" s="402"/>
      <x:c r="U193" s="402"/>
      <x:c r="V193" s="402"/>
      <x:c r="W193" s="402"/>
      <x:c r="X193" s="402"/>
      <x:c r="Y193" s="402"/>
      <x:c r="Z193" s="402"/>
    </x:row>
    <x:row r="194">
      <x:c r="A194" s="402"/>
      <x:c r="B194" s="402"/>
      <x:c r="C194" s="402"/>
      <x:c r="D194" s="402"/>
      <x:c r="E194" s="402"/>
      <x:c r="F194" s="402"/>
      <x:c r="G194" s="402"/>
      <x:c r="H194" s="402"/>
      <x:c r="I194" s="402"/>
      <x:c r="J194" s="402"/>
      <x:c r="K194" s="402"/>
      <x:c r="L194" s="402"/>
      <x:c r="M194" s="402"/>
      <x:c r="N194" s="402"/>
      <x:c r="O194" s="402"/>
      <x:c r="P194" s="402"/>
      <x:c r="Q194" s="402"/>
      <x:c r="R194" s="402"/>
      <x:c r="S194" s="402"/>
      <x:c r="T194" s="402"/>
      <x:c r="U194" s="402"/>
      <x:c r="V194" s="402"/>
      <x:c r="W194" s="402"/>
      <x:c r="X194" s="402"/>
      <x:c r="Y194" s="402"/>
      <x:c r="Z194" s="402"/>
    </x:row>
    <x:row r="195">
      <x:c r="A195" s="402"/>
      <x:c r="B195" s="402"/>
      <x:c r="C195" s="402"/>
      <x:c r="D195" s="402"/>
      <x:c r="E195" s="402"/>
      <x:c r="F195" s="402"/>
      <x:c r="G195" s="402"/>
      <x:c r="H195" s="402"/>
      <x:c r="I195" s="402"/>
      <x:c r="J195" s="402"/>
      <x:c r="K195" s="402"/>
      <x:c r="L195" s="402"/>
      <x:c r="M195" s="402"/>
      <x:c r="N195" s="402"/>
      <x:c r="O195" s="402"/>
      <x:c r="P195" s="402"/>
      <x:c r="Q195" s="402"/>
      <x:c r="R195" s="402"/>
      <x:c r="S195" s="402"/>
      <x:c r="T195" s="402"/>
      <x:c r="U195" s="402"/>
      <x:c r="V195" s="402"/>
      <x:c r="W195" s="402"/>
      <x:c r="X195" s="402"/>
      <x:c r="Y195" s="402"/>
      <x:c r="Z195" s="402"/>
    </x:row>
    <x:row r="196">
      <x:c r="A196" s="402"/>
      <x:c r="B196" s="402"/>
      <x:c r="C196" s="402"/>
      <x:c r="D196" s="402"/>
      <x:c r="E196" s="402"/>
      <x:c r="F196" s="402"/>
      <x:c r="G196" s="402"/>
      <x:c r="H196" s="402"/>
      <x:c r="I196" s="402"/>
      <x:c r="J196" s="402"/>
      <x:c r="K196" s="402"/>
      <x:c r="L196" s="402"/>
      <x:c r="M196" s="402"/>
      <x:c r="N196" s="402"/>
      <x:c r="O196" s="402"/>
      <x:c r="P196" s="402"/>
      <x:c r="Q196" s="402"/>
      <x:c r="R196" s="402"/>
      <x:c r="S196" s="402"/>
      <x:c r="T196" s="402"/>
      <x:c r="U196" s="402"/>
      <x:c r="V196" s="402"/>
      <x:c r="W196" s="402"/>
      <x:c r="X196" s="402"/>
      <x:c r="Y196" s="402"/>
      <x:c r="Z196" s="402"/>
    </x:row>
    <x:row r="197">
      <x:c r="A197" s="402"/>
      <x:c r="B197" s="402"/>
      <x:c r="C197" s="402"/>
      <x:c r="D197" s="402"/>
      <x:c r="E197" s="402"/>
      <x:c r="F197" s="402"/>
      <x:c r="G197" s="402"/>
      <x:c r="H197" s="402"/>
      <x:c r="I197" s="402"/>
      <x:c r="J197" s="402"/>
      <x:c r="K197" s="402"/>
      <x:c r="L197" s="402"/>
      <x:c r="M197" s="402"/>
      <x:c r="N197" s="402"/>
      <x:c r="O197" s="402"/>
      <x:c r="P197" s="402"/>
      <x:c r="Q197" s="402"/>
      <x:c r="R197" s="402"/>
      <x:c r="S197" s="402"/>
      <x:c r="T197" s="402"/>
      <x:c r="U197" s="402"/>
      <x:c r="V197" s="402"/>
      <x:c r="W197" s="402"/>
      <x:c r="X197" s="402"/>
      <x:c r="Y197" s="402"/>
      <x:c r="Z197" s="402"/>
    </x:row>
    <x:row r="198">
      <x:c r="A198" s="402"/>
      <x:c r="B198" s="402"/>
      <x:c r="C198" s="402"/>
      <x:c r="D198" s="402"/>
      <x:c r="E198" s="402"/>
      <x:c r="F198" s="402"/>
      <x:c r="G198" s="402"/>
      <x:c r="H198" s="402"/>
      <x:c r="I198" s="402"/>
      <x:c r="J198" s="402"/>
      <x:c r="K198" s="402"/>
      <x:c r="L198" s="402"/>
      <x:c r="M198" s="402"/>
      <x:c r="N198" s="402"/>
      <x:c r="O198" s="402"/>
      <x:c r="P198" s="402"/>
      <x:c r="Q198" s="402"/>
      <x:c r="R198" s="402"/>
      <x:c r="S198" s="402"/>
      <x:c r="T198" s="402"/>
      <x:c r="U198" s="402"/>
      <x:c r="V198" s="402"/>
      <x:c r="W198" s="402"/>
      <x:c r="X198" s="402"/>
      <x:c r="Y198" s="402"/>
      <x:c r="Z198" s="402"/>
    </x:row>
    <x:row r="199">
      <x:c r="A199" s="402"/>
      <x:c r="B199" s="402"/>
      <x:c r="C199" s="402"/>
      <x:c r="D199" s="402"/>
      <x:c r="E199" s="402"/>
      <x:c r="F199" s="402"/>
      <x:c r="G199" s="402"/>
      <x:c r="H199" s="402"/>
      <x:c r="I199" s="402"/>
      <x:c r="J199" s="402"/>
      <x:c r="K199" s="402"/>
      <x:c r="L199" s="402"/>
      <x:c r="M199" s="402"/>
      <x:c r="N199" s="402"/>
      <x:c r="O199" s="402"/>
      <x:c r="P199" s="402"/>
      <x:c r="Q199" s="402"/>
      <x:c r="R199" s="402"/>
      <x:c r="S199" s="402"/>
      <x:c r="T199" s="402"/>
      <x:c r="U199" s="402"/>
      <x:c r="V199" s="402"/>
      <x:c r="W199" s="402"/>
      <x:c r="X199" s="402"/>
      <x:c r="Y199" s="402"/>
      <x:c r="Z199" s="402"/>
    </x:row>
    <x:row r="200">
      <x:c r="A200" s="402"/>
      <x:c r="B200" s="402"/>
      <x:c r="C200" s="402"/>
      <x:c r="D200" s="402"/>
      <x:c r="E200" s="402"/>
      <x:c r="F200" s="402"/>
      <x:c r="G200" s="402"/>
      <x:c r="H200" s="402"/>
      <x:c r="I200" s="402"/>
      <x:c r="J200" s="402"/>
      <x:c r="K200" s="402"/>
      <x:c r="L200" s="402"/>
      <x:c r="M200" s="402"/>
      <x:c r="N200" s="402"/>
      <x:c r="O200" s="402"/>
      <x:c r="P200" s="402"/>
      <x:c r="Q200" s="402"/>
      <x:c r="R200" s="402"/>
      <x:c r="S200" s="402"/>
      <x:c r="T200" s="402"/>
      <x:c r="U200" s="402"/>
      <x:c r="V200" s="402"/>
      <x:c r="W200" s="402"/>
      <x:c r="X200" s="402"/>
      <x:c r="Y200" s="402"/>
      <x:c r="Z200" s="402"/>
    </x:row>
  </x:sheetData>
  <x:dataValidations count="1">
    <x:dataValidation type="list" sqref="F2:F100">
      <x:formula1>Lists!$B$2:$B$6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78" hidden="0" customWidth="1"/>
    <x:col min="4" max="4" width="18" hidden="0" customWidth="1"/>
    <x:col min="5" max="5" width="34" hidden="0" customWidth="1"/>
    <x:col min="6" max="6" width="36" hidden="0" customWidth="1"/>
  </x:cols>
  <x:sheetData>
    <x:row r="1">
      <x:c r="A1" s="305" t="str">
        <x:v>Subject</x:v>
      </x:c>
      <x:c r="B1" s="305" t="str">
        <x:v>Source</x:v>
      </x:c>
      <x:c r="C1" s="305" t="str">
        <x:v>URL / Location</x:v>
      </x:c>
      <x:c r="D1" s="305" t="str">
        <x:v>Status</x:v>
      </x:c>
      <x:c r="E1" s="305" t="str">
        <x:v>Use Boundary</x:v>
      </x:c>
      <x:c r="F1" s="305" t="str">
        <x:v>Notes</x:v>
      </x:c>
      <x:c r="G1" s="402"/>
      <x:c r="H1" s="402"/>
      <x:c r="I1" s="402"/>
      <x:c r="J1" s="402"/>
      <x:c r="K1" s="402"/>
      <x:c r="L1" s="402"/>
      <x:c r="M1" s="402"/>
      <x:c r="N1" s="402"/>
      <x:c r="O1" s="402"/>
      <x:c r="P1" s="402"/>
      <x:c r="Q1" s="402"/>
      <x:c r="R1" s="402"/>
      <x:c r="S1" s="402"/>
      <x:c r="T1" s="402"/>
      <x:c r="U1" s="402"/>
      <x:c r="V1" s="402"/>
      <x:c r="W1" s="402"/>
      <x:c r="X1" s="402"/>
      <x:c r="Y1" s="402"/>
      <x:c r="Z1" s="402"/>
    </x:row>
    <x:row r="2">
      <x:c r="A2" s="402" t="str">
        <x:v>Enterprise agent operating layer</x:v>
      </x:c>
      <x:c r="B2" s="402" t="str">
        <x:v>Official current platform</x:v>
      </x:c>
      <x:c r="C2" s="402" t="str">
        <x:v>https://openai.com/business/frontier/</x:v>
      </x:c>
      <x:c r="D2" s="402" t="str">
        <x:v>Current context</x:v>
      </x:c>
      <x:c r="E2" s="402" t="str">
        <x:v>Timing and category signal only</x:v>
      </x:c>
      <x:c r="F2" s="402" t="str">
        <x:v>Does not prove GoalOS demand</x:v>
      </x:c>
      <x:c r="G2" s="402"/>
      <x:c r="H2" s="402"/>
      <x:c r="I2" s="402"/>
      <x:c r="J2" s="402"/>
      <x:c r="K2" s="402"/>
      <x:c r="L2" s="402"/>
      <x:c r="M2" s="402"/>
      <x:c r="N2" s="402"/>
      <x:c r="O2" s="402"/>
      <x:c r="P2" s="402"/>
      <x:c r="Q2" s="402"/>
      <x:c r="R2" s="402"/>
      <x:c r="S2" s="402"/>
      <x:c r="T2" s="402"/>
      <x:c r="U2" s="402"/>
      <x:c r="V2" s="402"/>
      <x:c r="W2" s="402"/>
      <x:c r="X2" s="402"/>
      <x:c r="Y2" s="402"/>
      <x:c r="Z2" s="402"/>
    </x:row>
    <x:row r="3">
      <x:c r="A3" s="402" t="str">
        <x:v>Evaluation and security</x:v>
      </x:c>
      <x:c r="B3" s="402" t="str">
        <x:v>Official acquisition announcement</x:v>
      </x:c>
      <x:c r="C3" s="402" t="str">
        <x:v>https://openai.com/index/openai-to-acquire-promptfoo/</x:v>
      </x:c>
      <x:c r="D3" s="402" t="str">
        <x:v>Current context</x:v>
      </x:c>
      <x:c r="E3" s="402" t="str">
        <x:v>Evaluation/security signal only</x:v>
      </x:c>
      <x:c r="F3" s="402" t="str"/>
      <x:c r="G3" s="402"/>
      <x:c r="H3" s="402"/>
      <x:c r="I3" s="402"/>
      <x:c r="J3" s="402"/>
      <x:c r="K3" s="402"/>
      <x:c r="L3" s="402"/>
      <x:c r="M3" s="402"/>
      <x:c r="N3" s="402"/>
      <x:c r="O3" s="402"/>
      <x:c r="P3" s="402"/>
      <x:c r="Q3" s="402"/>
      <x:c r="R3" s="402"/>
      <x:c r="S3" s="402"/>
      <x:c r="T3" s="402"/>
      <x:c r="U3" s="402"/>
      <x:c r="V3" s="402"/>
      <x:c r="W3" s="402"/>
      <x:c r="X3" s="402"/>
      <x:c r="Y3" s="402"/>
      <x:c r="Z3" s="402"/>
    </x:row>
    <x:row r="4">
      <x:c r="A4" s="402" t="str">
        <x:v>Evaluated evolutionary algorithms</x:v>
      </x:c>
      <x:c r="B4" s="402" t="str">
        <x:v>Official research report</x:v>
      </x:c>
      <x:c r="C4" s="402" t="str">
        <x:v>https://deepmind.google/blog/alphaevolve-a-gemini-powered-coding-agent-for-designing-advanced-algorithms/</x:v>
      </x:c>
      <x:c r="D4" s="402" t="str">
        <x:v>Current context</x:v>
      </x:c>
      <x:c r="E4" s="402" t="str">
        <x:v>Architecture analogy only</x:v>
      </x:c>
      <x:c r="F4" s="402" t="str"/>
      <x:c r="G4" s="402"/>
      <x:c r="H4" s="402"/>
      <x:c r="I4" s="402"/>
      <x:c r="J4" s="402"/>
      <x:c r="K4" s="402"/>
      <x:c r="L4" s="402"/>
      <x:c r="M4" s="402"/>
      <x:c r="N4" s="402"/>
      <x:c r="O4" s="402"/>
      <x:c r="P4" s="402"/>
      <x:c r="Q4" s="402"/>
      <x:c r="R4" s="402"/>
      <x:c r="S4" s="402"/>
      <x:c r="T4" s="402"/>
      <x:c r="U4" s="402"/>
      <x:c r="V4" s="402"/>
      <x:c r="W4" s="402"/>
      <x:c r="X4" s="402"/>
      <x:c r="Y4" s="402"/>
      <x:c r="Z4" s="402"/>
    </x:row>
    <x:row r="5">
      <x:c r="A5" s="402" t="str">
        <x:v>Recursive skill evolution</x:v>
      </x:c>
      <x:c r="B5" s="402" t="str">
        <x:v>Research preprint</x:v>
      </x:c>
      <x:c r="C5" s="402" t="str">
        <x:v>https://arxiv.org/abs/2607.05297</x:v>
      </x:c>
      <x:c r="D5" s="402" t="str">
        <x:v>Preprint</x:v>
      </x:c>
      <x:c r="E5" s="402" t="str">
        <x:v>Research signal only</x:v>
      </x:c>
      <x:c r="F5" s="402" t="str">
        <x:v>Not production authority</x:v>
      </x:c>
      <x:c r="G5" s="402"/>
      <x:c r="H5" s="402"/>
      <x:c r="I5" s="402"/>
      <x:c r="J5" s="402"/>
      <x:c r="K5" s="402"/>
      <x:c r="L5" s="402"/>
      <x:c r="M5" s="402"/>
      <x:c r="N5" s="402"/>
      <x:c r="O5" s="402"/>
      <x:c r="P5" s="402"/>
      <x:c r="Q5" s="402"/>
      <x:c r="R5" s="402"/>
      <x:c r="S5" s="402"/>
      <x:c r="T5" s="402"/>
      <x:c r="U5" s="402"/>
      <x:c r="V5" s="402"/>
      <x:c r="W5" s="402"/>
      <x:c r="X5" s="402"/>
      <x:c r="Y5" s="402"/>
      <x:c r="Z5" s="402"/>
    </x:row>
    <x:row r="6">
      <x:c r="A6" s="402" t="str">
        <x:v>AI infrastructure capital</x:v>
      </x:c>
      <x:c r="B6" s="402" t="str">
        <x:v>Reuters</x:v>
      </x:c>
      <x:c r="C6" s="402" t="str">
        <x:v>https://www.reuters.com/technology/hut-8-signs-98-billion-ai-data-center-lease-fully-commercializes-texas-campus-2026-07-20/</x:v>
      </x:c>
      <x:c r="D6" s="402" t="str">
        <x:v>Current context</x:v>
      </x:c>
      <x:c r="E6" s="402" t="str">
        <x:v>Capital-scale signal only</x:v>
      </x:c>
      <x:c r="F6" s="402" t="str"/>
      <x:c r="G6" s="402"/>
      <x:c r="H6" s="402"/>
      <x:c r="I6" s="402"/>
      <x:c r="J6" s="402"/>
      <x:c r="K6" s="402"/>
      <x:c r="L6" s="402"/>
      <x:c r="M6" s="402"/>
      <x:c r="N6" s="402"/>
      <x:c r="O6" s="402"/>
      <x:c r="P6" s="402"/>
      <x:c r="Q6" s="402"/>
      <x:c r="R6" s="402"/>
      <x:c r="S6" s="402"/>
      <x:c r="T6" s="402"/>
      <x:c r="U6" s="402"/>
      <x:c r="V6" s="402"/>
      <x:c r="W6" s="402"/>
      <x:c r="X6" s="402"/>
      <x:c r="Y6" s="402"/>
      <x:c r="Z6" s="402"/>
    </x:row>
    <x:row r="7">
      <x:c r="A7" s="402" t="str">
        <x:v>GoalOS Merkle VSG</x:v>
      </x:c>
      <x:c r="B7" s="402" t="str">
        <x:v>MONTREAL.AI paper</x:v>
      </x:c>
      <x:c r="C7" s="402" t="str">
        <x:v>../07_TECHNICAL_FOUNDATION/Merkle_Roots_for_the_Validated_Skill_Graph_v114.pdf</x:v>
      </x:c>
      <x:c r="D7" s="402" t="str">
        <x:v>Internal foundation</x:v>
      </x:c>
      <x:c r="E7" s="402" t="str">
        <x:v>Technical architecture</x:v>
      </x:c>
      <x:c r="F7" s="402" t="str"/>
      <x:c r="G7" s="402"/>
      <x:c r="H7" s="402"/>
      <x:c r="I7" s="402"/>
      <x:c r="J7" s="402"/>
      <x:c r="K7" s="402"/>
      <x:c r="L7" s="402"/>
      <x:c r="M7" s="402"/>
      <x:c r="N7" s="402"/>
      <x:c r="O7" s="402"/>
      <x:c r="P7" s="402"/>
      <x:c r="Q7" s="402"/>
      <x:c r="R7" s="402"/>
      <x:c r="S7" s="402"/>
      <x:c r="T7" s="402"/>
      <x:c r="U7" s="402"/>
      <x:c r="V7" s="402"/>
      <x:c r="W7" s="402"/>
      <x:c r="X7" s="402"/>
      <x:c r="Y7" s="402"/>
      <x:c r="Z7" s="402"/>
    </x:row>
    <x:row r="8">
      <x:c r="A8" s="402" t="str">
        <x:v>GoalOS Private VSG</x:v>
      </x:c>
      <x:c r="B8" s="402" t="str">
        <x:v>MONTREAL.AI paper</x:v>
      </x:c>
      <x:c r="C8" s="402" t="str">
        <x:v>../07_TECHNICAL_FOUNDATION/GoalOS_Private_OnChain_Validated_Skill_Graph_v97_4.pdf</x:v>
      </x:c>
      <x:c r="D8" s="402" t="str">
        <x:v>Internal foundation</x:v>
      </x:c>
      <x:c r="E8" s="402" t="str">
        <x:v>Technical architecture</x:v>
      </x:c>
      <x:c r="F8" s="402" t="str"/>
      <x:c r="G8" s="402"/>
      <x:c r="H8" s="402"/>
      <x:c r="I8" s="402"/>
      <x:c r="J8" s="402"/>
      <x:c r="K8" s="402"/>
      <x:c r="L8" s="402"/>
      <x:c r="M8" s="402"/>
      <x:c r="N8" s="402"/>
      <x:c r="O8" s="402"/>
      <x:c r="P8" s="402"/>
      <x:c r="Q8" s="402"/>
      <x:c r="R8" s="402"/>
      <x:c r="S8" s="402"/>
      <x:c r="T8" s="402"/>
      <x:c r="U8" s="402"/>
      <x:c r="V8" s="402"/>
      <x:c r="W8" s="402"/>
      <x:c r="X8" s="402"/>
      <x:c r="Y8" s="402"/>
      <x:c r="Z8" s="402"/>
    </x:row>
    <x:row r="9">
      <x:c r="A9" s="402"/>
      <x:c r="B9" s="402"/>
      <x:c r="C9" s="402"/>
      <x:c r="D9" s="402"/>
      <x:c r="E9" s="402"/>
      <x:c r="F9" s="402"/>
      <x:c r="G9" s="402"/>
      <x:c r="H9" s="402"/>
      <x:c r="I9" s="402"/>
      <x:c r="J9" s="402"/>
      <x:c r="K9" s="402"/>
      <x:c r="L9" s="402"/>
      <x:c r="M9" s="402"/>
      <x:c r="N9" s="402"/>
      <x:c r="O9" s="402"/>
      <x:c r="P9" s="402"/>
      <x:c r="Q9" s="402"/>
      <x:c r="R9" s="402"/>
      <x:c r="S9" s="402"/>
      <x:c r="T9" s="402"/>
      <x:c r="U9" s="402"/>
      <x:c r="V9" s="402"/>
      <x:c r="W9" s="402"/>
      <x:c r="X9" s="402"/>
      <x:c r="Y9" s="402"/>
      <x:c r="Z9" s="402"/>
    </x:row>
    <x:row r="10">
      <x:c r="A10" s="402"/>
      <x:c r="B10" s="402"/>
      <x:c r="C10" s="402"/>
      <x:c r="D10" s="402"/>
      <x:c r="E10" s="402"/>
      <x:c r="F10" s="402"/>
      <x:c r="G10" s="402"/>
      <x:c r="H10" s="402"/>
      <x:c r="I10" s="402"/>
      <x:c r="J10" s="402"/>
      <x:c r="K10" s="402"/>
      <x:c r="L10" s="402"/>
      <x:c r="M10" s="402"/>
      <x:c r="N10" s="402"/>
      <x:c r="O10" s="402"/>
      <x:c r="P10" s="402"/>
      <x:c r="Q10" s="402"/>
      <x:c r="R10" s="402"/>
      <x:c r="S10" s="402"/>
      <x:c r="T10" s="402"/>
      <x:c r="U10" s="402"/>
      <x:c r="V10" s="402"/>
      <x:c r="W10" s="402"/>
      <x:c r="X10" s="402"/>
      <x:c r="Y10" s="402"/>
      <x:c r="Z10" s="402"/>
    </x:row>
    <x:row r="11">
      <x:c r="A11" s="402"/>
      <x:c r="B11" s="402"/>
      <x:c r="C11" s="402"/>
      <x:c r="D11" s="402"/>
      <x:c r="E11" s="402"/>
      <x:c r="F11" s="402"/>
      <x:c r="G11" s="402"/>
      <x:c r="H11" s="402"/>
      <x:c r="I11" s="402"/>
      <x:c r="J11" s="402"/>
      <x:c r="K11" s="402"/>
      <x:c r="L11" s="402"/>
      <x:c r="M11" s="402"/>
      <x:c r="N11" s="402"/>
      <x:c r="O11" s="402"/>
      <x:c r="P11" s="402"/>
      <x:c r="Q11" s="402"/>
      <x:c r="R11" s="402"/>
      <x:c r="S11" s="402"/>
      <x:c r="T11" s="402"/>
      <x:c r="U11" s="402"/>
      <x:c r="V11" s="402"/>
      <x:c r="W11" s="402"/>
      <x:c r="X11" s="402"/>
      <x:c r="Y11" s="402"/>
      <x:c r="Z11" s="402"/>
    </x:row>
    <x:row r="12">
      <x:c r="A12" s="402"/>
      <x:c r="B12" s="402"/>
      <x:c r="C12" s="402"/>
      <x:c r="D12" s="402"/>
      <x:c r="E12" s="402"/>
      <x:c r="F12" s="402"/>
      <x:c r="G12" s="402"/>
      <x:c r="H12" s="402"/>
      <x:c r="I12" s="402"/>
      <x:c r="J12" s="402"/>
      <x:c r="K12" s="402"/>
      <x:c r="L12" s="402"/>
      <x:c r="M12" s="402"/>
      <x:c r="N12" s="402"/>
      <x:c r="O12" s="402"/>
      <x:c r="P12" s="402"/>
      <x:c r="Q12" s="402"/>
      <x:c r="R12" s="402"/>
      <x:c r="S12" s="402"/>
      <x:c r="T12" s="402"/>
      <x:c r="U12" s="402"/>
      <x:c r="V12" s="402"/>
      <x:c r="W12" s="402"/>
      <x:c r="X12" s="402"/>
      <x:c r="Y12" s="402"/>
      <x:c r="Z12" s="402"/>
    </x:row>
    <x:row r="13">
      <x:c r="A13" s="402"/>
      <x:c r="B13" s="402"/>
      <x:c r="C13" s="402"/>
      <x:c r="D13" s="402"/>
      <x:c r="E13" s="402"/>
      <x:c r="F13" s="402"/>
      <x:c r="G13" s="402"/>
      <x:c r="H13" s="402"/>
      <x:c r="I13" s="402"/>
      <x:c r="J13" s="402"/>
      <x:c r="K13" s="402"/>
      <x:c r="L13" s="402"/>
      <x:c r="M13" s="402"/>
      <x:c r="N13" s="402"/>
      <x:c r="O13" s="402"/>
      <x:c r="P13" s="402"/>
      <x:c r="Q13" s="402"/>
      <x:c r="R13" s="402"/>
      <x:c r="S13" s="402"/>
      <x:c r="T13" s="402"/>
      <x:c r="U13" s="402"/>
      <x:c r="V13" s="402"/>
      <x:c r="W13" s="402"/>
      <x:c r="X13" s="402"/>
      <x:c r="Y13" s="402"/>
      <x:c r="Z13" s="402"/>
    </x:row>
    <x:row r="14">
      <x:c r="A14" s="402"/>
      <x:c r="B14" s="402"/>
      <x:c r="C14" s="402"/>
      <x:c r="D14" s="402"/>
      <x:c r="E14" s="402"/>
      <x:c r="F14" s="402"/>
      <x:c r="G14" s="402"/>
      <x:c r="H14" s="402"/>
      <x:c r="I14" s="402"/>
      <x:c r="J14" s="402"/>
      <x:c r="K14" s="402"/>
      <x:c r="L14" s="402"/>
      <x:c r="M14" s="402"/>
      <x:c r="N14" s="402"/>
      <x:c r="O14" s="402"/>
      <x:c r="P14" s="402"/>
      <x:c r="Q14" s="402"/>
      <x:c r="R14" s="402"/>
      <x:c r="S14" s="402"/>
      <x:c r="T14" s="402"/>
      <x:c r="U14" s="402"/>
      <x:c r="V14" s="402"/>
      <x:c r="W14" s="402"/>
      <x:c r="X14" s="402"/>
      <x:c r="Y14" s="402"/>
      <x:c r="Z14" s="402"/>
    </x:row>
    <x:row r="15">
      <x:c r="A15" s="402"/>
      <x:c r="B15" s="402"/>
      <x:c r="C15" s="402"/>
      <x:c r="D15" s="402"/>
      <x:c r="E15" s="402"/>
      <x:c r="F15" s="402"/>
      <x:c r="G15" s="402"/>
      <x:c r="H15" s="402"/>
      <x:c r="I15" s="402"/>
      <x:c r="J15" s="402"/>
      <x:c r="K15" s="402"/>
      <x:c r="L15" s="402"/>
      <x:c r="M15" s="402"/>
      <x:c r="N15" s="402"/>
      <x:c r="O15" s="402"/>
      <x:c r="P15" s="402"/>
      <x:c r="Q15" s="402"/>
      <x:c r="R15" s="402"/>
      <x:c r="S15" s="402"/>
      <x:c r="T15" s="402"/>
      <x:c r="U15" s="402"/>
      <x:c r="V15" s="402"/>
      <x:c r="W15" s="402"/>
      <x:c r="X15" s="402"/>
      <x:c r="Y15" s="402"/>
      <x:c r="Z15" s="402"/>
    </x:row>
    <x:row r="16">
      <x:c r="A16" s="402"/>
      <x:c r="B16" s="402"/>
      <x:c r="C16" s="402"/>
      <x:c r="D16" s="402"/>
      <x:c r="E16" s="402"/>
      <x:c r="F16" s="402"/>
      <x:c r="G16" s="402"/>
      <x:c r="H16" s="402"/>
      <x:c r="I16" s="402"/>
      <x:c r="J16" s="402"/>
      <x:c r="K16" s="402"/>
      <x:c r="L16" s="402"/>
      <x:c r="M16" s="402"/>
      <x:c r="N16" s="402"/>
      <x:c r="O16" s="402"/>
      <x:c r="P16" s="402"/>
      <x:c r="Q16" s="402"/>
      <x:c r="R16" s="402"/>
      <x:c r="S16" s="402"/>
      <x:c r="T16" s="402"/>
      <x:c r="U16" s="402"/>
      <x:c r="V16" s="402"/>
      <x:c r="W16" s="402"/>
      <x:c r="X16" s="402"/>
      <x:c r="Y16" s="402"/>
      <x:c r="Z16" s="402"/>
    </x:row>
    <x:row r="17">
      <x:c r="A17" s="402"/>
      <x:c r="B17" s="402"/>
      <x:c r="C17" s="402"/>
      <x:c r="D17" s="402"/>
      <x:c r="E17" s="402"/>
      <x:c r="F17" s="402"/>
      <x:c r="G17" s="402"/>
      <x:c r="H17" s="402"/>
      <x:c r="I17" s="402"/>
      <x:c r="J17" s="402"/>
      <x:c r="K17" s="402"/>
      <x:c r="L17" s="402"/>
      <x:c r="M17" s="402"/>
      <x:c r="N17" s="402"/>
      <x:c r="O17" s="402"/>
      <x:c r="P17" s="402"/>
      <x:c r="Q17" s="402"/>
      <x:c r="R17" s="402"/>
      <x:c r="S17" s="402"/>
      <x:c r="T17" s="402"/>
      <x:c r="U17" s="402"/>
      <x:c r="V17" s="402"/>
      <x:c r="W17" s="402"/>
      <x:c r="X17" s="402"/>
      <x:c r="Y17" s="402"/>
      <x:c r="Z17" s="402"/>
    </x:row>
    <x:row r="18">
      <x:c r="A18" s="402"/>
      <x:c r="B18" s="402"/>
      <x:c r="C18" s="402"/>
      <x:c r="D18" s="402"/>
      <x:c r="E18" s="402"/>
      <x:c r="F18" s="402"/>
      <x:c r="G18" s="402"/>
      <x:c r="H18" s="402"/>
      <x:c r="I18" s="402"/>
      <x:c r="J18" s="402"/>
      <x:c r="K18" s="402"/>
      <x:c r="L18" s="402"/>
      <x:c r="M18" s="402"/>
      <x:c r="N18" s="402"/>
      <x:c r="O18" s="402"/>
      <x:c r="P18" s="402"/>
      <x:c r="Q18" s="402"/>
      <x:c r="R18" s="402"/>
      <x:c r="S18" s="402"/>
      <x:c r="T18" s="402"/>
      <x:c r="U18" s="402"/>
      <x:c r="V18" s="402"/>
      <x:c r="W18" s="402"/>
      <x:c r="X18" s="402"/>
      <x:c r="Y18" s="402"/>
      <x:c r="Z18" s="402"/>
    </x:row>
    <x:row r="19">
      <x:c r="A19" s="402"/>
      <x:c r="B19" s="402"/>
      <x:c r="C19" s="402"/>
      <x:c r="D19" s="402"/>
      <x:c r="E19" s="402"/>
      <x:c r="F19" s="402"/>
      <x:c r="G19" s="402"/>
      <x:c r="H19" s="402"/>
      <x:c r="I19" s="402"/>
      <x:c r="J19" s="402"/>
      <x:c r="K19" s="402"/>
      <x:c r="L19" s="402"/>
      <x:c r="M19" s="402"/>
      <x:c r="N19" s="402"/>
      <x:c r="O19" s="402"/>
      <x:c r="P19" s="402"/>
      <x:c r="Q19" s="402"/>
      <x:c r="R19" s="402"/>
      <x:c r="S19" s="402"/>
      <x:c r="T19" s="402"/>
      <x:c r="U19" s="402"/>
      <x:c r="V19" s="402"/>
      <x:c r="W19" s="402"/>
      <x:c r="X19" s="402"/>
      <x:c r="Y19" s="402"/>
      <x:c r="Z19" s="402"/>
    </x:row>
    <x:row r="20">
      <x:c r="A20" s="402"/>
      <x:c r="B20" s="402"/>
      <x:c r="C20" s="402"/>
      <x:c r="D20" s="402"/>
      <x:c r="E20" s="402"/>
      <x:c r="F20" s="402"/>
      <x:c r="G20" s="402"/>
      <x:c r="H20" s="402"/>
      <x:c r="I20" s="402"/>
      <x:c r="J20" s="402"/>
      <x:c r="K20" s="402"/>
      <x:c r="L20" s="402"/>
      <x:c r="M20" s="402"/>
      <x:c r="N20" s="402"/>
      <x:c r="O20" s="402"/>
      <x:c r="P20" s="402"/>
      <x:c r="Q20" s="402"/>
      <x:c r="R20" s="402"/>
      <x:c r="S20" s="402"/>
      <x:c r="T20" s="402"/>
      <x:c r="U20" s="402"/>
      <x:c r="V20" s="402"/>
      <x:c r="W20" s="402"/>
      <x:c r="X20" s="402"/>
      <x:c r="Y20" s="402"/>
      <x:c r="Z20" s="402"/>
    </x:row>
    <x:row r="21">
      <x:c r="A21" s="402"/>
      <x:c r="B21" s="402"/>
      <x:c r="C21" s="402"/>
      <x:c r="D21" s="402"/>
      <x:c r="E21" s="402"/>
      <x:c r="F21" s="402"/>
      <x:c r="G21" s="402"/>
      <x:c r="H21" s="402"/>
      <x:c r="I21" s="402"/>
      <x:c r="J21" s="402"/>
      <x:c r="K21" s="402"/>
      <x:c r="L21" s="402"/>
      <x:c r="M21" s="402"/>
      <x:c r="N21" s="402"/>
      <x:c r="O21" s="402"/>
      <x:c r="P21" s="402"/>
      <x:c r="Q21" s="402"/>
      <x:c r="R21" s="402"/>
      <x:c r="S21" s="402"/>
      <x:c r="T21" s="402"/>
      <x:c r="U21" s="402"/>
      <x:c r="V21" s="402"/>
      <x:c r="W21" s="402"/>
      <x:c r="X21" s="402"/>
      <x:c r="Y21" s="402"/>
      <x:c r="Z21" s="402"/>
    </x:row>
    <x:row r="22">
      <x:c r="A22" s="402"/>
      <x:c r="B22" s="402"/>
      <x:c r="C22" s="402"/>
      <x:c r="D22" s="402"/>
      <x:c r="E22" s="402"/>
      <x:c r="F22" s="402"/>
      <x:c r="G22" s="402"/>
      <x:c r="H22" s="402"/>
      <x:c r="I22" s="402"/>
      <x:c r="J22" s="402"/>
      <x:c r="K22" s="402"/>
      <x:c r="L22" s="402"/>
      <x:c r="M22" s="402"/>
      <x:c r="N22" s="402"/>
      <x:c r="O22" s="402"/>
      <x:c r="P22" s="402"/>
      <x:c r="Q22" s="402"/>
      <x:c r="R22" s="402"/>
      <x:c r="S22" s="402"/>
      <x:c r="T22" s="402"/>
      <x:c r="U22" s="402"/>
      <x:c r="V22" s="402"/>
      <x:c r="W22" s="402"/>
      <x:c r="X22" s="402"/>
      <x:c r="Y22" s="402"/>
      <x:c r="Z22" s="402"/>
    </x:row>
    <x:row r="23">
      <x:c r="A23" s="402"/>
      <x:c r="B23" s="402"/>
      <x:c r="C23" s="402"/>
      <x:c r="D23" s="402"/>
      <x:c r="E23" s="402"/>
      <x:c r="F23" s="402"/>
      <x:c r="G23" s="402"/>
      <x:c r="H23" s="402"/>
      <x:c r="I23" s="402"/>
      <x:c r="J23" s="402"/>
      <x:c r="K23" s="402"/>
      <x:c r="L23" s="402"/>
      <x:c r="M23" s="402"/>
      <x:c r="N23" s="402"/>
      <x:c r="O23" s="402"/>
      <x:c r="P23" s="402"/>
      <x:c r="Q23" s="402"/>
      <x:c r="R23" s="402"/>
      <x:c r="S23" s="402"/>
      <x:c r="T23" s="402"/>
      <x:c r="U23" s="402"/>
      <x:c r="V23" s="402"/>
      <x:c r="W23" s="402"/>
      <x:c r="X23" s="402"/>
      <x:c r="Y23" s="402"/>
      <x:c r="Z23" s="402"/>
    </x:row>
    <x:row r="24">
      <x:c r="A24" s="402"/>
      <x:c r="B24" s="402"/>
      <x:c r="C24" s="402"/>
      <x:c r="D24" s="402"/>
      <x:c r="E24" s="402"/>
      <x:c r="F24" s="402"/>
      <x:c r="G24" s="402"/>
      <x:c r="H24" s="402"/>
      <x:c r="I24" s="402"/>
      <x:c r="J24" s="402"/>
      <x:c r="K24" s="402"/>
      <x:c r="L24" s="402"/>
      <x:c r="M24" s="402"/>
      <x:c r="N24" s="402"/>
      <x:c r="O24" s="402"/>
      <x:c r="P24" s="402"/>
      <x:c r="Q24" s="402"/>
      <x:c r="R24" s="402"/>
      <x:c r="S24" s="402"/>
      <x:c r="T24" s="402"/>
      <x:c r="U24" s="402"/>
      <x:c r="V24" s="402"/>
      <x:c r="W24" s="402"/>
      <x:c r="X24" s="402"/>
      <x:c r="Y24" s="402"/>
      <x:c r="Z24" s="402"/>
    </x:row>
    <x:row r="25">
      <x:c r="A25" s="402"/>
      <x:c r="B25" s="402"/>
      <x:c r="C25" s="402"/>
      <x:c r="D25" s="402"/>
      <x:c r="E25" s="402"/>
      <x:c r="F25" s="402"/>
      <x:c r="G25" s="402"/>
      <x:c r="H25" s="402"/>
      <x:c r="I25" s="402"/>
      <x:c r="J25" s="402"/>
      <x:c r="K25" s="402"/>
      <x:c r="L25" s="402"/>
      <x:c r="M25" s="402"/>
      <x:c r="N25" s="402"/>
      <x:c r="O25" s="402"/>
      <x:c r="P25" s="402"/>
      <x:c r="Q25" s="402"/>
      <x:c r="R25" s="402"/>
      <x:c r="S25" s="402"/>
      <x:c r="T25" s="402"/>
      <x:c r="U25" s="402"/>
      <x:c r="V25" s="402"/>
      <x:c r="W25" s="402"/>
      <x:c r="X25" s="402"/>
      <x:c r="Y25" s="402"/>
      <x:c r="Z25" s="402"/>
    </x:row>
    <x:row r="26">
      <x:c r="A26" s="402"/>
      <x:c r="B26" s="402"/>
      <x:c r="C26" s="402"/>
      <x:c r="D26" s="402"/>
      <x:c r="E26" s="402"/>
      <x:c r="F26" s="402"/>
      <x:c r="G26" s="402"/>
      <x:c r="H26" s="402"/>
      <x:c r="I26" s="402"/>
      <x:c r="J26" s="402"/>
      <x:c r="K26" s="402"/>
      <x:c r="L26" s="402"/>
      <x:c r="M26" s="402"/>
      <x:c r="N26" s="402"/>
      <x:c r="O26" s="402"/>
      <x:c r="P26" s="402"/>
      <x:c r="Q26" s="402"/>
      <x:c r="R26" s="402"/>
      <x:c r="S26" s="402"/>
      <x:c r="T26" s="402"/>
      <x:c r="U26" s="402"/>
      <x:c r="V26" s="402"/>
      <x:c r="W26" s="402"/>
      <x:c r="X26" s="402"/>
      <x:c r="Y26" s="402"/>
      <x:c r="Z26" s="402"/>
    </x:row>
    <x:row r="27">
      <x:c r="A27" s="402"/>
      <x:c r="B27" s="402"/>
      <x:c r="C27" s="402"/>
      <x:c r="D27" s="402"/>
      <x:c r="E27" s="402"/>
      <x:c r="F27" s="402"/>
      <x:c r="G27" s="402"/>
      <x:c r="H27" s="402"/>
      <x:c r="I27" s="402"/>
      <x:c r="J27" s="402"/>
      <x:c r="K27" s="402"/>
      <x:c r="L27" s="402"/>
      <x:c r="M27" s="402"/>
      <x:c r="N27" s="402"/>
      <x:c r="O27" s="402"/>
      <x:c r="P27" s="402"/>
      <x:c r="Q27" s="402"/>
      <x:c r="R27" s="402"/>
      <x:c r="S27" s="402"/>
      <x:c r="T27" s="402"/>
      <x:c r="U27" s="402"/>
      <x:c r="V27" s="402"/>
      <x:c r="W27" s="402"/>
      <x:c r="X27" s="402"/>
      <x:c r="Y27" s="402"/>
      <x:c r="Z27" s="402"/>
    </x:row>
    <x:row r="28">
      <x:c r="A28" s="402"/>
      <x:c r="B28" s="402"/>
      <x:c r="C28" s="402"/>
      <x:c r="D28" s="402"/>
      <x:c r="E28" s="402"/>
      <x:c r="F28" s="402"/>
      <x:c r="G28" s="402"/>
      <x:c r="H28" s="402"/>
      <x:c r="I28" s="402"/>
      <x:c r="J28" s="402"/>
      <x:c r="K28" s="402"/>
      <x:c r="L28" s="402"/>
      <x:c r="M28" s="402"/>
      <x:c r="N28" s="402"/>
      <x:c r="O28" s="402"/>
      <x:c r="P28" s="402"/>
      <x:c r="Q28" s="402"/>
      <x:c r="R28" s="402"/>
      <x:c r="S28" s="402"/>
      <x:c r="T28" s="402"/>
      <x:c r="U28" s="402"/>
      <x:c r="V28" s="402"/>
      <x:c r="W28" s="402"/>
      <x:c r="X28" s="402"/>
      <x:c r="Y28" s="402"/>
      <x:c r="Z28" s="402"/>
    </x:row>
    <x:row r="29">
      <x:c r="A29" s="402"/>
      <x:c r="B29" s="402"/>
      <x:c r="C29" s="402"/>
      <x:c r="D29" s="402"/>
      <x:c r="E29" s="402"/>
      <x:c r="F29" s="402"/>
      <x:c r="G29" s="402"/>
      <x:c r="H29" s="402"/>
      <x:c r="I29" s="402"/>
      <x:c r="J29" s="402"/>
      <x:c r="K29" s="402"/>
      <x:c r="L29" s="402"/>
      <x:c r="M29" s="402"/>
      <x:c r="N29" s="402"/>
      <x:c r="O29" s="402"/>
      <x:c r="P29" s="402"/>
      <x:c r="Q29" s="402"/>
      <x:c r="R29" s="402"/>
      <x:c r="S29" s="402"/>
      <x:c r="T29" s="402"/>
      <x:c r="U29" s="402"/>
      <x:c r="V29" s="402"/>
      <x:c r="W29" s="402"/>
      <x:c r="X29" s="402"/>
      <x:c r="Y29" s="402"/>
      <x:c r="Z29" s="402"/>
    </x:row>
    <x:row r="30">
      <x:c r="A30" s="402"/>
      <x:c r="B30" s="402"/>
      <x:c r="C30" s="402"/>
      <x:c r="D30" s="402"/>
      <x:c r="E30" s="402"/>
      <x:c r="F30" s="402"/>
      <x:c r="G30" s="402"/>
      <x:c r="H30" s="402"/>
      <x:c r="I30" s="402"/>
      <x:c r="J30" s="402"/>
      <x:c r="K30" s="402"/>
      <x:c r="L30" s="402"/>
      <x:c r="M30" s="402"/>
      <x:c r="N30" s="402"/>
      <x:c r="O30" s="402"/>
      <x:c r="P30" s="402"/>
      <x:c r="Q30" s="402"/>
      <x:c r="R30" s="402"/>
      <x:c r="S30" s="402"/>
      <x:c r="T30" s="402"/>
      <x:c r="U30" s="402"/>
      <x:c r="V30" s="402"/>
      <x:c r="W30" s="402"/>
      <x:c r="X30" s="402"/>
      <x:c r="Y30" s="402"/>
      <x:c r="Z30" s="402"/>
    </x:row>
    <x:row r="31">
      <x:c r="A31" s="402"/>
      <x:c r="B31" s="402"/>
      <x:c r="C31" s="402"/>
      <x:c r="D31" s="402"/>
      <x:c r="E31" s="402"/>
      <x:c r="F31" s="402"/>
      <x:c r="G31" s="402"/>
      <x:c r="H31" s="402"/>
      <x:c r="I31" s="402"/>
      <x:c r="J31" s="402"/>
      <x:c r="K31" s="402"/>
      <x:c r="L31" s="402"/>
      <x:c r="M31" s="402"/>
      <x:c r="N31" s="402"/>
      <x:c r="O31" s="402"/>
      <x:c r="P31" s="402"/>
      <x:c r="Q31" s="402"/>
      <x:c r="R31" s="402"/>
      <x:c r="S31" s="402"/>
      <x:c r="T31" s="402"/>
      <x:c r="U31" s="402"/>
      <x:c r="V31" s="402"/>
      <x:c r="W31" s="402"/>
      <x:c r="X31" s="402"/>
      <x:c r="Y31" s="402"/>
      <x:c r="Z31" s="402"/>
    </x:row>
    <x:row r="32">
      <x:c r="A32" s="402"/>
      <x:c r="B32" s="402"/>
      <x:c r="C32" s="402"/>
      <x:c r="D32" s="402"/>
      <x:c r="E32" s="402"/>
      <x:c r="F32" s="402"/>
      <x:c r="G32" s="402"/>
      <x:c r="H32" s="402"/>
      <x:c r="I32" s="402"/>
      <x:c r="J32" s="402"/>
      <x:c r="K32" s="402"/>
      <x:c r="L32" s="402"/>
      <x:c r="M32" s="402"/>
      <x:c r="N32" s="402"/>
      <x:c r="O32" s="402"/>
      <x:c r="P32" s="402"/>
      <x:c r="Q32" s="402"/>
      <x:c r="R32" s="402"/>
      <x:c r="S32" s="402"/>
      <x:c r="T32" s="402"/>
      <x:c r="U32" s="402"/>
      <x:c r="V32" s="402"/>
      <x:c r="W32" s="402"/>
      <x:c r="X32" s="402"/>
      <x:c r="Y32" s="402"/>
      <x:c r="Z32" s="402"/>
    </x:row>
    <x:row r="33">
      <x:c r="A33" s="402"/>
      <x:c r="B33" s="402"/>
      <x:c r="C33" s="402"/>
      <x:c r="D33" s="402"/>
      <x:c r="E33" s="402"/>
      <x:c r="F33" s="402"/>
      <x:c r="G33" s="402"/>
      <x:c r="H33" s="402"/>
      <x:c r="I33" s="402"/>
      <x:c r="J33" s="402"/>
      <x:c r="K33" s="402"/>
      <x:c r="L33" s="402"/>
      <x:c r="M33" s="402"/>
      <x:c r="N33" s="402"/>
      <x:c r="O33" s="402"/>
      <x:c r="P33" s="402"/>
      <x:c r="Q33" s="402"/>
      <x:c r="R33" s="402"/>
      <x:c r="S33" s="402"/>
      <x:c r="T33" s="402"/>
      <x:c r="U33" s="402"/>
      <x:c r="V33" s="402"/>
      <x:c r="W33" s="402"/>
      <x:c r="X33" s="402"/>
      <x:c r="Y33" s="402"/>
      <x:c r="Z33" s="402"/>
    </x:row>
    <x:row r="34">
      <x:c r="A34" s="402"/>
      <x:c r="B34" s="402"/>
      <x:c r="C34" s="402"/>
      <x:c r="D34" s="402"/>
      <x:c r="E34" s="402"/>
      <x:c r="F34" s="402"/>
      <x:c r="G34" s="402"/>
      <x:c r="H34" s="402"/>
      <x:c r="I34" s="402"/>
      <x:c r="J34" s="402"/>
      <x:c r="K34" s="402"/>
      <x:c r="L34" s="402"/>
      <x:c r="M34" s="402"/>
      <x:c r="N34" s="402"/>
      <x:c r="O34" s="402"/>
      <x:c r="P34" s="402"/>
      <x:c r="Q34" s="402"/>
      <x:c r="R34" s="402"/>
      <x:c r="S34" s="402"/>
      <x:c r="T34" s="402"/>
      <x:c r="U34" s="402"/>
      <x:c r="V34" s="402"/>
      <x:c r="W34" s="402"/>
      <x:c r="X34" s="402"/>
      <x:c r="Y34" s="402"/>
      <x:c r="Z34" s="402"/>
    </x:row>
    <x:row r="35">
      <x:c r="A35" s="402"/>
      <x:c r="B35" s="402"/>
      <x:c r="C35" s="402"/>
      <x:c r="D35" s="402"/>
      <x:c r="E35" s="402"/>
      <x:c r="F35" s="402"/>
      <x:c r="G35" s="402"/>
      <x:c r="H35" s="402"/>
      <x:c r="I35" s="402"/>
      <x:c r="J35" s="402"/>
      <x:c r="K35" s="402"/>
      <x:c r="L35" s="402"/>
      <x:c r="M35" s="402"/>
      <x:c r="N35" s="402"/>
      <x:c r="O35" s="402"/>
      <x:c r="P35" s="402"/>
      <x:c r="Q35" s="402"/>
      <x:c r="R35" s="402"/>
      <x:c r="S35" s="402"/>
      <x:c r="T35" s="402"/>
      <x:c r="U35" s="402"/>
      <x:c r="V35" s="402"/>
      <x:c r="W35" s="402"/>
      <x:c r="X35" s="402"/>
      <x:c r="Y35" s="402"/>
      <x:c r="Z35" s="402"/>
    </x:row>
    <x:row r="36">
      <x:c r="A36" s="402"/>
      <x:c r="B36" s="402"/>
      <x:c r="C36" s="402"/>
      <x:c r="D36" s="402"/>
      <x:c r="E36" s="402"/>
      <x:c r="F36" s="402"/>
      <x:c r="G36" s="402"/>
      <x:c r="H36" s="402"/>
      <x:c r="I36" s="402"/>
      <x:c r="J36" s="402"/>
      <x:c r="K36" s="402"/>
      <x:c r="L36" s="402"/>
      <x:c r="M36" s="402"/>
      <x:c r="N36" s="402"/>
      <x:c r="O36" s="402"/>
      <x:c r="P36" s="402"/>
      <x:c r="Q36" s="402"/>
      <x:c r="R36" s="402"/>
      <x:c r="S36" s="402"/>
      <x:c r="T36" s="402"/>
      <x:c r="U36" s="402"/>
      <x:c r="V36" s="402"/>
      <x:c r="W36" s="402"/>
      <x:c r="X36" s="402"/>
      <x:c r="Y36" s="402"/>
      <x:c r="Z36" s="402"/>
    </x:row>
    <x:row r="37">
      <x:c r="A37" s="402"/>
      <x:c r="B37" s="402"/>
      <x:c r="C37" s="402"/>
      <x:c r="D37" s="402"/>
      <x:c r="E37" s="402"/>
      <x:c r="F37" s="402"/>
      <x:c r="G37" s="402"/>
      <x:c r="H37" s="402"/>
      <x:c r="I37" s="402"/>
      <x:c r="J37" s="402"/>
      <x:c r="K37" s="402"/>
      <x:c r="L37" s="402"/>
      <x:c r="M37" s="402"/>
      <x:c r="N37" s="402"/>
      <x:c r="O37" s="402"/>
      <x:c r="P37" s="402"/>
      <x:c r="Q37" s="402"/>
      <x:c r="R37" s="402"/>
      <x:c r="S37" s="402"/>
      <x:c r="T37" s="402"/>
      <x:c r="U37" s="402"/>
      <x:c r="V37" s="402"/>
      <x:c r="W37" s="402"/>
      <x:c r="X37" s="402"/>
      <x:c r="Y37" s="402"/>
      <x:c r="Z37" s="402"/>
    </x:row>
    <x:row r="38">
      <x:c r="A38" s="402"/>
      <x:c r="B38" s="402"/>
      <x:c r="C38" s="402"/>
      <x:c r="D38" s="402"/>
      <x:c r="E38" s="402"/>
      <x:c r="F38" s="402"/>
      <x:c r="G38" s="402"/>
      <x:c r="H38" s="402"/>
      <x:c r="I38" s="402"/>
      <x:c r="J38" s="402"/>
      <x:c r="K38" s="402"/>
      <x:c r="L38" s="402"/>
      <x:c r="M38" s="402"/>
      <x:c r="N38" s="402"/>
      <x:c r="O38" s="402"/>
      <x:c r="P38" s="402"/>
      <x:c r="Q38" s="402"/>
      <x:c r="R38" s="402"/>
      <x:c r="S38" s="402"/>
      <x:c r="T38" s="402"/>
      <x:c r="U38" s="402"/>
      <x:c r="V38" s="402"/>
      <x:c r="W38" s="402"/>
      <x:c r="X38" s="402"/>
      <x:c r="Y38" s="402"/>
      <x:c r="Z38" s="402"/>
    </x:row>
    <x:row r="39">
      <x:c r="A39" s="402"/>
      <x:c r="B39" s="402"/>
      <x:c r="C39" s="402"/>
      <x:c r="D39" s="402"/>
      <x:c r="E39" s="402"/>
      <x:c r="F39" s="402"/>
      <x:c r="G39" s="402"/>
      <x:c r="H39" s="402"/>
      <x:c r="I39" s="402"/>
      <x:c r="J39" s="402"/>
      <x:c r="K39" s="402"/>
      <x:c r="L39" s="402"/>
      <x:c r="M39" s="402"/>
      <x:c r="N39" s="402"/>
      <x:c r="O39" s="402"/>
      <x:c r="P39" s="402"/>
      <x:c r="Q39" s="402"/>
      <x:c r="R39" s="402"/>
      <x:c r="S39" s="402"/>
      <x:c r="T39" s="402"/>
      <x:c r="U39" s="402"/>
      <x:c r="V39" s="402"/>
      <x:c r="W39" s="402"/>
      <x:c r="X39" s="402"/>
      <x:c r="Y39" s="402"/>
      <x:c r="Z39" s="402"/>
    </x:row>
    <x:row r="40">
      <x:c r="A40" s="402"/>
      <x:c r="B40" s="402"/>
      <x:c r="C40" s="402"/>
      <x:c r="D40" s="402"/>
      <x:c r="E40" s="402"/>
      <x:c r="F40" s="402"/>
      <x:c r="G40" s="402"/>
      <x:c r="H40" s="402"/>
      <x:c r="I40" s="402"/>
      <x:c r="J40" s="402"/>
      <x:c r="K40" s="402"/>
      <x:c r="L40" s="402"/>
      <x:c r="M40" s="402"/>
      <x:c r="N40" s="402"/>
      <x:c r="O40" s="402"/>
      <x:c r="P40" s="402"/>
      <x:c r="Q40" s="402"/>
      <x:c r="R40" s="402"/>
      <x:c r="S40" s="402"/>
      <x:c r="T40" s="402"/>
      <x:c r="U40" s="402"/>
      <x:c r="V40" s="402"/>
      <x:c r="W40" s="402"/>
      <x:c r="X40" s="402"/>
      <x:c r="Y40" s="402"/>
      <x:c r="Z40" s="402"/>
    </x:row>
    <x:row r="41">
      <x:c r="A41" s="402"/>
      <x:c r="B41" s="402"/>
      <x:c r="C41" s="402"/>
      <x:c r="D41" s="402"/>
      <x:c r="E41" s="402"/>
      <x:c r="F41" s="402"/>
      <x:c r="G41" s="402"/>
      <x:c r="H41" s="402"/>
      <x:c r="I41" s="402"/>
      <x:c r="J41" s="402"/>
      <x:c r="K41" s="402"/>
      <x:c r="L41" s="402"/>
      <x:c r="M41" s="402"/>
      <x:c r="N41" s="402"/>
      <x:c r="O41" s="402"/>
      <x:c r="P41" s="402"/>
      <x:c r="Q41" s="402"/>
      <x:c r="R41" s="402"/>
      <x:c r="S41" s="402"/>
      <x:c r="T41" s="402"/>
      <x:c r="U41" s="402"/>
      <x:c r="V41" s="402"/>
      <x:c r="W41" s="402"/>
      <x:c r="X41" s="402"/>
      <x:c r="Y41" s="402"/>
      <x:c r="Z41" s="402"/>
    </x:row>
    <x:row r="42">
      <x:c r="A42" s="402"/>
      <x:c r="B42" s="402"/>
      <x:c r="C42" s="402"/>
      <x:c r="D42" s="402"/>
      <x:c r="E42" s="402"/>
      <x:c r="F42" s="402"/>
      <x:c r="G42" s="402"/>
      <x:c r="H42" s="402"/>
      <x:c r="I42" s="402"/>
      <x:c r="J42" s="402"/>
      <x:c r="K42" s="402"/>
      <x:c r="L42" s="402"/>
      <x:c r="M42" s="402"/>
      <x:c r="N42" s="402"/>
      <x:c r="O42" s="402"/>
      <x:c r="P42" s="402"/>
      <x:c r="Q42" s="402"/>
      <x:c r="R42" s="402"/>
      <x:c r="S42" s="402"/>
      <x:c r="T42" s="402"/>
      <x:c r="U42" s="402"/>
      <x:c r="V42" s="402"/>
      <x:c r="W42" s="402"/>
      <x:c r="X42" s="402"/>
      <x:c r="Y42" s="402"/>
      <x:c r="Z42" s="402"/>
    </x:row>
    <x:row r="43">
      <x:c r="A43" s="402"/>
      <x:c r="B43" s="402"/>
      <x:c r="C43" s="402"/>
      <x:c r="D43" s="402"/>
      <x:c r="E43" s="402"/>
      <x:c r="F43" s="402"/>
      <x:c r="G43" s="402"/>
      <x:c r="H43" s="402"/>
      <x:c r="I43" s="402"/>
      <x:c r="J43" s="402"/>
      <x:c r="K43" s="402"/>
      <x:c r="L43" s="402"/>
      <x:c r="M43" s="402"/>
      <x:c r="N43" s="402"/>
      <x:c r="O43" s="402"/>
      <x:c r="P43" s="402"/>
      <x:c r="Q43" s="402"/>
      <x:c r="R43" s="402"/>
      <x:c r="S43" s="402"/>
      <x:c r="T43" s="402"/>
      <x:c r="U43" s="402"/>
      <x:c r="V43" s="402"/>
      <x:c r="W43" s="402"/>
      <x:c r="X43" s="402"/>
      <x:c r="Y43" s="402"/>
      <x:c r="Z43" s="402"/>
    </x:row>
    <x:row r="44">
      <x:c r="A44" s="402"/>
      <x:c r="B44" s="402"/>
      <x:c r="C44" s="402"/>
      <x:c r="D44" s="402"/>
      <x:c r="E44" s="402"/>
      <x:c r="F44" s="402"/>
      <x:c r="G44" s="402"/>
      <x:c r="H44" s="402"/>
      <x:c r="I44" s="402"/>
      <x:c r="J44" s="402"/>
      <x:c r="K44" s="402"/>
      <x:c r="L44" s="402"/>
      <x:c r="M44" s="402"/>
      <x:c r="N44" s="402"/>
      <x:c r="O44" s="402"/>
      <x:c r="P44" s="402"/>
      <x:c r="Q44" s="402"/>
      <x:c r="R44" s="402"/>
      <x:c r="S44" s="402"/>
      <x:c r="T44" s="402"/>
      <x:c r="U44" s="402"/>
      <x:c r="V44" s="402"/>
      <x:c r="W44" s="402"/>
      <x:c r="X44" s="402"/>
      <x:c r="Y44" s="402"/>
      <x:c r="Z44" s="402"/>
    </x:row>
    <x:row r="45">
      <x:c r="A45" s="402"/>
      <x:c r="B45" s="402"/>
      <x:c r="C45" s="402"/>
      <x:c r="D45" s="402"/>
      <x:c r="E45" s="402"/>
      <x:c r="F45" s="402"/>
      <x:c r="G45" s="402"/>
      <x:c r="H45" s="402"/>
      <x:c r="I45" s="402"/>
      <x:c r="J45" s="402"/>
      <x:c r="K45" s="402"/>
      <x:c r="L45" s="402"/>
      <x:c r="M45" s="402"/>
      <x:c r="N45" s="402"/>
      <x:c r="O45" s="402"/>
      <x:c r="P45" s="402"/>
      <x:c r="Q45" s="402"/>
      <x:c r="R45" s="402"/>
      <x:c r="S45" s="402"/>
      <x:c r="T45" s="402"/>
      <x:c r="U45" s="402"/>
      <x:c r="V45" s="402"/>
      <x:c r="W45" s="402"/>
      <x:c r="X45" s="402"/>
      <x:c r="Y45" s="402"/>
      <x:c r="Z45" s="402"/>
    </x:row>
    <x:row r="46">
      <x:c r="A46" s="402"/>
      <x:c r="B46" s="402"/>
      <x:c r="C46" s="402"/>
      <x:c r="D46" s="402"/>
      <x:c r="E46" s="402"/>
      <x:c r="F46" s="402"/>
      <x:c r="G46" s="402"/>
      <x:c r="H46" s="402"/>
      <x:c r="I46" s="402"/>
      <x:c r="J46" s="402"/>
      <x:c r="K46" s="402"/>
      <x:c r="L46" s="402"/>
      <x:c r="M46" s="402"/>
      <x:c r="N46" s="402"/>
      <x:c r="O46" s="402"/>
      <x:c r="P46" s="402"/>
      <x:c r="Q46" s="402"/>
      <x:c r="R46" s="402"/>
      <x:c r="S46" s="402"/>
      <x:c r="T46" s="402"/>
      <x:c r="U46" s="402"/>
      <x:c r="V46" s="402"/>
      <x:c r="W46" s="402"/>
      <x:c r="X46" s="402"/>
      <x:c r="Y46" s="402"/>
      <x:c r="Z46" s="402"/>
    </x:row>
    <x:row r="47">
      <x:c r="A47" s="402"/>
      <x:c r="B47" s="402"/>
      <x:c r="C47" s="402"/>
      <x:c r="D47" s="402"/>
      <x:c r="E47" s="402"/>
      <x:c r="F47" s="402"/>
      <x:c r="G47" s="402"/>
      <x:c r="H47" s="402"/>
      <x:c r="I47" s="402"/>
      <x:c r="J47" s="402"/>
      <x:c r="K47" s="402"/>
      <x:c r="L47" s="402"/>
      <x:c r="M47" s="402"/>
      <x:c r="N47" s="402"/>
      <x:c r="O47" s="402"/>
      <x:c r="P47" s="402"/>
      <x:c r="Q47" s="402"/>
      <x:c r="R47" s="402"/>
      <x:c r="S47" s="402"/>
      <x:c r="T47" s="402"/>
      <x:c r="U47" s="402"/>
      <x:c r="V47" s="402"/>
      <x:c r="W47" s="402"/>
      <x:c r="X47" s="402"/>
      <x:c r="Y47" s="402"/>
      <x:c r="Z47" s="402"/>
    </x:row>
    <x:row r="48">
      <x:c r="A48" s="402"/>
      <x:c r="B48" s="402"/>
      <x:c r="C48" s="402"/>
      <x:c r="D48" s="402"/>
      <x:c r="E48" s="402"/>
      <x:c r="F48" s="402"/>
      <x:c r="G48" s="402"/>
      <x:c r="H48" s="402"/>
      <x:c r="I48" s="402"/>
      <x:c r="J48" s="402"/>
      <x:c r="K48" s="402"/>
      <x:c r="L48" s="402"/>
      <x:c r="M48" s="402"/>
      <x:c r="N48" s="402"/>
      <x:c r="O48" s="402"/>
      <x:c r="P48" s="402"/>
      <x:c r="Q48" s="402"/>
      <x:c r="R48" s="402"/>
      <x:c r="S48" s="402"/>
      <x:c r="T48" s="402"/>
      <x:c r="U48" s="402"/>
      <x:c r="V48" s="402"/>
      <x:c r="W48" s="402"/>
      <x:c r="X48" s="402"/>
      <x:c r="Y48" s="402"/>
      <x:c r="Z48" s="402"/>
    </x:row>
    <x:row r="49">
      <x:c r="A49" s="402"/>
      <x:c r="B49" s="402"/>
      <x:c r="C49" s="402"/>
      <x:c r="D49" s="402"/>
      <x:c r="E49" s="402"/>
      <x:c r="F49" s="402"/>
      <x:c r="G49" s="402"/>
      <x:c r="H49" s="402"/>
      <x:c r="I49" s="402"/>
      <x:c r="J49" s="402"/>
      <x:c r="K49" s="402"/>
      <x:c r="L49" s="402"/>
      <x:c r="M49" s="402"/>
      <x:c r="N49" s="402"/>
      <x:c r="O49" s="402"/>
      <x:c r="P49" s="402"/>
      <x:c r="Q49" s="402"/>
      <x:c r="R49" s="402"/>
      <x:c r="S49" s="402"/>
      <x:c r="T49" s="402"/>
      <x:c r="U49" s="402"/>
      <x:c r="V49" s="402"/>
      <x:c r="W49" s="402"/>
      <x:c r="X49" s="402"/>
      <x:c r="Y49" s="402"/>
      <x:c r="Z49" s="402"/>
    </x:row>
    <x:row r="50">
      <x:c r="A50" s="402"/>
      <x:c r="B50" s="402"/>
      <x:c r="C50" s="402"/>
      <x:c r="D50" s="402"/>
      <x:c r="E50" s="402"/>
      <x:c r="F50" s="402"/>
      <x:c r="G50" s="402"/>
      <x:c r="H50" s="402"/>
      <x:c r="I50" s="402"/>
      <x:c r="J50" s="402"/>
      <x:c r="K50" s="402"/>
      <x:c r="L50" s="402"/>
      <x:c r="M50" s="402"/>
      <x:c r="N50" s="402"/>
      <x:c r="O50" s="402"/>
      <x:c r="P50" s="402"/>
      <x:c r="Q50" s="402"/>
      <x:c r="R50" s="402"/>
      <x:c r="S50" s="402"/>
      <x:c r="T50" s="402"/>
      <x:c r="U50" s="402"/>
      <x:c r="V50" s="402"/>
      <x:c r="W50" s="402"/>
      <x:c r="X50" s="402"/>
      <x:c r="Y50" s="402"/>
      <x:c r="Z50" s="402"/>
    </x:row>
    <x:row r="51">
      <x:c r="A51" s="402"/>
      <x:c r="B51" s="402"/>
      <x:c r="C51" s="402"/>
      <x:c r="D51" s="402"/>
      <x:c r="E51" s="402"/>
      <x:c r="F51" s="402"/>
      <x:c r="G51" s="402"/>
      <x:c r="H51" s="402"/>
      <x:c r="I51" s="402"/>
      <x:c r="J51" s="402"/>
      <x:c r="K51" s="402"/>
      <x:c r="L51" s="402"/>
      <x:c r="M51" s="402"/>
      <x:c r="N51" s="402"/>
      <x:c r="O51" s="402"/>
      <x:c r="P51" s="402"/>
      <x:c r="Q51" s="402"/>
      <x:c r="R51" s="402"/>
      <x:c r="S51" s="402"/>
      <x:c r="T51" s="402"/>
      <x:c r="U51" s="402"/>
      <x:c r="V51" s="402"/>
      <x:c r="W51" s="402"/>
      <x:c r="X51" s="402"/>
      <x:c r="Y51" s="402"/>
      <x:c r="Z51" s="402"/>
    </x:row>
    <x:row r="52">
      <x:c r="A52" s="402"/>
      <x:c r="B52" s="402"/>
      <x:c r="C52" s="402"/>
      <x:c r="D52" s="402"/>
      <x:c r="E52" s="402"/>
      <x:c r="F52" s="402"/>
      <x:c r="G52" s="402"/>
      <x:c r="H52" s="402"/>
      <x:c r="I52" s="402"/>
      <x:c r="J52" s="402"/>
      <x:c r="K52" s="402"/>
      <x:c r="L52" s="402"/>
      <x:c r="M52" s="402"/>
      <x:c r="N52" s="402"/>
      <x:c r="O52" s="402"/>
      <x:c r="P52" s="402"/>
      <x:c r="Q52" s="402"/>
      <x:c r="R52" s="402"/>
      <x:c r="S52" s="402"/>
      <x:c r="T52" s="402"/>
      <x:c r="U52" s="402"/>
      <x:c r="V52" s="402"/>
      <x:c r="W52" s="402"/>
      <x:c r="X52" s="402"/>
      <x:c r="Y52" s="402"/>
      <x:c r="Z52" s="402"/>
    </x:row>
    <x:row r="53">
      <x:c r="A53" s="402"/>
      <x:c r="B53" s="402"/>
      <x:c r="C53" s="402"/>
      <x:c r="D53" s="402"/>
      <x:c r="E53" s="402"/>
      <x:c r="F53" s="402"/>
      <x:c r="G53" s="402"/>
      <x:c r="H53" s="402"/>
      <x:c r="I53" s="402"/>
      <x:c r="J53" s="402"/>
      <x:c r="K53" s="402"/>
      <x:c r="L53" s="402"/>
      <x:c r="M53" s="402"/>
      <x:c r="N53" s="402"/>
      <x:c r="O53" s="402"/>
      <x:c r="P53" s="402"/>
      <x:c r="Q53" s="402"/>
      <x:c r="R53" s="402"/>
      <x:c r="S53" s="402"/>
      <x:c r="T53" s="402"/>
      <x:c r="U53" s="402"/>
      <x:c r="V53" s="402"/>
      <x:c r="W53" s="402"/>
      <x:c r="X53" s="402"/>
      <x:c r="Y53" s="402"/>
      <x:c r="Z53" s="402"/>
    </x:row>
    <x:row r="54">
      <x:c r="A54" s="402"/>
      <x:c r="B54" s="402"/>
      <x:c r="C54" s="402"/>
      <x:c r="D54" s="402"/>
      <x:c r="E54" s="402"/>
      <x:c r="F54" s="402"/>
      <x:c r="G54" s="402"/>
      <x:c r="H54" s="402"/>
      <x:c r="I54" s="402"/>
      <x:c r="J54" s="402"/>
      <x:c r="K54" s="402"/>
      <x:c r="L54" s="402"/>
      <x:c r="M54" s="402"/>
      <x:c r="N54" s="402"/>
      <x:c r="O54" s="402"/>
      <x:c r="P54" s="402"/>
      <x:c r="Q54" s="402"/>
      <x:c r="R54" s="402"/>
      <x:c r="S54" s="402"/>
      <x:c r="T54" s="402"/>
      <x:c r="U54" s="402"/>
      <x:c r="V54" s="402"/>
      <x:c r="W54" s="402"/>
      <x:c r="X54" s="402"/>
      <x:c r="Y54" s="402"/>
      <x:c r="Z54" s="402"/>
    </x:row>
    <x:row r="55">
      <x:c r="A55" s="402"/>
      <x:c r="B55" s="402"/>
      <x:c r="C55" s="402"/>
      <x:c r="D55" s="402"/>
      <x:c r="E55" s="402"/>
      <x:c r="F55" s="402"/>
      <x:c r="G55" s="402"/>
      <x:c r="H55" s="402"/>
      <x:c r="I55" s="402"/>
      <x:c r="J55" s="402"/>
      <x:c r="K55" s="402"/>
      <x:c r="L55" s="402"/>
      <x:c r="M55" s="402"/>
      <x:c r="N55" s="402"/>
      <x:c r="O55" s="402"/>
      <x:c r="P55" s="402"/>
      <x:c r="Q55" s="402"/>
      <x:c r="R55" s="402"/>
      <x:c r="S55" s="402"/>
      <x:c r="T55" s="402"/>
      <x:c r="U55" s="402"/>
      <x:c r="V55" s="402"/>
      <x:c r="W55" s="402"/>
      <x:c r="X55" s="402"/>
      <x:c r="Y55" s="402"/>
      <x:c r="Z55" s="402"/>
    </x:row>
    <x:row r="56">
      <x:c r="A56" s="402"/>
      <x:c r="B56" s="402"/>
      <x:c r="C56" s="402"/>
      <x:c r="D56" s="402"/>
      <x:c r="E56" s="402"/>
      <x:c r="F56" s="402"/>
      <x:c r="G56" s="402"/>
      <x:c r="H56" s="402"/>
      <x:c r="I56" s="402"/>
      <x:c r="J56" s="402"/>
      <x:c r="K56" s="402"/>
      <x:c r="L56" s="402"/>
      <x:c r="M56" s="402"/>
      <x:c r="N56" s="402"/>
      <x:c r="O56" s="402"/>
      <x:c r="P56" s="402"/>
      <x:c r="Q56" s="402"/>
      <x:c r="R56" s="402"/>
      <x:c r="S56" s="402"/>
      <x:c r="T56" s="402"/>
      <x:c r="U56" s="402"/>
      <x:c r="V56" s="402"/>
      <x:c r="W56" s="402"/>
      <x:c r="X56" s="402"/>
      <x:c r="Y56" s="402"/>
      <x:c r="Z56" s="402"/>
    </x:row>
    <x:row r="57">
      <x:c r="A57" s="402"/>
      <x:c r="B57" s="402"/>
      <x:c r="C57" s="402"/>
      <x:c r="D57" s="402"/>
      <x:c r="E57" s="402"/>
      <x:c r="F57" s="402"/>
      <x:c r="G57" s="402"/>
      <x:c r="H57" s="402"/>
      <x:c r="I57" s="402"/>
      <x:c r="J57" s="402"/>
      <x:c r="K57" s="402"/>
      <x:c r="L57" s="402"/>
      <x:c r="M57" s="402"/>
      <x:c r="N57" s="402"/>
      <x:c r="O57" s="402"/>
      <x:c r="P57" s="402"/>
      <x:c r="Q57" s="402"/>
      <x:c r="R57" s="402"/>
      <x:c r="S57" s="402"/>
      <x:c r="T57" s="402"/>
      <x:c r="U57" s="402"/>
      <x:c r="V57" s="402"/>
      <x:c r="W57" s="402"/>
      <x:c r="X57" s="402"/>
      <x:c r="Y57" s="402"/>
      <x:c r="Z57" s="402"/>
    </x:row>
    <x:row r="58">
      <x:c r="A58" s="402"/>
      <x:c r="B58" s="402"/>
      <x:c r="C58" s="402"/>
      <x:c r="D58" s="402"/>
      <x:c r="E58" s="402"/>
      <x:c r="F58" s="402"/>
      <x:c r="G58" s="402"/>
      <x:c r="H58" s="402"/>
      <x:c r="I58" s="402"/>
      <x:c r="J58" s="402"/>
      <x:c r="K58" s="402"/>
      <x:c r="L58" s="402"/>
      <x:c r="M58" s="402"/>
      <x:c r="N58" s="402"/>
      <x:c r="O58" s="402"/>
      <x:c r="P58" s="402"/>
      <x:c r="Q58" s="402"/>
      <x:c r="R58" s="402"/>
      <x:c r="S58" s="402"/>
      <x:c r="T58" s="402"/>
      <x:c r="U58" s="402"/>
      <x:c r="V58" s="402"/>
      <x:c r="W58" s="402"/>
      <x:c r="X58" s="402"/>
      <x:c r="Y58" s="402"/>
      <x:c r="Z58" s="402"/>
    </x:row>
    <x:row r="59">
      <x:c r="A59" s="402"/>
      <x:c r="B59" s="402"/>
      <x:c r="C59" s="402"/>
      <x:c r="D59" s="402"/>
      <x:c r="E59" s="402"/>
      <x:c r="F59" s="402"/>
      <x:c r="G59" s="402"/>
      <x:c r="H59" s="402"/>
      <x:c r="I59" s="402"/>
      <x:c r="J59" s="402"/>
      <x:c r="K59" s="402"/>
      <x:c r="L59" s="402"/>
      <x:c r="M59" s="402"/>
      <x:c r="N59" s="402"/>
      <x:c r="O59" s="402"/>
      <x:c r="P59" s="402"/>
      <x:c r="Q59" s="402"/>
      <x:c r="R59" s="402"/>
      <x:c r="S59" s="402"/>
      <x:c r="T59" s="402"/>
      <x:c r="U59" s="402"/>
      <x:c r="V59" s="402"/>
      <x:c r="W59" s="402"/>
      <x:c r="X59" s="402"/>
      <x:c r="Y59" s="402"/>
      <x:c r="Z59" s="402"/>
    </x:row>
    <x:row r="60">
      <x:c r="A60" s="402"/>
      <x:c r="B60" s="402"/>
      <x:c r="C60" s="402"/>
      <x:c r="D60" s="402"/>
      <x:c r="E60" s="402"/>
      <x:c r="F60" s="402"/>
      <x:c r="G60" s="402"/>
      <x:c r="H60" s="402"/>
      <x:c r="I60" s="402"/>
      <x:c r="J60" s="402"/>
      <x:c r="K60" s="402"/>
      <x:c r="L60" s="402"/>
      <x:c r="M60" s="402"/>
      <x:c r="N60" s="402"/>
      <x:c r="O60" s="402"/>
      <x:c r="P60" s="402"/>
      <x:c r="Q60" s="402"/>
      <x:c r="R60" s="402"/>
      <x:c r="S60" s="402"/>
      <x:c r="T60" s="402"/>
      <x:c r="U60" s="402"/>
      <x:c r="V60" s="402"/>
      <x:c r="W60" s="402"/>
      <x:c r="X60" s="402"/>
      <x:c r="Y60" s="402"/>
      <x:c r="Z60" s="402"/>
    </x:row>
    <x:row r="61">
      <x:c r="A61" s="402"/>
      <x:c r="B61" s="402"/>
      <x:c r="C61" s="402"/>
      <x:c r="D61" s="402"/>
      <x:c r="E61" s="402"/>
      <x:c r="F61" s="402"/>
      <x:c r="G61" s="402"/>
      <x:c r="H61" s="402"/>
      <x:c r="I61" s="402"/>
      <x:c r="J61" s="402"/>
      <x:c r="K61" s="402"/>
      <x:c r="L61" s="402"/>
      <x:c r="M61" s="402"/>
      <x:c r="N61" s="402"/>
      <x:c r="O61" s="402"/>
      <x:c r="P61" s="402"/>
      <x:c r="Q61" s="402"/>
      <x:c r="R61" s="402"/>
      <x:c r="S61" s="402"/>
      <x:c r="T61" s="402"/>
      <x:c r="U61" s="402"/>
      <x:c r="V61" s="402"/>
      <x:c r="W61" s="402"/>
      <x:c r="X61" s="402"/>
      <x:c r="Y61" s="402"/>
      <x:c r="Z61" s="402"/>
    </x:row>
    <x:row r="62">
      <x:c r="A62" s="402"/>
      <x:c r="B62" s="402"/>
      <x:c r="C62" s="402"/>
      <x:c r="D62" s="402"/>
      <x:c r="E62" s="402"/>
      <x:c r="F62" s="402"/>
      <x:c r="G62" s="402"/>
      <x:c r="H62" s="402"/>
      <x:c r="I62" s="402"/>
      <x:c r="J62" s="402"/>
      <x:c r="K62" s="402"/>
      <x:c r="L62" s="402"/>
      <x:c r="M62" s="402"/>
      <x:c r="N62" s="402"/>
      <x:c r="O62" s="402"/>
      <x:c r="P62" s="402"/>
      <x:c r="Q62" s="402"/>
      <x:c r="R62" s="402"/>
      <x:c r="S62" s="402"/>
      <x:c r="T62" s="402"/>
      <x:c r="U62" s="402"/>
      <x:c r="V62" s="402"/>
      <x:c r="W62" s="402"/>
      <x:c r="X62" s="402"/>
      <x:c r="Y62" s="402"/>
      <x:c r="Z62" s="402"/>
    </x:row>
    <x:row r="63">
      <x:c r="A63" s="402"/>
      <x:c r="B63" s="402"/>
      <x:c r="C63" s="402"/>
      <x:c r="D63" s="402"/>
      <x:c r="E63" s="402"/>
      <x:c r="F63" s="402"/>
      <x:c r="G63" s="402"/>
      <x:c r="H63" s="402"/>
      <x:c r="I63" s="402"/>
      <x:c r="J63" s="402"/>
      <x:c r="K63" s="402"/>
      <x:c r="L63" s="402"/>
      <x:c r="M63" s="402"/>
      <x:c r="N63" s="402"/>
      <x:c r="O63" s="402"/>
      <x:c r="P63" s="402"/>
      <x:c r="Q63" s="402"/>
      <x:c r="R63" s="402"/>
      <x:c r="S63" s="402"/>
      <x:c r="T63" s="402"/>
      <x:c r="U63" s="402"/>
      <x:c r="V63" s="402"/>
      <x:c r="W63" s="402"/>
      <x:c r="X63" s="402"/>
      <x:c r="Y63" s="402"/>
      <x:c r="Z63" s="402"/>
    </x:row>
    <x:row r="64">
      <x:c r="A64" s="402"/>
      <x:c r="B64" s="402"/>
      <x:c r="C64" s="402"/>
      <x:c r="D64" s="402"/>
      <x:c r="E64" s="402"/>
      <x:c r="F64" s="402"/>
      <x:c r="G64" s="402"/>
      <x:c r="H64" s="402"/>
      <x:c r="I64" s="402"/>
      <x:c r="J64" s="402"/>
      <x:c r="K64" s="402"/>
      <x:c r="L64" s="402"/>
      <x:c r="M64" s="402"/>
      <x:c r="N64" s="402"/>
      <x:c r="O64" s="402"/>
      <x:c r="P64" s="402"/>
      <x:c r="Q64" s="402"/>
      <x:c r="R64" s="402"/>
      <x:c r="S64" s="402"/>
      <x:c r="T64" s="402"/>
      <x:c r="U64" s="402"/>
      <x:c r="V64" s="402"/>
      <x:c r="W64" s="402"/>
      <x:c r="X64" s="402"/>
      <x:c r="Y64" s="402"/>
      <x:c r="Z64" s="402"/>
    </x:row>
    <x:row r="65">
      <x:c r="A65" s="402"/>
      <x:c r="B65" s="402"/>
      <x:c r="C65" s="402"/>
      <x:c r="D65" s="402"/>
      <x:c r="E65" s="402"/>
      <x:c r="F65" s="402"/>
      <x:c r="G65" s="402"/>
      <x:c r="H65" s="402"/>
      <x:c r="I65" s="402"/>
      <x:c r="J65" s="402"/>
      <x:c r="K65" s="402"/>
      <x:c r="L65" s="402"/>
      <x:c r="M65" s="402"/>
      <x:c r="N65" s="402"/>
      <x:c r="O65" s="402"/>
      <x:c r="P65" s="402"/>
      <x:c r="Q65" s="402"/>
      <x:c r="R65" s="402"/>
      <x:c r="S65" s="402"/>
      <x:c r="T65" s="402"/>
      <x:c r="U65" s="402"/>
      <x:c r="V65" s="402"/>
      <x:c r="W65" s="402"/>
      <x:c r="X65" s="402"/>
      <x:c r="Y65" s="402"/>
      <x:c r="Z65" s="402"/>
    </x:row>
    <x:row r="66">
      <x:c r="A66" s="402"/>
      <x:c r="B66" s="402"/>
      <x:c r="C66" s="402"/>
      <x:c r="D66" s="402"/>
      <x:c r="E66" s="402"/>
      <x:c r="F66" s="402"/>
      <x:c r="G66" s="402"/>
      <x:c r="H66" s="402"/>
      <x:c r="I66" s="402"/>
      <x:c r="J66" s="402"/>
      <x:c r="K66" s="402"/>
      <x:c r="L66" s="402"/>
      <x:c r="M66" s="402"/>
      <x:c r="N66" s="402"/>
      <x:c r="O66" s="402"/>
      <x:c r="P66" s="402"/>
      <x:c r="Q66" s="402"/>
      <x:c r="R66" s="402"/>
      <x:c r="S66" s="402"/>
      <x:c r="T66" s="402"/>
      <x:c r="U66" s="402"/>
      <x:c r="V66" s="402"/>
      <x:c r="W66" s="402"/>
      <x:c r="X66" s="402"/>
      <x:c r="Y66" s="402"/>
      <x:c r="Z66" s="402"/>
    </x:row>
    <x:row r="67">
      <x:c r="A67" s="402"/>
      <x:c r="B67" s="402"/>
      <x:c r="C67" s="402"/>
      <x:c r="D67" s="402"/>
      <x:c r="E67" s="402"/>
      <x:c r="F67" s="402"/>
      <x:c r="G67" s="402"/>
      <x:c r="H67" s="402"/>
      <x:c r="I67" s="402"/>
      <x:c r="J67" s="402"/>
      <x:c r="K67" s="402"/>
      <x:c r="L67" s="402"/>
      <x:c r="M67" s="402"/>
      <x:c r="N67" s="402"/>
      <x:c r="O67" s="402"/>
      <x:c r="P67" s="402"/>
      <x:c r="Q67" s="402"/>
      <x:c r="R67" s="402"/>
      <x:c r="S67" s="402"/>
      <x:c r="T67" s="402"/>
      <x:c r="U67" s="402"/>
      <x:c r="V67" s="402"/>
      <x:c r="W67" s="402"/>
      <x:c r="X67" s="402"/>
      <x:c r="Y67" s="402"/>
      <x:c r="Z67" s="402"/>
    </x:row>
    <x:row r="68">
      <x:c r="A68" s="402"/>
      <x:c r="B68" s="402"/>
      <x:c r="C68" s="402"/>
      <x:c r="D68" s="402"/>
      <x:c r="E68" s="402"/>
      <x:c r="F68" s="402"/>
      <x:c r="G68" s="402"/>
      <x:c r="H68" s="402"/>
      <x:c r="I68" s="402"/>
      <x:c r="J68" s="402"/>
      <x:c r="K68" s="402"/>
      <x:c r="L68" s="402"/>
      <x:c r="M68" s="402"/>
      <x:c r="N68" s="402"/>
      <x:c r="O68" s="402"/>
      <x:c r="P68" s="402"/>
      <x:c r="Q68" s="402"/>
      <x:c r="R68" s="402"/>
      <x:c r="S68" s="402"/>
      <x:c r="T68" s="402"/>
      <x:c r="U68" s="402"/>
      <x:c r="V68" s="402"/>
      <x:c r="W68" s="402"/>
      <x:c r="X68" s="402"/>
      <x:c r="Y68" s="402"/>
      <x:c r="Z68" s="402"/>
    </x:row>
    <x:row r="69">
      <x:c r="A69" s="402"/>
      <x:c r="B69" s="402"/>
      <x:c r="C69" s="402"/>
      <x:c r="D69" s="402"/>
      <x:c r="E69" s="402"/>
      <x:c r="F69" s="402"/>
      <x:c r="G69" s="402"/>
      <x:c r="H69" s="402"/>
      <x:c r="I69" s="402"/>
      <x:c r="J69" s="402"/>
      <x:c r="K69" s="402"/>
      <x:c r="L69" s="402"/>
      <x:c r="M69" s="402"/>
      <x:c r="N69" s="402"/>
      <x:c r="O69" s="402"/>
      <x:c r="P69" s="402"/>
      <x:c r="Q69" s="402"/>
      <x:c r="R69" s="402"/>
      <x:c r="S69" s="402"/>
      <x:c r="T69" s="402"/>
      <x:c r="U69" s="402"/>
      <x:c r="V69" s="402"/>
      <x:c r="W69" s="402"/>
      <x:c r="X69" s="402"/>
      <x:c r="Y69" s="402"/>
      <x:c r="Z69" s="402"/>
    </x:row>
    <x:row r="70">
      <x:c r="A70" s="402"/>
      <x:c r="B70" s="402"/>
      <x:c r="C70" s="402"/>
      <x:c r="D70" s="402"/>
      <x:c r="E70" s="402"/>
      <x:c r="F70" s="402"/>
      <x:c r="G70" s="402"/>
      <x:c r="H70" s="402"/>
      <x:c r="I70" s="402"/>
      <x:c r="J70" s="402"/>
      <x:c r="K70" s="402"/>
      <x:c r="L70" s="402"/>
      <x:c r="M70" s="402"/>
      <x:c r="N70" s="402"/>
      <x:c r="O70" s="402"/>
      <x:c r="P70" s="402"/>
      <x:c r="Q70" s="402"/>
      <x:c r="R70" s="402"/>
      <x:c r="S70" s="402"/>
      <x:c r="T70" s="402"/>
      <x:c r="U70" s="402"/>
      <x:c r="V70" s="402"/>
      <x:c r="W70" s="402"/>
      <x:c r="X70" s="402"/>
      <x:c r="Y70" s="402"/>
      <x:c r="Z70" s="402"/>
    </x:row>
    <x:row r="71">
      <x:c r="A71" s="402"/>
      <x:c r="B71" s="402"/>
      <x:c r="C71" s="402"/>
      <x:c r="D71" s="402"/>
      <x:c r="E71" s="402"/>
      <x:c r="F71" s="402"/>
      <x:c r="G71" s="402"/>
      <x:c r="H71" s="402"/>
      <x:c r="I71" s="402"/>
      <x:c r="J71" s="402"/>
      <x:c r="K71" s="402"/>
      <x:c r="L71" s="402"/>
      <x:c r="M71" s="402"/>
      <x:c r="N71" s="402"/>
      <x:c r="O71" s="402"/>
      <x:c r="P71" s="402"/>
      <x:c r="Q71" s="402"/>
      <x:c r="R71" s="402"/>
      <x:c r="S71" s="402"/>
      <x:c r="T71" s="402"/>
      <x:c r="U71" s="402"/>
      <x:c r="V71" s="402"/>
      <x:c r="W71" s="402"/>
      <x:c r="X71" s="402"/>
      <x:c r="Y71" s="402"/>
      <x:c r="Z71" s="402"/>
    </x:row>
    <x:row r="72">
      <x:c r="A72" s="402"/>
      <x:c r="B72" s="402"/>
      <x:c r="C72" s="402"/>
      <x:c r="D72" s="402"/>
      <x:c r="E72" s="402"/>
      <x:c r="F72" s="402"/>
      <x:c r="G72" s="402"/>
      <x:c r="H72" s="402"/>
      <x:c r="I72" s="402"/>
      <x:c r="J72" s="402"/>
      <x:c r="K72" s="402"/>
      <x:c r="L72" s="402"/>
      <x:c r="M72" s="402"/>
      <x:c r="N72" s="402"/>
      <x:c r="O72" s="402"/>
      <x:c r="P72" s="402"/>
      <x:c r="Q72" s="402"/>
      <x:c r="R72" s="402"/>
      <x:c r="S72" s="402"/>
      <x:c r="T72" s="402"/>
      <x:c r="U72" s="402"/>
      <x:c r="V72" s="402"/>
      <x:c r="W72" s="402"/>
      <x:c r="X72" s="402"/>
      <x:c r="Y72" s="402"/>
      <x:c r="Z72" s="402"/>
    </x:row>
    <x:row r="73">
      <x:c r="A73" s="402"/>
      <x:c r="B73" s="402"/>
      <x:c r="C73" s="402"/>
      <x:c r="D73" s="402"/>
      <x:c r="E73" s="402"/>
      <x:c r="F73" s="402"/>
      <x:c r="G73" s="402"/>
      <x:c r="H73" s="402"/>
      <x:c r="I73" s="402"/>
      <x:c r="J73" s="402"/>
      <x:c r="K73" s="402"/>
      <x:c r="L73" s="402"/>
      <x:c r="M73" s="402"/>
      <x:c r="N73" s="402"/>
      <x:c r="O73" s="402"/>
      <x:c r="P73" s="402"/>
      <x:c r="Q73" s="402"/>
      <x:c r="R73" s="402"/>
      <x:c r="S73" s="402"/>
      <x:c r="T73" s="402"/>
      <x:c r="U73" s="402"/>
      <x:c r="V73" s="402"/>
      <x:c r="W73" s="402"/>
      <x:c r="X73" s="402"/>
      <x:c r="Y73" s="402"/>
      <x:c r="Z73" s="402"/>
    </x:row>
    <x:row r="74">
      <x:c r="A74" s="402"/>
      <x:c r="B74" s="402"/>
      <x:c r="C74" s="402"/>
      <x:c r="D74" s="402"/>
      <x:c r="E74" s="402"/>
      <x:c r="F74" s="402"/>
      <x:c r="G74" s="402"/>
      <x:c r="H74" s="402"/>
      <x:c r="I74" s="402"/>
      <x:c r="J74" s="402"/>
      <x:c r="K74" s="402"/>
      <x:c r="L74" s="402"/>
      <x:c r="M74" s="402"/>
      <x:c r="N74" s="402"/>
      <x:c r="O74" s="402"/>
      <x:c r="P74" s="402"/>
      <x:c r="Q74" s="402"/>
      <x:c r="R74" s="402"/>
      <x:c r="S74" s="402"/>
      <x:c r="T74" s="402"/>
      <x:c r="U74" s="402"/>
      <x:c r="V74" s="402"/>
      <x:c r="W74" s="402"/>
      <x:c r="X74" s="402"/>
      <x:c r="Y74" s="402"/>
      <x:c r="Z74" s="402"/>
    </x:row>
    <x:row r="75">
      <x:c r="A75" s="402"/>
      <x:c r="B75" s="402"/>
      <x:c r="C75" s="402"/>
      <x:c r="D75" s="402"/>
      <x:c r="E75" s="402"/>
      <x:c r="F75" s="402"/>
      <x:c r="G75" s="402"/>
      <x:c r="H75" s="402"/>
      <x:c r="I75" s="402"/>
      <x:c r="J75" s="402"/>
      <x:c r="K75" s="402"/>
      <x:c r="L75" s="402"/>
      <x:c r="M75" s="402"/>
      <x:c r="N75" s="402"/>
      <x:c r="O75" s="402"/>
      <x:c r="P75" s="402"/>
      <x:c r="Q75" s="402"/>
      <x:c r="R75" s="402"/>
      <x:c r="S75" s="402"/>
      <x:c r="T75" s="402"/>
      <x:c r="U75" s="402"/>
      <x:c r="V75" s="402"/>
      <x:c r="W75" s="402"/>
      <x:c r="X75" s="402"/>
      <x:c r="Y75" s="402"/>
      <x:c r="Z75" s="402"/>
    </x:row>
    <x:row r="76">
      <x:c r="A76" s="402"/>
      <x:c r="B76" s="402"/>
      <x:c r="C76" s="402"/>
      <x:c r="D76" s="402"/>
      <x:c r="E76" s="402"/>
      <x:c r="F76" s="402"/>
      <x:c r="G76" s="402"/>
      <x:c r="H76" s="402"/>
      <x:c r="I76" s="402"/>
      <x:c r="J76" s="402"/>
      <x:c r="K76" s="402"/>
      <x:c r="L76" s="402"/>
      <x:c r="M76" s="402"/>
      <x:c r="N76" s="402"/>
      <x:c r="O76" s="402"/>
      <x:c r="P76" s="402"/>
      <x:c r="Q76" s="402"/>
      <x:c r="R76" s="402"/>
      <x:c r="S76" s="402"/>
      <x:c r="T76" s="402"/>
      <x:c r="U76" s="402"/>
      <x:c r="V76" s="402"/>
      <x:c r="W76" s="402"/>
      <x:c r="X76" s="402"/>
      <x:c r="Y76" s="402"/>
      <x:c r="Z76" s="402"/>
    </x:row>
    <x:row r="77">
      <x:c r="A77" s="402"/>
      <x:c r="B77" s="402"/>
      <x:c r="C77" s="402"/>
      <x:c r="D77" s="402"/>
      <x:c r="E77" s="402"/>
      <x:c r="F77" s="402"/>
      <x:c r="G77" s="402"/>
      <x:c r="H77" s="402"/>
      <x:c r="I77" s="402"/>
      <x:c r="J77" s="402"/>
      <x:c r="K77" s="402"/>
      <x:c r="L77" s="402"/>
      <x:c r="M77" s="402"/>
      <x:c r="N77" s="402"/>
      <x:c r="O77" s="402"/>
      <x:c r="P77" s="402"/>
      <x:c r="Q77" s="402"/>
      <x:c r="R77" s="402"/>
      <x:c r="S77" s="402"/>
      <x:c r="T77" s="402"/>
      <x:c r="U77" s="402"/>
      <x:c r="V77" s="402"/>
      <x:c r="W77" s="402"/>
      <x:c r="X77" s="402"/>
      <x:c r="Y77" s="402"/>
      <x:c r="Z77" s="402"/>
    </x:row>
    <x:row r="78">
      <x:c r="A78" s="402"/>
      <x:c r="B78" s="402"/>
      <x:c r="C78" s="402"/>
      <x:c r="D78" s="402"/>
      <x:c r="E78" s="402"/>
      <x:c r="F78" s="402"/>
      <x:c r="G78" s="402"/>
      <x:c r="H78" s="402"/>
      <x:c r="I78" s="402"/>
      <x:c r="J78" s="402"/>
      <x:c r="K78" s="402"/>
      <x:c r="L78" s="402"/>
      <x:c r="M78" s="402"/>
      <x:c r="N78" s="402"/>
      <x:c r="O78" s="402"/>
      <x:c r="P78" s="402"/>
      <x:c r="Q78" s="402"/>
      <x:c r="R78" s="402"/>
      <x:c r="S78" s="402"/>
      <x:c r="T78" s="402"/>
      <x:c r="U78" s="402"/>
      <x:c r="V78" s="402"/>
      <x:c r="W78" s="402"/>
      <x:c r="X78" s="402"/>
      <x:c r="Y78" s="402"/>
      <x:c r="Z78" s="402"/>
    </x:row>
    <x:row r="79">
      <x:c r="A79" s="402"/>
      <x:c r="B79" s="402"/>
      <x:c r="C79" s="402"/>
      <x:c r="D79" s="402"/>
      <x:c r="E79" s="402"/>
      <x:c r="F79" s="402"/>
      <x:c r="G79" s="402"/>
      <x:c r="H79" s="402"/>
      <x:c r="I79" s="402"/>
      <x:c r="J79" s="402"/>
      <x:c r="K79" s="402"/>
      <x:c r="L79" s="402"/>
      <x:c r="M79" s="402"/>
      <x:c r="N79" s="402"/>
      <x:c r="O79" s="402"/>
      <x:c r="P79" s="402"/>
      <x:c r="Q79" s="402"/>
      <x:c r="R79" s="402"/>
      <x:c r="S79" s="402"/>
      <x:c r="T79" s="402"/>
      <x:c r="U79" s="402"/>
      <x:c r="V79" s="402"/>
      <x:c r="W79" s="402"/>
      <x:c r="X79" s="402"/>
      <x:c r="Y79" s="402"/>
      <x:c r="Z79" s="402"/>
    </x:row>
    <x:row r="80">
      <x:c r="A80" s="402"/>
      <x:c r="B80" s="402"/>
      <x:c r="C80" s="402"/>
      <x:c r="D80" s="402"/>
      <x:c r="E80" s="402"/>
      <x:c r="F80" s="402"/>
      <x:c r="G80" s="402"/>
      <x:c r="H80" s="402"/>
      <x:c r="I80" s="402"/>
      <x:c r="J80" s="402"/>
      <x:c r="K80" s="402"/>
      <x:c r="L80" s="402"/>
      <x:c r="M80" s="402"/>
      <x:c r="N80" s="402"/>
      <x:c r="O80" s="402"/>
      <x:c r="P80" s="402"/>
      <x:c r="Q80" s="402"/>
      <x:c r="R80" s="402"/>
      <x:c r="S80" s="402"/>
      <x:c r="T80" s="402"/>
      <x:c r="U80" s="402"/>
      <x:c r="V80" s="402"/>
      <x:c r="W80" s="402"/>
      <x:c r="X80" s="402"/>
      <x:c r="Y80" s="402"/>
      <x:c r="Z80" s="402"/>
    </x:row>
    <x:row r="81">
      <x:c r="A81" s="402"/>
      <x:c r="B81" s="402"/>
      <x:c r="C81" s="402"/>
      <x:c r="D81" s="402"/>
      <x:c r="E81" s="402"/>
      <x:c r="F81" s="402"/>
      <x:c r="G81" s="402"/>
      <x:c r="H81" s="402"/>
      <x:c r="I81" s="402"/>
      <x:c r="J81" s="402"/>
      <x:c r="K81" s="402"/>
      <x:c r="L81" s="402"/>
      <x:c r="M81" s="402"/>
      <x:c r="N81" s="402"/>
      <x:c r="O81" s="402"/>
      <x:c r="P81" s="402"/>
      <x:c r="Q81" s="402"/>
      <x:c r="R81" s="402"/>
      <x:c r="S81" s="402"/>
      <x:c r="T81" s="402"/>
      <x:c r="U81" s="402"/>
      <x:c r="V81" s="402"/>
      <x:c r="W81" s="402"/>
      <x:c r="X81" s="402"/>
      <x:c r="Y81" s="402"/>
      <x:c r="Z81" s="402"/>
    </x:row>
    <x:row r="82">
      <x:c r="A82" s="402"/>
      <x:c r="B82" s="402"/>
      <x:c r="C82" s="402"/>
      <x:c r="D82" s="402"/>
      <x:c r="E82" s="402"/>
      <x:c r="F82" s="402"/>
      <x:c r="G82" s="402"/>
      <x:c r="H82" s="402"/>
      <x:c r="I82" s="402"/>
      <x:c r="J82" s="402"/>
      <x:c r="K82" s="402"/>
      <x:c r="L82" s="402"/>
      <x:c r="M82" s="402"/>
      <x:c r="N82" s="402"/>
      <x:c r="O82" s="402"/>
      <x:c r="P82" s="402"/>
      <x:c r="Q82" s="402"/>
      <x:c r="R82" s="402"/>
      <x:c r="S82" s="402"/>
      <x:c r="T82" s="402"/>
      <x:c r="U82" s="402"/>
      <x:c r="V82" s="402"/>
      <x:c r="W82" s="402"/>
      <x:c r="X82" s="402"/>
      <x:c r="Y82" s="402"/>
      <x:c r="Z82" s="402"/>
    </x:row>
    <x:row r="83">
      <x:c r="A83" s="402"/>
      <x:c r="B83" s="402"/>
      <x:c r="C83" s="402"/>
      <x:c r="D83" s="402"/>
      <x:c r="E83" s="402"/>
      <x:c r="F83" s="402"/>
      <x:c r="G83" s="402"/>
      <x:c r="H83" s="402"/>
      <x:c r="I83" s="402"/>
      <x:c r="J83" s="402"/>
      <x:c r="K83" s="402"/>
      <x:c r="L83" s="402"/>
      <x:c r="M83" s="402"/>
      <x:c r="N83" s="402"/>
      <x:c r="O83" s="402"/>
      <x:c r="P83" s="402"/>
      <x:c r="Q83" s="402"/>
      <x:c r="R83" s="402"/>
      <x:c r="S83" s="402"/>
      <x:c r="T83" s="402"/>
      <x:c r="U83" s="402"/>
      <x:c r="V83" s="402"/>
      <x:c r="W83" s="402"/>
      <x:c r="X83" s="402"/>
      <x:c r="Y83" s="402"/>
      <x:c r="Z83" s="402"/>
    </x:row>
    <x:row r="84">
      <x:c r="A84" s="402"/>
      <x:c r="B84" s="402"/>
      <x:c r="C84" s="402"/>
      <x:c r="D84" s="402"/>
      <x:c r="E84" s="402"/>
      <x:c r="F84" s="402"/>
      <x:c r="G84" s="402"/>
      <x:c r="H84" s="402"/>
      <x:c r="I84" s="402"/>
      <x:c r="J84" s="402"/>
      <x:c r="K84" s="402"/>
      <x:c r="L84" s="402"/>
      <x:c r="M84" s="402"/>
      <x:c r="N84" s="402"/>
      <x:c r="O84" s="402"/>
      <x:c r="P84" s="402"/>
      <x:c r="Q84" s="402"/>
      <x:c r="R84" s="402"/>
      <x:c r="S84" s="402"/>
      <x:c r="T84" s="402"/>
      <x:c r="U84" s="402"/>
      <x:c r="V84" s="402"/>
      <x:c r="W84" s="402"/>
      <x:c r="X84" s="402"/>
      <x:c r="Y84" s="402"/>
      <x:c r="Z84" s="402"/>
    </x:row>
    <x:row r="85">
      <x:c r="A85" s="402"/>
      <x:c r="B85" s="402"/>
      <x:c r="C85" s="402"/>
      <x:c r="D85" s="402"/>
      <x:c r="E85" s="402"/>
      <x:c r="F85" s="402"/>
      <x:c r="G85" s="402"/>
      <x:c r="H85" s="402"/>
      <x:c r="I85" s="402"/>
      <x:c r="J85" s="402"/>
      <x:c r="K85" s="402"/>
      <x:c r="L85" s="402"/>
      <x:c r="M85" s="402"/>
      <x:c r="N85" s="402"/>
      <x:c r="O85" s="402"/>
      <x:c r="P85" s="402"/>
      <x:c r="Q85" s="402"/>
      <x:c r="R85" s="402"/>
      <x:c r="S85" s="402"/>
      <x:c r="T85" s="402"/>
      <x:c r="U85" s="402"/>
      <x:c r="V85" s="402"/>
      <x:c r="W85" s="402"/>
      <x:c r="X85" s="402"/>
      <x:c r="Y85" s="402"/>
      <x:c r="Z85" s="402"/>
    </x:row>
    <x:row r="86">
      <x:c r="A86" s="402"/>
      <x:c r="B86" s="402"/>
      <x:c r="C86" s="402"/>
      <x:c r="D86" s="402"/>
      <x:c r="E86" s="402"/>
      <x:c r="F86" s="402"/>
      <x:c r="G86" s="402"/>
      <x:c r="H86" s="402"/>
      <x:c r="I86" s="402"/>
      <x:c r="J86" s="402"/>
      <x:c r="K86" s="402"/>
      <x:c r="L86" s="402"/>
      <x:c r="M86" s="402"/>
      <x:c r="N86" s="402"/>
      <x:c r="O86" s="402"/>
      <x:c r="P86" s="402"/>
      <x:c r="Q86" s="402"/>
      <x:c r="R86" s="402"/>
      <x:c r="S86" s="402"/>
      <x:c r="T86" s="402"/>
      <x:c r="U86" s="402"/>
      <x:c r="V86" s="402"/>
      <x:c r="W86" s="402"/>
      <x:c r="X86" s="402"/>
      <x:c r="Y86" s="402"/>
      <x:c r="Z86" s="402"/>
    </x:row>
    <x:row r="87">
      <x:c r="A87" s="402"/>
      <x:c r="B87" s="402"/>
      <x:c r="C87" s="402"/>
      <x:c r="D87" s="402"/>
      <x:c r="E87" s="402"/>
      <x:c r="F87" s="402"/>
      <x:c r="G87" s="402"/>
      <x:c r="H87" s="402"/>
      <x:c r="I87" s="402"/>
      <x:c r="J87" s="402"/>
      <x:c r="K87" s="402"/>
      <x:c r="L87" s="402"/>
      <x:c r="M87" s="402"/>
      <x:c r="N87" s="402"/>
      <x:c r="O87" s="402"/>
      <x:c r="P87" s="402"/>
      <x:c r="Q87" s="402"/>
      <x:c r="R87" s="402"/>
      <x:c r="S87" s="402"/>
      <x:c r="T87" s="402"/>
      <x:c r="U87" s="402"/>
      <x:c r="V87" s="402"/>
      <x:c r="W87" s="402"/>
      <x:c r="X87" s="402"/>
      <x:c r="Y87" s="402"/>
      <x:c r="Z87" s="402"/>
    </x:row>
    <x:row r="88">
      <x:c r="A88" s="402"/>
      <x:c r="B88" s="402"/>
      <x:c r="C88" s="402"/>
      <x:c r="D88" s="402"/>
      <x:c r="E88" s="402"/>
      <x:c r="F88" s="402"/>
      <x:c r="G88" s="402"/>
      <x:c r="H88" s="402"/>
      <x:c r="I88" s="402"/>
      <x:c r="J88" s="402"/>
      <x:c r="K88" s="402"/>
      <x:c r="L88" s="402"/>
      <x:c r="M88" s="402"/>
      <x:c r="N88" s="402"/>
      <x:c r="O88" s="402"/>
      <x:c r="P88" s="402"/>
      <x:c r="Q88" s="402"/>
      <x:c r="R88" s="402"/>
      <x:c r="S88" s="402"/>
      <x:c r="T88" s="402"/>
      <x:c r="U88" s="402"/>
      <x:c r="V88" s="402"/>
      <x:c r="W88" s="402"/>
      <x:c r="X88" s="402"/>
      <x:c r="Y88" s="402"/>
      <x:c r="Z88" s="402"/>
    </x:row>
    <x:row r="89">
      <x:c r="A89" s="402"/>
      <x:c r="B89" s="402"/>
      <x:c r="C89" s="402"/>
      <x:c r="D89" s="402"/>
      <x:c r="E89" s="402"/>
      <x:c r="F89" s="402"/>
      <x:c r="G89" s="402"/>
      <x:c r="H89" s="402"/>
      <x:c r="I89" s="402"/>
      <x:c r="J89" s="402"/>
      <x:c r="K89" s="402"/>
      <x:c r="L89" s="402"/>
      <x:c r="M89" s="402"/>
      <x:c r="N89" s="402"/>
      <x:c r="O89" s="402"/>
      <x:c r="P89" s="402"/>
      <x:c r="Q89" s="402"/>
      <x:c r="R89" s="402"/>
      <x:c r="S89" s="402"/>
      <x:c r="T89" s="402"/>
      <x:c r="U89" s="402"/>
      <x:c r="V89" s="402"/>
      <x:c r="W89" s="402"/>
      <x:c r="X89" s="402"/>
      <x:c r="Y89" s="402"/>
      <x:c r="Z89" s="402"/>
    </x:row>
    <x:row r="90">
      <x:c r="A90" s="402"/>
      <x:c r="B90" s="402"/>
      <x:c r="C90" s="402"/>
      <x:c r="D90" s="402"/>
      <x:c r="E90" s="402"/>
      <x:c r="F90" s="402"/>
      <x:c r="G90" s="402"/>
      <x:c r="H90" s="402"/>
      <x:c r="I90" s="402"/>
      <x:c r="J90" s="402"/>
      <x:c r="K90" s="402"/>
      <x:c r="L90" s="402"/>
      <x:c r="M90" s="402"/>
      <x:c r="N90" s="402"/>
      <x:c r="O90" s="402"/>
      <x:c r="P90" s="402"/>
      <x:c r="Q90" s="402"/>
      <x:c r="R90" s="402"/>
      <x:c r="S90" s="402"/>
      <x:c r="T90" s="402"/>
      <x:c r="U90" s="402"/>
      <x:c r="V90" s="402"/>
      <x:c r="W90" s="402"/>
      <x:c r="X90" s="402"/>
      <x:c r="Y90" s="402"/>
      <x:c r="Z90" s="402"/>
    </x:row>
    <x:row r="91">
      <x:c r="A91" s="402"/>
      <x:c r="B91" s="402"/>
      <x:c r="C91" s="402"/>
      <x:c r="D91" s="402"/>
      <x:c r="E91" s="402"/>
      <x:c r="F91" s="402"/>
      <x:c r="G91" s="402"/>
      <x:c r="H91" s="402"/>
      <x:c r="I91" s="402"/>
      <x:c r="J91" s="402"/>
      <x:c r="K91" s="402"/>
      <x:c r="L91" s="402"/>
      <x:c r="M91" s="402"/>
      <x:c r="N91" s="402"/>
      <x:c r="O91" s="402"/>
      <x:c r="P91" s="402"/>
      <x:c r="Q91" s="402"/>
      <x:c r="R91" s="402"/>
      <x:c r="S91" s="402"/>
      <x:c r="T91" s="402"/>
      <x:c r="U91" s="402"/>
      <x:c r="V91" s="402"/>
      <x:c r="W91" s="402"/>
      <x:c r="X91" s="402"/>
      <x:c r="Y91" s="402"/>
      <x:c r="Z91" s="402"/>
    </x:row>
    <x:row r="92">
      <x:c r="A92" s="402"/>
      <x:c r="B92" s="402"/>
      <x:c r="C92" s="402"/>
      <x:c r="D92" s="402"/>
      <x:c r="E92" s="402"/>
      <x:c r="F92" s="402"/>
      <x:c r="G92" s="402"/>
      <x:c r="H92" s="402"/>
      <x:c r="I92" s="402"/>
      <x:c r="J92" s="402"/>
      <x:c r="K92" s="402"/>
      <x:c r="L92" s="402"/>
      <x:c r="M92" s="402"/>
      <x:c r="N92" s="402"/>
      <x:c r="O92" s="402"/>
      <x:c r="P92" s="402"/>
      <x:c r="Q92" s="402"/>
      <x:c r="R92" s="402"/>
      <x:c r="S92" s="402"/>
      <x:c r="T92" s="402"/>
      <x:c r="U92" s="402"/>
      <x:c r="V92" s="402"/>
      <x:c r="W92" s="402"/>
      <x:c r="X92" s="402"/>
      <x:c r="Y92" s="402"/>
      <x:c r="Z92" s="402"/>
    </x:row>
    <x:row r="93">
      <x:c r="A93" s="402"/>
      <x:c r="B93" s="402"/>
      <x:c r="C93" s="402"/>
      <x:c r="D93" s="402"/>
      <x:c r="E93" s="402"/>
      <x:c r="F93" s="402"/>
      <x:c r="G93" s="402"/>
      <x:c r="H93" s="402"/>
      <x:c r="I93" s="402"/>
      <x:c r="J93" s="402"/>
      <x:c r="K93" s="402"/>
      <x:c r="L93" s="402"/>
      <x:c r="M93" s="402"/>
      <x:c r="N93" s="402"/>
      <x:c r="O93" s="402"/>
      <x:c r="P93" s="402"/>
      <x:c r="Q93" s="402"/>
      <x:c r="R93" s="402"/>
      <x:c r="S93" s="402"/>
      <x:c r="T93" s="402"/>
      <x:c r="U93" s="402"/>
      <x:c r="V93" s="402"/>
      <x:c r="W93" s="402"/>
      <x:c r="X93" s="402"/>
      <x:c r="Y93" s="402"/>
      <x:c r="Z93" s="402"/>
    </x:row>
    <x:row r="94">
      <x:c r="A94" s="402"/>
      <x:c r="B94" s="402"/>
      <x:c r="C94" s="402"/>
      <x:c r="D94" s="402"/>
      <x:c r="E94" s="402"/>
      <x:c r="F94" s="402"/>
      <x:c r="G94" s="402"/>
      <x:c r="H94" s="402"/>
      <x:c r="I94" s="402"/>
      <x:c r="J94" s="402"/>
      <x:c r="K94" s="402"/>
      <x:c r="L94" s="402"/>
      <x:c r="M94" s="402"/>
      <x:c r="N94" s="402"/>
      <x:c r="O94" s="402"/>
      <x:c r="P94" s="402"/>
      <x:c r="Q94" s="402"/>
      <x:c r="R94" s="402"/>
      <x:c r="S94" s="402"/>
      <x:c r="T94" s="402"/>
      <x:c r="U94" s="402"/>
      <x:c r="V94" s="402"/>
      <x:c r="W94" s="402"/>
      <x:c r="X94" s="402"/>
      <x:c r="Y94" s="402"/>
      <x:c r="Z94" s="402"/>
    </x:row>
    <x:row r="95">
      <x:c r="A95" s="402"/>
      <x:c r="B95" s="402"/>
      <x:c r="C95" s="402"/>
      <x:c r="D95" s="402"/>
      <x:c r="E95" s="402"/>
      <x:c r="F95" s="402"/>
      <x:c r="G95" s="402"/>
      <x:c r="H95" s="402"/>
      <x:c r="I95" s="402"/>
      <x:c r="J95" s="402"/>
      <x:c r="K95" s="402"/>
      <x:c r="L95" s="402"/>
      <x:c r="M95" s="402"/>
      <x:c r="N95" s="402"/>
      <x:c r="O95" s="402"/>
      <x:c r="P95" s="402"/>
      <x:c r="Q95" s="402"/>
      <x:c r="R95" s="402"/>
      <x:c r="S95" s="402"/>
      <x:c r="T95" s="402"/>
      <x:c r="U95" s="402"/>
      <x:c r="V95" s="402"/>
      <x:c r="W95" s="402"/>
      <x:c r="X95" s="402"/>
      <x:c r="Y95" s="402"/>
      <x:c r="Z95" s="402"/>
    </x:row>
    <x:row r="96">
      <x:c r="A96" s="402"/>
      <x:c r="B96" s="402"/>
      <x:c r="C96" s="402"/>
      <x:c r="D96" s="402"/>
      <x:c r="E96" s="402"/>
      <x:c r="F96" s="402"/>
      <x:c r="G96" s="402"/>
      <x:c r="H96" s="402"/>
      <x:c r="I96" s="402"/>
      <x:c r="J96" s="402"/>
      <x:c r="K96" s="402"/>
      <x:c r="L96" s="402"/>
      <x:c r="M96" s="402"/>
      <x:c r="N96" s="402"/>
      <x:c r="O96" s="402"/>
      <x:c r="P96" s="402"/>
      <x:c r="Q96" s="402"/>
      <x:c r="R96" s="402"/>
      <x:c r="S96" s="402"/>
      <x:c r="T96" s="402"/>
      <x:c r="U96" s="402"/>
      <x:c r="V96" s="402"/>
      <x:c r="W96" s="402"/>
      <x:c r="X96" s="402"/>
      <x:c r="Y96" s="402"/>
      <x:c r="Z96" s="402"/>
    </x:row>
    <x:row r="97">
      <x:c r="A97" s="402"/>
      <x:c r="B97" s="402"/>
      <x:c r="C97" s="402"/>
      <x:c r="D97" s="402"/>
      <x:c r="E97" s="402"/>
      <x:c r="F97" s="402"/>
      <x:c r="G97" s="402"/>
      <x:c r="H97" s="402"/>
      <x:c r="I97" s="402"/>
      <x:c r="J97" s="402"/>
      <x:c r="K97" s="402"/>
      <x:c r="L97" s="402"/>
      <x:c r="M97" s="402"/>
      <x:c r="N97" s="402"/>
      <x:c r="O97" s="402"/>
      <x:c r="P97" s="402"/>
      <x:c r="Q97" s="402"/>
      <x:c r="R97" s="402"/>
      <x:c r="S97" s="402"/>
      <x:c r="T97" s="402"/>
      <x:c r="U97" s="402"/>
      <x:c r="V97" s="402"/>
      <x:c r="W97" s="402"/>
      <x:c r="X97" s="402"/>
      <x:c r="Y97" s="402"/>
      <x:c r="Z97" s="402"/>
    </x:row>
    <x:row r="98">
      <x:c r="A98" s="402"/>
      <x:c r="B98" s="402"/>
      <x:c r="C98" s="402"/>
      <x:c r="D98" s="402"/>
      <x:c r="E98" s="402"/>
      <x:c r="F98" s="402"/>
      <x:c r="G98" s="402"/>
      <x:c r="H98" s="402"/>
      <x:c r="I98" s="402"/>
      <x:c r="J98" s="402"/>
      <x:c r="K98" s="402"/>
      <x:c r="L98" s="402"/>
      <x:c r="M98" s="402"/>
      <x:c r="N98" s="402"/>
      <x:c r="O98" s="402"/>
      <x:c r="P98" s="402"/>
      <x:c r="Q98" s="402"/>
      <x:c r="R98" s="402"/>
      <x:c r="S98" s="402"/>
      <x:c r="T98" s="402"/>
      <x:c r="U98" s="402"/>
      <x:c r="V98" s="402"/>
      <x:c r="W98" s="402"/>
      <x:c r="X98" s="402"/>
      <x:c r="Y98" s="402"/>
      <x:c r="Z98" s="402"/>
    </x:row>
    <x:row r="99">
      <x:c r="A99" s="402"/>
      <x:c r="B99" s="402"/>
      <x:c r="C99" s="402"/>
      <x:c r="D99" s="402"/>
      <x:c r="E99" s="402"/>
      <x:c r="F99" s="402"/>
      <x:c r="G99" s="402"/>
      <x:c r="H99" s="402"/>
      <x:c r="I99" s="402"/>
      <x:c r="J99" s="402"/>
      <x:c r="K99" s="402"/>
      <x:c r="L99" s="402"/>
      <x:c r="M99" s="402"/>
      <x:c r="N99" s="402"/>
      <x:c r="O99" s="402"/>
      <x:c r="P99" s="402"/>
      <x:c r="Q99" s="402"/>
      <x:c r="R99" s="402"/>
      <x:c r="S99" s="402"/>
      <x:c r="T99" s="402"/>
      <x:c r="U99" s="402"/>
      <x:c r="V99" s="402"/>
      <x:c r="W99" s="402"/>
      <x:c r="X99" s="402"/>
      <x:c r="Y99" s="402"/>
      <x:c r="Z99" s="402"/>
    </x:row>
    <x:row r="100">
      <x:c r="A100" s="402"/>
      <x:c r="B100" s="402"/>
      <x:c r="C100" s="402"/>
      <x:c r="D100" s="402"/>
      <x:c r="E100" s="402"/>
      <x:c r="F100" s="402"/>
      <x:c r="G100" s="402"/>
      <x:c r="H100" s="402"/>
      <x:c r="I100" s="402"/>
      <x:c r="J100" s="402"/>
      <x:c r="K100" s="402"/>
      <x:c r="L100" s="402"/>
      <x:c r="M100" s="402"/>
      <x:c r="N100" s="402"/>
      <x:c r="O100" s="402"/>
      <x:c r="P100" s="402"/>
      <x:c r="Q100" s="402"/>
      <x:c r="R100" s="402"/>
      <x:c r="S100" s="402"/>
      <x:c r="T100" s="402"/>
      <x:c r="U100" s="402"/>
      <x:c r="V100" s="402"/>
      <x:c r="W100" s="402"/>
      <x:c r="X100" s="402"/>
      <x:c r="Y100" s="402"/>
      <x:c r="Z100" s="402"/>
    </x:row>
    <x:row r="101">
      <x:c r="A101" s="402"/>
      <x:c r="B101" s="402"/>
      <x:c r="C101" s="402"/>
      <x:c r="D101" s="402"/>
      <x:c r="E101" s="402"/>
      <x:c r="F101" s="402"/>
      <x:c r="G101" s="402"/>
      <x:c r="H101" s="402"/>
      <x:c r="I101" s="402"/>
      <x:c r="J101" s="402"/>
      <x:c r="K101" s="402"/>
      <x:c r="L101" s="402"/>
      <x:c r="M101" s="402"/>
      <x:c r="N101" s="402"/>
      <x:c r="O101" s="402"/>
      <x:c r="P101" s="402"/>
      <x:c r="Q101" s="402"/>
      <x:c r="R101" s="402"/>
      <x:c r="S101" s="402"/>
      <x:c r="T101" s="402"/>
      <x:c r="U101" s="402"/>
      <x:c r="V101" s="402"/>
      <x:c r="W101" s="402"/>
      <x:c r="X101" s="402"/>
      <x:c r="Y101" s="402"/>
      <x:c r="Z101" s="402"/>
    </x:row>
    <x:row r="102">
      <x:c r="A102" s="402"/>
      <x:c r="B102" s="402"/>
      <x:c r="C102" s="402"/>
      <x:c r="D102" s="402"/>
      <x:c r="E102" s="402"/>
      <x:c r="F102" s="402"/>
      <x:c r="G102" s="402"/>
      <x:c r="H102" s="402"/>
      <x:c r="I102" s="402"/>
      <x:c r="J102" s="402"/>
      <x:c r="K102" s="402"/>
      <x:c r="L102" s="402"/>
      <x:c r="M102" s="402"/>
      <x:c r="N102" s="402"/>
      <x:c r="O102" s="402"/>
      <x:c r="P102" s="402"/>
      <x:c r="Q102" s="402"/>
      <x:c r="R102" s="402"/>
      <x:c r="S102" s="402"/>
      <x:c r="T102" s="402"/>
      <x:c r="U102" s="402"/>
      <x:c r="V102" s="402"/>
      <x:c r="W102" s="402"/>
      <x:c r="X102" s="402"/>
      <x:c r="Y102" s="402"/>
      <x:c r="Z102" s="402"/>
    </x:row>
    <x:row r="103">
      <x:c r="A103" s="402"/>
      <x:c r="B103" s="402"/>
      <x:c r="C103" s="402"/>
      <x:c r="D103" s="402"/>
      <x:c r="E103" s="402"/>
      <x:c r="F103" s="402"/>
      <x:c r="G103" s="402"/>
      <x:c r="H103" s="402"/>
      <x:c r="I103" s="402"/>
      <x:c r="J103" s="402"/>
      <x:c r="K103" s="402"/>
      <x:c r="L103" s="402"/>
      <x:c r="M103" s="402"/>
      <x:c r="N103" s="402"/>
      <x:c r="O103" s="402"/>
      <x:c r="P103" s="402"/>
      <x:c r="Q103" s="402"/>
      <x:c r="R103" s="402"/>
      <x:c r="S103" s="402"/>
      <x:c r="T103" s="402"/>
      <x:c r="U103" s="402"/>
      <x:c r="V103" s="402"/>
      <x:c r="W103" s="402"/>
      <x:c r="X103" s="402"/>
      <x:c r="Y103" s="402"/>
      <x:c r="Z103" s="402"/>
    </x:row>
    <x:row r="104">
      <x:c r="A104" s="402"/>
      <x:c r="B104" s="402"/>
      <x:c r="C104" s="402"/>
      <x:c r="D104" s="402"/>
      <x:c r="E104" s="402"/>
      <x:c r="F104" s="402"/>
      <x:c r="G104" s="402"/>
      <x:c r="H104" s="402"/>
      <x:c r="I104" s="402"/>
      <x:c r="J104" s="402"/>
      <x:c r="K104" s="402"/>
      <x:c r="L104" s="402"/>
      <x:c r="M104" s="402"/>
      <x:c r="N104" s="402"/>
      <x:c r="O104" s="402"/>
      <x:c r="P104" s="402"/>
      <x:c r="Q104" s="402"/>
      <x:c r="R104" s="402"/>
      <x:c r="S104" s="402"/>
      <x:c r="T104" s="402"/>
      <x:c r="U104" s="402"/>
      <x:c r="V104" s="402"/>
      <x:c r="W104" s="402"/>
      <x:c r="X104" s="402"/>
      <x:c r="Y104" s="402"/>
      <x:c r="Z104" s="402"/>
    </x:row>
    <x:row r="105">
      <x:c r="A105" s="402"/>
      <x:c r="B105" s="402"/>
      <x:c r="C105" s="402"/>
      <x:c r="D105" s="402"/>
      <x:c r="E105" s="402"/>
      <x:c r="F105" s="402"/>
      <x:c r="G105" s="402"/>
      <x:c r="H105" s="402"/>
      <x:c r="I105" s="402"/>
      <x:c r="J105" s="402"/>
      <x:c r="K105" s="402"/>
      <x:c r="L105" s="402"/>
      <x:c r="M105" s="402"/>
      <x:c r="N105" s="402"/>
      <x:c r="O105" s="402"/>
      <x:c r="P105" s="402"/>
      <x:c r="Q105" s="402"/>
      <x:c r="R105" s="402"/>
      <x:c r="S105" s="402"/>
      <x:c r="T105" s="402"/>
      <x:c r="U105" s="402"/>
      <x:c r="V105" s="402"/>
      <x:c r="W105" s="402"/>
      <x:c r="X105" s="402"/>
      <x:c r="Y105" s="402"/>
      <x:c r="Z105" s="402"/>
    </x:row>
    <x:row r="106">
      <x:c r="A106" s="402"/>
      <x:c r="B106" s="402"/>
      <x:c r="C106" s="402"/>
      <x:c r="D106" s="402"/>
      <x:c r="E106" s="402"/>
      <x:c r="F106" s="402"/>
      <x:c r="G106" s="402"/>
      <x:c r="H106" s="402"/>
      <x:c r="I106" s="402"/>
      <x:c r="J106" s="402"/>
      <x:c r="K106" s="402"/>
      <x:c r="L106" s="402"/>
      <x:c r="M106" s="402"/>
      <x:c r="N106" s="402"/>
      <x:c r="O106" s="402"/>
      <x:c r="P106" s="402"/>
      <x:c r="Q106" s="402"/>
      <x:c r="R106" s="402"/>
      <x:c r="S106" s="402"/>
      <x:c r="T106" s="402"/>
      <x:c r="U106" s="402"/>
      <x:c r="V106" s="402"/>
      <x:c r="W106" s="402"/>
      <x:c r="X106" s="402"/>
      <x:c r="Y106" s="402"/>
      <x:c r="Z106" s="402"/>
    </x:row>
    <x:row r="107">
      <x:c r="A107" s="402"/>
      <x:c r="B107" s="402"/>
      <x:c r="C107" s="402"/>
      <x:c r="D107" s="402"/>
      <x:c r="E107" s="402"/>
      <x:c r="F107" s="402"/>
      <x:c r="G107" s="402"/>
      <x:c r="H107" s="402"/>
      <x:c r="I107" s="402"/>
      <x:c r="J107" s="402"/>
      <x:c r="K107" s="402"/>
      <x:c r="L107" s="402"/>
      <x:c r="M107" s="402"/>
      <x:c r="N107" s="402"/>
      <x:c r="O107" s="402"/>
      <x:c r="P107" s="402"/>
      <x:c r="Q107" s="402"/>
      <x:c r="R107" s="402"/>
      <x:c r="S107" s="402"/>
      <x:c r="T107" s="402"/>
      <x:c r="U107" s="402"/>
      <x:c r="V107" s="402"/>
      <x:c r="W107" s="402"/>
      <x:c r="X107" s="402"/>
      <x:c r="Y107" s="402"/>
      <x:c r="Z107" s="402"/>
    </x:row>
    <x:row r="108">
      <x:c r="A108" s="402"/>
      <x:c r="B108" s="402"/>
      <x:c r="C108" s="402"/>
      <x:c r="D108" s="402"/>
      <x:c r="E108" s="402"/>
      <x:c r="F108" s="402"/>
      <x:c r="G108" s="402"/>
      <x:c r="H108" s="402"/>
      <x:c r="I108" s="402"/>
      <x:c r="J108" s="402"/>
      <x:c r="K108" s="402"/>
      <x:c r="L108" s="402"/>
      <x:c r="M108" s="402"/>
      <x:c r="N108" s="402"/>
      <x:c r="O108" s="402"/>
      <x:c r="P108" s="402"/>
      <x:c r="Q108" s="402"/>
      <x:c r="R108" s="402"/>
      <x:c r="S108" s="402"/>
      <x:c r="T108" s="402"/>
      <x:c r="U108" s="402"/>
      <x:c r="V108" s="402"/>
      <x:c r="W108" s="402"/>
      <x:c r="X108" s="402"/>
      <x:c r="Y108" s="402"/>
      <x:c r="Z108" s="402"/>
    </x:row>
    <x:row r="109">
      <x:c r="A109" s="402"/>
      <x:c r="B109" s="402"/>
      <x:c r="C109" s="402"/>
      <x:c r="D109" s="402"/>
      <x:c r="E109" s="402"/>
      <x:c r="F109" s="402"/>
      <x:c r="G109" s="402"/>
      <x:c r="H109" s="402"/>
      <x:c r="I109" s="402"/>
      <x:c r="J109" s="402"/>
      <x:c r="K109" s="402"/>
      <x:c r="L109" s="402"/>
      <x:c r="M109" s="402"/>
      <x:c r="N109" s="402"/>
      <x:c r="O109" s="402"/>
      <x:c r="P109" s="402"/>
      <x:c r="Q109" s="402"/>
      <x:c r="R109" s="402"/>
      <x:c r="S109" s="402"/>
      <x:c r="T109" s="402"/>
      <x:c r="U109" s="402"/>
      <x:c r="V109" s="402"/>
      <x:c r="W109" s="402"/>
      <x:c r="X109" s="402"/>
      <x:c r="Y109" s="402"/>
      <x:c r="Z109" s="402"/>
    </x:row>
    <x:row r="110">
      <x:c r="A110" s="402"/>
      <x:c r="B110" s="402"/>
      <x:c r="C110" s="402"/>
      <x:c r="D110" s="402"/>
      <x:c r="E110" s="402"/>
      <x:c r="F110" s="402"/>
      <x:c r="G110" s="402"/>
      <x:c r="H110" s="402"/>
      <x:c r="I110" s="402"/>
      <x:c r="J110" s="402"/>
      <x:c r="K110" s="402"/>
      <x:c r="L110" s="402"/>
      <x:c r="M110" s="402"/>
      <x:c r="N110" s="402"/>
      <x:c r="O110" s="402"/>
      <x:c r="P110" s="402"/>
      <x:c r="Q110" s="402"/>
      <x:c r="R110" s="402"/>
      <x:c r="S110" s="402"/>
      <x:c r="T110" s="402"/>
      <x:c r="U110" s="402"/>
      <x:c r="V110" s="402"/>
      <x:c r="W110" s="402"/>
      <x:c r="X110" s="402"/>
      <x:c r="Y110" s="402"/>
      <x:c r="Z110" s="402"/>
    </x:row>
    <x:row r="111">
      <x:c r="A111" s="402"/>
      <x:c r="B111" s="402"/>
      <x:c r="C111" s="402"/>
      <x:c r="D111" s="402"/>
      <x:c r="E111" s="402"/>
      <x:c r="F111" s="402"/>
      <x:c r="G111" s="402"/>
      <x:c r="H111" s="402"/>
      <x:c r="I111" s="402"/>
      <x:c r="J111" s="402"/>
      <x:c r="K111" s="402"/>
      <x:c r="L111" s="402"/>
      <x:c r="M111" s="402"/>
      <x:c r="N111" s="402"/>
      <x:c r="O111" s="402"/>
      <x:c r="P111" s="402"/>
      <x:c r="Q111" s="402"/>
      <x:c r="R111" s="402"/>
      <x:c r="S111" s="402"/>
      <x:c r="T111" s="402"/>
      <x:c r="U111" s="402"/>
      <x:c r="V111" s="402"/>
      <x:c r="W111" s="402"/>
      <x:c r="X111" s="402"/>
      <x:c r="Y111" s="402"/>
      <x:c r="Z111" s="402"/>
    </x:row>
    <x:row r="112">
      <x:c r="A112" s="402"/>
      <x:c r="B112" s="402"/>
      <x:c r="C112" s="402"/>
      <x:c r="D112" s="402"/>
      <x:c r="E112" s="402"/>
      <x:c r="F112" s="402"/>
      <x:c r="G112" s="402"/>
      <x:c r="H112" s="402"/>
      <x:c r="I112" s="402"/>
      <x:c r="J112" s="402"/>
      <x:c r="K112" s="402"/>
      <x:c r="L112" s="402"/>
      <x:c r="M112" s="402"/>
      <x:c r="N112" s="402"/>
      <x:c r="O112" s="402"/>
      <x:c r="P112" s="402"/>
      <x:c r="Q112" s="402"/>
      <x:c r="R112" s="402"/>
      <x:c r="S112" s="402"/>
      <x:c r="T112" s="402"/>
      <x:c r="U112" s="402"/>
      <x:c r="V112" s="402"/>
      <x:c r="W112" s="402"/>
      <x:c r="X112" s="402"/>
      <x:c r="Y112" s="402"/>
      <x:c r="Z112" s="402"/>
    </x:row>
    <x:row r="113">
      <x:c r="A113" s="402"/>
      <x:c r="B113" s="402"/>
      <x:c r="C113" s="402"/>
      <x:c r="D113" s="402"/>
      <x:c r="E113" s="402"/>
      <x:c r="F113" s="402"/>
      <x:c r="G113" s="402"/>
      <x:c r="H113" s="402"/>
      <x:c r="I113" s="402"/>
      <x:c r="J113" s="402"/>
      <x:c r="K113" s="402"/>
      <x:c r="L113" s="402"/>
      <x:c r="M113" s="402"/>
      <x:c r="N113" s="402"/>
      <x:c r="O113" s="402"/>
      <x:c r="P113" s="402"/>
      <x:c r="Q113" s="402"/>
      <x:c r="R113" s="402"/>
      <x:c r="S113" s="402"/>
      <x:c r="T113" s="402"/>
      <x:c r="U113" s="402"/>
      <x:c r="V113" s="402"/>
      <x:c r="W113" s="402"/>
      <x:c r="X113" s="402"/>
      <x:c r="Y113" s="402"/>
      <x:c r="Z113" s="402"/>
    </x:row>
    <x:row r="114">
      <x:c r="A114" s="402"/>
      <x:c r="B114" s="402"/>
      <x:c r="C114" s="402"/>
      <x:c r="D114" s="402"/>
      <x:c r="E114" s="402"/>
      <x:c r="F114" s="402"/>
      <x:c r="G114" s="402"/>
      <x:c r="H114" s="402"/>
      <x:c r="I114" s="402"/>
      <x:c r="J114" s="402"/>
      <x:c r="K114" s="402"/>
      <x:c r="L114" s="402"/>
      <x:c r="M114" s="402"/>
      <x:c r="N114" s="402"/>
      <x:c r="O114" s="402"/>
      <x:c r="P114" s="402"/>
      <x:c r="Q114" s="402"/>
      <x:c r="R114" s="402"/>
      <x:c r="S114" s="402"/>
      <x:c r="T114" s="402"/>
      <x:c r="U114" s="402"/>
      <x:c r="V114" s="402"/>
      <x:c r="W114" s="402"/>
      <x:c r="X114" s="402"/>
      <x:c r="Y114" s="402"/>
      <x:c r="Z114" s="402"/>
    </x:row>
    <x:row r="115">
      <x:c r="A115" s="402"/>
      <x:c r="B115" s="402"/>
      <x:c r="C115" s="402"/>
      <x:c r="D115" s="402"/>
      <x:c r="E115" s="402"/>
      <x:c r="F115" s="402"/>
      <x:c r="G115" s="402"/>
      <x:c r="H115" s="402"/>
      <x:c r="I115" s="402"/>
      <x:c r="J115" s="402"/>
      <x:c r="K115" s="402"/>
      <x:c r="L115" s="402"/>
      <x:c r="M115" s="402"/>
      <x:c r="N115" s="402"/>
      <x:c r="O115" s="402"/>
      <x:c r="P115" s="402"/>
      <x:c r="Q115" s="402"/>
      <x:c r="R115" s="402"/>
      <x:c r="S115" s="402"/>
      <x:c r="T115" s="402"/>
      <x:c r="U115" s="402"/>
      <x:c r="V115" s="402"/>
      <x:c r="W115" s="402"/>
      <x:c r="X115" s="402"/>
      <x:c r="Y115" s="402"/>
      <x:c r="Z115" s="402"/>
    </x:row>
    <x:row r="116">
      <x:c r="A116" s="402"/>
      <x:c r="B116" s="402"/>
      <x:c r="C116" s="402"/>
      <x:c r="D116" s="402"/>
      <x:c r="E116" s="402"/>
      <x:c r="F116" s="402"/>
      <x:c r="G116" s="402"/>
      <x:c r="H116" s="402"/>
      <x:c r="I116" s="402"/>
      <x:c r="J116" s="402"/>
      <x:c r="K116" s="402"/>
      <x:c r="L116" s="402"/>
      <x:c r="M116" s="402"/>
      <x:c r="N116" s="402"/>
      <x:c r="O116" s="402"/>
      <x:c r="P116" s="402"/>
      <x:c r="Q116" s="402"/>
      <x:c r="R116" s="402"/>
      <x:c r="S116" s="402"/>
      <x:c r="T116" s="402"/>
      <x:c r="U116" s="402"/>
      <x:c r="V116" s="402"/>
      <x:c r="W116" s="402"/>
      <x:c r="X116" s="402"/>
      <x:c r="Y116" s="402"/>
      <x:c r="Z116" s="402"/>
    </x:row>
    <x:row r="117">
      <x:c r="A117" s="402"/>
      <x:c r="B117" s="402"/>
      <x:c r="C117" s="402"/>
      <x:c r="D117" s="402"/>
      <x:c r="E117" s="402"/>
      <x:c r="F117" s="402"/>
      <x:c r="G117" s="402"/>
      <x:c r="H117" s="402"/>
      <x:c r="I117" s="402"/>
      <x:c r="J117" s="402"/>
      <x:c r="K117" s="402"/>
      <x:c r="L117" s="402"/>
      <x:c r="M117" s="402"/>
      <x:c r="N117" s="402"/>
      <x:c r="O117" s="402"/>
      <x:c r="P117" s="402"/>
      <x:c r="Q117" s="402"/>
      <x:c r="R117" s="402"/>
      <x:c r="S117" s="402"/>
      <x:c r="T117" s="402"/>
      <x:c r="U117" s="402"/>
      <x:c r="V117" s="402"/>
      <x:c r="W117" s="402"/>
      <x:c r="X117" s="402"/>
      <x:c r="Y117" s="402"/>
      <x:c r="Z117" s="402"/>
    </x:row>
    <x:row r="118">
      <x:c r="A118" s="402"/>
      <x:c r="B118" s="402"/>
      <x:c r="C118" s="402"/>
      <x:c r="D118" s="402"/>
      <x:c r="E118" s="402"/>
      <x:c r="F118" s="402"/>
      <x:c r="G118" s="402"/>
      <x:c r="H118" s="402"/>
      <x:c r="I118" s="402"/>
      <x:c r="J118" s="402"/>
      <x:c r="K118" s="402"/>
      <x:c r="L118" s="402"/>
      <x:c r="M118" s="402"/>
      <x:c r="N118" s="402"/>
      <x:c r="O118" s="402"/>
      <x:c r="P118" s="402"/>
      <x:c r="Q118" s="402"/>
      <x:c r="R118" s="402"/>
      <x:c r="S118" s="402"/>
      <x:c r="T118" s="402"/>
      <x:c r="U118" s="402"/>
      <x:c r="V118" s="402"/>
      <x:c r="W118" s="402"/>
      <x:c r="X118" s="402"/>
      <x:c r="Y118" s="402"/>
      <x:c r="Z118" s="402"/>
    </x:row>
    <x:row r="119">
      <x:c r="A119" s="402"/>
      <x:c r="B119" s="402"/>
      <x:c r="C119" s="402"/>
      <x:c r="D119" s="402"/>
      <x:c r="E119" s="402"/>
      <x:c r="F119" s="402"/>
      <x:c r="G119" s="402"/>
      <x:c r="H119" s="402"/>
      <x:c r="I119" s="402"/>
      <x:c r="J119" s="402"/>
      <x:c r="K119" s="402"/>
      <x:c r="L119" s="402"/>
      <x:c r="M119" s="402"/>
      <x:c r="N119" s="402"/>
      <x:c r="O119" s="402"/>
      <x:c r="P119" s="402"/>
      <x:c r="Q119" s="402"/>
      <x:c r="R119" s="402"/>
      <x:c r="S119" s="402"/>
      <x:c r="T119" s="402"/>
      <x:c r="U119" s="402"/>
      <x:c r="V119" s="402"/>
      <x:c r="W119" s="402"/>
      <x:c r="X119" s="402"/>
      <x:c r="Y119" s="402"/>
      <x:c r="Z119" s="402"/>
    </x:row>
    <x:row r="120">
      <x:c r="A120" s="402"/>
      <x:c r="B120" s="402"/>
      <x:c r="C120" s="402"/>
      <x:c r="D120" s="402"/>
      <x:c r="E120" s="402"/>
      <x:c r="F120" s="402"/>
      <x:c r="G120" s="402"/>
      <x:c r="H120" s="402"/>
      <x:c r="I120" s="402"/>
      <x:c r="J120" s="402"/>
      <x:c r="K120" s="402"/>
      <x:c r="L120" s="402"/>
      <x:c r="M120" s="402"/>
      <x:c r="N120" s="402"/>
      <x:c r="O120" s="402"/>
      <x:c r="P120" s="402"/>
      <x:c r="Q120" s="402"/>
      <x:c r="R120" s="402"/>
      <x:c r="S120" s="402"/>
      <x:c r="T120" s="402"/>
      <x:c r="U120" s="402"/>
      <x:c r="V120" s="402"/>
      <x:c r="W120" s="402"/>
      <x:c r="X120" s="402"/>
      <x:c r="Y120" s="402"/>
      <x:c r="Z120" s="402"/>
    </x:row>
    <x:row r="121">
      <x:c r="A121" s="402"/>
      <x:c r="B121" s="402"/>
      <x:c r="C121" s="402"/>
      <x:c r="D121" s="402"/>
      <x:c r="E121" s="402"/>
      <x:c r="F121" s="402"/>
      <x:c r="G121" s="402"/>
      <x:c r="H121" s="402"/>
      <x:c r="I121" s="402"/>
      <x:c r="J121" s="402"/>
      <x:c r="K121" s="402"/>
      <x:c r="L121" s="402"/>
      <x:c r="M121" s="402"/>
      <x:c r="N121" s="402"/>
      <x:c r="O121" s="402"/>
      <x:c r="P121" s="402"/>
      <x:c r="Q121" s="402"/>
      <x:c r="R121" s="402"/>
      <x:c r="S121" s="402"/>
      <x:c r="T121" s="402"/>
      <x:c r="U121" s="402"/>
      <x:c r="V121" s="402"/>
      <x:c r="W121" s="402"/>
      <x:c r="X121" s="402"/>
      <x:c r="Y121" s="402"/>
      <x:c r="Z121" s="402"/>
    </x:row>
    <x:row r="122">
      <x:c r="A122" s="402"/>
      <x:c r="B122" s="402"/>
      <x:c r="C122" s="402"/>
      <x:c r="D122" s="402"/>
      <x:c r="E122" s="402"/>
      <x:c r="F122" s="402"/>
      <x:c r="G122" s="402"/>
      <x:c r="H122" s="402"/>
      <x:c r="I122" s="402"/>
      <x:c r="J122" s="402"/>
      <x:c r="K122" s="402"/>
      <x:c r="L122" s="402"/>
      <x:c r="M122" s="402"/>
      <x:c r="N122" s="402"/>
      <x:c r="O122" s="402"/>
      <x:c r="P122" s="402"/>
      <x:c r="Q122" s="402"/>
      <x:c r="R122" s="402"/>
      <x:c r="S122" s="402"/>
      <x:c r="T122" s="402"/>
      <x:c r="U122" s="402"/>
      <x:c r="V122" s="402"/>
      <x:c r="W122" s="402"/>
      <x:c r="X122" s="402"/>
      <x:c r="Y122" s="402"/>
      <x:c r="Z122" s="402"/>
    </x:row>
    <x:row r="123">
      <x:c r="A123" s="402"/>
      <x:c r="B123" s="402"/>
      <x:c r="C123" s="402"/>
      <x:c r="D123" s="402"/>
      <x:c r="E123" s="402"/>
      <x:c r="F123" s="402"/>
      <x:c r="G123" s="402"/>
      <x:c r="H123" s="402"/>
      <x:c r="I123" s="402"/>
      <x:c r="J123" s="402"/>
      <x:c r="K123" s="402"/>
      <x:c r="L123" s="402"/>
      <x:c r="M123" s="402"/>
      <x:c r="N123" s="402"/>
      <x:c r="O123" s="402"/>
      <x:c r="P123" s="402"/>
      <x:c r="Q123" s="402"/>
      <x:c r="R123" s="402"/>
      <x:c r="S123" s="402"/>
      <x:c r="T123" s="402"/>
      <x:c r="U123" s="402"/>
      <x:c r="V123" s="402"/>
      <x:c r="W123" s="402"/>
      <x:c r="X123" s="402"/>
      <x:c r="Y123" s="402"/>
      <x:c r="Z123" s="402"/>
    </x:row>
    <x:row r="124">
      <x:c r="A124" s="402"/>
      <x:c r="B124" s="402"/>
      <x:c r="C124" s="402"/>
      <x:c r="D124" s="402"/>
      <x:c r="E124" s="402"/>
      <x:c r="F124" s="402"/>
      <x:c r="G124" s="402"/>
      <x:c r="H124" s="402"/>
      <x:c r="I124" s="402"/>
      <x:c r="J124" s="402"/>
      <x:c r="K124" s="402"/>
      <x:c r="L124" s="402"/>
      <x:c r="M124" s="402"/>
      <x:c r="N124" s="402"/>
      <x:c r="O124" s="402"/>
      <x:c r="P124" s="402"/>
      <x:c r="Q124" s="402"/>
      <x:c r="R124" s="402"/>
      <x:c r="S124" s="402"/>
      <x:c r="T124" s="402"/>
      <x:c r="U124" s="402"/>
      <x:c r="V124" s="402"/>
      <x:c r="W124" s="402"/>
      <x:c r="X124" s="402"/>
      <x:c r="Y124" s="402"/>
      <x:c r="Z124" s="402"/>
    </x:row>
    <x:row r="125">
      <x:c r="A125" s="402"/>
      <x:c r="B125" s="402"/>
      <x:c r="C125" s="402"/>
      <x:c r="D125" s="402"/>
      <x:c r="E125" s="402"/>
      <x:c r="F125" s="402"/>
      <x:c r="G125" s="402"/>
      <x:c r="H125" s="402"/>
      <x:c r="I125" s="402"/>
      <x:c r="J125" s="402"/>
      <x:c r="K125" s="402"/>
      <x:c r="L125" s="402"/>
      <x:c r="M125" s="402"/>
      <x:c r="N125" s="402"/>
      <x:c r="O125" s="402"/>
      <x:c r="P125" s="402"/>
      <x:c r="Q125" s="402"/>
      <x:c r="R125" s="402"/>
      <x:c r="S125" s="402"/>
      <x:c r="T125" s="402"/>
      <x:c r="U125" s="402"/>
      <x:c r="V125" s="402"/>
      <x:c r="W125" s="402"/>
      <x:c r="X125" s="402"/>
      <x:c r="Y125" s="402"/>
      <x:c r="Z125" s="402"/>
    </x:row>
    <x:row r="126">
      <x:c r="A126" s="402"/>
      <x:c r="B126" s="402"/>
      <x:c r="C126" s="402"/>
      <x:c r="D126" s="402"/>
      <x:c r="E126" s="402"/>
      <x:c r="F126" s="402"/>
      <x:c r="G126" s="402"/>
      <x:c r="H126" s="402"/>
      <x:c r="I126" s="402"/>
      <x:c r="J126" s="402"/>
      <x:c r="K126" s="402"/>
      <x:c r="L126" s="402"/>
      <x:c r="M126" s="402"/>
      <x:c r="N126" s="402"/>
      <x:c r="O126" s="402"/>
      <x:c r="P126" s="402"/>
      <x:c r="Q126" s="402"/>
      <x:c r="R126" s="402"/>
      <x:c r="S126" s="402"/>
      <x:c r="T126" s="402"/>
      <x:c r="U126" s="402"/>
      <x:c r="V126" s="402"/>
      <x:c r="W126" s="402"/>
      <x:c r="X126" s="402"/>
      <x:c r="Y126" s="402"/>
      <x:c r="Z126" s="402"/>
    </x:row>
    <x:row r="127">
      <x:c r="A127" s="402"/>
      <x:c r="B127" s="402"/>
      <x:c r="C127" s="402"/>
      <x:c r="D127" s="402"/>
      <x:c r="E127" s="402"/>
      <x:c r="F127" s="402"/>
      <x:c r="G127" s="402"/>
      <x:c r="H127" s="402"/>
      <x:c r="I127" s="402"/>
      <x:c r="J127" s="402"/>
      <x:c r="K127" s="402"/>
      <x:c r="L127" s="402"/>
      <x:c r="M127" s="402"/>
      <x:c r="N127" s="402"/>
      <x:c r="O127" s="402"/>
      <x:c r="P127" s="402"/>
      <x:c r="Q127" s="402"/>
      <x:c r="R127" s="402"/>
      <x:c r="S127" s="402"/>
      <x:c r="T127" s="402"/>
      <x:c r="U127" s="402"/>
      <x:c r="V127" s="402"/>
      <x:c r="W127" s="402"/>
      <x:c r="X127" s="402"/>
      <x:c r="Y127" s="402"/>
      <x:c r="Z127" s="402"/>
    </x:row>
    <x:row r="128">
      <x:c r="A128" s="402"/>
      <x:c r="B128" s="402"/>
      <x:c r="C128" s="402"/>
      <x:c r="D128" s="402"/>
      <x:c r="E128" s="402"/>
      <x:c r="F128" s="402"/>
      <x:c r="G128" s="402"/>
      <x:c r="H128" s="402"/>
      <x:c r="I128" s="402"/>
      <x:c r="J128" s="402"/>
      <x:c r="K128" s="402"/>
      <x:c r="L128" s="402"/>
      <x:c r="M128" s="402"/>
      <x:c r="N128" s="402"/>
      <x:c r="O128" s="402"/>
      <x:c r="P128" s="402"/>
      <x:c r="Q128" s="402"/>
      <x:c r="R128" s="402"/>
      <x:c r="S128" s="402"/>
      <x:c r="T128" s="402"/>
      <x:c r="U128" s="402"/>
      <x:c r="V128" s="402"/>
      <x:c r="W128" s="402"/>
      <x:c r="X128" s="402"/>
      <x:c r="Y128" s="402"/>
      <x:c r="Z128" s="402"/>
    </x:row>
    <x:row r="129">
      <x:c r="A129" s="402"/>
      <x:c r="B129" s="402"/>
      <x:c r="C129" s="402"/>
      <x:c r="D129" s="402"/>
      <x:c r="E129" s="402"/>
      <x:c r="F129" s="402"/>
      <x:c r="G129" s="402"/>
      <x:c r="H129" s="402"/>
      <x:c r="I129" s="402"/>
      <x:c r="J129" s="402"/>
      <x:c r="K129" s="402"/>
      <x:c r="L129" s="402"/>
      <x:c r="M129" s="402"/>
      <x:c r="N129" s="402"/>
      <x:c r="O129" s="402"/>
      <x:c r="P129" s="402"/>
      <x:c r="Q129" s="402"/>
      <x:c r="R129" s="402"/>
      <x:c r="S129" s="402"/>
      <x:c r="T129" s="402"/>
      <x:c r="U129" s="402"/>
      <x:c r="V129" s="402"/>
      <x:c r="W129" s="402"/>
      <x:c r="X129" s="402"/>
      <x:c r="Y129" s="402"/>
      <x:c r="Z129" s="402"/>
    </x:row>
    <x:row r="130">
      <x:c r="A130" s="402"/>
      <x:c r="B130" s="402"/>
      <x:c r="C130" s="402"/>
      <x:c r="D130" s="402"/>
      <x:c r="E130" s="402"/>
      <x:c r="F130" s="402"/>
      <x:c r="G130" s="402"/>
      <x:c r="H130" s="402"/>
      <x:c r="I130" s="402"/>
      <x:c r="J130" s="402"/>
      <x:c r="K130" s="402"/>
      <x:c r="L130" s="402"/>
      <x:c r="M130" s="402"/>
      <x:c r="N130" s="402"/>
      <x:c r="O130" s="402"/>
      <x:c r="P130" s="402"/>
      <x:c r="Q130" s="402"/>
      <x:c r="R130" s="402"/>
      <x:c r="S130" s="402"/>
      <x:c r="T130" s="402"/>
      <x:c r="U130" s="402"/>
      <x:c r="V130" s="402"/>
      <x:c r="W130" s="402"/>
      <x:c r="X130" s="402"/>
      <x:c r="Y130" s="402"/>
      <x:c r="Z130" s="402"/>
    </x:row>
    <x:row r="131">
      <x:c r="A131" s="402"/>
      <x:c r="B131" s="402"/>
      <x:c r="C131" s="402"/>
      <x:c r="D131" s="402"/>
      <x:c r="E131" s="402"/>
      <x:c r="F131" s="402"/>
      <x:c r="G131" s="402"/>
      <x:c r="H131" s="402"/>
      <x:c r="I131" s="402"/>
      <x:c r="J131" s="402"/>
      <x:c r="K131" s="402"/>
      <x:c r="L131" s="402"/>
      <x:c r="M131" s="402"/>
      <x:c r="N131" s="402"/>
      <x:c r="O131" s="402"/>
      <x:c r="P131" s="402"/>
      <x:c r="Q131" s="402"/>
      <x:c r="R131" s="402"/>
      <x:c r="S131" s="402"/>
      <x:c r="T131" s="402"/>
      <x:c r="U131" s="402"/>
      <x:c r="V131" s="402"/>
      <x:c r="W131" s="402"/>
      <x:c r="X131" s="402"/>
      <x:c r="Y131" s="402"/>
      <x:c r="Z131" s="402"/>
    </x:row>
    <x:row r="132">
      <x:c r="A132" s="402"/>
      <x:c r="B132" s="402"/>
      <x:c r="C132" s="402"/>
      <x:c r="D132" s="402"/>
      <x:c r="E132" s="402"/>
      <x:c r="F132" s="402"/>
      <x:c r="G132" s="402"/>
      <x:c r="H132" s="402"/>
      <x:c r="I132" s="402"/>
      <x:c r="J132" s="402"/>
      <x:c r="K132" s="402"/>
      <x:c r="L132" s="402"/>
      <x:c r="M132" s="402"/>
      <x:c r="N132" s="402"/>
      <x:c r="O132" s="402"/>
      <x:c r="P132" s="402"/>
      <x:c r="Q132" s="402"/>
      <x:c r="R132" s="402"/>
      <x:c r="S132" s="402"/>
      <x:c r="T132" s="402"/>
      <x:c r="U132" s="402"/>
      <x:c r="V132" s="402"/>
      <x:c r="W132" s="402"/>
      <x:c r="X132" s="402"/>
      <x:c r="Y132" s="402"/>
      <x:c r="Z132" s="402"/>
    </x:row>
    <x:row r="133">
      <x:c r="A133" s="402"/>
      <x:c r="B133" s="402"/>
      <x:c r="C133" s="402"/>
      <x:c r="D133" s="402"/>
      <x:c r="E133" s="402"/>
      <x:c r="F133" s="402"/>
      <x:c r="G133" s="402"/>
      <x:c r="H133" s="402"/>
      <x:c r="I133" s="402"/>
      <x:c r="J133" s="402"/>
      <x:c r="K133" s="402"/>
      <x:c r="L133" s="402"/>
      <x:c r="M133" s="402"/>
      <x:c r="N133" s="402"/>
      <x:c r="O133" s="402"/>
      <x:c r="P133" s="402"/>
      <x:c r="Q133" s="402"/>
      <x:c r="R133" s="402"/>
      <x:c r="S133" s="402"/>
      <x:c r="T133" s="402"/>
      <x:c r="U133" s="402"/>
      <x:c r="V133" s="402"/>
      <x:c r="W133" s="402"/>
      <x:c r="X133" s="402"/>
      <x:c r="Y133" s="402"/>
      <x:c r="Z133" s="402"/>
    </x:row>
    <x:row r="134">
      <x:c r="A134" s="402"/>
      <x:c r="B134" s="402"/>
      <x:c r="C134" s="402"/>
      <x:c r="D134" s="402"/>
      <x:c r="E134" s="402"/>
      <x:c r="F134" s="402"/>
      <x:c r="G134" s="402"/>
      <x:c r="H134" s="402"/>
      <x:c r="I134" s="402"/>
      <x:c r="J134" s="402"/>
      <x:c r="K134" s="402"/>
      <x:c r="L134" s="402"/>
      <x:c r="M134" s="402"/>
      <x:c r="N134" s="402"/>
      <x:c r="O134" s="402"/>
      <x:c r="P134" s="402"/>
      <x:c r="Q134" s="402"/>
      <x:c r="R134" s="402"/>
      <x:c r="S134" s="402"/>
      <x:c r="T134" s="402"/>
      <x:c r="U134" s="402"/>
      <x:c r="V134" s="402"/>
      <x:c r="W134" s="402"/>
      <x:c r="X134" s="402"/>
      <x:c r="Y134" s="402"/>
      <x:c r="Z134" s="402"/>
    </x:row>
    <x:row r="135">
      <x:c r="A135" s="402"/>
      <x:c r="B135" s="402"/>
      <x:c r="C135" s="402"/>
      <x:c r="D135" s="402"/>
      <x:c r="E135" s="402"/>
      <x:c r="F135" s="402"/>
      <x:c r="G135" s="402"/>
      <x:c r="H135" s="402"/>
      <x:c r="I135" s="402"/>
      <x:c r="J135" s="402"/>
      <x:c r="K135" s="402"/>
      <x:c r="L135" s="402"/>
      <x:c r="M135" s="402"/>
      <x:c r="N135" s="402"/>
      <x:c r="O135" s="402"/>
      <x:c r="P135" s="402"/>
      <x:c r="Q135" s="402"/>
      <x:c r="R135" s="402"/>
      <x:c r="S135" s="402"/>
      <x:c r="T135" s="402"/>
      <x:c r="U135" s="402"/>
      <x:c r="V135" s="402"/>
      <x:c r="W135" s="402"/>
      <x:c r="X135" s="402"/>
      <x:c r="Y135" s="402"/>
      <x:c r="Z135" s="402"/>
    </x:row>
    <x:row r="136">
      <x:c r="A136" s="402"/>
      <x:c r="B136" s="402"/>
      <x:c r="C136" s="402"/>
      <x:c r="D136" s="402"/>
      <x:c r="E136" s="402"/>
      <x:c r="F136" s="402"/>
      <x:c r="G136" s="402"/>
      <x:c r="H136" s="402"/>
      <x:c r="I136" s="402"/>
      <x:c r="J136" s="402"/>
      <x:c r="K136" s="402"/>
      <x:c r="L136" s="402"/>
      <x:c r="M136" s="402"/>
      <x:c r="N136" s="402"/>
      <x:c r="O136" s="402"/>
      <x:c r="P136" s="402"/>
      <x:c r="Q136" s="402"/>
      <x:c r="R136" s="402"/>
      <x:c r="S136" s="402"/>
      <x:c r="T136" s="402"/>
      <x:c r="U136" s="402"/>
      <x:c r="V136" s="402"/>
      <x:c r="W136" s="402"/>
      <x:c r="X136" s="402"/>
      <x:c r="Y136" s="402"/>
      <x:c r="Z136" s="402"/>
    </x:row>
    <x:row r="137">
      <x:c r="A137" s="402"/>
      <x:c r="B137" s="402"/>
      <x:c r="C137" s="402"/>
      <x:c r="D137" s="402"/>
      <x:c r="E137" s="402"/>
      <x:c r="F137" s="402"/>
      <x:c r="G137" s="402"/>
      <x:c r="H137" s="402"/>
      <x:c r="I137" s="402"/>
      <x:c r="J137" s="402"/>
      <x:c r="K137" s="402"/>
      <x:c r="L137" s="402"/>
      <x:c r="M137" s="402"/>
      <x:c r="N137" s="402"/>
      <x:c r="O137" s="402"/>
      <x:c r="P137" s="402"/>
      <x:c r="Q137" s="402"/>
      <x:c r="R137" s="402"/>
      <x:c r="S137" s="402"/>
      <x:c r="T137" s="402"/>
      <x:c r="U137" s="402"/>
      <x:c r="V137" s="402"/>
      <x:c r="W137" s="402"/>
      <x:c r="X137" s="402"/>
      <x:c r="Y137" s="402"/>
      <x:c r="Z137" s="402"/>
    </x:row>
    <x:row r="138">
      <x:c r="A138" s="402"/>
      <x:c r="B138" s="402"/>
      <x:c r="C138" s="402"/>
      <x:c r="D138" s="402"/>
      <x:c r="E138" s="402"/>
      <x:c r="F138" s="402"/>
      <x:c r="G138" s="402"/>
      <x:c r="H138" s="402"/>
      <x:c r="I138" s="402"/>
      <x:c r="J138" s="402"/>
      <x:c r="K138" s="402"/>
      <x:c r="L138" s="402"/>
      <x:c r="M138" s="402"/>
      <x:c r="N138" s="402"/>
      <x:c r="O138" s="402"/>
      <x:c r="P138" s="402"/>
      <x:c r="Q138" s="402"/>
      <x:c r="R138" s="402"/>
      <x:c r="S138" s="402"/>
      <x:c r="T138" s="402"/>
      <x:c r="U138" s="402"/>
      <x:c r="V138" s="402"/>
      <x:c r="W138" s="402"/>
      <x:c r="X138" s="402"/>
      <x:c r="Y138" s="402"/>
      <x:c r="Z138" s="402"/>
    </x:row>
    <x:row r="139">
      <x:c r="A139" s="402"/>
      <x:c r="B139" s="402"/>
      <x:c r="C139" s="402"/>
      <x:c r="D139" s="402"/>
      <x:c r="E139" s="402"/>
      <x:c r="F139" s="402"/>
      <x:c r="G139" s="402"/>
      <x:c r="H139" s="402"/>
      <x:c r="I139" s="402"/>
      <x:c r="J139" s="402"/>
      <x:c r="K139" s="402"/>
      <x:c r="L139" s="402"/>
      <x:c r="M139" s="402"/>
      <x:c r="N139" s="402"/>
      <x:c r="O139" s="402"/>
      <x:c r="P139" s="402"/>
      <x:c r="Q139" s="402"/>
      <x:c r="R139" s="402"/>
      <x:c r="S139" s="402"/>
      <x:c r="T139" s="402"/>
      <x:c r="U139" s="402"/>
      <x:c r="V139" s="402"/>
      <x:c r="W139" s="402"/>
      <x:c r="X139" s="402"/>
      <x:c r="Y139" s="402"/>
      <x:c r="Z139" s="402"/>
    </x:row>
    <x:row r="140">
      <x:c r="A140" s="402"/>
      <x:c r="B140" s="402"/>
      <x:c r="C140" s="402"/>
      <x:c r="D140" s="402"/>
      <x:c r="E140" s="402"/>
      <x:c r="F140" s="402"/>
      <x:c r="G140" s="402"/>
      <x:c r="H140" s="402"/>
      <x:c r="I140" s="402"/>
      <x:c r="J140" s="402"/>
      <x:c r="K140" s="402"/>
      <x:c r="L140" s="402"/>
      <x:c r="M140" s="402"/>
      <x:c r="N140" s="402"/>
      <x:c r="O140" s="402"/>
      <x:c r="P140" s="402"/>
      <x:c r="Q140" s="402"/>
      <x:c r="R140" s="402"/>
      <x:c r="S140" s="402"/>
      <x:c r="T140" s="402"/>
      <x:c r="U140" s="402"/>
      <x:c r="V140" s="402"/>
      <x:c r="W140" s="402"/>
      <x:c r="X140" s="402"/>
      <x:c r="Y140" s="402"/>
      <x:c r="Z140" s="402"/>
    </x:row>
    <x:row r="141">
      <x:c r="A141" s="402"/>
      <x:c r="B141" s="402"/>
      <x:c r="C141" s="402"/>
      <x:c r="D141" s="402"/>
      <x:c r="E141" s="402"/>
      <x:c r="F141" s="402"/>
      <x:c r="G141" s="402"/>
      <x:c r="H141" s="402"/>
      <x:c r="I141" s="402"/>
      <x:c r="J141" s="402"/>
      <x:c r="K141" s="402"/>
      <x:c r="L141" s="402"/>
      <x:c r="M141" s="402"/>
      <x:c r="N141" s="402"/>
      <x:c r="O141" s="402"/>
      <x:c r="P141" s="402"/>
      <x:c r="Q141" s="402"/>
      <x:c r="R141" s="402"/>
      <x:c r="S141" s="402"/>
      <x:c r="T141" s="402"/>
      <x:c r="U141" s="402"/>
      <x:c r="V141" s="402"/>
      <x:c r="W141" s="402"/>
      <x:c r="X141" s="402"/>
      <x:c r="Y141" s="402"/>
      <x:c r="Z141" s="402"/>
    </x:row>
    <x:row r="142">
      <x:c r="A142" s="402"/>
      <x:c r="B142" s="402"/>
      <x:c r="C142" s="402"/>
      <x:c r="D142" s="402"/>
      <x:c r="E142" s="402"/>
      <x:c r="F142" s="402"/>
      <x:c r="G142" s="402"/>
      <x:c r="H142" s="402"/>
      <x:c r="I142" s="402"/>
      <x:c r="J142" s="402"/>
      <x:c r="K142" s="402"/>
      <x:c r="L142" s="402"/>
      <x:c r="M142" s="402"/>
      <x:c r="N142" s="402"/>
      <x:c r="O142" s="402"/>
      <x:c r="P142" s="402"/>
      <x:c r="Q142" s="402"/>
      <x:c r="R142" s="402"/>
      <x:c r="S142" s="402"/>
      <x:c r="T142" s="402"/>
      <x:c r="U142" s="402"/>
      <x:c r="V142" s="402"/>
      <x:c r="W142" s="402"/>
      <x:c r="X142" s="402"/>
      <x:c r="Y142" s="402"/>
      <x:c r="Z142" s="402"/>
    </x:row>
    <x:row r="143">
      <x:c r="A143" s="402"/>
      <x:c r="B143" s="402"/>
      <x:c r="C143" s="402"/>
      <x:c r="D143" s="402"/>
      <x:c r="E143" s="402"/>
      <x:c r="F143" s="402"/>
      <x:c r="G143" s="402"/>
      <x:c r="H143" s="402"/>
      <x:c r="I143" s="402"/>
      <x:c r="J143" s="402"/>
      <x:c r="K143" s="402"/>
      <x:c r="L143" s="402"/>
      <x:c r="M143" s="402"/>
      <x:c r="N143" s="402"/>
      <x:c r="O143" s="402"/>
      <x:c r="P143" s="402"/>
      <x:c r="Q143" s="402"/>
      <x:c r="R143" s="402"/>
      <x:c r="S143" s="402"/>
      <x:c r="T143" s="402"/>
      <x:c r="U143" s="402"/>
      <x:c r="V143" s="402"/>
      <x:c r="W143" s="402"/>
      <x:c r="X143" s="402"/>
      <x:c r="Y143" s="402"/>
      <x:c r="Z143" s="402"/>
    </x:row>
    <x:row r="144">
      <x:c r="A144" s="402"/>
      <x:c r="B144" s="402"/>
      <x:c r="C144" s="402"/>
      <x:c r="D144" s="402"/>
      <x:c r="E144" s="402"/>
      <x:c r="F144" s="402"/>
      <x:c r="G144" s="402"/>
      <x:c r="H144" s="402"/>
      <x:c r="I144" s="402"/>
      <x:c r="J144" s="402"/>
      <x:c r="K144" s="402"/>
      <x:c r="L144" s="402"/>
      <x:c r="M144" s="402"/>
      <x:c r="N144" s="402"/>
      <x:c r="O144" s="402"/>
      <x:c r="P144" s="402"/>
      <x:c r="Q144" s="402"/>
      <x:c r="R144" s="402"/>
      <x:c r="S144" s="402"/>
      <x:c r="T144" s="402"/>
      <x:c r="U144" s="402"/>
      <x:c r="V144" s="402"/>
      <x:c r="W144" s="402"/>
      <x:c r="X144" s="402"/>
      <x:c r="Y144" s="402"/>
      <x:c r="Z144" s="402"/>
    </x:row>
    <x:row r="145">
      <x:c r="A145" s="402"/>
      <x:c r="B145" s="402"/>
      <x:c r="C145" s="402"/>
      <x:c r="D145" s="402"/>
      <x:c r="E145" s="402"/>
      <x:c r="F145" s="402"/>
      <x:c r="G145" s="402"/>
      <x:c r="H145" s="402"/>
      <x:c r="I145" s="402"/>
      <x:c r="J145" s="402"/>
      <x:c r="K145" s="402"/>
      <x:c r="L145" s="402"/>
      <x:c r="M145" s="402"/>
      <x:c r="N145" s="402"/>
      <x:c r="O145" s="402"/>
      <x:c r="P145" s="402"/>
      <x:c r="Q145" s="402"/>
      <x:c r="R145" s="402"/>
      <x:c r="S145" s="402"/>
      <x:c r="T145" s="402"/>
      <x:c r="U145" s="402"/>
      <x:c r="V145" s="402"/>
      <x:c r="W145" s="402"/>
      <x:c r="X145" s="402"/>
      <x:c r="Y145" s="402"/>
      <x:c r="Z145" s="402"/>
    </x:row>
    <x:row r="146">
      <x:c r="A146" s="402"/>
      <x:c r="B146" s="402"/>
      <x:c r="C146" s="402"/>
      <x:c r="D146" s="402"/>
      <x:c r="E146" s="402"/>
      <x:c r="F146" s="402"/>
      <x:c r="G146" s="402"/>
      <x:c r="H146" s="402"/>
      <x:c r="I146" s="402"/>
      <x:c r="J146" s="402"/>
      <x:c r="K146" s="402"/>
      <x:c r="L146" s="402"/>
      <x:c r="M146" s="402"/>
      <x:c r="N146" s="402"/>
      <x:c r="O146" s="402"/>
      <x:c r="P146" s="402"/>
      <x:c r="Q146" s="402"/>
      <x:c r="R146" s="402"/>
      <x:c r="S146" s="402"/>
      <x:c r="T146" s="402"/>
      <x:c r="U146" s="402"/>
      <x:c r="V146" s="402"/>
      <x:c r="W146" s="402"/>
      <x:c r="X146" s="402"/>
      <x:c r="Y146" s="402"/>
      <x:c r="Z146" s="402"/>
    </x:row>
    <x:row r="147">
      <x:c r="A147" s="402"/>
      <x:c r="B147" s="402"/>
      <x:c r="C147" s="402"/>
      <x:c r="D147" s="402"/>
      <x:c r="E147" s="402"/>
      <x:c r="F147" s="402"/>
      <x:c r="G147" s="402"/>
      <x:c r="H147" s="402"/>
      <x:c r="I147" s="402"/>
      <x:c r="J147" s="402"/>
      <x:c r="K147" s="402"/>
      <x:c r="L147" s="402"/>
      <x:c r="M147" s="402"/>
      <x:c r="N147" s="402"/>
      <x:c r="O147" s="402"/>
      <x:c r="P147" s="402"/>
      <x:c r="Q147" s="402"/>
      <x:c r="R147" s="402"/>
      <x:c r="S147" s="402"/>
      <x:c r="T147" s="402"/>
      <x:c r="U147" s="402"/>
      <x:c r="V147" s="402"/>
      <x:c r="W147" s="402"/>
      <x:c r="X147" s="402"/>
      <x:c r="Y147" s="402"/>
      <x:c r="Z147" s="402"/>
    </x:row>
    <x:row r="148">
      <x:c r="A148" s="402"/>
      <x:c r="B148" s="402"/>
      <x:c r="C148" s="402"/>
      <x:c r="D148" s="402"/>
      <x:c r="E148" s="402"/>
      <x:c r="F148" s="402"/>
      <x:c r="G148" s="402"/>
      <x:c r="H148" s="402"/>
      <x:c r="I148" s="402"/>
      <x:c r="J148" s="402"/>
      <x:c r="K148" s="402"/>
      <x:c r="L148" s="402"/>
      <x:c r="M148" s="402"/>
      <x:c r="N148" s="402"/>
      <x:c r="O148" s="402"/>
      <x:c r="P148" s="402"/>
      <x:c r="Q148" s="402"/>
      <x:c r="R148" s="402"/>
      <x:c r="S148" s="402"/>
      <x:c r="T148" s="402"/>
      <x:c r="U148" s="402"/>
      <x:c r="V148" s="402"/>
      <x:c r="W148" s="402"/>
      <x:c r="X148" s="402"/>
      <x:c r="Y148" s="402"/>
      <x:c r="Z148" s="402"/>
    </x:row>
    <x:row r="149">
      <x:c r="A149" s="402"/>
      <x:c r="B149" s="402"/>
      <x:c r="C149" s="402"/>
      <x:c r="D149" s="402"/>
      <x:c r="E149" s="402"/>
      <x:c r="F149" s="402"/>
      <x:c r="G149" s="402"/>
      <x:c r="H149" s="402"/>
      <x:c r="I149" s="402"/>
      <x:c r="J149" s="402"/>
      <x:c r="K149" s="402"/>
      <x:c r="L149" s="402"/>
      <x:c r="M149" s="402"/>
      <x:c r="N149" s="402"/>
      <x:c r="O149" s="402"/>
      <x:c r="P149" s="402"/>
      <x:c r="Q149" s="402"/>
      <x:c r="R149" s="402"/>
      <x:c r="S149" s="402"/>
      <x:c r="T149" s="402"/>
      <x:c r="U149" s="402"/>
      <x:c r="V149" s="402"/>
      <x:c r="W149" s="402"/>
      <x:c r="X149" s="402"/>
      <x:c r="Y149" s="402"/>
      <x:c r="Z149" s="402"/>
    </x:row>
    <x:row r="150">
      <x:c r="A150" s="402"/>
      <x:c r="B150" s="402"/>
      <x:c r="C150" s="402"/>
      <x:c r="D150" s="402"/>
      <x:c r="E150" s="402"/>
      <x:c r="F150" s="402"/>
      <x:c r="G150" s="402"/>
      <x:c r="H150" s="402"/>
      <x:c r="I150" s="402"/>
      <x:c r="J150" s="402"/>
      <x:c r="K150" s="402"/>
      <x:c r="L150" s="402"/>
      <x:c r="M150" s="402"/>
      <x:c r="N150" s="402"/>
      <x:c r="O150" s="402"/>
      <x:c r="P150" s="402"/>
      <x:c r="Q150" s="402"/>
      <x:c r="R150" s="402"/>
      <x:c r="S150" s="402"/>
      <x:c r="T150" s="402"/>
      <x:c r="U150" s="402"/>
      <x:c r="V150" s="402"/>
      <x:c r="W150" s="402"/>
      <x:c r="X150" s="402"/>
      <x:c r="Y150" s="402"/>
      <x:c r="Z150" s="402"/>
    </x:row>
    <x:row r="151">
      <x:c r="A151" s="402"/>
      <x:c r="B151" s="402"/>
      <x:c r="C151" s="402"/>
      <x:c r="D151" s="402"/>
      <x:c r="E151" s="402"/>
      <x:c r="F151" s="402"/>
      <x:c r="G151" s="402"/>
      <x:c r="H151" s="402"/>
      <x:c r="I151" s="402"/>
      <x:c r="J151" s="402"/>
      <x:c r="K151" s="402"/>
      <x:c r="L151" s="402"/>
      <x:c r="M151" s="402"/>
      <x:c r="N151" s="402"/>
      <x:c r="O151" s="402"/>
      <x:c r="P151" s="402"/>
      <x:c r="Q151" s="402"/>
      <x:c r="R151" s="402"/>
      <x:c r="S151" s="402"/>
      <x:c r="T151" s="402"/>
      <x:c r="U151" s="402"/>
      <x:c r="V151" s="402"/>
      <x:c r="W151" s="402"/>
      <x:c r="X151" s="402"/>
      <x:c r="Y151" s="402"/>
      <x:c r="Z151" s="402"/>
    </x:row>
    <x:row r="152">
      <x:c r="A152" s="402"/>
      <x:c r="B152" s="402"/>
      <x:c r="C152" s="402"/>
      <x:c r="D152" s="402"/>
      <x:c r="E152" s="402"/>
      <x:c r="F152" s="402"/>
      <x:c r="G152" s="402"/>
      <x:c r="H152" s="402"/>
      <x:c r="I152" s="402"/>
      <x:c r="J152" s="402"/>
      <x:c r="K152" s="402"/>
      <x:c r="L152" s="402"/>
      <x:c r="M152" s="402"/>
      <x:c r="N152" s="402"/>
      <x:c r="O152" s="402"/>
      <x:c r="P152" s="402"/>
      <x:c r="Q152" s="402"/>
      <x:c r="R152" s="402"/>
      <x:c r="S152" s="402"/>
      <x:c r="T152" s="402"/>
      <x:c r="U152" s="402"/>
      <x:c r="V152" s="402"/>
      <x:c r="W152" s="402"/>
      <x:c r="X152" s="402"/>
      <x:c r="Y152" s="402"/>
      <x:c r="Z152" s="402"/>
    </x:row>
    <x:row r="153">
      <x:c r="A153" s="402"/>
      <x:c r="B153" s="402"/>
      <x:c r="C153" s="402"/>
      <x:c r="D153" s="402"/>
      <x:c r="E153" s="402"/>
      <x:c r="F153" s="402"/>
      <x:c r="G153" s="402"/>
      <x:c r="H153" s="402"/>
      <x:c r="I153" s="402"/>
      <x:c r="J153" s="402"/>
      <x:c r="K153" s="402"/>
      <x:c r="L153" s="402"/>
      <x:c r="M153" s="402"/>
      <x:c r="N153" s="402"/>
      <x:c r="O153" s="402"/>
      <x:c r="P153" s="402"/>
      <x:c r="Q153" s="402"/>
      <x:c r="R153" s="402"/>
      <x:c r="S153" s="402"/>
      <x:c r="T153" s="402"/>
      <x:c r="U153" s="402"/>
      <x:c r="V153" s="402"/>
      <x:c r="W153" s="402"/>
      <x:c r="X153" s="402"/>
      <x:c r="Y153" s="402"/>
      <x:c r="Z153" s="402"/>
    </x:row>
    <x:row r="154">
      <x:c r="A154" s="402"/>
      <x:c r="B154" s="402"/>
      <x:c r="C154" s="402"/>
      <x:c r="D154" s="402"/>
      <x:c r="E154" s="402"/>
      <x:c r="F154" s="402"/>
      <x:c r="G154" s="402"/>
      <x:c r="H154" s="402"/>
      <x:c r="I154" s="402"/>
      <x:c r="J154" s="402"/>
      <x:c r="K154" s="402"/>
      <x:c r="L154" s="402"/>
      <x:c r="M154" s="402"/>
      <x:c r="N154" s="402"/>
      <x:c r="O154" s="402"/>
      <x:c r="P154" s="402"/>
      <x:c r="Q154" s="402"/>
      <x:c r="R154" s="402"/>
      <x:c r="S154" s="402"/>
      <x:c r="T154" s="402"/>
      <x:c r="U154" s="402"/>
      <x:c r="V154" s="402"/>
      <x:c r="W154" s="402"/>
      <x:c r="X154" s="402"/>
      <x:c r="Y154" s="402"/>
      <x:c r="Z154" s="402"/>
    </x:row>
    <x:row r="155">
      <x:c r="A155" s="402"/>
      <x:c r="B155" s="402"/>
      <x:c r="C155" s="402"/>
      <x:c r="D155" s="402"/>
      <x:c r="E155" s="402"/>
      <x:c r="F155" s="402"/>
      <x:c r="G155" s="402"/>
      <x:c r="H155" s="402"/>
      <x:c r="I155" s="402"/>
      <x:c r="J155" s="402"/>
      <x:c r="K155" s="402"/>
      <x:c r="L155" s="402"/>
      <x:c r="M155" s="402"/>
      <x:c r="N155" s="402"/>
      <x:c r="O155" s="402"/>
      <x:c r="P155" s="402"/>
      <x:c r="Q155" s="402"/>
      <x:c r="R155" s="402"/>
      <x:c r="S155" s="402"/>
      <x:c r="T155" s="402"/>
      <x:c r="U155" s="402"/>
      <x:c r="V155" s="402"/>
      <x:c r="W155" s="402"/>
      <x:c r="X155" s="402"/>
      <x:c r="Y155" s="402"/>
      <x:c r="Z155" s="402"/>
    </x:row>
    <x:row r="156">
      <x:c r="A156" s="402"/>
      <x:c r="B156" s="402"/>
      <x:c r="C156" s="402"/>
      <x:c r="D156" s="402"/>
      <x:c r="E156" s="402"/>
      <x:c r="F156" s="402"/>
      <x:c r="G156" s="402"/>
      <x:c r="H156" s="402"/>
      <x:c r="I156" s="402"/>
      <x:c r="J156" s="402"/>
      <x:c r="K156" s="402"/>
      <x:c r="L156" s="402"/>
      <x:c r="M156" s="402"/>
      <x:c r="N156" s="402"/>
      <x:c r="O156" s="402"/>
      <x:c r="P156" s="402"/>
      <x:c r="Q156" s="402"/>
      <x:c r="R156" s="402"/>
      <x:c r="S156" s="402"/>
      <x:c r="T156" s="402"/>
      <x:c r="U156" s="402"/>
      <x:c r="V156" s="402"/>
      <x:c r="W156" s="402"/>
      <x:c r="X156" s="402"/>
      <x:c r="Y156" s="402"/>
      <x:c r="Z156" s="402"/>
    </x:row>
    <x:row r="157">
      <x:c r="A157" s="402"/>
      <x:c r="B157" s="402"/>
      <x:c r="C157" s="402"/>
      <x:c r="D157" s="402"/>
      <x:c r="E157" s="402"/>
      <x:c r="F157" s="402"/>
      <x:c r="G157" s="402"/>
      <x:c r="H157" s="402"/>
      <x:c r="I157" s="402"/>
      <x:c r="J157" s="402"/>
      <x:c r="K157" s="402"/>
      <x:c r="L157" s="402"/>
      <x:c r="M157" s="402"/>
      <x:c r="N157" s="402"/>
      <x:c r="O157" s="402"/>
      <x:c r="P157" s="402"/>
      <x:c r="Q157" s="402"/>
      <x:c r="R157" s="402"/>
      <x:c r="S157" s="402"/>
      <x:c r="T157" s="402"/>
      <x:c r="U157" s="402"/>
      <x:c r="V157" s="402"/>
      <x:c r="W157" s="402"/>
      <x:c r="X157" s="402"/>
      <x:c r="Y157" s="402"/>
      <x:c r="Z157" s="402"/>
    </x:row>
    <x:row r="158">
      <x:c r="A158" s="402"/>
      <x:c r="B158" s="402"/>
      <x:c r="C158" s="402"/>
      <x:c r="D158" s="402"/>
      <x:c r="E158" s="402"/>
      <x:c r="F158" s="402"/>
      <x:c r="G158" s="402"/>
      <x:c r="H158" s="402"/>
      <x:c r="I158" s="402"/>
      <x:c r="J158" s="402"/>
      <x:c r="K158" s="402"/>
      <x:c r="L158" s="402"/>
      <x:c r="M158" s="402"/>
      <x:c r="N158" s="402"/>
      <x:c r="O158" s="402"/>
      <x:c r="P158" s="402"/>
      <x:c r="Q158" s="402"/>
      <x:c r="R158" s="402"/>
      <x:c r="S158" s="402"/>
      <x:c r="T158" s="402"/>
      <x:c r="U158" s="402"/>
      <x:c r="V158" s="402"/>
      <x:c r="W158" s="402"/>
      <x:c r="X158" s="402"/>
      <x:c r="Y158" s="402"/>
      <x:c r="Z158" s="402"/>
    </x:row>
    <x:row r="159">
      <x:c r="A159" s="402"/>
      <x:c r="B159" s="402"/>
      <x:c r="C159" s="402"/>
      <x:c r="D159" s="402"/>
      <x:c r="E159" s="402"/>
      <x:c r="F159" s="402"/>
      <x:c r="G159" s="402"/>
      <x:c r="H159" s="402"/>
      <x:c r="I159" s="402"/>
      <x:c r="J159" s="402"/>
      <x:c r="K159" s="402"/>
      <x:c r="L159" s="402"/>
      <x:c r="M159" s="402"/>
      <x:c r="N159" s="402"/>
      <x:c r="O159" s="402"/>
      <x:c r="P159" s="402"/>
      <x:c r="Q159" s="402"/>
      <x:c r="R159" s="402"/>
      <x:c r="S159" s="402"/>
      <x:c r="T159" s="402"/>
      <x:c r="U159" s="402"/>
      <x:c r="V159" s="402"/>
      <x:c r="W159" s="402"/>
      <x:c r="X159" s="402"/>
      <x:c r="Y159" s="402"/>
      <x:c r="Z159" s="402"/>
    </x:row>
    <x:row r="160">
      <x:c r="A160" s="402"/>
      <x:c r="B160" s="402"/>
      <x:c r="C160" s="402"/>
      <x:c r="D160" s="402"/>
      <x:c r="E160" s="402"/>
      <x:c r="F160" s="402"/>
      <x:c r="G160" s="402"/>
      <x:c r="H160" s="402"/>
      <x:c r="I160" s="402"/>
      <x:c r="J160" s="402"/>
      <x:c r="K160" s="402"/>
      <x:c r="L160" s="402"/>
      <x:c r="M160" s="402"/>
      <x:c r="N160" s="402"/>
      <x:c r="O160" s="402"/>
      <x:c r="P160" s="402"/>
      <x:c r="Q160" s="402"/>
      <x:c r="R160" s="402"/>
      <x:c r="S160" s="402"/>
      <x:c r="T160" s="402"/>
      <x:c r="U160" s="402"/>
      <x:c r="V160" s="402"/>
      <x:c r="W160" s="402"/>
      <x:c r="X160" s="402"/>
      <x:c r="Y160" s="402"/>
      <x:c r="Z160" s="402"/>
    </x:row>
    <x:row r="161">
      <x:c r="A161" s="402"/>
      <x:c r="B161" s="402"/>
      <x:c r="C161" s="402"/>
      <x:c r="D161" s="402"/>
      <x:c r="E161" s="402"/>
      <x:c r="F161" s="402"/>
      <x:c r="G161" s="402"/>
      <x:c r="H161" s="402"/>
      <x:c r="I161" s="402"/>
      <x:c r="J161" s="402"/>
      <x:c r="K161" s="402"/>
      <x:c r="L161" s="402"/>
      <x:c r="M161" s="402"/>
      <x:c r="N161" s="402"/>
      <x:c r="O161" s="402"/>
      <x:c r="P161" s="402"/>
      <x:c r="Q161" s="402"/>
      <x:c r="R161" s="402"/>
      <x:c r="S161" s="402"/>
      <x:c r="T161" s="402"/>
      <x:c r="U161" s="402"/>
      <x:c r="V161" s="402"/>
      <x:c r="W161" s="402"/>
      <x:c r="X161" s="402"/>
      <x:c r="Y161" s="402"/>
      <x:c r="Z161" s="402"/>
    </x:row>
    <x:row r="162">
      <x:c r="A162" s="402"/>
      <x:c r="B162" s="402"/>
      <x:c r="C162" s="402"/>
      <x:c r="D162" s="402"/>
      <x:c r="E162" s="402"/>
      <x:c r="F162" s="402"/>
      <x:c r="G162" s="402"/>
      <x:c r="H162" s="402"/>
      <x:c r="I162" s="402"/>
      <x:c r="J162" s="402"/>
      <x:c r="K162" s="402"/>
      <x:c r="L162" s="402"/>
      <x:c r="M162" s="402"/>
      <x:c r="N162" s="402"/>
      <x:c r="O162" s="402"/>
      <x:c r="P162" s="402"/>
      <x:c r="Q162" s="402"/>
      <x:c r="R162" s="402"/>
      <x:c r="S162" s="402"/>
      <x:c r="T162" s="402"/>
      <x:c r="U162" s="402"/>
      <x:c r="V162" s="402"/>
      <x:c r="W162" s="402"/>
      <x:c r="X162" s="402"/>
      <x:c r="Y162" s="402"/>
      <x:c r="Z162" s="402"/>
    </x:row>
    <x:row r="163">
      <x:c r="A163" s="402"/>
      <x:c r="B163" s="402"/>
      <x:c r="C163" s="402"/>
      <x:c r="D163" s="402"/>
      <x:c r="E163" s="402"/>
      <x:c r="F163" s="402"/>
      <x:c r="G163" s="402"/>
      <x:c r="H163" s="402"/>
      <x:c r="I163" s="402"/>
      <x:c r="J163" s="402"/>
      <x:c r="K163" s="402"/>
      <x:c r="L163" s="402"/>
      <x:c r="M163" s="402"/>
      <x:c r="N163" s="402"/>
      <x:c r="O163" s="402"/>
      <x:c r="P163" s="402"/>
      <x:c r="Q163" s="402"/>
      <x:c r="R163" s="402"/>
      <x:c r="S163" s="402"/>
      <x:c r="T163" s="402"/>
      <x:c r="U163" s="402"/>
      <x:c r="V163" s="402"/>
      <x:c r="W163" s="402"/>
      <x:c r="X163" s="402"/>
      <x:c r="Y163" s="402"/>
      <x:c r="Z163" s="402"/>
    </x:row>
    <x:row r="164">
      <x:c r="A164" s="402"/>
      <x:c r="B164" s="402"/>
      <x:c r="C164" s="402"/>
      <x:c r="D164" s="402"/>
      <x:c r="E164" s="402"/>
      <x:c r="F164" s="402"/>
      <x:c r="G164" s="402"/>
      <x:c r="H164" s="402"/>
      <x:c r="I164" s="402"/>
      <x:c r="J164" s="402"/>
      <x:c r="K164" s="402"/>
      <x:c r="L164" s="402"/>
      <x:c r="M164" s="402"/>
      <x:c r="N164" s="402"/>
      <x:c r="O164" s="402"/>
      <x:c r="P164" s="402"/>
      <x:c r="Q164" s="402"/>
      <x:c r="R164" s="402"/>
      <x:c r="S164" s="402"/>
      <x:c r="T164" s="402"/>
      <x:c r="U164" s="402"/>
      <x:c r="V164" s="402"/>
      <x:c r="W164" s="402"/>
      <x:c r="X164" s="402"/>
      <x:c r="Y164" s="402"/>
      <x:c r="Z164" s="402"/>
    </x:row>
    <x:row r="165">
      <x:c r="A165" s="402"/>
      <x:c r="B165" s="402"/>
      <x:c r="C165" s="402"/>
      <x:c r="D165" s="402"/>
      <x:c r="E165" s="402"/>
      <x:c r="F165" s="402"/>
      <x:c r="G165" s="402"/>
      <x:c r="H165" s="402"/>
      <x:c r="I165" s="402"/>
      <x:c r="J165" s="402"/>
      <x:c r="K165" s="402"/>
      <x:c r="L165" s="402"/>
      <x:c r="M165" s="402"/>
      <x:c r="N165" s="402"/>
      <x:c r="O165" s="402"/>
      <x:c r="P165" s="402"/>
      <x:c r="Q165" s="402"/>
      <x:c r="R165" s="402"/>
      <x:c r="S165" s="402"/>
      <x:c r="T165" s="402"/>
      <x:c r="U165" s="402"/>
      <x:c r="V165" s="402"/>
      <x:c r="W165" s="402"/>
      <x:c r="X165" s="402"/>
      <x:c r="Y165" s="402"/>
      <x:c r="Z165" s="402"/>
    </x:row>
    <x:row r="166">
      <x:c r="A166" s="402"/>
      <x:c r="B166" s="402"/>
      <x:c r="C166" s="402"/>
      <x:c r="D166" s="402"/>
      <x:c r="E166" s="402"/>
      <x:c r="F166" s="402"/>
      <x:c r="G166" s="402"/>
      <x:c r="H166" s="402"/>
      <x:c r="I166" s="402"/>
      <x:c r="J166" s="402"/>
      <x:c r="K166" s="402"/>
      <x:c r="L166" s="402"/>
      <x:c r="M166" s="402"/>
      <x:c r="N166" s="402"/>
      <x:c r="O166" s="402"/>
      <x:c r="P166" s="402"/>
      <x:c r="Q166" s="402"/>
      <x:c r="R166" s="402"/>
      <x:c r="S166" s="402"/>
      <x:c r="T166" s="402"/>
      <x:c r="U166" s="402"/>
      <x:c r="V166" s="402"/>
      <x:c r="W166" s="402"/>
      <x:c r="X166" s="402"/>
      <x:c r="Y166" s="402"/>
      <x:c r="Z166" s="402"/>
    </x:row>
    <x:row r="167">
      <x:c r="A167" s="402"/>
      <x:c r="B167" s="402"/>
      <x:c r="C167" s="402"/>
      <x:c r="D167" s="402"/>
      <x:c r="E167" s="402"/>
      <x:c r="F167" s="402"/>
      <x:c r="G167" s="402"/>
      <x:c r="H167" s="402"/>
      <x:c r="I167" s="402"/>
      <x:c r="J167" s="402"/>
      <x:c r="K167" s="402"/>
      <x:c r="L167" s="402"/>
      <x:c r="M167" s="402"/>
      <x:c r="N167" s="402"/>
      <x:c r="O167" s="402"/>
      <x:c r="P167" s="402"/>
      <x:c r="Q167" s="402"/>
      <x:c r="R167" s="402"/>
      <x:c r="S167" s="402"/>
      <x:c r="T167" s="402"/>
      <x:c r="U167" s="402"/>
      <x:c r="V167" s="402"/>
      <x:c r="W167" s="402"/>
      <x:c r="X167" s="402"/>
      <x:c r="Y167" s="402"/>
      <x:c r="Z167" s="402"/>
    </x:row>
    <x:row r="168">
      <x:c r="A168" s="402"/>
      <x:c r="B168" s="402"/>
      <x:c r="C168" s="402"/>
      <x:c r="D168" s="402"/>
      <x:c r="E168" s="402"/>
      <x:c r="F168" s="402"/>
      <x:c r="G168" s="402"/>
      <x:c r="H168" s="402"/>
      <x:c r="I168" s="402"/>
      <x:c r="J168" s="402"/>
      <x:c r="K168" s="402"/>
      <x:c r="L168" s="402"/>
      <x:c r="M168" s="402"/>
      <x:c r="N168" s="402"/>
      <x:c r="O168" s="402"/>
      <x:c r="P168" s="402"/>
      <x:c r="Q168" s="402"/>
      <x:c r="R168" s="402"/>
      <x:c r="S168" s="402"/>
      <x:c r="T168" s="402"/>
      <x:c r="U168" s="402"/>
      <x:c r="V168" s="402"/>
      <x:c r="W168" s="402"/>
      <x:c r="X168" s="402"/>
      <x:c r="Y168" s="402"/>
      <x:c r="Z168" s="402"/>
    </x:row>
    <x:row r="169">
      <x:c r="A169" s="402"/>
      <x:c r="B169" s="402"/>
      <x:c r="C169" s="402"/>
      <x:c r="D169" s="402"/>
      <x:c r="E169" s="402"/>
      <x:c r="F169" s="402"/>
      <x:c r="G169" s="402"/>
      <x:c r="H169" s="402"/>
      <x:c r="I169" s="402"/>
      <x:c r="J169" s="402"/>
      <x:c r="K169" s="402"/>
      <x:c r="L169" s="402"/>
      <x:c r="M169" s="402"/>
      <x:c r="N169" s="402"/>
      <x:c r="O169" s="402"/>
      <x:c r="P169" s="402"/>
      <x:c r="Q169" s="402"/>
      <x:c r="R169" s="402"/>
      <x:c r="S169" s="402"/>
      <x:c r="T169" s="402"/>
      <x:c r="U169" s="402"/>
      <x:c r="V169" s="402"/>
      <x:c r="W169" s="402"/>
      <x:c r="X169" s="402"/>
      <x:c r="Y169" s="402"/>
      <x:c r="Z169" s="402"/>
    </x:row>
    <x:row r="170">
      <x:c r="A170" s="402"/>
      <x:c r="B170" s="402"/>
      <x:c r="C170" s="402"/>
      <x:c r="D170" s="402"/>
      <x:c r="E170" s="402"/>
      <x:c r="F170" s="402"/>
      <x:c r="G170" s="402"/>
      <x:c r="H170" s="402"/>
      <x:c r="I170" s="402"/>
      <x:c r="J170" s="402"/>
      <x:c r="K170" s="402"/>
      <x:c r="L170" s="402"/>
      <x:c r="M170" s="402"/>
      <x:c r="N170" s="402"/>
      <x:c r="O170" s="402"/>
      <x:c r="P170" s="402"/>
      <x:c r="Q170" s="402"/>
      <x:c r="R170" s="402"/>
      <x:c r="S170" s="402"/>
      <x:c r="T170" s="402"/>
      <x:c r="U170" s="402"/>
      <x:c r="V170" s="402"/>
      <x:c r="W170" s="402"/>
      <x:c r="X170" s="402"/>
      <x:c r="Y170" s="402"/>
      <x:c r="Z170" s="402"/>
    </x:row>
    <x:row r="171">
      <x:c r="A171" s="402"/>
      <x:c r="B171" s="402"/>
      <x:c r="C171" s="402"/>
      <x:c r="D171" s="402"/>
      <x:c r="E171" s="402"/>
      <x:c r="F171" s="402"/>
      <x:c r="G171" s="402"/>
      <x:c r="H171" s="402"/>
      <x:c r="I171" s="402"/>
      <x:c r="J171" s="402"/>
      <x:c r="K171" s="402"/>
      <x:c r="L171" s="402"/>
      <x:c r="M171" s="402"/>
      <x:c r="N171" s="402"/>
      <x:c r="O171" s="402"/>
      <x:c r="P171" s="402"/>
      <x:c r="Q171" s="402"/>
      <x:c r="R171" s="402"/>
      <x:c r="S171" s="402"/>
      <x:c r="T171" s="402"/>
      <x:c r="U171" s="402"/>
      <x:c r="V171" s="402"/>
      <x:c r="W171" s="402"/>
      <x:c r="X171" s="402"/>
      <x:c r="Y171" s="402"/>
      <x:c r="Z171" s="402"/>
    </x:row>
    <x:row r="172">
      <x:c r="A172" s="402"/>
      <x:c r="B172" s="402"/>
      <x:c r="C172" s="402"/>
      <x:c r="D172" s="402"/>
      <x:c r="E172" s="402"/>
      <x:c r="F172" s="402"/>
      <x:c r="G172" s="402"/>
      <x:c r="H172" s="402"/>
      <x:c r="I172" s="402"/>
      <x:c r="J172" s="402"/>
      <x:c r="K172" s="402"/>
      <x:c r="L172" s="402"/>
      <x:c r="M172" s="402"/>
      <x:c r="N172" s="402"/>
      <x:c r="O172" s="402"/>
      <x:c r="P172" s="402"/>
      <x:c r="Q172" s="402"/>
      <x:c r="R172" s="402"/>
      <x:c r="S172" s="402"/>
      <x:c r="T172" s="402"/>
      <x:c r="U172" s="402"/>
      <x:c r="V172" s="402"/>
      <x:c r="W172" s="402"/>
      <x:c r="X172" s="402"/>
      <x:c r="Y172" s="402"/>
      <x:c r="Z172" s="402"/>
    </x:row>
    <x:row r="173">
      <x:c r="A173" s="402"/>
      <x:c r="B173" s="402"/>
      <x:c r="C173" s="402"/>
      <x:c r="D173" s="402"/>
      <x:c r="E173" s="402"/>
      <x:c r="F173" s="402"/>
      <x:c r="G173" s="402"/>
      <x:c r="H173" s="402"/>
      <x:c r="I173" s="402"/>
      <x:c r="J173" s="402"/>
      <x:c r="K173" s="402"/>
      <x:c r="L173" s="402"/>
      <x:c r="M173" s="402"/>
      <x:c r="N173" s="402"/>
      <x:c r="O173" s="402"/>
      <x:c r="P173" s="402"/>
      <x:c r="Q173" s="402"/>
      <x:c r="R173" s="402"/>
      <x:c r="S173" s="402"/>
      <x:c r="T173" s="402"/>
      <x:c r="U173" s="402"/>
      <x:c r="V173" s="402"/>
      <x:c r="W173" s="402"/>
      <x:c r="X173" s="402"/>
      <x:c r="Y173" s="402"/>
      <x:c r="Z173" s="402"/>
    </x:row>
    <x:row r="174">
      <x:c r="A174" s="402"/>
      <x:c r="B174" s="402"/>
      <x:c r="C174" s="402"/>
      <x:c r="D174" s="402"/>
      <x:c r="E174" s="402"/>
      <x:c r="F174" s="402"/>
      <x:c r="G174" s="402"/>
      <x:c r="H174" s="402"/>
      <x:c r="I174" s="402"/>
      <x:c r="J174" s="402"/>
      <x:c r="K174" s="402"/>
      <x:c r="L174" s="402"/>
      <x:c r="M174" s="402"/>
      <x:c r="N174" s="402"/>
      <x:c r="O174" s="402"/>
      <x:c r="P174" s="402"/>
      <x:c r="Q174" s="402"/>
      <x:c r="R174" s="402"/>
      <x:c r="S174" s="402"/>
      <x:c r="T174" s="402"/>
      <x:c r="U174" s="402"/>
      <x:c r="V174" s="402"/>
      <x:c r="W174" s="402"/>
      <x:c r="X174" s="402"/>
      <x:c r="Y174" s="402"/>
      <x:c r="Z174" s="402"/>
    </x:row>
    <x:row r="175">
      <x:c r="A175" s="402"/>
      <x:c r="B175" s="402"/>
      <x:c r="C175" s="402"/>
      <x:c r="D175" s="402"/>
      <x:c r="E175" s="402"/>
      <x:c r="F175" s="402"/>
      <x:c r="G175" s="402"/>
      <x:c r="H175" s="402"/>
      <x:c r="I175" s="402"/>
      <x:c r="J175" s="402"/>
      <x:c r="K175" s="402"/>
      <x:c r="L175" s="402"/>
      <x:c r="M175" s="402"/>
      <x:c r="N175" s="402"/>
      <x:c r="O175" s="402"/>
      <x:c r="P175" s="402"/>
      <x:c r="Q175" s="402"/>
      <x:c r="R175" s="402"/>
      <x:c r="S175" s="402"/>
      <x:c r="T175" s="402"/>
      <x:c r="U175" s="402"/>
      <x:c r="V175" s="402"/>
      <x:c r="W175" s="402"/>
      <x:c r="X175" s="402"/>
      <x:c r="Y175" s="402"/>
      <x:c r="Z175" s="402"/>
    </x:row>
    <x:row r="176">
      <x:c r="A176" s="402"/>
      <x:c r="B176" s="402"/>
      <x:c r="C176" s="402"/>
      <x:c r="D176" s="402"/>
      <x:c r="E176" s="402"/>
      <x:c r="F176" s="402"/>
      <x:c r="G176" s="402"/>
      <x:c r="H176" s="402"/>
      <x:c r="I176" s="402"/>
      <x:c r="J176" s="402"/>
      <x:c r="K176" s="402"/>
      <x:c r="L176" s="402"/>
      <x:c r="M176" s="402"/>
      <x:c r="N176" s="402"/>
      <x:c r="O176" s="402"/>
      <x:c r="P176" s="402"/>
      <x:c r="Q176" s="402"/>
      <x:c r="R176" s="402"/>
      <x:c r="S176" s="402"/>
      <x:c r="T176" s="402"/>
      <x:c r="U176" s="402"/>
      <x:c r="V176" s="402"/>
      <x:c r="W176" s="402"/>
      <x:c r="X176" s="402"/>
      <x:c r="Y176" s="402"/>
      <x:c r="Z176" s="402"/>
    </x:row>
    <x:row r="177">
      <x:c r="A177" s="402"/>
      <x:c r="B177" s="402"/>
      <x:c r="C177" s="402"/>
      <x:c r="D177" s="402"/>
      <x:c r="E177" s="402"/>
      <x:c r="F177" s="402"/>
      <x:c r="G177" s="402"/>
      <x:c r="H177" s="402"/>
      <x:c r="I177" s="402"/>
      <x:c r="J177" s="402"/>
      <x:c r="K177" s="402"/>
      <x:c r="L177" s="402"/>
      <x:c r="M177" s="402"/>
      <x:c r="N177" s="402"/>
      <x:c r="O177" s="402"/>
      <x:c r="P177" s="402"/>
      <x:c r="Q177" s="402"/>
      <x:c r="R177" s="402"/>
      <x:c r="S177" s="402"/>
      <x:c r="T177" s="402"/>
      <x:c r="U177" s="402"/>
      <x:c r="V177" s="402"/>
      <x:c r="W177" s="402"/>
      <x:c r="X177" s="402"/>
      <x:c r="Y177" s="402"/>
      <x:c r="Z177" s="402"/>
    </x:row>
    <x:row r="178">
      <x:c r="A178" s="402"/>
      <x:c r="B178" s="402"/>
      <x:c r="C178" s="402"/>
      <x:c r="D178" s="402"/>
      <x:c r="E178" s="402"/>
      <x:c r="F178" s="402"/>
      <x:c r="G178" s="402"/>
      <x:c r="H178" s="402"/>
      <x:c r="I178" s="402"/>
      <x:c r="J178" s="402"/>
      <x:c r="K178" s="402"/>
      <x:c r="L178" s="402"/>
      <x:c r="M178" s="402"/>
      <x:c r="N178" s="402"/>
      <x:c r="O178" s="402"/>
      <x:c r="P178" s="402"/>
      <x:c r="Q178" s="402"/>
      <x:c r="R178" s="402"/>
      <x:c r="S178" s="402"/>
      <x:c r="T178" s="402"/>
      <x:c r="U178" s="402"/>
      <x:c r="V178" s="402"/>
      <x:c r="W178" s="402"/>
      <x:c r="X178" s="402"/>
      <x:c r="Y178" s="402"/>
      <x:c r="Z178" s="402"/>
    </x:row>
    <x:row r="179">
      <x:c r="A179" s="402"/>
      <x:c r="B179" s="402"/>
      <x:c r="C179" s="402"/>
      <x:c r="D179" s="402"/>
      <x:c r="E179" s="402"/>
      <x:c r="F179" s="402"/>
      <x:c r="G179" s="402"/>
      <x:c r="H179" s="402"/>
      <x:c r="I179" s="402"/>
      <x:c r="J179" s="402"/>
      <x:c r="K179" s="402"/>
      <x:c r="L179" s="402"/>
      <x:c r="M179" s="402"/>
      <x:c r="N179" s="402"/>
      <x:c r="O179" s="402"/>
      <x:c r="P179" s="402"/>
      <x:c r="Q179" s="402"/>
      <x:c r="R179" s="402"/>
      <x:c r="S179" s="402"/>
      <x:c r="T179" s="402"/>
      <x:c r="U179" s="402"/>
      <x:c r="V179" s="402"/>
      <x:c r="W179" s="402"/>
      <x:c r="X179" s="402"/>
      <x:c r="Y179" s="402"/>
      <x:c r="Z179" s="402"/>
    </x:row>
    <x:row r="180">
      <x:c r="A180" s="402"/>
      <x:c r="B180" s="402"/>
      <x:c r="C180" s="402"/>
      <x:c r="D180" s="402"/>
      <x:c r="E180" s="402"/>
      <x:c r="F180" s="402"/>
      <x:c r="G180" s="402"/>
      <x:c r="H180" s="402"/>
      <x:c r="I180" s="402"/>
      <x:c r="J180" s="402"/>
      <x:c r="K180" s="402"/>
      <x:c r="L180" s="402"/>
      <x:c r="M180" s="402"/>
      <x:c r="N180" s="402"/>
      <x:c r="O180" s="402"/>
      <x:c r="P180" s="402"/>
      <x:c r="Q180" s="402"/>
      <x:c r="R180" s="402"/>
      <x:c r="S180" s="402"/>
      <x:c r="T180" s="402"/>
      <x:c r="U180" s="402"/>
      <x:c r="V180" s="402"/>
      <x:c r="W180" s="402"/>
      <x:c r="X180" s="402"/>
      <x:c r="Y180" s="402"/>
      <x:c r="Z180" s="402"/>
    </x:row>
    <x:row r="181">
      <x:c r="A181" s="402"/>
      <x:c r="B181" s="402"/>
      <x:c r="C181" s="402"/>
      <x:c r="D181" s="402"/>
      <x:c r="E181" s="402"/>
      <x:c r="F181" s="402"/>
      <x:c r="G181" s="402"/>
      <x:c r="H181" s="402"/>
      <x:c r="I181" s="402"/>
      <x:c r="J181" s="402"/>
      <x:c r="K181" s="402"/>
      <x:c r="L181" s="402"/>
      <x:c r="M181" s="402"/>
      <x:c r="N181" s="402"/>
      <x:c r="O181" s="402"/>
      <x:c r="P181" s="402"/>
      <x:c r="Q181" s="402"/>
      <x:c r="R181" s="402"/>
      <x:c r="S181" s="402"/>
      <x:c r="T181" s="402"/>
      <x:c r="U181" s="402"/>
      <x:c r="V181" s="402"/>
      <x:c r="W181" s="402"/>
      <x:c r="X181" s="402"/>
      <x:c r="Y181" s="402"/>
      <x:c r="Z181" s="402"/>
    </x:row>
    <x:row r="182">
      <x:c r="A182" s="402"/>
      <x:c r="B182" s="402"/>
      <x:c r="C182" s="402"/>
      <x:c r="D182" s="402"/>
      <x:c r="E182" s="402"/>
      <x:c r="F182" s="402"/>
      <x:c r="G182" s="402"/>
      <x:c r="H182" s="402"/>
      <x:c r="I182" s="402"/>
      <x:c r="J182" s="402"/>
      <x:c r="K182" s="402"/>
      <x:c r="L182" s="402"/>
      <x:c r="M182" s="402"/>
      <x:c r="N182" s="402"/>
      <x:c r="O182" s="402"/>
      <x:c r="P182" s="402"/>
      <x:c r="Q182" s="402"/>
      <x:c r="R182" s="402"/>
      <x:c r="S182" s="402"/>
      <x:c r="T182" s="402"/>
      <x:c r="U182" s="402"/>
      <x:c r="V182" s="402"/>
      <x:c r="W182" s="402"/>
      <x:c r="X182" s="402"/>
      <x:c r="Y182" s="402"/>
      <x:c r="Z182" s="402"/>
    </x:row>
    <x:row r="183">
      <x:c r="A183" s="402"/>
      <x:c r="B183" s="402"/>
      <x:c r="C183" s="402"/>
      <x:c r="D183" s="402"/>
      <x:c r="E183" s="402"/>
      <x:c r="F183" s="402"/>
      <x:c r="G183" s="402"/>
      <x:c r="H183" s="402"/>
      <x:c r="I183" s="402"/>
      <x:c r="J183" s="402"/>
      <x:c r="K183" s="402"/>
      <x:c r="L183" s="402"/>
      <x:c r="M183" s="402"/>
      <x:c r="N183" s="402"/>
      <x:c r="O183" s="402"/>
      <x:c r="P183" s="402"/>
      <x:c r="Q183" s="402"/>
      <x:c r="R183" s="402"/>
      <x:c r="S183" s="402"/>
      <x:c r="T183" s="402"/>
      <x:c r="U183" s="402"/>
      <x:c r="V183" s="402"/>
      <x:c r="W183" s="402"/>
      <x:c r="X183" s="402"/>
      <x:c r="Y183" s="402"/>
      <x:c r="Z183" s="402"/>
    </x:row>
    <x:row r="184">
      <x:c r="A184" s="402"/>
      <x:c r="B184" s="402"/>
      <x:c r="C184" s="402"/>
      <x:c r="D184" s="402"/>
      <x:c r="E184" s="402"/>
      <x:c r="F184" s="402"/>
      <x:c r="G184" s="402"/>
      <x:c r="H184" s="402"/>
      <x:c r="I184" s="402"/>
      <x:c r="J184" s="402"/>
      <x:c r="K184" s="402"/>
      <x:c r="L184" s="402"/>
      <x:c r="M184" s="402"/>
      <x:c r="N184" s="402"/>
      <x:c r="O184" s="402"/>
      <x:c r="P184" s="402"/>
      <x:c r="Q184" s="402"/>
      <x:c r="R184" s="402"/>
      <x:c r="S184" s="402"/>
      <x:c r="T184" s="402"/>
      <x:c r="U184" s="402"/>
      <x:c r="V184" s="402"/>
      <x:c r="W184" s="402"/>
      <x:c r="X184" s="402"/>
      <x:c r="Y184" s="402"/>
      <x:c r="Z184" s="402"/>
    </x:row>
    <x:row r="185">
      <x:c r="A185" s="402"/>
      <x:c r="B185" s="402"/>
      <x:c r="C185" s="402"/>
      <x:c r="D185" s="402"/>
      <x:c r="E185" s="402"/>
      <x:c r="F185" s="402"/>
      <x:c r="G185" s="402"/>
      <x:c r="H185" s="402"/>
      <x:c r="I185" s="402"/>
      <x:c r="J185" s="402"/>
      <x:c r="K185" s="402"/>
      <x:c r="L185" s="402"/>
      <x:c r="M185" s="402"/>
      <x:c r="N185" s="402"/>
      <x:c r="O185" s="402"/>
      <x:c r="P185" s="402"/>
      <x:c r="Q185" s="402"/>
      <x:c r="R185" s="402"/>
      <x:c r="S185" s="402"/>
      <x:c r="T185" s="402"/>
      <x:c r="U185" s="402"/>
      <x:c r="V185" s="402"/>
      <x:c r="W185" s="402"/>
      <x:c r="X185" s="402"/>
      <x:c r="Y185" s="402"/>
      <x:c r="Z185" s="402"/>
    </x:row>
    <x:row r="186">
      <x:c r="A186" s="402"/>
      <x:c r="B186" s="402"/>
      <x:c r="C186" s="402"/>
      <x:c r="D186" s="402"/>
      <x:c r="E186" s="402"/>
      <x:c r="F186" s="402"/>
      <x:c r="G186" s="402"/>
      <x:c r="H186" s="402"/>
      <x:c r="I186" s="402"/>
      <x:c r="J186" s="402"/>
      <x:c r="K186" s="402"/>
      <x:c r="L186" s="402"/>
      <x:c r="M186" s="402"/>
      <x:c r="N186" s="402"/>
      <x:c r="O186" s="402"/>
      <x:c r="P186" s="402"/>
      <x:c r="Q186" s="402"/>
      <x:c r="R186" s="402"/>
      <x:c r="S186" s="402"/>
      <x:c r="T186" s="402"/>
      <x:c r="U186" s="402"/>
      <x:c r="V186" s="402"/>
      <x:c r="W186" s="402"/>
      <x:c r="X186" s="402"/>
      <x:c r="Y186" s="402"/>
      <x:c r="Z186" s="402"/>
    </x:row>
    <x:row r="187">
      <x:c r="A187" s="402"/>
      <x:c r="B187" s="402"/>
      <x:c r="C187" s="402"/>
      <x:c r="D187" s="402"/>
      <x:c r="E187" s="402"/>
      <x:c r="F187" s="402"/>
      <x:c r="G187" s="402"/>
      <x:c r="H187" s="402"/>
      <x:c r="I187" s="402"/>
      <x:c r="J187" s="402"/>
      <x:c r="K187" s="402"/>
      <x:c r="L187" s="402"/>
      <x:c r="M187" s="402"/>
      <x:c r="N187" s="402"/>
      <x:c r="O187" s="402"/>
      <x:c r="P187" s="402"/>
      <x:c r="Q187" s="402"/>
      <x:c r="R187" s="402"/>
      <x:c r="S187" s="402"/>
      <x:c r="T187" s="402"/>
      <x:c r="U187" s="402"/>
      <x:c r="V187" s="402"/>
      <x:c r="W187" s="402"/>
      <x:c r="X187" s="402"/>
      <x:c r="Y187" s="402"/>
      <x:c r="Z187" s="402"/>
    </x:row>
    <x:row r="188">
      <x:c r="A188" s="402"/>
      <x:c r="B188" s="402"/>
      <x:c r="C188" s="402"/>
      <x:c r="D188" s="402"/>
      <x:c r="E188" s="402"/>
      <x:c r="F188" s="402"/>
      <x:c r="G188" s="402"/>
      <x:c r="H188" s="402"/>
      <x:c r="I188" s="402"/>
      <x:c r="J188" s="402"/>
      <x:c r="K188" s="402"/>
      <x:c r="L188" s="402"/>
      <x:c r="M188" s="402"/>
      <x:c r="N188" s="402"/>
      <x:c r="O188" s="402"/>
      <x:c r="P188" s="402"/>
      <x:c r="Q188" s="402"/>
      <x:c r="R188" s="402"/>
      <x:c r="S188" s="402"/>
      <x:c r="T188" s="402"/>
      <x:c r="U188" s="402"/>
      <x:c r="V188" s="402"/>
      <x:c r="W188" s="402"/>
      <x:c r="X188" s="402"/>
      <x:c r="Y188" s="402"/>
      <x:c r="Z188" s="402"/>
    </x:row>
    <x:row r="189">
      <x:c r="A189" s="402"/>
      <x:c r="B189" s="402"/>
      <x:c r="C189" s="402"/>
      <x:c r="D189" s="402"/>
      <x:c r="E189" s="402"/>
      <x:c r="F189" s="402"/>
      <x:c r="G189" s="402"/>
      <x:c r="H189" s="402"/>
      <x:c r="I189" s="402"/>
      <x:c r="J189" s="402"/>
      <x:c r="K189" s="402"/>
      <x:c r="L189" s="402"/>
      <x:c r="M189" s="402"/>
      <x:c r="N189" s="402"/>
      <x:c r="O189" s="402"/>
      <x:c r="P189" s="402"/>
      <x:c r="Q189" s="402"/>
      <x:c r="R189" s="402"/>
      <x:c r="S189" s="402"/>
      <x:c r="T189" s="402"/>
      <x:c r="U189" s="402"/>
      <x:c r="V189" s="402"/>
      <x:c r="W189" s="402"/>
      <x:c r="X189" s="402"/>
      <x:c r="Y189" s="402"/>
      <x:c r="Z189" s="402"/>
    </x:row>
    <x:row r="190">
      <x:c r="A190" s="402"/>
      <x:c r="B190" s="402"/>
      <x:c r="C190" s="402"/>
      <x:c r="D190" s="402"/>
      <x:c r="E190" s="402"/>
      <x:c r="F190" s="402"/>
      <x:c r="G190" s="402"/>
      <x:c r="H190" s="402"/>
      <x:c r="I190" s="402"/>
      <x:c r="J190" s="402"/>
      <x:c r="K190" s="402"/>
      <x:c r="L190" s="402"/>
      <x:c r="M190" s="402"/>
      <x:c r="N190" s="402"/>
      <x:c r="O190" s="402"/>
      <x:c r="P190" s="402"/>
      <x:c r="Q190" s="402"/>
      <x:c r="R190" s="402"/>
      <x:c r="S190" s="402"/>
      <x:c r="T190" s="402"/>
      <x:c r="U190" s="402"/>
      <x:c r="V190" s="402"/>
      <x:c r="W190" s="402"/>
      <x:c r="X190" s="402"/>
      <x:c r="Y190" s="402"/>
      <x:c r="Z190" s="402"/>
    </x:row>
    <x:row r="191">
      <x:c r="A191" s="402"/>
      <x:c r="B191" s="402"/>
      <x:c r="C191" s="402"/>
      <x:c r="D191" s="402"/>
      <x:c r="E191" s="402"/>
      <x:c r="F191" s="402"/>
      <x:c r="G191" s="402"/>
      <x:c r="H191" s="402"/>
      <x:c r="I191" s="402"/>
      <x:c r="J191" s="402"/>
      <x:c r="K191" s="402"/>
      <x:c r="L191" s="402"/>
      <x:c r="M191" s="402"/>
      <x:c r="N191" s="402"/>
      <x:c r="O191" s="402"/>
      <x:c r="P191" s="402"/>
      <x:c r="Q191" s="402"/>
      <x:c r="R191" s="402"/>
      <x:c r="S191" s="402"/>
      <x:c r="T191" s="402"/>
      <x:c r="U191" s="402"/>
      <x:c r="V191" s="402"/>
      <x:c r="W191" s="402"/>
      <x:c r="X191" s="402"/>
      <x:c r="Y191" s="402"/>
      <x:c r="Z191" s="402"/>
    </x:row>
    <x:row r="192">
      <x:c r="A192" s="402"/>
      <x:c r="B192" s="402"/>
      <x:c r="C192" s="402"/>
      <x:c r="D192" s="402"/>
      <x:c r="E192" s="402"/>
      <x:c r="F192" s="402"/>
      <x:c r="G192" s="402"/>
      <x:c r="H192" s="402"/>
      <x:c r="I192" s="402"/>
      <x:c r="J192" s="402"/>
      <x:c r="K192" s="402"/>
      <x:c r="L192" s="402"/>
      <x:c r="M192" s="402"/>
      <x:c r="N192" s="402"/>
      <x:c r="O192" s="402"/>
      <x:c r="P192" s="402"/>
      <x:c r="Q192" s="402"/>
      <x:c r="R192" s="402"/>
      <x:c r="S192" s="402"/>
      <x:c r="T192" s="402"/>
      <x:c r="U192" s="402"/>
      <x:c r="V192" s="402"/>
      <x:c r="W192" s="402"/>
      <x:c r="X192" s="402"/>
      <x:c r="Y192" s="402"/>
      <x:c r="Z192" s="402"/>
    </x:row>
    <x:row r="193">
      <x:c r="A193" s="402"/>
      <x:c r="B193" s="402"/>
      <x:c r="C193" s="402"/>
      <x:c r="D193" s="402"/>
      <x:c r="E193" s="402"/>
      <x:c r="F193" s="402"/>
      <x:c r="G193" s="402"/>
      <x:c r="H193" s="402"/>
      <x:c r="I193" s="402"/>
      <x:c r="J193" s="402"/>
      <x:c r="K193" s="402"/>
      <x:c r="L193" s="402"/>
      <x:c r="M193" s="402"/>
      <x:c r="N193" s="402"/>
      <x:c r="O193" s="402"/>
      <x:c r="P193" s="402"/>
      <x:c r="Q193" s="402"/>
      <x:c r="R193" s="402"/>
      <x:c r="S193" s="402"/>
      <x:c r="T193" s="402"/>
      <x:c r="U193" s="402"/>
      <x:c r="V193" s="402"/>
      <x:c r="W193" s="402"/>
      <x:c r="X193" s="402"/>
      <x:c r="Y193" s="402"/>
      <x:c r="Z193" s="402"/>
    </x:row>
    <x:row r="194">
      <x:c r="A194" s="402"/>
      <x:c r="B194" s="402"/>
      <x:c r="C194" s="402"/>
      <x:c r="D194" s="402"/>
      <x:c r="E194" s="402"/>
      <x:c r="F194" s="402"/>
      <x:c r="G194" s="402"/>
      <x:c r="H194" s="402"/>
      <x:c r="I194" s="402"/>
      <x:c r="J194" s="402"/>
      <x:c r="K194" s="402"/>
      <x:c r="L194" s="402"/>
      <x:c r="M194" s="402"/>
      <x:c r="N194" s="402"/>
      <x:c r="O194" s="402"/>
      <x:c r="P194" s="402"/>
      <x:c r="Q194" s="402"/>
      <x:c r="R194" s="402"/>
      <x:c r="S194" s="402"/>
      <x:c r="T194" s="402"/>
      <x:c r="U194" s="402"/>
      <x:c r="V194" s="402"/>
      <x:c r="W194" s="402"/>
      <x:c r="X194" s="402"/>
      <x:c r="Y194" s="402"/>
      <x:c r="Z194" s="402"/>
    </x:row>
    <x:row r="195">
      <x:c r="A195" s="402"/>
      <x:c r="B195" s="402"/>
      <x:c r="C195" s="402"/>
      <x:c r="D195" s="402"/>
      <x:c r="E195" s="402"/>
      <x:c r="F195" s="402"/>
      <x:c r="G195" s="402"/>
      <x:c r="H195" s="402"/>
      <x:c r="I195" s="402"/>
      <x:c r="J195" s="402"/>
      <x:c r="K195" s="402"/>
      <x:c r="L195" s="402"/>
      <x:c r="M195" s="402"/>
      <x:c r="N195" s="402"/>
      <x:c r="O195" s="402"/>
      <x:c r="P195" s="402"/>
      <x:c r="Q195" s="402"/>
      <x:c r="R195" s="402"/>
      <x:c r="S195" s="402"/>
      <x:c r="T195" s="402"/>
      <x:c r="U195" s="402"/>
      <x:c r="V195" s="402"/>
      <x:c r="W195" s="402"/>
      <x:c r="X195" s="402"/>
      <x:c r="Y195" s="402"/>
      <x:c r="Z195" s="402"/>
    </x:row>
    <x:row r="196">
      <x:c r="A196" s="402"/>
      <x:c r="B196" s="402"/>
      <x:c r="C196" s="402"/>
      <x:c r="D196" s="402"/>
      <x:c r="E196" s="402"/>
      <x:c r="F196" s="402"/>
      <x:c r="G196" s="402"/>
      <x:c r="H196" s="402"/>
      <x:c r="I196" s="402"/>
      <x:c r="J196" s="402"/>
      <x:c r="K196" s="402"/>
      <x:c r="L196" s="402"/>
      <x:c r="M196" s="402"/>
      <x:c r="N196" s="402"/>
      <x:c r="O196" s="402"/>
      <x:c r="P196" s="402"/>
      <x:c r="Q196" s="402"/>
      <x:c r="R196" s="402"/>
      <x:c r="S196" s="402"/>
      <x:c r="T196" s="402"/>
      <x:c r="U196" s="402"/>
      <x:c r="V196" s="402"/>
      <x:c r="W196" s="402"/>
      <x:c r="X196" s="402"/>
      <x:c r="Y196" s="402"/>
      <x:c r="Z196" s="402"/>
    </x:row>
    <x:row r="197">
      <x:c r="A197" s="402"/>
      <x:c r="B197" s="402"/>
      <x:c r="C197" s="402"/>
      <x:c r="D197" s="402"/>
      <x:c r="E197" s="402"/>
      <x:c r="F197" s="402"/>
      <x:c r="G197" s="402"/>
      <x:c r="H197" s="402"/>
      <x:c r="I197" s="402"/>
      <x:c r="J197" s="402"/>
      <x:c r="K197" s="402"/>
      <x:c r="L197" s="402"/>
      <x:c r="M197" s="402"/>
      <x:c r="N197" s="402"/>
      <x:c r="O197" s="402"/>
      <x:c r="P197" s="402"/>
      <x:c r="Q197" s="402"/>
      <x:c r="R197" s="402"/>
      <x:c r="S197" s="402"/>
      <x:c r="T197" s="402"/>
      <x:c r="U197" s="402"/>
      <x:c r="V197" s="402"/>
      <x:c r="W197" s="402"/>
      <x:c r="X197" s="402"/>
      <x:c r="Y197" s="402"/>
      <x:c r="Z197" s="402"/>
    </x:row>
    <x:row r="198">
      <x:c r="A198" s="402"/>
      <x:c r="B198" s="402"/>
      <x:c r="C198" s="402"/>
      <x:c r="D198" s="402"/>
      <x:c r="E198" s="402"/>
      <x:c r="F198" s="402"/>
      <x:c r="G198" s="402"/>
      <x:c r="H198" s="402"/>
      <x:c r="I198" s="402"/>
      <x:c r="J198" s="402"/>
      <x:c r="K198" s="402"/>
      <x:c r="L198" s="402"/>
      <x:c r="M198" s="402"/>
      <x:c r="N198" s="402"/>
      <x:c r="O198" s="402"/>
      <x:c r="P198" s="402"/>
      <x:c r="Q198" s="402"/>
      <x:c r="R198" s="402"/>
      <x:c r="S198" s="402"/>
      <x:c r="T198" s="402"/>
      <x:c r="U198" s="402"/>
      <x:c r="V198" s="402"/>
      <x:c r="W198" s="402"/>
      <x:c r="X198" s="402"/>
      <x:c r="Y198" s="402"/>
      <x:c r="Z198" s="402"/>
    </x:row>
    <x:row r="199">
      <x:c r="A199" s="402"/>
      <x:c r="B199" s="402"/>
      <x:c r="C199" s="402"/>
      <x:c r="D199" s="402"/>
      <x:c r="E199" s="402"/>
      <x:c r="F199" s="402"/>
      <x:c r="G199" s="402"/>
      <x:c r="H199" s="402"/>
      <x:c r="I199" s="402"/>
      <x:c r="J199" s="402"/>
      <x:c r="K199" s="402"/>
      <x:c r="L199" s="402"/>
      <x:c r="M199" s="402"/>
      <x:c r="N199" s="402"/>
      <x:c r="O199" s="402"/>
      <x:c r="P199" s="402"/>
      <x:c r="Q199" s="402"/>
      <x:c r="R199" s="402"/>
      <x:c r="S199" s="402"/>
      <x:c r="T199" s="402"/>
      <x:c r="U199" s="402"/>
      <x:c r="V199" s="402"/>
      <x:c r="W199" s="402"/>
      <x:c r="X199" s="402"/>
      <x:c r="Y199" s="402"/>
      <x:c r="Z199" s="402"/>
    </x:row>
    <x:row r="200">
      <x:c r="A200" s="402"/>
      <x:c r="B200" s="402"/>
      <x:c r="C200" s="402"/>
      <x:c r="D200" s="402"/>
      <x:c r="E200" s="402"/>
      <x:c r="F200" s="402"/>
      <x:c r="G200" s="402"/>
      <x:c r="H200" s="402"/>
      <x:c r="I200" s="402"/>
      <x:c r="J200" s="402"/>
      <x:c r="K200" s="402"/>
      <x:c r="L200" s="402"/>
      <x:c r="M200" s="402"/>
      <x:c r="N200" s="402"/>
      <x:c r="O200" s="402"/>
      <x:c r="P200" s="402"/>
      <x:c r="Q200" s="402"/>
      <x:c r="R200" s="402"/>
      <x:c r="S200" s="402"/>
      <x:c r="T200" s="402"/>
      <x:c r="U200" s="402"/>
      <x:c r="V200" s="402"/>
      <x:c r="W200" s="402"/>
      <x:c r="X200" s="402"/>
      <x:c r="Y200" s="402"/>
      <x:c r="Z200" s="402"/>
    </x:row>
  </x:sheetData>
  <x:pageMargins left="0.7" right="0.7" top="0.75" bottom="0.75" header="0.3" footer="0.3"/>
  <x:tableParts count="1">
    <x:tablePart xmlns:r="http://schemas.openxmlformats.org/officeDocument/2006/relationships" r:id="R524976bf00eb4fda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>
      <x:c r="A1" s="305" t="str">
        <x:v>Scenario</x:v>
      </x:c>
      <x:c r="B1" s="305" t="str">
        <x:v>Status</x:v>
      </x:c>
      <x:c r="C1" s="305" t="str">
        <x:v>Claim Maturity</x:v>
      </x:c>
      <x:c r="D1" s="305" t="str">
        <x:v>Yes / No</x:v>
      </x:c>
      <x:c r="E1" s="402"/>
      <x:c r="F1" s="402"/>
      <x:c r="G1" s="402"/>
      <x:c r="H1" s="402"/>
      <x:c r="I1" s="402"/>
      <x:c r="J1" s="402"/>
      <x:c r="K1" s="402"/>
      <x:c r="L1" s="402"/>
      <x:c r="M1" s="402"/>
      <x:c r="N1" s="402"/>
      <x:c r="O1" s="402"/>
      <x:c r="P1" s="402"/>
      <x:c r="Q1" s="402"/>
      <x:c r="R1" s="402"/>
      <x:c r="S1" s="402"/>
      <x:c r="T1" s="402"/>
      <x:c r="U1" s="402"/>
      <x:c r="V1" s="402"/>
      <x:c r="W1" s="402"/>
      <x:c r="X1" s="402"/>
      <x:c r="Y1" s="402"/>
      <x:c r="Z1" s="402"/>
    </x:row>
    <x:row r="2">
      <x:c r="A2" s="402" t="str">
        <x:v>Downside</x:v>
      </x:c>
      <x:c r="B2" s="402" t="str">
        <x:v>Open</x:v>
      </x:c>
      <x:c r="C2" s="402" t="str">
        <x:v>Scenario</x:v>
      </x:c>
      <x:c r="D2" s="402" t="str">
        <x:v>No</x:v>
      </x:c>
      <x:c r="E2" s="402"/>
      <x:c r="F2" s="402"/>
      <x:c r="G2" s="402"/>
      <x:c r="H2" s="402"/>
      <x:c r="I2" s="402"/>
      <x:c r="J2" s="402"/>
      <x:c r="K2" s="402"/>
      <x:c r="L2" s="402"/>
      <x:c r="M2" s="402"/>
      <x:c r="N2" s="402"/>
      <x:c r="O2" s="402"/>
      <x:c r="P2" s="402"/>
      <x:c r="Q2" s="402"/>
      <x:c r="R2" s="402"/>
      <x:c r="S2" s="402"/>
      <x:c r="T2" s="402"/>
      <x:c r="U2" s="402"/>
      <x:c r="V2" s="402"/>
      <x:c r="W2" s="402"/>
      <x:c r="X2" s="402"/>
      <x:c r="Y2" s="402"/>
      <x:c r="Z2" s="402"/>
    </x:row>
    <x:row r="3">
      <x:c r="A3" s="402" t="str">
        <x:v>Base</x:v>
      </x:c>
      <x:c r="B3" s="402" t="str">
        <x:v>Pass</x:v>
      </x:c>
      <x:c r="C3" s="402" t="str">
        <x:v>Approved</x:v>
      </x:c>
      <x:c r="D3" s="402" t="str">
        <x:v>Yes</x:v>
      </x:c>
      <x:c r="E3" s="402"/>
      <x:c r="F3" s="402"/>
      <x:c r="G3" s="402"/>
      <x:c r="H3" s="402"/>
      <x:c r="I3" s="402"/>
      <x:c r="J3" s="402"/>
      <x:c r="K3" s="402"/>
      <x:c r="L3" s="402"/>
      <x:c r="M3" s="402"/>
      <x:c r="N3" s="402"/>
      <x:c r="O3" s="402"/>
      <x:c r="P3" s="402"/>
      <x:c r="Q3" s="402"/>
      <x:c r="R3" s="402"/>
      <x:c r="S3" s="402"/>
      <x:c r="T3" s="402"/>
      <x:c r="U3" s="402"/>
      <x:c r="V3" s="402"/>
      <x:c r="W3" s="402"/>
      <x:c r="X3" s="402"/>
      <x:c r="Y3" s="402"/>
      <x:c r="Z3" s="402"/>
    </x:row>
    <x:row r="4">
      <x:c r="A4" s="402" t="str">
        <x:v>Upside</x:v>
      </x:c>
      <x:c r="B4" s="402" t="str">
        <x:v>Blocked</x:v>
      </x:c>
      <x:c r="C4" s="402" t="str">
        <x:v>Observed</x:v>
      </x:c>
      <x:c r="D4" s="402" t="str"/>
      <x:c r="E4" s="402"/>
      <x:c r="F4" s="402"/>
      <x:c r="G4" s="402"/>
      <x:c r="H4" s="402"/>
      <x:c r="I4" s="402"/>
      <x:c r="J4" s="402"/>
      <x:c r="K4" s="402"/>
      <x:c r="L4" s="402"/>
      <x:c r="M4" s="402"/>
      <x:c r="N4" s="402"/>
      <x:c r="O4" s="402"/>
      <x:c r="P4" s="402"/>
      <x:c r="Q4" s="402"/>
      <x:c r="R4" s="402"/>
      <x:c r="S4" s="402"/>
      <x:c r="T4" s="402"/>
      <x:c r="U4" s="402"/>
      <x:c r="V4" s="402"/>
      <x:c r="W4" s="402"/>
      <x:c r="X4" s="402"/>
      <x:c r="Y4" s="402"/>
      <x:c r="Z4" s="402"/>
    </x:row>
    <x:row r="5">
      <x:c r="A5" s="402" t="str"/>
      <x:c r="B5" s="402" t="str">
        <x:v>Complete</x:v>
      </x:c>
      <x:c r="C5" s="402" t="str">
        <x:v>Customer-verified</x:v>
      </x:c>
      <x:c r="D5" s="402" t="str"/>
      <x:c r="E5" s="402"/>
      <x:c r="F5" s="402"/>
      <x:c r="G5" s="402"/>
      <x:c r="H5" s="402"/>
      <x:c r="I5" s="402"/>
      <x:c r="J5" s="402"/>
      <x:c r="K5" s="402"/>
      <x:c r="L5" s="402"/>
      <x:c r="M5" s="402"/>
      <x:c r="N5" s="402"/>
      <x:c r="O5" s="402"/>
      <x:c r="P5" s="402"/>
      <x:c r="Q5" s="402"/>
      <x:c r="R5" s="402"/>
      <x:c r="S5" s="402"/>
      <x:c r="T5" s="402"/>
      <x:c r="U5" s="402"/>
      <x:c r="V5" s="402"/>
      <x:c r="W5" s="402"/>
      <x:c r="X5" s="402"/>
      <x:c r="Y5" s="402"/>
      <x:c r="Z5" s="402"/>
    </x:row>
    <x:row r="6">
      <x:c r="A6" s="402" t="str"/>
      <x:c r="B6" s="402" t="str">
        <x:v>Stopped</x:v>
      </x:c>
      <x:c r="C6" s="402" t="str">
        <x:v>Independently validated</x:v>
      </x:c>
      <x:c r="D6" s="402" t="str"/>
      <x:c r="E6" s="402"/>
      <x:c r="F6" s="402"/>
      <x:c r="G6" s="402"/>
      <x:c r="H6" s="402"/>
      <x:c r="I6" s="402"/>
      <x:c r="J6" s="402"/>
      <x:c r="K6" s="402"/>
      <x:c r="L6" s="402"/>
      <x:c r="M6" s="402"/>
      <x:c r="N6" s="402"/>
      <x:c r="O6" s="402"/>
      <x:c r="P6" s="402"/>
      <x:c r="Q6" s="402"/>
      <x:c r="R6" s="402"/>
      <x:c r="S6" s="402"/>
      <x:c r="T6" s="402"/>
      <x:c r="U6" s="402"/>
      <x:c r="V6" s="402"/>
      <x:c r="W6" s="402"/>
      <x:c r="X6" s="402"/>
      <x:c r="Y6" s="402"/>
      <x:c r="Z6" s="402"/>
    </x:row>
    <x:row r="7">
      <x:c r="A7" s="402" t="str"/>
      <x:c r="B7" s="402" t="str"/>
      <x:c r="C7" s="402" t="str">
        <x:v>Rejected</x:v>
      </x:c>
      <x:c r="D7" s="402" t="str"/>
      <x:c r="E7" s="402"/>
      <x:c r="F7" s="402"/>
      <x:c r="G7" s="402"/>
      <x:c r="H7" s="402"/>
      <x:c r="I7" s="402"/>
      <x:c r="J7" s="402"/>
      <x:c r="K7" s="402"/>
      <x:c r="L7" s="402"/>
      <x:c r="M7" s="402"/>
      <x:c r="N7" s="402"/>
      <x:c r="O7" s="402"/>
      <x:c r="P7" s="402"/>
      <x:c r="Q7" s="402"/>
      <x:c r="R7" s="402"/>
      <x:c r="S7" s="402"/>
      <x:c r="T7" s="402"/>
      <x:c r="U7" s="402"/>
      <x:c r="V7" s="402"/>
      <x:c r="W7" s="402"/>
      <x:c r="X7" s="402"/>
      <x:c r="Y7" s="402"/>
      <x:c r="Z7" s="402"/>
    </x:row>
    <x:row r="8">
      <x:c r="A8" s="402"/>
      <x:c r="B8" s="402"/>
      <x:c r="C8" s="402"/>
      <x:c r="D8" s="402"/>
      <x:c r="E8" s="402"/>
      <x:c r="F8" s="402"/>
      <x:c r="G8" s="402"/>
      <x:c r="H8" s="402"/>
      <x:c r="I8" s="402"/>
      <x:c r="J8" s="402"/>
      <x:c r="K8" s="402"/>
      <x:c r="L8" s="402"/>
      <x:c r="M8" s="402"/>
      <x:c r="N8" s="402"/>
      <x:c r="O8" s="402"/>
      <x:c r="P8" s="402"/>
      <x:c r="Q8" s="402"/>
      <x:c r="R8" s="402"/>
      <x:c r="S8" s="402"/>
      <x:c r="T8" s="402"/>
      <x:c r="U8" s="402"/>
      <x:c r="V8" s="402"/>
      <x:c r="W8" s="402"/>
      <x:c r="X8" s="402"/>
      <x:c r="Y8" s="402"/>
      <x:c r="Z8" s="402"/>
    </x:row>
    <x:row r="9">
      <x:c r="A9" s="402"/>
      <x:c r="B9" s="402"/>
      <x:c r="C9" s="402"/>
      <x:c r="D9" s="402"/>
      <x:c r="E9" s="402"/>
      <x:c r="F9" s="402"/>
      <x:c r="G9" s="402"/>
      <x:c r="H9" s="402"/>
      <x:c r="I9" s="402"/>
      <x:c r="J9" s="402"/>
      <x:c r="K9" s="402"/>
      <x:c r="L9" s="402"/>
      <x:c r="M9" s="402"/>
      <x:c r="N9" s="402"/>
      <x:c r="O9" s="402"/>
      <x:c r="P9" s="402"/>
      <x:c r="Q9" s="402"/>
      <x:c r="R9" s="402"/>
      <x:c r="S9" s="402"/>
      <x:c r="T9" s="402"/>
      <x:c r="U9" s="402"/>
      <x:c r="V9" s="402"/>
      <x:c r="W9" s="402"/>
      <x:c r="X9" s="402"/>
      <x:c r="Y9" s="402"/>
      <x:c r="Z9" s="402"/>
    </x:row>
    <x:row r="10">
      <x:c r="A10" s="402"/>
      <x:c r="B10" s="402"/>
      <x:c r="C10" s="402"/>
      <x:c r="D10" s="402"/>
      <x:c r="E10" s="402"/>
      <x:c r="F10" s="402"/>
      <x:c r="G10" s="402"/>
      <x:c r="H10" s="402"/>
      <x:c r="I10" s="402"/>
      <x:c r="J10" s="402"/>
      <x:c r="K10" s="402"/>
      <x:c r="L10" s="402"/>
      <x:c r="M10" s="402"/>
      <x:c r="N10" s="402"/>
      <x:c r="O10" s="402"/>
      <x:c r="P10" s="402"/>
      <x:c r="Q10" s="402"/>
      <x:c r="R10" s="402"/>
      <x:c r="S10" s="402"/>
      <x:c r="T10" s="402"/>
      <x:c r="U10" s="402"/>
      <x:c r="V10" s="402"/>
      <x:c r="W10" s="402"/>
      <x:c r="X10" s="402"/>
      <x:c r="Y10" s="402"/>
      <x:c r="Z10" s="402"/>
    </x:row>
    <x:row r="11">
      <x:c r="A11" s="402"/>
      <x:c r="B11" s="402"/>
      <x:c r="C11" s="402"/>
      <x:c r="D11" s="402"/>
      <x:c r="E11" s="402"/>
      <x:c r="F11" s="402"/>
      <x:c r="G11" s="402"/>
      <x:c r="H11" s="402"/>
      <x:c r="I11" s="402"/>
      <x:c r="J11" s="402"/>
      <x:c r="K11" s="402"/>
      <x:c r="L11" s="402"/>
      <x:c r="M11" s="402"/>
      <x:c r="N11" s="402"/>
      <x:c r="O11" s="402"/>
      <x:c r="P11" s="402"/>
      <x:c r="Q11" s="402"/>
      <x:c r="R11" s="402"/>
      <x:c r="S11" s="402"/>
      <x:c r="T11" s="402"/>
      <x:c r="U11" s="402"/>
      <x:c r="V11" s="402"/>
      <x:c r="W11" s="402"/>
      <x:c r="X11" s="402"/>
      <x:c r="Y11" s="402"/>
      <x:c r="Z11" s="402"/>
    </x:row>
    <x:row r="12">
      <x:c r="A12" s="402"/>
      <x:c r="B12" s="402"/>
      <x:c r="C12" s="402"/>
      <x:c r="D12" s="402"/>
      <x:c r="E12" s="402"/>
      <x:c r="F12" s="402"/>
      <x:c r="G12" s="402"/>
      <x:c r="H12" s="402"/>
      <x:c r="I12" s="402"/>
      <x:c r="J12" s="402"/>
      <x:c r="K12" s="402"/>
      <x:c r="L12" s="402"/>
      <x:c r="M12" s="402"/>
      <x:c r="N12" s="402"/>
      <x:c r="O12" s="402"/>
      <x:c r="P12" s="402"/>
      <x:c r="Q12" s="402"/>
      <x:c r="R12" s="402"/>
      <x:c r="S12" s="402"/>
      <x:c r="T12" s="402"/>
      <x:c r="U12" s="402"/>
      <x:c r="V12" s="402"/>
      <x:c r="W12" s="402"/>
      <x:c r="X12" s="402"/>
      <x:c r="Y12" s="402"/>
      <x:c r="Z12" s="402"/>
    </x:row>
    <x:row r="13">
      <x:c r="A13" s="402"/>
      <x:c r="B13" s="402"/>
      <x:c r="C13" s="402"/>
      <x:c r="D13" s="402"/>
      <x:c r="E13" s="402"/>
      <x:c r="F13" s="402"/>
      <x:c r="G13" s="402"/>
      <x:c r="H13" s="402"/>
      <x:c r="I13" s="402"/>
      <x:c r="J13" s="402"/>
      <x:c r="K13" s="402"/>
      <x:c r="L13" s="402"/>
      <x:c r="M13" s="402"/>
      <x:c r="N13" s="402"/>
      <x:c r="O13" s="402"/>
      <x:c r="P13" s="402"/>
      <x:c r="Q13" s="402"/>
      <x:c r="R13" s="402"/>
      <x:c r="S13" s="402"/>
      <x:c r="T13" s="402"/>
      <x:c r="U13" s="402"/>
      <x:c r="V13" s="402"/>
      <x:c r="W13" s="402"/>
      <x:c r="X13" s="402"/>
      <x:c r="Y13" s="402"/>
      <x:c r="Z13" s="402"/>
    </x:row>
    <x:row r="14">
      <x:c r="A14" s="402"/>
      <x:c r="B14" s="402"/>
      <x:c r="C14" s="402"/>
      <x:c r="D14" s="402"/>
      <x:c r="E14" s="402"/>
      <x:c r="F14" s="402"/>
      <x:c r="G14" s="402"/>
      <x:c r="H14" s="402"/>
      <x:c r="I14" s="402"/>
      <x:c r="J14" s="402"/>
      <x:c r="K14" s="402"/>
      <x:c r="L14" s="402"/>
      <x:c r="M14" s="402"/>
      <x:c r="N14" s="402"/>
      <x:c r="O14" s="402"/>
      <x:c r="P14" s="402"/>
      <x:c r="Q14" s="402"/>
      <x:c r="R14" s="402"/>
      <x:c r="S14" s="402"/>
      <x:c r="T14" s="402"/>
      <x:c r="U14" s="402"/>
      <x:c r="V14" s="402"/>
      <x:c r="W14" s="402"/>
      <x:c r="X14" s="402"/>
      <x:c r="Y14" s="402"/>
      <x:c r="Z14" s="402"/>
    </x:row>
    <x:row r="15">
      <x:c r="A15" s="402"/>
      <x:c r="B15" s="402"/>
      <x:c r="C15" s="402"/>
      <x:c r="D15" s="402"/>
      <x:c r="E15" s="402"/>
      <x:c r="F15" s="402"/>
      <x:c r="G15" s="402"/>
      <x:c r="H15" s="402"/>
      <x:c r="I15" s="402"/>
      <x:c r="J15" s="402"/>
      <x:c r="K15" s="402"/>
      <x:c r="L15" s="402"/>
      <x:c r="M15" s="402"/>
      <x:c r="N15" s="402"/>
      <x:c r="O15" s="402"/>
      <x:c r="P15" s="402"/>
      <x:c r="Q15" s="402"/>
      <x:c r="R15" s="402"/>
      <x:c r="S15" s="402"/>
      <x:c r="T15" s="402"/>
      <x:c r="U15" s="402"/>
      <x:c r="V15" s="402"/>
      <x:c r="W15" s="402"/>
      <x:c r="X15" s="402"/>
      <x:c r="Y15" s="402"/>
      <x:c r="Z15" s="402"/>
    </x:row>
    <x:row r="16">
      <x:c r="A16" s="402"/>
      <x:c r="B16" s="402"/>
      <x:c r="C16" s="402"/>
      <x:c r="D16" s="402"/>
      <x:c r="E16" s="402"/>
      <x:c r="F16" s="402"/>
      <x:c r="G16" s="402"/>
      <x:c r="H16" s="402"/>
      <x:c r="I16" s="402"/>
      <x:c r="J16" s="402"/>
      <x:c r="K16" s="402"/>
      <x:c r="L16" s="402"/>
      <x:c r="M16" s="402"/>
      <x:c r="N16" s="402"/>
      <x:c r="O16" s="402"/>
      <x:c r="P16" s="402"/>
      <x:c r="Q16" s="402"/>
      <x:c r="R16" s="402"/>
      <x:c r="S16" s="402"/>
      <x:c r="T16" s="402"/>
      <x:c r="U16" s="402"/>
      <x:c r="V16" s="402"/>
      <x:c r="W16" s="402"/>
      <x:c r="X16" s="402"/>
      <x:c r="Y16" s="402"/>
      <x:c r="Z16" s="402"/>
    </x:row>
    <x:row r="17">
      <x:c r="A17" s="402"/>
      <x:c r="B17" s="402"/>
      <x:c r="C17" s="402"/>
      <x:c r="D17" s="402"/>
      <x:c r="E17" s="402"/>
      <x:c r="F17" s="402"/>
      <x:c r="G17" s="402"/>
      <x:c r="H17" s="402"/>
      <x:c r="I17" s="402"/>
      <x:c r="J17" s="402"/>
      <x:c r="K17" s="402"/>
      <x:c r="L17" s="402"/>
      <x:c r="M17" s="402"/>
      <x:c r="N17" s="402"/>
      <x:c r="O17" s="402"/>
      <x:c r="P17" s="402"/>
      <x:c r="Q17" s="402"/>
      <x:c r="R17" s="402"/>
      <x:c r="S17" s="402"/>
      <x:c r="T17" s="402"/>
      <x:c r="U17" s="402"/>
      <x:c r="V17" s="402"/>
      <x:c r="W17" s="402"/>
      <x:c r="X17" s="402"/>
      <x:c r="Y17" s="402"/>
      <x:c r="Z17" s="402"/>
    </x:row>
    <x:row r="18">
      <x:c r="A18" s="402"/>
      <x:c r="B18" s="402"/>
      <x:c r="C18" s="402"/>
      <x:c r="D18" s="402"/>
      <x:c r="E18" s="402"/>
      <x:c r="F18" s="402"/>
      <x:c r="G18" s="402"/>
      <x:c r="H18" s="402"/>
      <x:c r="I18" s="402"/>
      <x:c r="J18" s="402"/>
      <x:c r="K18" s="402"/>
      <x:c r="L18" s="402"/>
      <x:c r="M18" s="402"/>
      <x:c r="N18" s="402"/>
      <x:c r="O18" s="402"/>
      <x:c r="P18" s="402"/>
      <x:c r="Q18" s="402"/>
      <x:c r="R18" s="402"/>
      <x:c r="S18" s="402"/>
      <x:c r="T18" s="402"/>
      <x:c r="U18" s="402"/>
      <x:c r="V18" s="402"/>
      <x:c r="W18" s="402"/>
      <x:c r="X18" s="402"/>
      <x:c r="Y18" s="402"/>
      <x:c r="Z18" s="402"/>
    </x:row>
    <x:row r="19">
      <x:c r="A19" s="402"/>
      <x:c r="B19" s="402"/>
      <x:c r="C19" s="402"/>
      <x:c r="D19" s="402"/>
      <x:c r="E19" s="402"/>
      <x:c r="F19" s="402"/>
      <x:c r="G19" s="402"/>
      <x:c r="H19" s="402"/>
      <x:c r="I19" s="402"/>
      <x:c r="J19" s="402"/>
      <x:c r="K19" s="402"/>
      <x:c r="L19" s="402"/>
      <x:c r="M19" s="402"/>
      <x:c r="N19" s="402"/>
      <x:c r="O19" s="402"/>
      <x:c r="P19" s="402"/>
      <x:c r="Q19" s="402"/>
      <x:c r="R19" s="402"/>
      <x:c r="S19" s="402"/>
      <x:c r="T19" s="402"/>
      <x:c r="U19" s="402"/>
      <x:c r="V19" s="402"/>
      <x:c r="W19" s="402"/>
      <x:c r="X19" s="402"/>
      <x:c r="Y19" s="402"/>
      <x:c r="Z19" s="402"/>
    </x:row>
    <x:row r="20">
      <x:c r="A20" s="402"/>
      <x:c r="B20" s="402"/>
      <x:c r="C20" s="402"/>
      <x:c r="D20" s="402"/>
      <x:c r="E20" s="402"/>
      <x:c r="F20" s="402"/>
      <x:c r="G20" s="402"/>
      <x:c r="H20" s="402"/>
      <x:c r="I20" s="402"/>
      <x:c r="J20" s="402"/>
      <x:c r="K20" s="402"/>
      <x:c r="L20" s="402"/>
      <x:c r="M20" s="402"/>
      <x:c r="N20" s="402"/>
      <x:c r="O20" s="402"/>
      <x:c r="P20" s="402"/>
      <x:c r="Q20" s="402"/>
      <x:c r="R20" s="402"/>
      <x:c r="S20" s="402"/>
      <x:c r="T20" s="402"/>
      <x:c r="U20" s="402"/>
      <x:c r="V20" s="402"/>
      <x:c r="W20" s="402"/>
      <x:c r="X20" s="402"/>
      <x:c r="Y20" s="402"/>
      <x:c r="Z20" s="402"/>
    </x:row>
    <x:row r="21">
      <x:c r="A21" s="402"/>
      <x:c r="B21" s="402"/>
      <x:c r="C21" s="402"/>
      <x:c r="D21" s="402"/>
      <x:c r="E21" s="402"/>
      <x:c r="F21" s="402"/>
      <x:c r="G21" s="402"/>
      <x:c r="H21" s="402"/>
      <x:c r="I21" s="402"/>
      <x:c r="J21" s="402"/>
      <x:c r="K21" s="402"/>
      <x:c r="L21" s="402"/>
      <x:c r="M21" s="402"/>
      <x:c r="N21" s="402"/>
      <x:c r="O21" s="402"/>
      <x:c r="P21" s="402"/>
      <x:c r="Q21" s="402"/>
      <x:c r="R21" s="402"/>
      <x:c r="S21" s="402"/>
      <x:c r="T21" s="402"/>
      <x:c r="U21" s="402"/>
      <x:c r="V21" s="402"/>
      <x:c r="W21" s="402"/>
      <x:c r="X21" s="402"/>
      <x:c r="Y21" s="402"/>
      <x:c r="Z21" s="402"/>
    </x:row>
    <x:row r="22">
      <x:c r="A22" s="402"/>
      <x:c r="B22" s="402"/>
      <x:c r="C22" s="402"/>
      <x:c r="D22" s="402"/>
      <x:c r="E22" s="402"/>
      <x:c r="F22" s="402"/>
      <x:c r="G22" s="402"/>
      <x:c r="H22" s="402"/>
      <x:c r="I22" s="402"/>
      <x:c r="J22" s="402"/>
      <x:c r="K22" s="402"/>
      <x:c r="L22" s="402"/>
      <x:c r="M22" s="402"/>
      <x:c r="N22" s="402"/>
      <x:c r="O22" s="402"/>
      <x:c r="P22" s="402"/>
      <x:c r="Q22" s="402"/>
      <x:c r="R22" s="402"/>
      <x:c r="S22" s="402"/>
      <x:c r="T22" s="402"/>
      <x:c r="U22" s="402"/>
      <x:c r="V22" s="402"/>
      <x:c r="W22" s="402"/>
      <x:c r="X22" s="402"/>
      <x:c r="Y22" s="402"/>
      <x:c r="Z22" s="402"/>
    </x:row>
    <x:row r="23">
      <x:c r="A23" s="402"/>
      <x:c r="B23" s="402"/>
      <x:c r="C23" s="402"/>
      <x:c r="D23" s="402"/>
      <x:c r="E23" s="402"/>
      <x:c r="F23" s="402"/>
      <x:c r="G23" s="402"/>
      <x:c r="H23" s="402"/>
      <x:c r="I23" s="402"/>
      <x:c r="J23" s="402"/>
      <x:c r="K23" s="402"/>
      <x:c r="L23" s="402"/>
      <x:c r="M23" s="402"/>
      <x:c r="N23" s="402"/>
      <x:c r="O23" s="402"/>
      <x:c r="P23" s="402"/>
      <x:c r="Q23" s="402"/>
      <x:c r="R23" s="402"/>
      <x:c r="S23" s="402"/>
      <x:c r="T23" s="402"/>
      <x:c r="U23" s="402"/>
      <x:c r="V23" s="402"/>
      <x:c r="W23" s="402"/>
      <x:c r="X23" s="402"/>
      <x:c r="Y23" s="402"/>
      <x:c r="Z23" s="402"/>
    </x:row>
    <x:row r="24">
      <x:c r="A24" s="402"/>
      <x:c r="B24" s="402"/>
      <x:c r="C24" s="402"/>
      <x:c r="D24" s="402"/>
      <x:c r="E24" s="402"/>
      <x:c r="F24" s="402"/>
      <x:c r="G24" s="402"/>
      <x:c r="H24" s="402"/>
      <x:c r="I24" s="402"/>
      <x:c r="J24" s="402"/>
      <x:c r="K24" s="402"/>
      <x:c r="L24" s="402"/>
      <x:c r="M24" s="402"/>
      <x:c r="N24" s="402"/>
      <x:c r="O24" s="402"/>
      <x:c r="P24" s="402"/>
      <x:c r="Q24" s="402"/>
      <x:c r="R24" s="402"/>
      <x:c r="S24" s="402"/>
      <x:c r="T24" s="402"/>
      <x:c r="U24" s="402"/>
      <x:c r="V24" s="402"/>
      <x:c r="W24" s="402"/>
      <x:c r="X24" s="402"/>
      <x:c r="Y24" s="402"/>
      <x:c r="Z24" s="402"/>
    </x:row>
    <x:row r="25">
      <x:c r="A25" s="402"/>
      <x:c r="B25" s="402"/>
      <x:c r="C25" s="402"/>
      <x:c r="D25" s="402"/>
      <x:c r="E25" s="402"/>
      <x:c r="F25" s="402"/>
      <x:c r="G25" s="402"/>
      <x:c r="H25" s="402"/>
      <x:c r="I25" s="402"/>
      <x:c r="J25" s="402"/>
      <x:c r="K25" s="402"/>
      <x:c r="L25" s="402"/>
      <x:c r="M25" s="402"/>
      <x:c r="N25" s="402"/>
      <x:c r="O25" s="402"/>
      <x:c r="P25" s="402"/>
      <x:c r="Q25" s="402"/>
      <x:c r="R25" s="402"/>
      <x:c r="S25" s="402"/>
      <x:c r="T25" s="402"/>
      <x:c r="U25" s="402"/>
      <x:c r="V25" s="402"/>
      <x:c r="W25" s="402"/>
      <x:c r="X25" s="402"/>
      <x:c r="Y25" s="402"/>
      <x:c r="Z25" s="402"/>
    </x:row>
    <x:row r="26">
      <x:c r="A26" s="402"/>
      <x:c r="B26" s="402"/>
      <x:c r="C26" s="402"/>
      <x:c r="D26" s="402"/>
      <x:c r="E26" s="402"/>
      <x:c r="F26" s="402"/>
      <x:c r="G26" s="402"/>
      <x:c r="H26" s="402"/>
      <x:c r="I26" s="402"/>
      <x:c r="J26" s="402"/>
      <x:c r="K26" s="402"/>
      <x:c r="L26" s="402"/>
      <x:c r="M26" s="402"/>
      <x:c r="N26" s="402"/>
      <x:c r="O26" s="402"/>
      <x:c r="P26" s="402"/>
      <x:c r="Q26" s="402"/>
      <x:c r="R26" s="402"/>
      <x:c r="S26" s="402"/>
      <x:c r="T26" s="402"/>
      <x:c r="U26" s="402"/>
      <x:c r="V26" s="402"/>
      <x:c r="W26" s="402"/>
      <x:c r="X26" s="402"/>
      <x:c r="Y26" s="402"/>
      <x:c r="Z26" s="402"/>
    </x:row>
    <x:row r="27">
      <x:c r="A27" s="402"/>
      <x:c r="B27" s="402"/>
      <x:c r="C27" s="402"/>
      <x:c r="D27" s="402"/>
      <x:c r="E27" s="402"/>
      <x:c r="F27" s="402"/>
      <x:c r="G27" s="402"/>
      <x:c r="H27" s="402"/>
      <x:c r="I27" s="402"/>
      <x:c r="J27" s="402"/>
      <x:c r="K27" s="402"/>
      <x:c r="L27" s="402"/>
      <x:c r="M27" s="402"/>
      <x:c r="N27" s="402"/>
      <x:c r="O27" s="402"/>
      <x:c r="P27" s="402"/>
      <x:c r="Q27" s="402"/>
      <x:c r="R27" s="402"/>
      <x:c r="S27" s="402"/>
      <x:c r="T27" s="402"/>
      <x:c r="U27" s="402"/>
      <x:c r="V27" s="402"/>
      <x:c r="W27" s="402"/>
      <x:c r="X27" s="402"/>
      <x:c r="Y27" s="402"/>
      <x:c r="Z27" s="402"/>
    </x:row>
    <x:row r="28">
      <x:c r="A28" s="402"/>
      <x:c r="B28" s="402"/>
      <x:c r="C28" s="402"/>
      <x:c r="D28" s="402"/>
      <x:c r="E28" s="402"/>
      <x:c r="F28" s="402"/>
      <x:c r="G28" s="402"/>
      <x:c r="H28" s="402"/>
      <x:c r="I28" s="402"/>
      <x:c r="J28" s="402"/>
      <x:c r="K28" s="402"/>
      <x:c r="L28" s="402"/>
      <x:c r="M28" s="402"/>
      <x:c r="N28" s="402"/>
      <x:c r="O28" s="402"/>
      <x:c r="P28" s="402"/>
      <x:c r="Q28" s="402"/>
      <x:c r="R28" s="402"/>
      <x:c r="S28" s="402"/>
      <x:c r="T28" s="402"/>
      <x:c r="U28" s="402"/>
      <x:c r="V28" s="402"/>
      <x:c r="W28" s="402"/>
      <x:c r="X28" s="402"/>
      <x:c r="Y28" s="402"/>
      <x:c r="Z28" s="402"/>
    </x:row>
    <x:row r="29">
      <x:c r="A29" s="402"/>
      <x:c r="B29" s="402"/>
      <x:c r="C29" s="402"/>
      <x:c r="D29" s="402"/>
      <x:c r="E29" s="402"/>
      <x:c r="F29" s="402"/>
      <x:c r="G29" s="402"/>
      <x:c r="H29" s="402"/>
      <x:c r="I29" s="402"/>
      <x:c r="J29" s="402"/>
      <x:c r="K29" s="402"/>
      <x:c r="L29" s="402"/>
      <x:c r="M29" s="402"/>
      <x:c r="N29" s="402"/>
      <x:c r="O29" s="402"/>
      <x:c r="P29" s="402"/>
      <x:c r="Q29" s="402"/>
      <x:c r="R29" s="402"/>
      <x:c r="S29" s="402"/>
      <x:c r="T29" s="402"/>
      <x:c r="U29" s="402"/>
      <x:c r="V29" s="402"/>
      <x:c r="W29" s="402"/>
      <x:c r="X29" s="402"/>
      <x:c r="Y29" s="402"/>
      <x:c r="Z29" s="402"/>
    </x:row>
    <x:row r="30">
      <x:c r="A30" s="402"/>
      <x:c r="B30" s="402"/>
      <x:c r="C30" s="402"/>
      <x:c r="D30" s="402"/>
      <x:c r="E30" s="402"/>
      <x:c r="F30" s="402"/>
      <x:c r="G30" s="402"/>
      <x:c r="H30" s="402"/>
      <x:c r="I30" s="402"/>
      <x:c r="J30" s="402"/>
      <x:c r="K30" s="402"/>
      <x:c r="L30" s="402"/>
      <x:c r="M30" s="402"/>
      <x:c r="N30" s="402"/>
      <x:c r="O30" s="402"/>
      <x:c r="P30" s="402"/>
      <x:c r="Q30" s="402"/>
      <x:c r="R30" s="402"/>
      <x:c r="S30" s="402"/>
      <x:c r="T30" s="402"/>
      <x:c r="U30" s="402"/>
      <x:c r="V30" s="402"/>
      <x:c r="W30" s="402"/>
      <x:c r="X30" s="402"/>
      <x:c r="Y30" s="402"/>
      <x:c r="Z30" s="402"/>
    </x:row>
    <x:row r="31">
      <x:c r="A31" s="402"/>
      <x:c r="B31" s="402"/>
      <x:c r="C31" s="402"/>
      <x:c r="D31" s="402"/>
      <x:c r="E31" s="402"/>
      <x:c r="F31" s="402"/>
      <x:c r="G31" s="402"/>
      <x:c r="H31" s="402"/>
      <x:c r="I31" s="402"/>
      <x:c r="J31" s="402"/>
      <x:c r="K31" s="402"/>
      <x:c r="L31" s="402"/>
      <x:c r="M31" s="402"/>
      <x:c r="N31" s="402"/>
      <x:c r="O31" s="402"/>
      <x:c r="P31" s="402"/>
      <x:c r="Q31" s="402"/>
      <x:c r="R31" s="402"/>
      <x:c r="S31" s="402"/>
      <x:c r="T31" s="402"/>
      <x:c r="U31" s="402"/>
      <x:c r="V31" s="402"/>
      <x:c r="W31" s="402"/>
      <x:c r="X31" s="402"/>
      <x:c r="Y31" s="402"/>
      <x:c r="Z31" s="402"/>
    </x:row>
    <x:row r="32">
      <x:c r="A32" s="402"/>
      <x:c r="B32" s="402"/>
      <x:c r="C32" s="402"/>
      <x:c r="D32" s="402"/>
      <x:c r="E32" s="402"/>
      <x:c r="F32" s="402"/>
      <x:c r="G32" s="402"/>
      <x:c r="H32" s="402"/>
      <x:c r="I32" s="402"/>
      <x:c r="J32" s="402"/>
      <x:c r="K32" s="402"/>
      <x:c r="L32" s="402"/>
      <x:c r="M32" s="402"/>
      <x:c r="N32" s="402"/>
      <x:c r="O32" s="402"/>
      <x:c r="P32" s="402"/>
      <x:c r="Q32" s="402"/>
      <x:c r="R32" s="402"/>
      <x:c r="S32" s="402"/>
      <x:c r="T32" s="402"/>
      <x:c r="U32" s="402"/>
      <x:c r="V32" s="402"/>
      <x:c r="W32" s="402"/>
      <x:c r="X32" s="402"/>
      <x:c r="Y32" s="402"/>
      <x:c r="Z32" s="402"/>
    </x:row>
    <x:row r="33">
      <x:c r="A33" s="402"/>
      <x:c r="B33" s="402"/>
      <x:c r="C33" s="402"/>
      <x:c r="D33" s="402"/>
      <x:c r="E33" s="402"/>
      <x:c r="F33" s="402"/>
      <x:c r="G33" s="402"/>
      <x:c r="H33" s="402"/>
      <x:c r="I33" s="402"/>
      <x:c r="J33" s="402"/>
      <x:c r="K33" s="402"/>
      <x:c r="L33" s="402"/>
      <x:c r="M33" s="402"/>
      <x:c r="N33" s="402"/>
      <x:c r="O33" s="402"/>
      <x:c r="P33" s="402"/>
      <x:c r="Q33" s="402"/>
      <x:c r="R33" s="402"/>
      <x:c r="S33" s="402"/>
      <x:c r="T33" s="402"/>
      <x:c r="U33" s="402"/>
      <x:c r="V33" s="402"/>
      <x:c r="W33" s="402"/>
      <x:c r="X33" s="402"/>
      <x:c r="Y33" s="402"/>
      <x:c r="Z33" s="402"/>
    </x:row>
    <x:row r="34">
      <x:c r="A34" s="402"/>
      <x:c r="B34" s="402"/>
      <x:c r="C34" s="402"/>
      <x:c r="D34" s="402"/>
      <x:c r="E34" s="402"/>
      <x:c r="F34" s="402"/>
      <x:c r="G34" s="402"/>
      <x:c r="H34" s="402"/>
      <x:c r="I34" s="402"/>
      <x:c r="J34" s="402"/>
      <x:c r="K34" s="402"/>
      <x:c r="L34" s="402"/>
      <x:c r="M34" s="402"/>
      <x:c r="N34" s="402"/>
      <x:c r="O34" s="402"/>
      <x:c r="P34" s="402"/>
      <x:c r="Q34" s="402"/>
      <x:c r="R34" s="402"/>
      <x:c r="S34" s="402"/>
      <x:c r="T34" s="402"/>
      <x:c r="U34" s="402"/>
      <x:c r="V34" s="402"/>
      <x:c r="W34" s="402"/>
      <x:c r="X34" s="402"/>
      <x:c r="Y34" s="402"/>
      <x:c r="Z34" s="402"/>
    </x:row>
    <x:row r="35">
      <x:c r="A35" s="402"/>
      <x:c r="B35" s="402"/>
      <x:c r="C35" s="402"/>
      <x:c r="D35" s="402"/>
      <x:c r="E35" s="402"/>
      <x:c r="F35" s="402"/>
      <x:c r="G35" s="402"/>
      <x:c r="H35" s="402"/>
      <x:c r="I35" s="402"/>
      <x:c r="J35" s="402"/>
      <x:c r="K35" s="402"/>
      <x:c r="L35" s="402"/>
      <x:c r="M35" s="402"/>
      <x:c r="N35" s="402"/>
      <x:c r="O35" s="402"/>
      <x:c r="P35" s="402"/>
      <x:c r="Q35" s="402"/>
      <x:c r="R35" s="402"/>
      <x:c r="S35" s="402"/>
      <x:c r="T35" s="402"/>
      <x:c r="U35" s="402"/>
      <x:c r="V35" s="402"/>
      <x:c r="W35" s="402"/>
      <x:c r="X35" s="402"/>
      <x:c r="Y35" s="402"/>
      <x:c r="Z35" s="402"/>
    </x:row>
    <x:row r="36">
      <x:c r="A36" s="402"/>
      <x:c r="B36" s="402"/>
      <x:c r="C36" s="402"/>
      <x:c r="D36" s="402"/>
      <x:c r="E36" s="402"/>
      <x:c r="F36" s="402"/>
      <x:c r="G36" s="402"/>
      <x:c r="H36" s="402"/>
      <x:c r="I36" s="402"/>
      <x:c r="J36" s="402"/>
      <x:c r="K36" s="402"/>
      <x:c r="L36" s="402"/>
      <x:c r="M36" s="402"/>
      <x:c r="N36" s="402"/>
      <x:c r="O36" s="402"/>
      <x:c r="P36" s="402"/>
      <x:c r="Q36" s="402"/>
      <x:c r="R36" s="402"/>
      <x:c r="S36" s="402"/>
      <x:c r="T36" s="402"/>
      <x:c r="U36" s="402"/>
      <x:c r="V36" s="402"/>
      <x:c r="W36" s="402"/>
      <x:c r="X36" s="402"/>
      <x:c r="Y36" s="402"/>
      <x:c r="Z36" s="402"/>
    </x:row>
    <x:row r="37">
      <x:c r="A37" s="402"/>
      <x:c r="B37" s="402"/>
      <x:c r="C37" s="402"/>
      <x:c r="D37" s="402"/>
      <x:c r="E37" s="402"/>
      <x:c r="F37" s="402"/>
      <x:c r="G37" s="402"/>
      <x:c r="H37" s="402"/>
      <x:c r="I37" s="402"/>
      <x:c r="J37" s="402"/>
      <x:c r="K37" s="402"/>
      <x:c r="L37" s="402"/>
      <x:c r="M37" s="402"/>
      <x:c r="N37" s="402"/>
      <x:c r="O37" s="402"/>
      <x:c r="P37" s="402"/>
      <x:c r="Q37" s="402"/>
      <x:c r="R37" s="402"/>
      <x:c r="S37" s="402"/>
      <x:c r="T37" s="402"/>
      <x:c r="U37" s="402"/>
      <x:c r="V37" s="402"/>
      <x:c r="W37" s="402"/>
      <x:c r="X37" s="402"/>
      <x:c r="Y37" s="402"/>
      <x:c r="Z37" s="402"/>
    </x:row>
    <x:row r="38">
      <x:c r="A38" s="402"/>
      <x:c r="B38" s="402"/>
      <x:c r="C38" s="402"/>
      <x:c r="D38" s="402"/>
      <x:c r="E38" s="402"/>
      <x:c r="F38" s="402"/>
      <x:c r="G38" s="402"/>
      <x:c r="H38" s="402"/>
      <x:c r="I38" s="402"/>
      <x:c r="J38" s="402"/>
      <x:c r="K38" s="402"/>
      <x:c r="L38" s="402"/>
      <x:c r="M38" s="402"/>
      <x:c r="N38" s="402"/>
      <x:c r="O38" s="402"/>
      <x:c r="P38" s="402"/>
      <x:c r="Q38" s="402"/>
      <x:c r="R38" s="402"/>
      <x:c r="S38" s="402"/>
      <x:c r="T38" s="402"/>
      <x:c r="U38" s="402"/>
      <x:c r="V38" s="402"/>
      <x:c r="W38" s="402"/>
      <x:c r="X38" s="402"/>
      <x:c r="Y38" s="402"/>
      <x:c r="Z38" s="402"/>
    </x:row>
    <x:row r="39">
      <x:c r="A39" s="402"/>
      <x:c r="B39" s="402"/>
      <x:c r="C39" s="402"/>
      <x:c r="D39" s="402"/>
      <x:c r="E39" s="402"/>
      <x:c r="F39" s="402"/>
      <x:c r="G39" s="402"/>
      <x:c r="H39" s="402"/>
      <x:c r="I39" s="402"/>
      <x:c r="J39" s="402"/>
      <x:c r="K39" s="402"/>
      <x:c r="L39" s="402"/>
      <x:c r="M39" s="402"/>
      <x:c r="N39" s="402"/>
      <x:c r="O39" s="402"/>
      <x:c r="P39" s="402"/>
      <x:c r="Q39" s="402"/>
      <x:c r="R39" s="402"/>
      <x:c r="S39" s="402"/>
      <x:c r="T39" s="402"/>
      <x:c r="U39" s="402"/>
      <x:c r="V39" s="402"/>
      <x:c r="W39" s="402"/>
      <x:c r="X39" s="402"/>
      <x:c r="Y39" s="402"/>
      <x:c r="Z39" s="402"/>
    </x:row>
    <x:row r="40">
      <x:c r="A40" s="402"/>
      <x:c r="B40" s="402"/>
      <x:c r="C40" s="402"/>
      <x:c r="D40" s="402"/>
      <x:c r="E40" s="402"/>
      <x:c r="F40" s="402"/>
      <x:c r="G40" s="402"/>
      <x:c r="H40" s="402"/>
      <x:c r="I40" s="402"/>
      <x:c r="J40" s="402"/>
      <x:c r="K40" s="402"/>
      <x:c r="L40" s="402"/>
      <x:c r="M40" s="402"/>
      <x:c r="N40" s="402"/>
      <x:c r="O40" s="402"/>
      <x:c r="P40" s="402"/>
      <x:c r="Q40" s="402"/>
      <x:c r="R40" s="402"/>
      <x:c r="S40" s="402"/>
      <x:c r="T40" s="402"/>
      <x:c r="U40" s="402"/>
      <x:c r="V40" s="402"/>
      <x:c r="W40" s="402"/>
      <x:c r="X40" s="402"/>
      <x:c r="Y40" s="402"/>
      <x:c r="Z40" s="402"/>
    </x:row>
    <x:row r="41">
      <x:c r="A41" s="402"/>
      <x:c r="B41" s="402"/>
      <x:c r="C41" s="402"/>
      <x:c r="D41" s="402"/>
      <x:c r="E41" s="402"/>
      <x:c r="F41" s="402"/>
      <x:c r="G41" s="402"/>
      <x:c r="H41" s="402"/>
      <x:c r="I41" s="402"/>
      <x:c r="J41" s="402"/>
      <x:c r="K41" s="402"/>
      <x:c r="L41" s="402"/>
      <x:c r="M41" s="402"/>
      <x:c r="N41" s="402"/>
      <x:c r="O41" s="402"/>
      <x:c r="P41" s="402"/>
      <x:c r="Q41" s="402"/>
      <x:c r="R41" s="402"/>
      <x:c r="S41" s="402"/>
      <x:c r="T41" s="402"/>
      <x:c r="U41" s="402"/>
      <x:c r="V41" s="402"/>
      <x:c r="W41" s="402"/>
      <x:c r="X41" s="402"/>
      <x:c r="Y41" s="402"/>
      <x:c r="Z41" s="402"/>
    </x:row>
    <x:row r="42">
      <x:c r="A42" s="402"/>
      <x:c r="B42" s="402"/>
      <x:c r="C42" s="402"/>
      <x:c r="D42" s="402"/>
      <x:c r="E42" s="402"/>
      <x:c r="F42" s="402"/>
      <x:c r="G42" s="402"/>
      <x:c r="H42" s="402"/>
      <x:c r="I42" s="402"/>
      <x:c r="J42" s="402"/>
      <x:c r="K42" s="402"/>
      <x:c r="L42" s="402"/>
      <x:c r="M42" s="402"/>
      <x:c r="N42" s="402"/>
      <x:c r="O42" s="402"/>
      <x:c r="P42" s="402"/>
      <x:c r="Q42" s="402"/>
      <x:c r="R42" s="402"/>
      <x:c r="S42" s="402"/>
      <x:c r="T42" s="402"/>
      <x:c r="U42" s="402"/>
      <x:c r="V42" s="402"/>
      <x:c r="W42" s="402"/>
      <x:c r="X42" s="402"/>
      <x:c r="Y42" s="402"/>
      <x:c r="Z42" s="402"/>
    </x:row>
    <x:row r="43">
      <x:c r="A43" s="402"/>
      <x:c r="B43" s="402"/>
      <x:c r="C43" s="402"/>
      <x:c r="D43" s="402"/>
      <x:c r="E43" s="402"/>
      <x:c r="F43" s="402"/>
      <x:c r="G43" s="402"/>
      <x:c r="H43" s="402"/>
      <x:c r="I43" s="402"/>
      <x:c r="J43" s="402"/>
      <x:c r="K43" s="402"/>
      <x:c r="L43" s="402"/>
      <x:c r="M43" s="402"/>
      <x:c r="N43" s="402"/>
      <x:c r="O43" s="402"/>
      <x:c r="P43" s="402"/>
      <x:c r="Q43" s="402"/>
      <x:c r="R43" s="402"/>
      <x:c r="S43" s="402"/>
      <x:c r="T43" s="402"/>
      <x:c r="U43" s="402"/>
      <x:c r="V43" s="402"/>
      <x:c r="W43" s="402"/>
      <x:c r="X43" s="402"/>
      <x:c r="Y43" s="402"/>
      <x:c r="Z43" s="402"/>
    </x:row>
    <x:row r="44">
      <x:c r="A44" s="402"/>
      <x:c r="B44" s="402"/>
      <x:c r="C44" s="402"/>
      <x:c r="D44" s="402"/>
      <x:c r="E44" s="402"/>
      <x:c r="F44" s="402"/>
      <x:c r="G44" s="402"/>
      <x:c r="H44" s="402"/>
      <x:c r="I44" s="402"/>
      <x:c r="J44" s="402"/>
      <x:c r="K44" s="402"/>
      <x:c r="L44" s="402"/>
      <x:c r="M44" s="402"/>
      <x:c r="N44" s="402"/>
      <x:c r="O44" s="402"/>
      <x:c r="P44" s="402"/>
      <x:c r="Q44" s="402"/>
      <x:c r="R44" s="402"/>
      <x:c r="S44" s="402"/>
      <x:c r="T44" s="402"/>
      <x:c r="U44" s="402"/>
      <x:c r="V44" s="402"/>
      <x:c r="W44" s="402"/>
      <x:c r="X44" s="402"/>
      <x:c r="Y44" s="402"/>
      <x:c r="Z44" s="402"/>
    </x:row>
    <x:row r="45">
      <x:c r="A45" s="402"/>
      <x:c r="B45" s="402"/>
      <x:c r="C45" s="402"/>
      <x:c r="D45" s="402"/>
      <x:c r="E45" s="402"/>
      <x:c r="F45" s="402"/>
      <x:c r="G45" s="402"/>
      <x:c r="H45" s="402"/>
      <x:c r="I45" s="402"/>
      <x:c r="J45" s="402"/>
      <x:c r="K45" s="402"/>
      <x:c r="L45" s="402"/>
      <x:c r="M45" s="402"/>
      <x:c r="N45" s="402"/>
      <x:c r="O45" s="402"/>
      <x:c r="P45" s="402"/>
      <x:c r="Q45" s="402"/>
      <x:c r="R45" s="402"/>
      <x:c r="S45" s="402"/>
      <x:c r="T45" s="402"/>
      <x:c r="U45" s="402"/>
      <x:c r="V45" s="402"/>
      <x:c r="W45" s="402"/>
      <x:c r="X45" s="402"/>
      <x:c r="Y45" s="402"/>
      <x:c r="Z45" s="402"/>
    </x:row>
    <x:row r="46">
      <x:c r="A46" s="402"/>
      <x:c r="B46" s="402"/>
      <x:c r="C46" s="402"/>
      <x:c r="D46" s="402"/>
      <x:c r="E46" s="402"/>
      <x:c r="F46" s="402"/>
      <x:c r="G46" s="402"/>
      <x:c r="H46" s="402"/>
      <x:c r="I46" s="402"/>
      <x:c r="J46" s="402"/>
      <x:c r="K46" s="402"/>
      <x:c r="L46" s="402"/>
      <x:c r="M46" s="402"/>
      <x:c r="N46" s="402"/>
      <x:c r="O46" s="402"/>
      <x:c r="P46" s="402"/>
      <x:c r="Q46" s="402"/>
      <x:c r="R46" s="402"/>
      <x:c r="S46" s="402"/>
      <x:c r="T46" s="402"/>
      <x:c r="U46" s="402"/>
      <x:c r="V46" s="402"/>
      <x:c r="W46" s="402"/>
      <x:c r="X46" s="402"/>
      <x:c r="Y46" s="402"/>
      <x:c r="Z46" s="402"/>
    </x:row>
    <x:row r="47">
      <x:c r="A47" s="402"/>
      <x:c r="B47" s="402"/>
      <x:c r="C47" s="402"/>
      <x:c r="D47" s="402"/>
      <x:c r="E47" s="402"/>
      <x:c r="F47" s="402"/>
      <x:c r="G47" s="402"/>
      <x:c r="H47" s="402"/>
      <x:c r="I47" s="402"/>
      <x:c r="J47" s="402"/>
      <x:c r="K47" s="402"/>
      <x:c r="L47" s="402"/>
      <x:c r="M47" s="402"/>
      <x:c r="N47" s="402"/>
      <x:c r="O47" s="402"/>
      <x:c r="P47" s="402"/>
      <x:c r="Q47" s="402"/>
      <x:c r="R47" s="402"/>
      <x:c r="S47" s="402"/>
      <x:c r="T47" s="402"/>
      <x:c r="U47" s="402"/>
      <x:c r="V47" s="402"/>
      <x:c r="W47" s="402"/>
      <x:c r="X47" s="402"/>
      <x:c r="Y47" s="402"/>
      <x:c r="Z47" s="402"/>
    </x:row>
    <x:row r="48">
      <x:c r="A48" s="402"/>
      <x:c r="B48" s="402"/>
      <x:c r="C48" s="402"/>
      <x:c r="D48" s="402"/>
      <x:c r="E48" s="402"/>
      <x:c r="F48" s="402"/>
      <x:c r="G48" s="402"/>
      <x:c r="H48" s="402"/>
      <x:c r="I48" s="402"/>
      <x:c r="J48" s="402"/>
      <x:c r="K48" s="402"/>
      <x:c r="L48" s="402"/>
      <x:c r="M48" s="402"/>
      <x:c r="N48" s="402"/>
      <x:c r="O48" s="402"/>
      <x:c r="P48" s="402"/>
      <x:c r="Q48" s="402"/>
      <x:c r="R48" s="402"/>
      <x:c r="S48" s="402"/>
      <x:c r="T48" s="402"/>
      <x:c r="U48" s="402"/>
      <x:c r="V48" s="402"/>
      <x:c r="W48" s="402"/>
      <x:c r="X48" s="402"/>
      <x:c r="Y48" s="402"/>
      <x:c r="Z48" s="402"/>
    </x:row>
    <x:row r="49">
      <x:c r="A49" s="402"/>
      <x:c r="B49" s="402"/>
      <x:c r="C49" s="402"/>
      <x:c r="D49" s="402"/>
      <x:c r="E49" s="402"/>
      <x:c r="F49" s="402"/>
      <x:c r="G49" s="402"/>
      <x:c r="H49" s="402"/>
      <x:c r="I49" s="402"/>
      <x:c r="J49" s="402"/>
      <x:c r="K49" s="402"/>
      <x:c r="L49" s="402"/>
      <x:c r="M49" s="402"/>
      <x:c r="N49" s="402"/>
      <x:c r="O49" s="402"/>
      <x:c r="P49" s="402"/>
      <x:c r="Q49" s="402"/>
      <x:c r="R49" s="402"/>
      <x:c r="S49" s="402"/>
      <x:c r="T49" s="402"/>
      <x:c r="U49" s="402"/>
      <x:c r="V49" s="402"/>
      <x:c r="W49" s="402"/>
      <x:c r="X49" s="402"/>
      <x:c r="Y49" s="402"/>
      <x:c r="Z49" s="402"/>
    </x:row>
    <x:row r="50">
      <x:c r="A50" s="402"/>
      <x:c r="B50" s="402"/>
      <x:c r="C50" s="402"/>
      <x:c r="D50" s="402"/>
      <x:c r="E50" s="402"/>
      <x:c r="F50" s="402"/>
      <x:c r="G50" s="402"/>
      <x:c r="H50" s="402"/>
      <x:c r="I50" s="402"/>
      <x:c r="J50" s="402"/>
      <x:c r="K50" s="402"/>
      <x:c r="L50" s="402"/>
      <x:c r="M50" s="402"/>
      <x:c r="N50" s="402"/>
      <x:c r="O50" s="402"/>
      <x:c r="P50" s="402"/>
      <x:c r="Q50" s="402"/>
      <x:c r="R50" s="402"/>
      <x:c r="S50" s="402"/>
      <x:c r="T50" s="402"/>
      <x:c r="U50" s="402"/>
      <x:c r="V50" s="402"/>
      <x:c r="W50" s="402"/>
      <x:c r="X50" s="402"/>
      <x:c r="Y50" s="402"/>
      <x:c r="Z50" s="402"/>
    </x:row>
    <x:row r="51">
      <x:c r="A51" s="402"/>
      <x:c r="B51" s="402"/>
      <x:c r="C51" s="402"/>
      <x:c r="D51" s="402"/>
      <x:c r="E51" s="402"/>
      <x:c r="F51" s="402"/>
      <x:c r="G51" s="402"/>
      <x:c r="H51" s="402"/>
      <x:c r="I51" s="402"/>
      <x:c r="J51" s="402"/>
      <x:c r="K51" s="402"/>
      <x:c r="L51" s="402"/>
      <x:c r="M51" s="402"/>
      <x:c r="N51" s="402"/>
      <x:c r="O51" s="402"/>
      <x:c r="P51" s="402"/>
      <x:c r="Q51" s="402"/>
      <x:c r="R51" s="402"/>
      <x:c r="S51" s="402"/>
      <x:c r="T51" s="402"/>
      <x:c r="U51" s="402"/>
      <x:c r="V51" s="402"/>
      <x:c r="W51" s="402"/>
      <x:c r="X51" s="402"/>
      <x:c r="Y51" s="402"/>
      <x:c r="Z51" s="402"/>
    </x:row>
    <x:row r="52">
      <x:c r="A52" s="402"/>
      <x:c r="B52" s="402"/>
      <x:c r="C52" s="402"/>
      <x:c r="D52" s="402"/>
      <x:c r="E52" s="402"/>
      <x:c r="F52" s="402"/>
      <x:c r="G52" s="402"/>
      <x:c r="H52" s="402"/>
      <x:c r="I52" s="402"/>
      <x:c r="J52" s="402"/>
      <x:c r="K52" s="402"/>
      <x:c r="L52" s="402"/>
      <x:c r="M52" s="402"/>
      <x:c r="N52" s="402"/>
      <x:c r="O52" s="402"/>
      <x:c r="P52" s="402"/>
      <x:c r="Q52" s="402"/>
      <x:c r="R52" s="402"/>
      <x:c r="S52" s="402"/>
      <x:c r="T52" s="402"/>
      <x:c r="U52" s="402"/>
      <x:c r="V52" s="402"/>
      <x:c r="W52" s="402"/>
      <x:c r="X52" s="402"/>
      <x:c r="Y52" s="402"/>
      <x:c r="Z52" s="402"/>
    </x:row>
    <x:row r="53">
      <x:c r="A53" s="402"/>
      <x:c r="B53" s="402"/>
      <x:c r="C53" s="402"/>
      <x:c r="D53" s="402"/>
      <x:c r="E53" s="402"/>
      <x:c r="F53" s="402"/>
      <x:c r="G53" s="402"/>
      <x:c r="H53" s="402"/>
      <x:c r="I53" s="402"/>
      <x:c r="J53" s="402"/>
      <x:c r="K53" s="402"/>
      <x:c r="L53" s="402"/>
      <x:c r="M53" s="402"/>
      <x:c r="N53" s="402"/>
      <x:c r="O53" s="402"/>
      <x:c r="P53" s="402"/>
      <x:c r="Q53" s="402"/>
      <x:c r="R53" s="402"/>
      <x:c r="S53" s="402"/>
      <x:c r="T53" s="402"/>
      <x:c r="U53" s="402"/>
      <x:c r="V53" s="402"/>
      <x:c r="W53" s="402"/>
      <x:c r="X53" s="402"/>
      <x:c r="Y53" s="402"/>
      <x:c r="Z53" s="402"/>
    </x:row>
    <x:row r="54">
      <x:c r="A54" s="402"/>
      <x:c r="B54" s="402"/>
      <x:c r="C54" s="402"/>
      <x:c r="D54" s="402"/>
      <x:c r="E54" s="402"/>
      <x:c r="F54" s="402"/>
      <x:c r="G54" s="402"/>
      <x:c r="H54" s="402"/>
      <x:c r="I54" s="402"/>
      <x:c r="J54" s="402"/>
      <x:c r="K54" s="402"/>
      <x:c r="L54" s="402"/>
      <x:c r="M54" s="402"/>
      <x:c r="N54" s="402"/>
      <x:c r="O54" s="402"/>
      <x:c r="P54" s="402"/>
      <x:c r="Q54" s="402"/>
      <x:c r="R54" s="402"/>
      <x:c r="S54" s="402"/>
      <x:c r="T54" s="402"/>
      <x:c r="U54" s="402"/>
      <x:c r="V54" s="402"/>
      <x:c r="W54" s="402"/>
      <x:c r="X54" s="402"/>
      <x:c r="Y54" s="402"/>
      <x:c r="Z54" s="402"/>
    </x:row>
    <x:row r="55">
      <x:c r="A55" s="402"/>
      <x:c r="B55" s="402"/>
      <x:c r="C55" s="402"/>
      <x:c r="D55" s="402"/>
      <x:c r="E55" s="402"/>
      <x:c r="F55" s="402"/>
      <x:c r="G55" s="402"/>
      <x:c r="H55" s="402"/>
      <x:c r="I55" s="402"/>
      <x:c r="J55" s="402"/>
      <x:c r="K55" s="402"/>
      <x:c r="L55" s="402"/>
      <x:c r="M55" s="402"/>
      <x:c r="N55" s="402"/>
      <x:c r="O55" s="402"/>
      <x:c r="P55" s="402"/>
      <x:c r="Q55" s="402"/>
      <x:c r="R55" s="402"/>
      <x:c r="S55" s="402"/>
      <x:c r="T55" s="402"/>
      <x:c r="U55" s="402"/>
      <x:c r="V55" s="402"/>
      <x:c r="W55" s="402"/>
      <x:c r="X55" s="402"/>
      <x:c r="Y55" s="402"/>
      <x:c r="Z55" s="402"/>
    </x:row>
    <x:row r="56">
      <x:c r="A56" s="402"/>
      <x:c r="B56" s="402"/>
      <x:c r="C56" s="402"/>
      <x:c r="D56" s="402"/>
      <x:c r="E56" s="402"/>
      <x:c r="F56" s="402"/>
      <x:c r="G56" s="402"/>
      <x:c r="H56" s="402"/>
      <x:c r="I56" s="402"/>
      <x:c r="J56" s="402"/>
      <x:c r="K56" s="402"/>
      <x:c r="L56" s="402"/>
      <x:c r="M56" s="402"/>
      <x:c r="N56" s="402"/>
      <x:c r="O56" s="402"/>
      <x:c r="P56" s="402"/>
      <x:c r="Q56" s="402"/>
      <x:c r="R56" s="402"/>
      <x:c r="S56" s="402"/>
      <x:c r="T56" s="402"/>
      <x:c r="U56" s="402"/>
      <x:c r="V56" s="402"/>
      <x:c r="W56" s="402"/>
      <x:c r="X56" s="402"/>
      <x:c r="Y56" s="402"/>
      <x:c r="Z56" s="402"/>
    </x:row>
    <x:row r="57">
      <x:c r="A57" s="402"/>
      <x:c r="B57" s="402"/>
      <x:c r="C57" s="402"/>
      <x:c r="D57" s="402"/>
      <x:c r="E57" s="402"/>
      <x:c r="F57" s="402"/>
      <x:c r="G57" s="402"/>
      <x:c r="H57" s="402"/>
      <x:c r="I57" s="402"/>
      <x:c r="J57" s="402"/>
      <x:c r="K57" s="402"/>
      <x:c r="L57" s="402"/>
      <x:c r="M57" s="402"/>
      <x:c r="N57" s="402"/>
      <x:c r="O57" s="402"/>
      <x:c r="P57" s="402"/>
      <x:c r="Q57" s="402"/>
      <x:c r="R57" s="402"/>
      <x:c r="S57" s="402"/>
      <x:c r="T57" s="402"/>
      <x:c r="U57" s="402"/>
      <x:c r="V57" s="402"/>
      <x:c r="W57" s="402"/>
      <x:c r="X57" s="402"/>
      <x:c r="Y57" s="402"/>
      <x:c r="Z57" s="402"/>
    </x:row>
    <x:row r="58">
      <x:c r="A58" s="402"/>
      <x:c r="B58" s="402"/>
      <x:c r="C58" s="402"/>
      <x:c r="D58" s="402"/>
      <x:c r="E58" s="402"/>
      <x:c r="F58" s="402"/>
      <x:c r="G58" s="402"/>
      <x:c r="H58" s="402"/>
      <x:c r="I58" s="402"/>
      <x:c r="J58" s="402"/>
      <x:c r="K58" s="402"/>
      <x:c r="L58" s="402"/>
      <x:c r="M58" s="402"/>
      <x:c r="N58" s="402"/>
      <x:c r="O58" s="402"/>
      <x:c r="P58" s="402"/>
      <x:c r="Q58" s="402"/>
      <x:c r="R58" s="402"/>
      <x:c r="S58" s="402"/>
      <x:c r="T58" s="402"/>
      <x:c r="U58" s="402"/>
      <x:c r="V58" s="402"/>
      <x:c r="W58" s="402"/>
      <x:c r="X58" s="402"/>
      <x:c r="Y58" s="402"/>
      <x:c r="Z58" s="402"/>
    </x:row>
    <x:row r="59">
      <x:c r="A59" s="402"/>
      <x:c r="B59" s="402"/>
      <x:c r="C59" s="402"/>
      <x:c r="D59" s="402"/>
      <x:c r="E59" s="402"/>
      <x:c r="F59" s="402"/>
      <x:c r="G59" s="402"/>
      <x:c r="H59" s="402"/>
      <x:c r="I59" s="402"/>
      <x:c r="J59" s="402"/>
      <x:c r="K59" s="402"/>
      <x:c r="L59" s="402"/>
      <x:c r="M59" s="402"/>
      <x:c r="N59" s="402"/>
      <x:c r="O59" s="402"/>
      <x:c r="P59" s="402"/>
      <x:c r="Q59" s="402"/>
      <x:c r="R59" s="402"/>
      <x:c r="S59" s="402"/>
      <x:c r="T59" s="402"/>
      <x:c r="U59" s="402"/>
      <x:c r="V59" s="402"/>
      <x:c r="W59" s="402"/>
      <x:c r="X59" s="402"/>
      <x:c r="Y59" s="402"/>
      <x:c r="Z59" s="402"/>
    </x:row>
    <x:row r="60">
      <x:c r="A60" s="402"/>
      <x:c r="B60" s="402"/>
      <x:c r="C60" s="402"/>
      <x:c r="D60" s="402"/>
      <x:c r="E60" s="402"/>
      <x:c r="F60" s="402"/>
      <x:c r="G60" s="402"/>
      <x:c r="H60" s="402"/>
      <x:c r="I60" s="402"/>
      <x:c r="J60" s="402"/>
      <x:c r="K60" s="402"/>
      <x:c r="L60" s="402"/>
      <x:c r="M60" s="402"/>
      <x:c r="N60" s="402"/>
      <x:c r="O60" s="402"/>
      <x:c r="P60" s="402"/>
      <x:c r="Q60" s="402"/>
      <x:c r="R60" s="402"/>
      <x:c r="S60" s="402"/>
      <x:c r="T60" s="402"/>
      <x:c r="U60" s="402"/>
      <x:c r="V60" s="402"/>
      <x:c r="W60" s="402"/>
      <x:c r="X60" s="402"/>
      <x:c r="Y60" s="402"/>
      <x:c r="Z60" s="402"/>
    </x:row>
    <x:row r="61">
      <x:c r="A61" s="402"/>
      <x:c r="B61" s="402"/>
      <x:c r="C61" s="402"/>
      <x:c r="D61" s="402"/>
      <x:c r="E61" s="402"/>
      <x:c r="F61" s="402"/>
      <x:c r="G61" s="402"/>
      <x:c r="H61" s="402"/>
      <x:c r="I61" s="402"/>
      <x:c r="J61" s="402"/>
      <x:c r="K61" s="402"/>
      <x:c r="L61" s="402"/>
      <x:c r="M61" s="402"/>
      <x:c r="N61" s="402"/>
      <x:c r="O61" s="402"/>
      <x:c r="P61" s="402"/>
      <x:c r="Q61" s="402"/>
      <x:c r="R61" s="402"/>
      <x:c r="S61" s="402"/>
      <x:c r="T61" s="402"/>
      <x:c r="U61" s="402"/>
      <x:c r="V61" s="402"/>
      <x:c r="W61" s="402"/>
      <x:c r="X61" s="402"/>
      <x:c r="Y61" s="402"/>
      <x:c r="Z61" s="402"/>
    </x:row>
    <x:row r="62">
      <x:c r="A62" s="402"/>
      <x:c r="B62" s="402"/>
      <x:c r="C62" s="402"/>
      <x:c r="D62" s="402"/>
      <x:c r="E62" s="402"/>
      <x:c r="F62" s="402"/>
      <x:c r="G62" s="402"/>
      <x:c r="H62" s="402"/>
      <x:c r="I62" s="402"/>
      <x:c r="J62" s="402"/>
      <x:c r="K62" s="402"/>
      <x:c r="L62" s="402"/>
      <x:c r="M62" s="402"/>
      <x:c r="N62" s="402"/>
      <x:c r="O62" s="402"/>
      <x:c r="P62" s="402"/>
      <x:c r="Q62" s="402"/>
      <x:c r="R62" s="402"/>
      <x:c r="S62" s="402"/>
      <x:c r="T62" s="402"/>
      <x:c r="U62" s="402"/>
      <x:c r="V62" s="402"/>
      <x:c r="W62" s="402"/>
      <x:c r="X62" s="402"/>
      <x:c r="Y62" s="402"/>
      <x:c r="Z62" s="402"/>
    </x:row>
    <x:row r="63">
      <x:c r="A63" s="402"/>
      <x:c r="B63" s="402"/>
      <x:c r="C63" s="402"/>
      <x:c r="D63" s="402"/>
      <x:c r="E63" s="402"/>
      <x:c r="F63" s="402"/>
      <x:c r="G63" s="402"/>
      <x:c r="H63" s="402"/>
      <x:c r="I63" s="402"/>
      <x:c r="J63" s="402"/>
      <x:c r="K63" s="402"/>
      <x:c r="L63" s="402"/>
      <x:c r="M63" s="402"/>
      <x:c r="N63" s="402"/>
      <x:c r="O63" s="402"/>
      <x:c r="P63" s="402"/>
      <x:c r="Q63" s="402"/>
      <x:c r="R63" s="402"/>
      <x:c r="S63" s="402"/>
      <x:c r="T63" s="402"/>
      <x:c r="U63" s="402"/>
      <x:c r="V63" s="402"/>
      <x:c r="W63" s="402"/>
      <x:c r="X63" s="402"/>
      <x:c r="Y63" s="402"/>
      <x:c r="Z63" s="402"/>
    </x:row>
    <x:row r="64">
      <x:c r="A64" s="402"/>
      <x:c r="B64" s="402"/>
      <x:c r="C64" s="402"/>
      <x:c r="D64" s="402"/>
      <x:c r="E64" s="402"/>
      <x:c r="F64" s="402"/>
      <x:c r="G64" s="402"/>
      <x:c r="H64" s="402"/>
      <x:c r="I64" s="402"/>
      <x:c r="J64" s="402"/>
      <x:c r="K64" s="402"/>
      <x:c r="L64" s="402"/>
      <x:c r="M64" s="402"/>
      <x:c r="N64" s="402"/>
      <x:c r="O64" s="402"/>
      <x:c r="P64" s="402"/>
      <x:c r="Q64" s="402"/>
      <x:c r="R64" s="402"/>
      <x:c r="S64" s="402"/>
      <x:c r="T64" s="402"/>
      <x:c r="U64" s="402"/>
      <x:c r="V64" s="402"/>
      <x:c r="W64" s="402"/>
      <x:c r="X64" s="402"/>
      <x:c r="Y64" s="402"/>
      <x:c r="Z64" s="402"/>
    </x:row>
    <x:row r="65">
      <x:c r="A65" s="402"/>
      <x:c r="B65" s="402"/>
      <x:c r="C65" s="402"/>
      <x:c r="D65" s="402"/>
      <x:c r="E65" s="402"/>
      <x:c r="F65" s="402"/>
      <x:c r="G65" s="402"/>
      <x:c r="H65" s="402"/>
      <x:c r="I65" s="402"/>
      <x:c r="J65" s="402"/>
      <x:c r="K65" s="402"/>
      <x:c r="L65" s="402"/>
      <x:c r="M65" s="402"/>
      <x:c r="N65" s="402"/>
      <x:c r="O65" s="402"/>
      <x:c r="P65" s="402"/>
      <x:c r="Q65" s="402"/>
      <x:c r="R65" s="402"/>
      <x:c r="S65" s="402"/>
      <x:c r="T65" s="402"/>
      <x:c r="U65" s="402"/>
      <x:c r="V65" s="402"/>
      <x:c r="W65" s="402"/>
      <x:c r="X65" s="402"/>
      <x:c r="Y65" s="402"/>
      <x:c r="Z65" s="402"/>
    </x:row>
    <x:row r="66">
      <x:c r="A66" s="402"/>
      <x:c r="B66" s="402"/>
      <x:c r="C66" s="402"/>
      <x:c r="D66" s="402"/>
      <x:c r="E66" s="402"/>
      <x:c r="F66" s="402"/>
      <x:c r="G66" s="402"/>
      <x:c r="H66" s="402"/>
      <x:c r="I66" s="402"/>
      <x:c r="J66" s="402"/>
      <x:c r="K66" s="402"/>
      <x:c r="L66" s="402"/>
      <x:c r="M66" s="402"/>
      <x:c r="N66" s="402"/>
      <x:c r="O66" s="402"/>
      <x:c r="P66" s="402"/>
      <x:c r="Q66" s="402"/>
      <x:c r="R66" s="402"/>
      <x:c r="S66" s="402"/>
      <x:c r="T66" s="402"/>
      <x:c r="U66" s="402"/>
      <x:c r="V66" s="402"/>
      <x:c r="W66" s="402"/>
      <x:c r="X66" s="402"/>
      <x:c r="Y66" s="402"/>
      <x:c r="Z66" s="402"/>
    </x:row>
    <x:row r="67">
      <x:c r="A67" s="402"/>
      <x:c r="B67" s="402"/>
      <x:c r="C67" s="402"/>
      <x:c r="D67" s="402"/>
      <x:c r="E67" s="402"/>
      <x:c r="F67" s="402"/>
      <x:c r="G67" s="402"/>
      <x:c r="H67" s="402"/>
      <x:c r="I67" s="402"/>
      <x:c r="J67" s="402"/>
      <x:c r="K67" s="402"/>
      <x:c r="L67" s="402"/>
      <x:c r="M67" s="402"/>
      <x:c r="N67" s="402"/>
      <x:c r="O67" s="402"/>
      <x:c r="P67" s="402"/>
      <x:c r="Q67" s="402"/>
      <x:c r="R67" s="402"/>
      <x:c r="S67" s="402"/>
      <x:c r="T67" s="402"/>
      <x:c r="U67" s="402"/>
      <x:c r="V67" s="402"/>
      <x:c r="W67" s="402"/>
      <x:c r="X67" s="402"/>
      <x:c r="Y67" s="402"/>
      <x:c r="Z67" s="402"/>
    </x:row>
    <x:row r="68">
      <x:c r="A68" s="402"/>
      <x:c r="B68" s="402"/>
      <x:c r="C68" s="402"/>
      <x:c r="D68" s="402"/>
      <x:c r="E68" s="402"/>
      <x:c r="F68" s="402"/>
      <x:c r="G68" s="402"/>
      <x:c r="H68" s="402"/>
      <x:c r="I68" s="402"/>
      <x:c r="J68" s="402"/>
      <x:c r="K68" s="402"/>
      <x:c r="L68" s="402"/>
      <x:c r="M68" s="402"/>
      <x:c r="N68" s="402"/>
      <x:c r="O68" s="402"/>
      <x:c r="P68" s="402"/>
      <x:c r="Q68" s="402"/>
      <x:c r="R68" s="402"/>
      <x:c r="S68" s="402"/>
      <x:c r="T68" s="402"/>
      <x:c r="U68" s="402"/>
      <x:c r="V68" s="402"/>
      <x:c r="W68" s="402"/>
      <x:c r="X68" s="402"/>
      <x:c r="Y68" s="402"/>
      <x:c r="Z68" s="402"/>
    </x:row>
    <x:row r="69">
      <x:c r="A69" s="402"/>
      <x:c r="B69" s="402"/>
      <x:c r="C69" s="402"/>
      <x:c r="D69" s="402"/>
      <x:c r="E69" s="402"/>
      <x:c r="F69" s="402"/>
      <x:c r="G69" s="402"/>
      <x:c r="H69" s="402"/>
      <x:c r="I69" s="402"/>
      <x:c r="J69" s="402"/>
      <x:c r="K69" s="402"/>
      <x:c r="L69" s="402"/>
      <x:c r="M69" s="402"/>
      <x:c r="N69" s="402"/>
      <x:c r="O69" s="402"/>
      <x:c r="P69" s="402"/>
      <x:c r="Q69" s="402"/>
      <x:c r="R69" s="402"/>
      <x:c r="S69" s="402"/>
      <x:c r="T69" s="402"/>
      <x:c r="U69" s="402"/>
      <x:c r="V69" s="402"/>
      <x:c r="W69" s="402"/>
      <x:c r="X69" s="402"/>
      <x:c r="Y69" s="402"/>
      <x:c r="Z69" s="402"/>
    </x:row>
    <x:row r="70">
      <x:c r="A70" s="402"/>
      <x:c r="B70" s="402"/>
      <x:c r="C70" s="402"/>
      <x:c r="D70" s="402"/>
      <x:c r="E70" s="402"/>
      <x:c r="F70" s="402"/>
      <x:c r="G70" s="402"/>
      <x:c r="H70" s="402"/>
      <x:c r="I70" s="402"/>
      <x:c r="J70" s="402"/>
      <x:c r="K70" s="402"/>
      <x:c r="L70" s="402"/>
      <x:c r="M70" s="402"/>
      <x:c r="N70" s="402"/>
      <x:c r="O70" s="402"/>
      <x:c r="P70" s="402"/>
      <x:c r="Q70" s="402"/>
      <x:c r="R70" s="402"/>
      <x:c r="S70" s="402"/>
      <x:c r="T70" s="402"/>
      <x:c r="U70" s="402"/>
      <x:c r="V70" s="402"/>
      <x:c r="W70" s="402"/>
      <x:c r="X70" s="402"/>
      <x:c r="Y70" s="402"/>
      <x:c r="Z70" s="402"/>
    </x:row>
    <x:row r="71">
      <x:c r="A71" s="402"/>
      <x:c r="B71" s="402"/>
      <x:c r="C71" s="402"/>
      <x:c r="D71" s="402"/>
      <x:c r="E71" s="402"/>
      <x:c r="F71" s="402"/>
      <x:c r="G71" s="402"/>
      <x:c r="H71" s="402"/>
      <x:c r="I71" s="402"/>
      <x:c r="J71" s="402"/>
      <x:c r="K71" s="402"/>
      <x:c r="L71" s="402"/>
      <x:c r="M71" s="402"/>
      <x:c r="N71" s="402"/>
      <x:c r="O71" s="402"/>
      <x:c r="P71" s="402"/>
      <x:c r="Q71" s="402"/>
      <x:c r="R71" s="402"/>
      <x:c r="S71" s="402"/>
      <x:c r="T71" s="402"/>
      <x:c r="U71" s="402"/>
      <x:c r="V71" s="402"/>
      <x:c r="W71" s="402"/>
      <x:c r="X71" s="402"/>
      <x:c r="Y71" s="402"/>
      <x:c r="Z71" s="402"/>
    </x:row>
    <x:row r="72">
      <x:c r="A72" s="402"/>
      <x:c r="B72" s="402"/>
      <x:c r="C72" s="402"/>
      <x:c r="D72" s="402"/>
      <x:c r="E72" s="402"/>
      <x:c r="F72" s="402"/>
      <x:c r="G72" s="402"/>
      <x:c r="H72" s="402"/>
      <x:c r="I72" s="402"/>
      <x:c r="J72" s="402"/>
      <x:c r="K72" s="402"/>
      <x:c r="L72" s="402"/>
      <x:c r="M72" s="402"/>
      <x:c r="N72" s="402"/>
      <x:c r="O72" s="402"/>
      <x:c r="P72" s="402"/>
      <x:c r="Q72" s="402"/>
      <x:c r="R72" s="402"/>
      <x:c r="S72" s="402"/>
      <x:c r="T72" s="402"/>
      <x:c r="U72" s="402"/>
      <x:c r="V72" s="402"/>
      <x:c r="W72" s="402"/>
      <x:c r="X72" s="402"/>
      <x:c r="Y72" s="402"/>
      <x:c r="Z72" s="402"/>
    </x:row>
    <x:row r="73">
      <x:c r="A73" s="402"/>
      <x:c r="B73" s="402"/>
      <x:c r="C73" s="402"/>
      <x:c r="D73" s="402"/>
      <x:c r="E73" s="402"/>
      <x:c r="F73" s="402"/>
      <x:c r="G73" s="402"/>
      <x:c r="H73" s="402"/>
      <x:c r="I73" s="402"/>
      <x:c r="J73" s="402"/>
      <x:c r="K73" s="402"/>
      <x:c r="L73" s="402"/>
      <x:c r="M73" s="402"/>
      <x:c r="N73" s="402"/>
      <x:c r="O73" s="402"/>
      <x:c r="P73" s="402"/>
      <x:c r="Q73" s="402"/>
      <x:c r="R73" s="402"/>
      <x:c r="S73" s="402"/>
      <x:c r="T73" s="402"/>
      <x:c r="U73" s="402"/>
      <x:c r="V73" s="402"/>
      <x:c r="W73" s="402"/>
      <x:c r="X73" s="402"/>
      <x:c r="Y73" s="402"/>
      <x:c r="Z73" s="402"/>
    </x:row>
    <x:row r="74">
      <x:c r="A74" s="402"/>
      <x:c r="B74" s="402"/>
      <x:c r="C74" s="402"/>
      <x:c r="D74" s="402"/>
      <x:c r="E74" s="402"/>
      <x:c r="F74" s="402"/>
      <x:c r="G74" s="402"/>
      <x:c r="H74" s="402"/>
      <x:c r="I74" s="402"/>
      <x:c r="J74" s="402"/>
      <x:c r="K74" s="402"/>
      <x:c r="L74" s="402"/>
      <x:c r="M74" s="402"/>
      <x:c r="N74" s="402"/>
      <x:c r="O74" s="402"/>
      <x:c r="P74" s="402"/>
      <x:c r="Q74" s="402"/>
      <x:c r="R74" s="402"/>
      <x:c r="S74" s="402"/>
      <x:c r="T74" s="402"/>
      <x:c r="U74" s="402"/>
      <x:c r="V74" s="402"/>
      <x:c r="W74" s="402"/>
      <x:c r="X74" s="402"/>
      <x:c r="Y74" s="402"/>
      <x:c r="Z74" s="402"/>
    </x:row>
    <x:row r="75">
      <x:c r="A75" s="402"/>
      <x:c r="B75" s="402"/>
      <x:c r="C75" s="402"/>
      <x:c r="D75" s="402"/>
      <x:c r="E75" s="402"/>
      <x:c r="F75" s="402"/>
      <x:c r="G75" s="402"/>
      <x:c r="H75" s="402"/>
      <x:c r="I75" s="402"/>
      <x:c r="J75" s="402"/>
      <x:c r="K75" s="402"/>
      <x:c r="L75" s="402"/>
      <x:c r="M75" s="402"/>
      <x:c r="N75" s="402"/>
      <x:c r="O75" s="402"/>
      <x:c r="P75" s="402"/>
      <x:c r="Q75" s="402"/>
      <x:c r="R75" s="402"/>
      <x:c r="S75" s="402"/>
      <x:c r="T75" s="402"/>
      <x:c r="U75" s="402"/>
      <x:c r="V75" s="402"/>
      <x:c r="W75" s="402"/>
      <x:c r="X75" s="402"/>
      <x:c r="Y75" s="402"/>
      <x:c r="Z75" s="402"/>
    </x:row>
    <x:row r="76">
      <x:c r="A76" s="402"/>
      <x:c r="B76" s="402"/>
      <x:c r="C76" s="402"/>
      <x:c r="D76" s="402"/>
      <x:c r="E76" s="402"/>
      <x:c r="F76" s="402"/>
      <x:c r="G76" s="402"/>
      <x:c r="H76" s="402"/>
      <x:c r="I76" s="402"/>
      <x:c r="J76" s="402"/>
      <x:c r="K76" s="402"/>
      <x:c r="L76" s="402"/>
      <x:c r="M76" s="402"/>
      <x:c r="N76" s="402"/>
      <x:c r="O76" s="402"/>
      <x:c r="P76" s="402"/>
      <x:c r="Q76" s="402"/>
      <x:c r="R76" s="402"/>
      <x:c r="S76" s="402"/>
      <x:c r="T76" s="402"/>
      <x:c r="U76" s="402"/>
      <x:c r="V76" s="402"/>
      <x:c r="W76" s="402"/>
      <x:c r="X76" s="402"/>
      <x:c r="Y76" s="402"/>
      <x:c r="Z76" s="402"/>
    </x:row>
    <x:row r="77">
      <x:c r="A77" s="402"/>
      <x:c r="B77" s="402"/>
      <x:c r="C77" s="402"/>
      <x:c r="D77" s="402"/>
      <x:c r="E77" s="402"/>
      <x:c r="F77" s="402"/>
      <x:c r="G77" s="402"/>
      <x:c r="H77" s="402"/>
      <x:c r="I77" s="402"/>
      <x:c r="J77" s="402"/>
      <x:c r="K77" s="402"/>
      <x:c r="L77" s="402"/>
      <x:c r="M77" s="402"/>
      <x:c r="N77" s="402"/>
      <x:c r="O77" s="402"/>
      <x:c r="P77" s="402"/>
      <x:c r="Q77" s="402"/>
      <x:c r="R77" s="402"/>
      <x:c r="S77" s="402"/>
      <x:c r="T77" s="402"/>
      <x:c r="U77" s="402"/>
      <x:c r="V77" s="402"/>
      <x:c r="W77" s="402"/>
      <x:c r="X77" s="402"/>
      <x:c r="Y77" s="402"/>
      <x:c r="Z77" s="402"/>
    </x:row>
    <x:row r="78">
      <x:c r="A78" s="402"/>
      <x:c r="B78" s="402"/>
      <x:c r="C78" s="402"/>
      <x:c r="D78" s="402"/>
      <x:c r="E78" s="402"/>
      <x:c r="F78" s="402"/>
      <x:c r="G78" s="402"/>
      <x:c r="H78" s="402"/>
      <x:c r="I78" s="402"/>
      <x:c r="J78" s="402"/>
      <x:c r="K78" s="402"/>
      <x:c r="L78" s="402"/>
      <x:c r="M78" s="402"/>
      <x:c r="N78" s="402"/>
      <x:c r="O78" s="402"/>
      <x:c r="P78" s="402"/>
      <x:c r="Q78" s="402"/>
      <x:c r="R78" s="402"/>
      <x:c r="S78" s="402"/>
      <x:c r="T78" s="402"/>
      <x:c r="U78" s="402"/>
      <x:c r="V78" s="402"/>
      <x:c r="W78" s="402"/>
      <x:c r="X78" s="402"/>
      <x:c r="Y78" s="402"/>
      <x:c r="Z78" s="402"/>
    </x:row>
    <x:row r="79">
      <x:c r="A79" s="402"/>
      <x:c r="B79" s="402"/>
      <x:c r="C79" s="402"/>
      <x:c r="D79" s="402"/>
      <x:c r="E79" s="402"/>
      <x:c r="F79" s="402"/>
      <x:c r="G79" s="402"/>
      <x:c r="H79" s="402"/>
      <x:c r="I79" s="402"/>
      <x:c r="J79" s="402"/>
      <x:c r="K79" s="402"/>
      <x:c r="L79" s="402"/>
      <x:c r="M79" s="402"/>
      <x:c r="N79" s="402"/>
      <x:c r="O79" s="402"/>
      <x:c r="P79" s="402"/>
      <x:c r="Q79" s="402"/>
      <x:c r="R79" s="402"/>
      <x:c r="S79" s="402"/>
      <x:c r="T79" s="402"/>
      <x:c r="U79" s="402"/>
      <x:c r="V79" s="402"/>
      <x:c r="W79" s="402"/>
      <x:c r="X79" s="402"/>
      <x:c r="Y79" s="402"/>
      <x:c r="Z79" s="402"/>
    </x:row>
    <x:row r="80">
      <x:c r="A80" s="402"/>
      <x:c r="B80" s="402"/>
      <x:c r="C80" s="402"/>
      <x:c r="D80" s="402"/>
      <x:c r="E80" s="402"/>
      <x:c r="F80" s="402"/>
      <x:c r="G80" s="402"/>
      <x:c r="H80" s="402"/>
      <x:c r="I80" s="402"/>
      <x:c r="J80" s="402"/>
      <x:c r="K80" s="402"/>
      <x:c r="L80" s="402"/>
      <x:c r="M80" s="402"/>
      <x:c r="N80" s="402"/>
      <x:c r="O80" s="402"/>
      <x:c r="P80" s="402"/>
      <x:c r="Q80" s="402"/>
      <x:c r="R80" s="402"/>
      <x:c r="S80" s="402"/>
      <x:c r="T80" s="402"/>
      <x:c r="U80" s="402"/>
      <x:c r="V80" s="402"/>
      <x:c r="W80" s="402"/>
      <x:c r="X80" s="402"/>
      <x:c r="Y80" s="402"/>
      <x:c r="Z80" s="402"/>
    </x:row>
    <x:row r="81">
      <x:c r="A81" s="402"/>
      <x:c r="B81" s="402"/>
      <x:c r="C81" s="402"/>
      <x:c r="D81" s="402"/>
      <x:c r="E81" s="402"/>
      <x:c r="F81" s="402"/>
      <x:c r="G81" s="402"/>
      <x:c r="H81" s="402"/>
      <x:c r="I81" s="402"/>
      <x:c r="J81" s="402"/>
      <x:c r="K81" s="402"/>
      <x:c r="L81" s="402"/>
      <x:c r="M81" s="402"/>
      <x:c r="N81" s="402"/>
      <x:c r="O81" s="402"/>
      <x:c r="P81" s="402"/>
      <x:c r="Q81" s="402"/>
      <x:c r="R81" s="402"/>
      <x:c r="S81" s="402"/>
      <x:c r="T81" s="402"/>
      <x:c r="U81" s="402"/>
      <x:c r="V81" s="402"/>
      <x:c r="W81" s="402"/>
      <x:c r="X81" s="402"/>
      <x:c r="Y81" s="402"/>
      <x:c r="Z81" s="402"/>
    </x:row>
    <x:row r="82">
      <x:c r="A82" s="402"/>
      <x:c r="B82" s="402"/>
      <x:c r="C82" s="402"/>
      <x:c r="D82" s="402"/>
      <x:c r="E82" s="402"/>
      <x:c r="F82" s="402"/>
      <x:c r="G82" s="402"/>
      <x:c r="H82" s="402"/>
      <x:c r="I82" s="402"/>
      <x:c r="J82" s="402"/>
      <x:c r="K82" s="402"/>
      <x:c r="L82" s="402"/>
      <x:c r="M82" s="402"/>
      <x:c r="N82" s="402"/>
      <x:c r="O82" s="402"/>
      <x:c r="P82" s="402"/>
      <x:c r="Q82" s="402"/>
      <x:c r="R82" s="402"/>
      <x:c r="S82" s="402"/>
      <x:c r="T82" s="402"/>
      <x:c r="U82" s="402"/>
      <x:c r="V82" s="402"/>
      <x:c r="W82" s="402"/>
      <x:c r="X82" s="402"/>
      <x:c r="Y82" s="402"/>
      <x:c r="Z82" s="402"/>
    </x:row>
    <x:row r="83">
      <x:c r="A83" s="402"/>
      <x:c r="B83" s="402"/>
      <x:c r="C83" s="402"/>
      <x:c r="D83" s="402"/>
      <x:c r="E83" s="402"/>
      <x:c r="F83" s="402"/>
      <x:c r="G83" s="402"/>
      <x:c r="H83" s="402"/>
      <x:c r="I83" s="402"/>
      <x:c r="J83" s="402"/>
      <x:c r="K83" s="402"/>
      <x:c r="L83" s="402"/>
      <x:c r="M83" s="402"/>
      <x:c r="N83" s="402"/>
      <x:c r="O83" s="402"/>
      <x:c r="P83" s="402"/>
      <x:c r="Q83" s="402"/>
      <x:c r="R83" s="402"/>
      <x:c r="S83" s="402"/>
      <x:c r="T83" s="402"/>
      <x:c r="U83" s="402"/>
      <x:c r="V83" s="402"/>
      <x:c r="W83" s="402"/>
      <x:c r="X83" s="402"/>
      <x:c r="Y83" s="402"/>
      <x:c r="Z83" s="402"/>
    </x:row>
    <x:row r="84">
      <x:c r="A84" s="402"/>
      <x:c r="B84" s="402"/>
      <x:c r="C84" s="402"/>
      <x:c r="D84" s="402"/>
      <x:c r="E84" s="402"/>
      <x:c r="F84" s="402"/>
      <x:c r="G84" s="402"/>
      <x:c r="H84" s="402"/>
      <x:c r="I84" s="402"/>
      <x:c r="J84" s="402"/>
      <x:c r="K84" s="402"/>
      <x:c r="L84" s="402"/>
      <x:c r="M84" s="402"/>
      <x:c r="N84" s="402"/>
      <x:c r="O84" s="402"/>
      <x:c r="P84" s="402"/>
      <x:c r="Q84" s="402"/>
      <x:c r="R84" s="402"/>
      <x:c r="S84" s="402"/>
      <x:c r="T84" s="402"/>
      <x:c r="U84" s="402"/>
      <x:c r="V84" s="402"/>
      <x:c r="W84" s="402"/>
      <x:c r="X84" s="402"/>
      <x:c r="Y84" s="402"/>
      <x:c r="Z84" s="402"/>
    </x:row>
    <x:row r="85">
      <x:c r="A85" s="402"/>
      <x:c r="B85" s="402"/>
      <x:c r="C85" s="402"/>
      <x:c r="D85" s="402"/>
      <x:c r="E85" s="402"/>
      <x:c r="F85" s="402"/>
      <x:c r="G85" s="402"/>
      <x:c r="H85" s="402"/>
      <x:c r="I85" s="402"/>
      <x:c r="J85" s="402"/>
      <x:c r="K85" s="402"/>
      <x:c r="L85" s="402"/>
      <x:c r="M85" s="402"/>
      <x:c r="N85" s="402"/>
      <x:c r="O85" s="402"/>
      <x:c r="P85" s="402"/>
      <x:c r="Q85" s="402"/>
      <x:c r="R85" s="402"/>
      <x:c r="S85" s="402"/>
      <x:c r="T85" s="402"/>
      <x:c r="U85" s="402"/>
      <x:c r="V85" s="402"/>
      <x:c r="W85" s="402"/>
      <x:c r="X85" s="402"/>
      <x:c r="Y85" s="402"/>
      <x:c r="Z85" s="402"/>
    </x:row>
    <x:row r="86">
      <x:c r="A86" s="402"/>
      <x:c r="B86" s="402"/>
      <x:c r="C86" s="402"/>
      <x:c r="D86" s="402"/>
      <x:c r="E86" s="402"/>
      <x:c r="F86" s="402"/>
      <x:c r="G86" s="402"/>
      <x:c r="H86" s="402"/>
      <x:c r="I86" s="402"/>
      <x:c r="J86" s="402"/>
      <x:c r="K86" s="402"/>
      <x:c r="L86" s="402"/>
      <x:c r="M86" s="402"/>
      <x:c r="N86" s="402"/>
      <x:c r="O86" s="402"/>
      <x:c r="P86" s="402"/>
      <x:c r="Q86" s="402"/>
      <x:c r="R86" s="402"/>
      <x:c r="S86" s="402"/>
      <x:c r="T86" s="402"/>
      <x:c r="U86" s="402"/>
      <x:c r="V86" s="402"/>
      <x:c r="W86" s="402"/>
      <x:c r="X86" s="402"/>
      <x:c r="Y86" s="402"/>
      <x:c r="Z86" s="402"/>
    </x:row>
    <x:row r="87">
      <x:c r="A87" s="402"/>
      <x:c r="B87" s="402"/>
      <x:c r="C87" s="402"/>
      <x:c r="D87" s="402"/>
      <x:c r="E87" s="402"/>
      <x:c r="F87" s="402"/>
      <x:c r="G87" s="402"/>
      <x:c r="H87" s="402"/>
      <x:c r="I87" s="402"/>
      <x:c r="J87" s="402"/>
      <x:c r="K87" s="402"/>
      <x:c r="L87" s="402"/>
      <x:c r="M87" s="402"/>
      <x:c r="N87" s="402"/>
      <x:c r="O87" s="402"/>
      <x:c r="P87" s="402"/>
      <x:c r="Q87" s="402"/>
      <x:c r="R87" s="402"/>
      <x:c r="S87" s="402"/>
      <x:c r="T87" s="402"/>
      <x:c r="U87" s="402"/>
      <x:c r="V87" s="402"/>
      <x:c r="W87" s="402"/>
      <x:c r="X87" s="402"/>
      <x:c r="Y87" s="402"/>
      <x:c r="Z87" s="402"/>
    </x:row>
    <x:row r="88">
      <x:c r="A88" s="402"/>
      <x:c r="B88" s="402"/>
      <x:c r="C88" s="402"/>
      <x:c r="D88" s="402"/>
      <x:c r="E88" s="402"/>
      <x:c r="F88" s="402"/>
      <x:c r="G88" s="402"/>
      <x:c r="H88" s="402"/>
      <x:c r="I88" s="402"/>
      <x:c r="J88" s="402"/>
      <x:c r="K88" s="402"/>
      <x:c r="L88" s="402"/>
      <x:c r="M88" s="402"/>
      <x:c r="N88" s="402"/>
      <x:c r="O88" s="402"/>
      <x:c r="P88" s="402"/>
      <x:c r="Q88" s="402"/>
      <x:c r="R88" s="402"/>
      <x:c r="S88" s="402"/>
      <x:c r="T88" s="402"/>
      <x:c r="U88" s="402"/>
      <x:c r="V88" s="402"/>
      <x:c r="W88" s="402"/>
      <x:c r="X88" s="402"/>
      <x:c r="Y88" s="402"/>
      <x:c r="Z88" s="402"/>
    </x:row>
    <x:row r="89">
      <x:c r="A89" s="402"/>
      <x:c r="B89" s="402"/>
      <x:c r="C89" s="402"/>
      <x:c r="D89" s="402"/>
      <x:c r="E89" s="402"/>
      <x:c r="F89" s="402"/>
      <x:c r="G89" s="402"/>
      <x:c r="H89" s="402"/>
      <x:c r="I89" s="402"/>
      <x:c r="J89" s="402"/>
      <x:c r="K89" s="402"/>
      <x:c r="L89" s="402"/>
      <x:c r="M89" s="402"/>
      <x:c r="N89" s="402"/>
      <x:c r="O89" s="402"/>
      <x:c r="P89" s="402"/>
      <x:c r="Q89" s="402"/>
      <x:c r="R89" s="402"/>
      <x:c r="S89" s="402"/>
      <x:c r="T89" s="402"/>
      <x:c r="U89" s="402"/>
      <x:c r="V89" s="402"/>
      <x:c r="W89" s="402"/>
      <x:c r="X89" s="402"/>
      <x:c r="Y89" s="402"/>
      <x:c r="Z89" s="402"/>
    </x:row>
    <x:row r="90">
      <x:c r="A90" s="402"/>
      <x:c r="B90" s="402"/>
      <x:c r="C90" s="402"/>
      <x:c r="D90" s="402"/>
      <x:c r="E90" s="402"/>
      <x:c r="F90" s="402"/>
      <x:c r="G90" s="402"/>
      <x:c r="H90" s="402"/>
      <x:c r="I90" s="402"/>
      <x:c r="J90" s="402"/>
      <x:c r="K90" s="402"/>
      <x:c r="L90" s="402"/>
      <x:c r="M90" s="402"/>
      <x:c r="N90" s="402"/>
      <x:c r="O90" s="402"/>
      <x:c r="P90" s="402"/>
      <x:c r="Q90" s="402"/>
      <x:c r="R90" s="402"/>
      <x:c r="S90" s="402"/>
      <x:c r="T90" s="402"/>
      <x:c r="U90" s="402"/>
      <x:c r="V90" s="402"/>
      <x:c r="W90" s="402"/>
      <x:c r="X90" s="402"/>
      <x:c r="Y90" s="402"/>
      <x:c r="Z90" s="402"/>
    </x:row>
    <x:row r="91">
      <x:c r="A91" s="402"/>
      <x:c r="B91" s="402"/>
      <x:c r="C91" s="402"/>
      <x:c r="D91" s="402"/>
      <x:c r="E91" s="402"/>
      <x:c r="F91" s="402"/>
      <x:c r="G91" s="402"/>
      <x:c r="H91" s="402"/>
      <x:c r="I91" s="402"/>
      <x:c r="J91" s="402"/>
      <x:c r="K91" s="402"/>
      <x:c r="L91" s="402"/>
      <x:c r="M91" s="402"/>
      <x:c r="N91" s="402"/>
      <x:c r="O91" s="402"/>
      <x:c r="P91" s="402"/>
      <x:c r="Q91" s="402"/>
      <x:c r="R91" s="402"/>
      <x:c r="S91" s="402"/>
      <x:c r="T91" s="402"/>
      <x:c r="U91" s="402"/>
      <x:c r="V91" s="402"/>
      <x:c r="W91" s="402"/>
      <x:c r="X91" s="402"/>
      <x:c r="Y91" s="402"/>
      <x:c r="Z91" s="402"/>
    </x:row>
    <x:row r="92">
      <x:c r="A92" s="402"/>
      <x:c r="B92" s="402"/>
      <x:c r="C92" s="402"/>
      <x:c r="D92" s="402"/>
      <x:c r="E92" s="402"/>
      <x:c r="F92" s="402"/>
      <x:c r="G92" s="402"/>
      <x:c r="H92" s="402"/>
      <x:c r="I92" s="402"/>
      <x:c r="J92" s="402"/>
      <x:c r="K92" s="402"/>
      <x:c r="L92" s="402"/>
      <x:c r="M92" s="402"/>
      <x:c r="N92" s="402"/>
      <x:c r="O92" s="402"/>
      <x:c r="P92" s="402"/>
      <x:c r="Q92" s="402"/>
      <x:c r="R92" s="402"/>
      <x:c r="S92" s="402"/>
      <x:c r="T92" s="402"/>
      <x:c r="U92" s="402"/>
      <x:c r="V92" s="402"/>
      <x:c r="W92" s="402"/>
      <x:c r="X92" s="402"/>
      <x:c r="Y92" s="402"/>
      <x:c r="Z92" s="402"/>
    </x:row>
    <x:row r="93">
      <x:c r="A93" s="402"/>
      <x:c r="B93" s="402"/>
      <x:c r="C93" s="402"/>
      <x:c r="D93" s="402"/>
      <x:c r="E93" s="402"/>
      <x:c r="F93" s="402"/>
      <x:c r="G93" s="402"/>
      <x:c r="H93" s="402"/>
      <x:c r="I93" s="402"/>
      <x:c r="J93" s="402"/>
      <x:c r="K93" s="402"/>
      <x:c r="L93" s="402"/>
      <x:c r="M93" s="402"/>
      <x:c r="N93" s="402"/>
      <x:c r="O93" s="402"/>
      <x:c r="P93" s="402"/>
      <x:c r="Q93" s="402"/>
      <x:c r="R93" s="402"/>
      <x:c r="S93" s="402"/>
      <x:c r="T93" s="402"/>
      <x:c r="U93" s="402"/>
      <x:c r="V93" s="402"/>
      <x:c r="W93" s="402"/>
      <x:c r="X93" s="402"/>
      <x:c r="Y93" s="402"/>
      <x:c r="Z93" s="402"/>
    </x:row>
    <x:row r="94">
      <x:c r="A94" s="402"/>
      <x:c r="B94" s="402"/>
      <x:c r="C94" s="402"/>
      <x:c r="D94" s="402"/>
      <x:c r="E94" s="402"/>
      <x:c r="F94" s="402"/>
      <x:c r="G94" s="402"/>
      <x:c r="H94" s="402"/>
      <x:c r="I94" s="402"/>
      <x:c r="J94" s="402"/>
      <x:c r="K94" s="402"/>
      <x:c r="L94" s="402"/>
      <x:c r="M94" s="402"/>
      <x:c r="N94" s="402"/>
      <x:c r="O94" s="402"/>
      <x:c r="P94" s="402"/>
      <x:c r="Q94" s="402"/>
      <x:c r="R94" s="402"/>
      <x:c r="S94" s="402"/>
      <x:c r="T94" s="402"/>
      <x:c r="U94" s="402"/>
      <x:c r="V94" s="402"/>
      <x:c r="W94" s="402"/>
      <x:c r="X94" s="402"/>
      <x:c r="Y94" s="402"/>
      <x:c r="Z94" s="402"/>
    </x:row>
    <x:row r="95">
      <x:c r="A95" s="402"/>
      <x:c r="B95" s="402"/>
      <x:c r="C95" s="402"/>
      <x:c r="D95" s="402"/>
      <x:c r="E95" s="402"/>
      <x:c r="F95" s="402"/>
      <x:c r="G95" s="402"/>
      <x:c r="H95" s="402"/>
      <x:c r="I95" s="402"/>
      <x:c r="J95" s="402"/>
      <x:c r="K95" s="402"/>
      <x:c r="L95" s="402"/>
      <x:c r="M95" s="402"/>
      <x:c r="N95" s="402"/>
      <x:c r="O95" s="402"/>
      <x:c r="P95" s="402"/>
      <x:c r="Q95" s="402"/>
      <x:c r="R95" s="402"/>
      <x:c r="S95" s="402"/>
      <x:c r="T95" s="402"/>
      <x:c r="U95" s="402"/>
      <x:c r="V95" s="402"/>
      <x:c r="W95" s="402"/>
      <x:c r="X95" s="402"/>
      <x:c r="Y95" s="402"/>
      <x:c r="Z95" s="402"/>
    </x:row>
    <x:row r="96">
      <x:c r="A96" s="402"/>
      <x:c r="B96" s="402"/>
      <x:c r="C96" s="402"/>
      <x:c r="D96" s="402"/>
      <x:c r="E96" s="402"/>
      <x:c r="F96" s="402"/>
      <x:c r="G96" s="402"/>
      <x:c r="H96" s="402"/>
      <x:c r="I96" s="402"/>
      <x:c r="J96" s="402"/>
      <x:c r="K96" s="402"/>
      <x:c r="L96" s="402"/>
      <x:c r="M96" s="402"/>
      <x:c r="N96" s="402"/>
      <x:c r="O96" s="402"/>
      <x:c r="P96" s="402"/>
      <x:c r="Q96" s="402"/>
      <x:c r="R96" s="402"/>
      <x:c r="S96" s="402"/>
      <x:c r="T96" s="402"/>
      <x:c r="U96" s="402"/>
      <x:c r="V96" s="402"/>
      <x:c r="W96" s="402"/>
      <x:c r="X96" s="402"/>
      <x:c r="Y96" s="402"/>
      <x:c r="Z96" s="402"/>
    </x:row>
    <x:row r="97">
      <x:c r="A97" s="402"/>
      <x:c r="B97" s="402"/>
      <x:c r="C97" s="402"/>
      <x:c r="D97" s="402"/>
      <x:c r="E97" s="402"/>
      <x:c r="F97" s="402"/>
      <x:c r="G97" s="402"/>
      <x:c r="H97" s="402"/>
      <x:c r="I97" s="402"/>
      <x:c r="J97" s="402"/>
      <x:c r="K97" s="402"/>
      <x:c r="L97" s="402"/>
      <x:c r="M97" s="402"/>
      <x:c r="N97" s="402"/>
      <x:c r="O97" s="402"/>
      <x:c r="P97" s="402"/>
      <x:c r="Q97" s="402"/>
      <x:c r="R97" s="402"/>
      <x:c r="S97" s="402"/>
      <x:c r="T97" s="402"/>
      <x:c r="U97" s="402"/>
      <x:c r="V97" s="402"/>
      <x:c r="W97" s="402"/>
      <x:c r="X97" s="402"/>
      <x:c r="Y97" s="402"/>
      <x:c r="Z97" s="402"/>
    </x:row>
    <x:row r="98">
      <x:c r="A98" s="402"/>
      <x:c r="B98" s="402"/>
      <x:c r="C98" s="402"/>
      <x:c r="D98" s="402"/>
      <x:c r="E98" s="402"/>
      <x:c r="F98" s="402"/>
      <x:c r="G98" s="402"/>
      <x:c r="H98" s="402"/>
      <x:c r="I98" s="402"/>
      <x:c r="J98" s="402"/>
      <x:c r="K98" s="402"/>
      <x:c r="L98" s="402"/>
      <x:c r="M98" s="402"/>
      <x:c r="N98" s="402"/>
      <x:c r="O98" s="402"/>
      <x:c r="P98" s="402"/>
      <x:c r="Q98" s="402"/>
      <x:c r="R98" s="402"/>
      <x:c r="S98" s="402"/>
      <x:c r="T98" s="402"/>
      <x:c r="U98" s="402"/>
      <x:c r="V98" s="402"/>
      <x:c r="W98" s="402"/>
      <x:c r="X98" s="402"/>
      <x:c r="Y98" s="402"/>
      <x:c r="Z98" s="402"/>
    </x:row>
    <x:row r="99">
      <x:c r="A99" s="402"/>
      <x:c r="B99" s="402"/>
      <x:c r="C99" s="402"/>
      <x:c r="D99" s="402"/>
      <x:c r="E99" s="402"/>
      <x:c r="F99" s="402"/>
      <x:c r="G99" s="402"/>
      <x:c r="H99" s="402"/>
      <x:c r="I99" s="402"/>
      <x:c r="J99" s="402"/>
      <x:c r="K99" s="402"/>
      <x:c r="L99" s="402"/>
      <x:c r="M99" s="402"/>
      <x:c r="N99" s="402"/>
      <x:c r="O99" s="402"/>
      <x:c r="P99" s="402"/>
      <x:c r="Q99" s="402"/>
      <x:c r="R99" s="402"/>
      <x:c r="S99" s="402"/>
      <x:c r="T99" s="402"/>
      <x:c r="U99" s="402"/>
      <x:c r="V99" s="402"/>
      <x:c r="W99" s="402"/>
      <x:c r="X99" s="402"/>
      <x:c r="Y99" s="402"/>
      <x:c r="Z99" s="402"/>
    </x:row>
    <x:row r="100">
      <x:c r="A100" s="402"/>
      <x:c r="B100" s="402"/>
      <x:c r="C100" s="402"/>
      <x:c r="D100" s="402"/>
      <x:c r="E100" s="402"/>
      <x:c r="F100" s="402"/>
      <x:c r="G100" s="402"/>
      <x:c r="H100" s="402"/>
      <x:c r="I100" s="402"/>
      <x:c r="J100" s="402"/>
      <x:c r="K100" s="402"/>
      <x:c r="L100" s="402"/>
      <x:c r="M100" s="402"/>
      <x:c r="N100" s="402"/>
      <x:c r="O100" s="402"/>
      <x:c r="P100" s="402"/>
      <x:c r="Q100" s="402"/>
      <x:c r="R100" s="402"/>
      <x:c r="S100" s="402"/>
      <x:c r="T100" s="402"/>
      <x:c r="U100" s="402"/>
      <x:c r="V100" s="402"/>
      <x:c r="W100" s="402"/>
      <x:c r="X100" s="402"/>
      <x:c r="Y100" s="402"/>
      <x:c r="Z100" s="402"/>
    </x:row>
    <x:row r="101">
      <x:c r="A101" s="402"/>
      <x:c r="B101" s="402"/>
      <x:c r="C101" s="402"/>
      <x:c r="D101" s="402"/>
      <x:c r="E101" s="402"/>
      <x:c r="F101" s="402"/>
      <x:c r="G101" s="402"/>
      <x:c r="H101" s="402"/>
      <x:c r="I101" s="402"/>
      <x:c r="J101" s="402"/>
      <x:c r="K101" s="402"/>
      <x:c r="L101" s="402"/>
      <x:c r="M101" s="402"/>
      <x:c r="N101" s="402"/>
      <x:c r="O101" s="402"/>
      <x:c r="P101" s="402"/>
      <x:c r="Q101" s="402"/>
      <x:c r="R101" s="402"/>
      <x:c r="S101" s="402"/>
      <x:c r="T101" s="402"/>
      <x:c r="U101" s="402"/>
      <x:c r="V101" s="402"/>
      <x:c r="W101" s="402"/>
      <x:c r="X101" s="402"/>
      <x:c r="Y101" s="402"/>
      <x:c r="Z101" s="402"/>
    </x:row>
    <x:row r="102">
      <x:c r="A102" s="402"/>
      <x:c r="B102" s="402"/>
      <x:c r="C102" s="402"/>
      <x:c r="D102" s="402"/>
      <x:c r="E102" s="402"/>
      <x:c r="F102" s="402"/>
      <x:c r="G102" s="402"/>
      <x:c r="H102" s="402"/>
      <x:c r="I102" s="402"/>
      <x:c r="J102" s="402"/>
      <x:c r="K102" s="402"/>
      <x:c r="L102" s="402"/>
      <x:c r="M102" s="402"/>
      <x:c r="N102" s="402"/>
      <x:c r="O102" s="402"/>
      <x:c r="P102" s="402"/>
      <x:c r="Q102" s="402"/>
      <x:c r="R102" s="402"/>
      <x:c r="S102" s="402"/>
      <x:c r="T102" s="402"/>
      <x:c r="U102" s="402"/>
      <x:c r="V102" s="402"/>
      <x:c r="W102" s="402"/>
      <x:c r="X102" s="402"/>
      <x:c r="Y102" s="402"/>
      <x:c r="Z102" s="402"/>
    </x:row>
    <x:row r="103">
      <x:c r="A103" s="402"/>
      <x:c r="B103" s="402"/>
      <x:c r="C103" s="402"/>
      <x:c r="D103" s="402"/>
      <x:c r="E103" s="402"/>
      <x:c r="F103" s="402"/>
      <x:c r="G103" s="402"/>
      <x:c r="H103" s="402"/>
      <x:c r="I103" s="402"/>
      <x:c r="J103" s="402"/>
      <x:c r="K103" s="402"/>
      <x:c r="L103" s="402"/>
      <x:c r="M103" s="402"/>
      <x:c r="N103" s="402"/>
      <x:c r="O103" s="402"/>
      <x:c r="P103" s="402"/>
      <x:c r="Q103" s="402"/>
      <x:c r="R103" s="402"/>
      <x:c r="S103" s="402"/>
      <x:c r="T103" s="402"/>
      <x:c r="U103" s="402"/>
      <x:c r="V103" s="402"/>
      <x:c r="W103" s="402"/>
      <x:c r="X103" s="402"/>
      <x:c r="Y103" s="402"/>
      <x:c r="Z103" s="402"/>
    </x:row>
    <x:row r="104">
      <x:c r="A104" s="402"/>
      <x:c r="B104" s="402"/>
      <x:c r="C104" s="402"/>
      <x:c r="D104" s="402"/>
      <x:c r="E104" s="402"/>
      <x:c r="F104" s="402"/>
      <x:c r="G104" s="402"/>
      <x:c r="H104" s="402"/>
      <x:c r="I104" s="402"/>
      <x:c r="J104" s="402"/>
      <x:c r="K104" s="402"/>
      <x:c r="L104" s="402"/>
      <x:c r="M104" s="402"/>
      <x:c r="N104" s="402"/>
      <x:c r="O104" s="402"/>
      <x:c r="P104" s="402"/>
      <x:c r="Q104" s="402"/>
      <x:c r="R104" s="402"/>
      <x:c r="S104" s="402"/>
      <x:c r="T104" s="402"/>
      <x:c r="U104" s="402"/>
      <x:c r="V104" s="402"/>
      <x:c r="W104" s="402"/>
      <x:c r="X104" s="402"/>
      <x:c r="Y104" s="402"/>
      <x:c r="Z104" s="402"/>
    </x:row>
    <x:row r="105">
      <x:c r="A105" s="402"/>
      <x:c r="B105" s="402"/>
      <x:c r="C105" s="402"/>
      <x:c r="D105" s="402"/>
      <x:c r="E105" s="402"/>
      <x:c r="F105" s="402"/>
      <x:c r="G105" s="402"/>
      <x:c r="H105" s="402"/>
      <x:c r="I105" s="402"/>
      <x:c r="J105" s="402"/>
      <x:c r="K105" s="402"/>
      <x:c r="L105" s="402"/>
      <x:c r="M105" s="402"/>
      <x:c r="N105" s="402"/>
      <x:c r="O105" s="402"/>
      <x:c r="P105" s="402"/>
      <x:c r="Q105" s="402"/>
      <x:c r="R105" s="402"/>
      <x:c r="S105" s="402"/>
      <x:c r="T105" s="402"/>
      <x:c r="U105" s="402"/>
      <x:c r="V105" s="402"/>
      <x:c r="W105" s="402"/>
      <x:c r="X105" s="402"/>
      <x:c r="Y105" s="402"/>
      <x:c r="Z105" s="402"/>
    </x:row>
    <x:row r="106">
      <x:c r="A106" s="402"/>
      <x:c r="B106" s="402"/>
      <x:c r="C106" s="402"/>
      <x:c r="D106" s="402"/>
      <x:c r="E106" s="402"/>
      <x:c r="F106" s="402"/>
      <x:c r="G106" s="402"/>
      <x:c r="H106" s="402"/>
      <x:c r="I106" s="402"/>
      <x:c r="J106" s="402"/>
      <x:c r="K106" s="402"/>
      <x:c r="L106" s="402"/>
      <x:c r="M106" s="402"/>
      <x:c r="N106" s="402"/>
      <x:c r="O106" s="402"/>
      <x:c r="P106" s="402"/>
      <x:c r="Q106" s="402"/>
      <x:c r="R106" s="402"/>
      <x:c r="S106" s="402"/>
      <x:c r="T106" s="402"/>
      <x:c r="U106" s="402"/>
      <x:c r="V106" s="402"/>
      <x:c r="W106" s="402"/>
      <x:c r="X106" s="402"/>
      <x:c r="Y106" s="402"/>
      <x:c r="Z106" s="402"/>
    </x:row>
    <x:row r="107">
      <x:c r="A107" s="402"/>
      <x:c r="B107" s="402"/>
      <x:c r="C107" s="402"/>
      <x:c r="D107" s="402"/>
      <x:c r="E107" s="402"/>
      <x:c r="F107" s="402"/>
      <x:c r="G107" s="402"/>
      <x:c r="H107" s="402"/>
      <x:c r="I107" s="402"/>
      <x:c r="J107" s="402"/>
      <x:c r="K107" s="402"/>
      <x:c r="L107" s="402"/>
      <x:c r="M107" s="402"/>
      <x:c r="N107" s="402"/>
      <x:c r="O107" s="402"/>
      <x:c r="P107" s="402"/>
      <x:c r="Q107" s="402"/>
      <x:c r="R107" s="402"/>
      <x:c r="S107" s="402"/>
      <x:c r="T107" s="402"/>
      <x:c r="U107" s="402"/>
      <x:c r="V107" s="402"/>
      <x:c r="W107" s="402"/>
      <x:c r="X107" s="402"/>
      <x:c r="Y107" s="402"/>
      <x:c r="Z107" s="402"/>
    </x:row>
    <x:row r="108">
      <x:c r="A108" s="402"/>
      <x:c r="B108" s="402"/>
      <x:c r="C108" s="402"/>
      <x:c r="D108" s="402"/>
      <x:c r="E108" s="402"/>
      <x:c r="F108" s="402"/>
      <x:c r="G108" s="402"/>
      <x:c r="H108" s="402"/>
      <x:c r="I108" s="402"/>
      <x:c r="J108" s="402"/>
      <x:c r="K108" s="402"/>
      <x:c r="L108" s="402"/>
      <x:c r="M108" s="402"/>
      <x:c r="N108" s="402"/>
      <x:c r="O108" s="402"/>
      <x:c r="P108" s="402"/>
      <x:c r="Q108" s="402"/>
      <x:c r="R108" s="402"/>
      <x:c r="S108" s="402"/>
      <x:c r="T108" s="402"/>
      <x:c r="U108" s="402"/>
      <x:c r="V108" s="402"/>
      <x:c r="W108" s="402"/>
      <x:c r="X108" s="402"/>
      <x:c r="Y108" s="402"/>
      <x:c r="Z108" s="402"/>
    </x:row>
    <x:row r="109">
      <x:c r="A109" s="402"/>
      <x:c r="B109" s="402"/>
      <x:c r="C109" s="402"/>
      <x:c r="D109" s="402"/>
      <x:c r="E109" s="402"/>
      <x:c r="F109" s="402"/>
      <x:c r="G109" s="402"/>
      <x:c r="H109" s="402"/>
      <x:c r="I109" s="402"/>
      <x:c r="J109" s="402"/>
      <x:c r="K109" s="402"/>
      <x:c r="L109" s="402"/>
      <x:c r="M109" s="402"/>
      <x:c r="N109" s="402"/>
      <x:c r="O109" s="402"/>
      <x:c r="P109" s="402"/>
      <x:c r="Q109" s="402"/>
      <x:c r="R109" s="402"/>
      <x:c r="S109" s="402"/>
      <x:c r="T109" s="402"/>
      <x:c r="U109" s="402"/>
      <x:c r="V109" s="402"/>
      <x:c r="W109" s="402"/>
      <x:c r="X109" s="402"/>
      <x:c r="Y109" s="402"/>
      <x:c r="Z109" s="402"/>
    </x:row>
    <x:row r="110">
      <x:c r="A110" s="402"/>
      <x:c r="B110" s="402"/>
      <x:c r="C110" s="402"/>
      <x:c r="D110" s="402"/>
      <x:c r="E110" s="402"/>
      <x:c r="F110" s="402"/>
      <x:c r="G110" s="402"/>
      <x:c r="H110" s="402"/>
      <x:c r="I110" s="402"/>
      <x:c r="J110" s="402"/>
      <x:c r="K110" s="402"/>
      <x:c r="L110" s="402"/>
      <x:c r="M110" s="402"/>
      <x:c r="N110" s="402"/>
      <x:c r="O110" s="402"/>
      <x:c r="P110" s="402"/>
      <x:c r="Q110" s="402"/>
      <x:c r="R110" s="402"/>
      <x:c r="S110" s="402"/>
      <x:c r="T110" s="402"/>
      <x:c r="U110" s="402"/>
      <x:c r="V110" s="402"/>
      <x:c r="W110" s="402"/>
      <x:c r="X110" s="402"/>
      <x:c r="Y110" s="402"/>
      <x:c r="Z110" s="402"/>
    </x:row>
    <x:row r="111">
      <x:c r="A111" s="402"/>
      <x:c r="B111" s="402"/>
      <x:c r="C111" s="402"/>
      <x:c r="D111" s="402"/>
      <x:c r="E111" s="402"/>
      <x:c r="F111" s="402"/>
      <x:c r="G111" s="402"/>
      <x:c r="H111" s="402"/>
      <x:c r="I111" s="402"/>
      <x:c r="J111" s="402"/>
      <x:c r="K111" s="402"/>
      <x:c r="L111" s="402"/>
      <x:c r="M111" s="402"/>
      <x:c r="N111" s="402"/>
      <x:c r="O111" s="402"/>
      <x:c r="P111" s="402"/>
      <x:c r="Q111" s="402"/>
      <x:c r="R111" s="402"/>
      <x:c r="S111" s="402"/>
      <x:c r="T111" s="402"/>
      <x:c r="U111" s="402"/>
      <x:c r="V111" s="402"/>
      <x:c r="W111" s="402"/>
      <x:c r="X111" s="402"/>
      <x:c r="Y111" s="402"/>
      <x:c r="Z111" s="402"/>
    </x:row>
    <x:row r="112">
      <x:c r="A112" s="402"/>
      <x:c r="B112" s="402"/>
      <x:c r="C112" s="402"/>
      <x:c r="D112" s="402"/>
      <x:c r="E112" s="402"/>
      <x:c r="F112" s="402"/>
      <x:c r="G112" s="402"/>
      <x:c r="H112" s="402"/>
      <x:c r="I112" s="402"/>
      <x:c r="J112" s="402"/>
      <x:c r="K112" s="402"/>
      <x:c r="L112" s="402"/>
      <x:c r="M112" s="402"/>
      <x:c r="N112" s="402"/>
      <x:c r="O112" s="402"/>
      <x:c r="P112" s="402"/>
      <x:c r="Q112" s="402"/>
      <x:c r="R112" s="402"/>
      <x:c r="S112" s="402"/>
      <x:c r="T112" s="402"/>
      <x:c r="U112" s="402"/>
      <x:c r="V112" s="402"/>
      <x:c r="W112" s="402"/>
      <x:c r="X112" s="402"/>
      <x:c r="Y112" s="402"/>
      <x:c r="Z112" s="402"/>
    </x:row>
    <x:row r="113">
      <x:c r="A113" s="402"/>
      <x:c r="B113" s="402"/>
      <x:c r="C113" s="402"/>
      <x:c r="D113" s="402"/>
      <x:c r="E113" s="402"/>
      <x:c r="F113" s="402"/>
      <x:c r="G113" s="402"/>
      <x:c r="H113" s="402"/>
      <x:c r="I113" s="402"/>
      <x:c r="J113" s="402"/>
      <x:c r="K113" s="402"/>
      <x:c r="L113" s="402"/>
      <x:c r="M113" s="402"/>
      <x:c r="N113" s="402"/>
      <x:c r="O113" s="402"/>
      <x:c r="P113" s="402"/>
      <x:c r="Q113" s="402"/>
      <x:c r="R113" s="402"/>
      <x:c r="S113" s="402"/>
      <x:c r="T113" s="402"/>
      <x:c r="U113" s="402"/>
      <x:c r="V113" s="402"/>
      <x:c r="W113" s="402"/>
      <x:c r="X113" s="402"/>
      <x:c r="Y113" s="402"/>
      <x:c r="Z113" s="402"/>
    </x:row>
    <x:row r="114">
      <x:c r="A114" s="402"/>
      <x:c r="B114" s="402"/>
      <x:c r="C114" s="402"/>
      <x:c r="D114" s="402"/>
      <x:c r="E114" s="402"/>
      <x:c r="F114" s="402"/>
      <x:c r="G114" s="402"/>
      <x:c r="H114" s="402"/>
      <x:c r="I114" s="402"/>
      <x:c r="J114" s="402"/>
      <x:c r="K114" s="402"/>
      <x:c r="L114" s="402"/>
      <x:c r="M114" s="402"/>
      <x:c r="N114" s="402"/>
      <x:c r="O114" s="402"/>
      <x:c r="P114" s="402"/>
      <x:c r="Q114" s="402"/>
      <x:c r="R114" s="402"/>
      <x:c r="S114" s="402"/>
      <x:c r="T114" s="402"/>
      <x:c r="U114" s="402"/>
      <x:c r="V114" s="402"/>
      <x:c r="W114" s="402"/>
      <x:c r="X114" s="402"/>
      <x:c r="Y114" s="402"/>
      <x:c r="Z114" s="402"/>
    </x:row>
    <x:row r="115">
      <x:c r="A115" s="402"/>
      <x:c r="B115" s="402"/>
      <x:c r="C115" s="402"/>
      <x:c r="D115" s="402"/>
      <x:c r="E115" s="402"/>
      <x:c r="F115" s="402"/>
      <x:c r="G115" s="402"/>
      <x:c r="H115" s="402"/>
      <x:c r="I115" s="402"/>
      <x:c r="J115" s="402"/>
      <x:c r="K115" s="402"/>
      <x:c r="L115" s="402"/>
      <x:c r="M115" s="402"/>
      <x:c r="N115" s="402"/>
      <x:c r="O115" s="402"/>
      <x:c r="P115" s="402"/>
      <x:c r="Q115" s="402"/>
      <x:c r="R115" s="402"/>
      <x:c r="S115" s="402"/>
      <x:c r="T115" s="402"/>
      <x:c r="U115" s="402"/>
      <x:c r="V115" s="402"/>
      <x:c r="W115" s="402"/>
      <x:c r="X115" s="402"/>
      <x:c r="Y115" s="402"/>
      <x:c r="Z115" s="402"/>
    </x:row>
    <x:row r="116">
      <x:c r="A116" s="402"/>
      <x:c r="B116" s="402"/>
      <x:c r="C116" s="402"/>
      <x:c r="D116" s="402"/>
      <x:c r="E116" s="402"/>
      <x:c r="F116" s="402"/>
      <x:c r="G116" s="402"/>
      <x:c r="H116" s="402"/>
      <x:c r="I116" s="402"/>
      <x:c r="J116" s="402"/>
      <x:c r="K116" s="402"/>
      <x:c r="L116" s="402"/>
      <x:c r="M116" s="402"/>
      <x:c r="N116" s="402"/>
      <x:c r="O116" s="402"/>
      <x:c r="P116" s="402"/>
      <x:c r="Q116" s="402"/>
      <x:c r="R116" s="402"/>
      <x:c r="S116" s="402"/>
      <x:c r="T116" s="402"/>
      <x:c r="U116" s="402"/>
      <x:c r="V116" s="402"/>
      <x:c r="W116" s="402"/>
      <x:c r="X116" s="402"/>
      <x:c r="Y116" s="402"/>
      <x:c r="Z116" s="402"/>
    </x:row>
    <x:row r="117">
      <x:c r="A117" s="402"/>
      <x:c r="B117" s="402"/>
      <x:c r="C117" s="402"/>
      <x:c r="D117" s="402"/>
      <x:c r="E117" s="402"/>
      <x:c r="F117" s="402"/>
      <x:c r="G117" s="402"/>
      <x:c r="H117" s="402"/>
      <x:c r="I117" s="402"/>
      <x:c r="J117" s="402"/>
      <x:c r="K117" s="402"/>
      <x:c r="L117" s="402"/>
      <x:c r="M117" s="402"/>
      <x:c r="N117" s="402"/>
      <x:c r="O117" s="402"/>
      <x:c r="P117" s="402"/>
      <x:c r="Q117" s="402"/>
      <x:c r="R117" s="402"/>
      <x:c r="S117" s="402"/>
      <x:c r="T117" s="402"/>
      <x:c r="U117" s="402"/>
      <x:c r="V117" s="402"/>
      <x:c r="W117" s="402"/>
      <x:c r="X117" s="402"/>
      <x:c r="Y117" s="402"/>
      <x:c r="Z117" s="402"/>
    </x:row>
    <x:row r="118">
      <x:c r="A118" s="402"/>
      <x:c r="B118" s="402"/>
      <x:c r="C118" s="402"/>
      <x:c r="D118" s="402"/>
      <x:c r="E118" s="402"/>
      <x:c r="F118" s="402"/>
      <x:c r="G118" s="402"/>
      <x:c r="H118" s="402"/>
      <x:c r="I118" s="402"/>
      <x:c r="J118" s="402"/>
      <x:c r="K118" s="402"/>
      <x:c r="L118" s="402"/>
      <x:c r="M118" s="402"/>
      <x:c r="N118" s="402"/>
      <x:c r="O118" s="402"/>
      <x:c r="P118" s="402"/>
      <x:c r="Q118" s="402"/>
      <x:c r="R118" s="402"/>
      <x:c r="S118" s="402"/>
      <x:c r="T118" s="402"/>
      <x:c r="U118" s="402"/>
      <x:c r="V118" s="402"/>
      <x:c r="W118" s="402"/>
      <x:c r="X118" s="402"/>
      <x:c r="Y118" s="402"/>
      <x:c r="Z118" s="402"/>
    </x:row>
    <x:row r="119">
      <x:c r="A119" s="402"/>
      <x:c r="B119" s="402"/>
      <x:c r="C119" s="402"/>
      <x:c r="D119" s="402"/>
      <x:c r="E119" s="402"/>
      <x:c r="F119" s="402"/>
      <x:c r="G119" s="402"/>
      <x:c r="H119" s="402"/>
      <x:c r="I119" s="402"/>
      <x:c r="J119" s="402"/>
      <x:c r="K119" s="402"/>
      <x:c r="L119" s="402"/>
      <x:c r="M119" s="402"/>
      <x:c r="N119" s="402"/>
      <x:c r="O119" s="402"/>
      <x:c r="P119" s="402"/>
      <x:c r="Q119" s="402"/>
      <x:c r="R119" s="402"/>
      <x:c r="S119" s="402"/>
      <x:c r="T119" s="402"/>
      <x:c r="U119" s="402"/>
      <x:c r="V119" s="402"/>
      <x:c r="W119" s="402"/>
      <x:c r="X119" s="402"/>
      <x:c r="Y119" s="402"/>
      <x:c r="Z119" s="402"/>
    </x:row>
    <x:row r="120">
      <x:c r="A120" s="402"/>
      <x:c r="B120" s="402"/>
      <x:c r="C120" s="402"/>
      <x:c r="D120" s="402"/>
      <x:c r="E120" s="402"/>
      <x:c r="F120" s="402"/>
      <x:c r="G120" s="402"/>
      <x:c r="H120" s="402"/>
      <x:c r="I120" s="402"/>
      <x:c r="J120" s="402"/>
      <x:c r="K120" s="402"/>
      <x:c r="L120" s="402"/>
      <x:c r="M120" s="402"/>
      <x:c r="N120" s="402"/>
      <x:c r="O120" s="402"/>
      <x:c r="P120" s="402"/>
      <x:c r="Q120" s="402"/>
      <x:c r="R120" s="402"/>
      <x:c r="S120" s="402"/>
      <x:c r="T120" s="402"/>
      <x:c r="U120" s="402"/>
      <x:c r="V120" s="402"/>
      <x:c r="W120" s="402"/>
      <x:c r="X120" s="402"/>
      <x:c r="Y120" s="402"/>
      <x:c r="Z120" s="402"/>
    </x:row>
    <x:row r="121">
      <x:c r="A121" s="402"/>
      <x:c r="B121" s="402"/>
      <x:c r="C121" s="402"/>
      <x:c r="D121" s="402"/>
      <x:c r="E121" s="402"/>
      <x:c r="F121" s="402"/>
      <x:c r="G121" s="402"/>
      <x:c r="H121" s="402"/>
      <x:c r="I121" s="402"/>
      <x:c r="J121" s="402"/>
      <x:c r="K121" s="402"/>
      <x:c r="L121" s="402"/>
      <x:c r="M121" s="402"/>
      <x:c r="N121" s="402"/>
      <x:c r="O121" s="402"/>
      <x:c r="P121" s="402"/>
      <x:c r="Q121" s="402"/>
      <x:c r="R121" s="402"/>
      <x:c r="S121" s="402"/>
      <x:c r="T121" s="402"/>
      <x:c r="U121" s="402"/>
      <x:c r="V121" s="402"/>
      <x:c r="W121" s="402"/>
      <x:c r="X121" s="402"/>
      <x:c r="Y121" s="402"/>
      <x:c r="Z121" s="402"/>
    </x:row>
    <x:row r="122">
      <x:c r="A122" s="402"/>
      <x:c r="B122" s="402"/>
      <x:c r="C122" s="402"/>
      <x:c r="D122" s="402"/>
      <x:c r="E122" s="402"/>
      <x:c r="F122" s="402"/>
      <x:c r="G122" s="402"/>
      <x:c r="H122" s="402"/>
      <x:c r="I122" s="402"/>
      <x:c r="J122" s="402"/>
      <x:c r="K122" s="402"/>
      <x:c r="L122" s="402"/>
      <x:c r="M122" s="402"/>
      <x:c r="N122" s="402"/>
      <x:c r="O122" s="402"/>
      <x:c r="P122" s="402"/>
      <x:c r="Q122" s="402"/>
      <x:c r="R122" s="402"/>
      <x:c r="S122" s="402"/>
      <x:c r="T122" s="402"/>
      <x:c r="U122" s="402"/>
      <x:c r="V122" s="402"/>
      <x:c r="W122" s="402"/>
      <x:c r="X122" s="402"/>
      <x:c r="Y122" s="402"/>
      <x:c r="Z122" s="402"/>
    </x:row>
    <x:row r="123">
      <x:c r="A123" s="402"/>
      <x:c r="B123" s="402"/>
      <x:c r="C123" s="402"/>
      <x:c r="D123" s="402"/>
      <x:c r="E123" s="402"/>
      <x:c r="F123" s="402"/>
      <x:c r="G123" s="402"/>
      <x:c r="H123" s="402"/>
      <x:c r="I123" s="402"/>
      <x:c r="J123" s="402"/>
      <x:c r="K123" s="402"/>
      <x:c r="L123" s="402"/>
      <x:c r="M123" s="402"/>
      <x:c r="N123" s="402"/>
      <x:c r="O123" s="402"/>
      <x:c r="P123" s="402"/>
      <x:c r="Q123" s="402"/>
      <x:c r="R123" s="402"/>
      <x:c r="S123" s="402"/>
      <x:c r="T123" s="402"/>
      <x:c r="U123" s="402"/>
      <x:c r="V123" s="402"/>
      <x:c r="W123" s="402"/>
      <x:c r="X123" s="402"/>
      <x:c r="Y123" s="402"/>
      <x:c r="Z123" s="402"/>
    </x:row>
    <x:row r="124">
      <x:c r="A124" s="402"/>
      <x:c r="B124" s="402"/>
      <x:c r="C124" s="402"/>
      <x:c r="D124" s="402"/>
      <x:c r="E124" s="402"/>
      <x:c r="F124" s="402"/>
      <x:c r="G124" s="402"/>
      <x:c r="H124" s="402"/>
      <x:c r="I124" s="402"/>
      <x:c r="J124" s="402"/>
      <x:c r="K124" s="402"/>
      <x:c r="L124" s="402"/>
      <x:c r="M124" s="402"/>
      <x:c r="N124" s="402"/>
      <x:c r="O124" s="402"/>
      <x:c r="P124" s="402"/>
      <x:c r="Q124" s="402"/>
      <x:c r="R124" s="402"/>
      <x:c r="S124" s="402"/>
      <x:c r="T124" s="402"/>
      <x:c r="U124" s="402"/>
      <x:c r="V124" s="402"/>
      <x:c r="W124" s="402"/>
      <x:c r="X124" s="402"/>
      <x:c r="Y124" s="402"/>
      <x:c r="Z124" s="402"/>
    </x:row>
    <x:row r="125">
      <x:c r="A125" s="402"/>
      <x:c r="B125" s="402"/>
      <x:c r="C125" s="402"/>
      <x:c r="D125" s="402"/>
      <x:c r="E125" s="402"/>
      <x:c r="F125" s="402"/>
      <x:c r="G125" s="402"/>
      <x:c r="H125" s="402"/>
      <x:c r="I125" s="402"/>
      <x:c r="J125" s="402"/>
      <x:c r="K125" s="402"/>
      <x:c r="L125" s="402"/>
      <x:c r="M125" s="402"/>
      <x:c r="N125" s="402"/>
      <x:c r="O125" s="402"/>
      <x:c r="P125" s="402"/>
      <x:c r="Q125" s="402"/>
      <x:c r="R125" s="402"/>
      <x:c r="S125" s="402"/>
      <x:c r="T125" s="402"/>
      <x:c r="U125" s="402"/>
      <x:c r="V125" s="402"/>
      <x:c r="W125" s="402"/>
      <x:c r="X125" s="402"/>
      <x:c r="Y125" s="402"/>
      <x:c r="Z125" s="402"/>
    </x:row>
    <x:row r="126">
      <x:c r="A126" s="402"/>
      <x:c r="B126" s="402"/>
      <x:c r="C126" s="402"/>
      <x:c r="D126" s="402"/>
      <x:c r="E126" s="402"/>
      <x:c r="F126" s="402"/>
      <x:c r="G126" s="402"/>
      <x:c r="H126" s="402"/>
      <x:c r="I126" s="402"/>
      <x:c r="J126" s="402"/>
      <x:c r="K126" s="402"/>
      <x:c r="L126" s="402"/>
      <x:c r="M126" s="402"/>
      <x:c r="N126" s="402"/>
      <x:c r="O126" s="402"/>
      <x:c r="P126" s="402"/>
      <x:c r="Q126" s="402"/>
      <x:c r="R126" s="402"/>
      <x:c r="S126" s="402"/>
      <x:c r="T126" s="402"/>
      <x:c r="U126" s="402"/>
      <x:c r="V126" s="402"/>
      <x:c r="W126" s="402"/>
      <x:c r="X126" s="402"/>
      <x:c r="Y126" s="402"/>
      <x:c r="Z126" s="402"/>
    </x:row>
    <x:row r="127">
      <x:c r="A127" s="402"/>
      <x:c r="B127" s="402"/>
      <x:c r="C127" s="402"/>
      <x:c r="D127" s="402"/>
      <x:c r="E127" s="402"/>
      <x:c r="F127" s="402"/>
      <x:c r="G127" s="402"/>
      <x:c r="H127" s="402"/>
      <x:c r="I127" s="402"/>
      <x:c r="J127" s="402"/>
      <x:c r="K127" s="402"/>
      <x:c r="L127" s="402"/>
      <x:c r="M127" s="402"/>
      <x:c r="N127" s="402"/>
      <x:c r="O127" s="402"/>
      <x:c r="P127" s="402"/>
      <x:c r="Q127" s="402"/>
      <x:c r="R127" s="402"/>
      <x:c r="S127" s="402"/>
      <x:c r="T127" s="402"/>
      <x:c r="U127" s="402"/>
      <x:c r="V127" s="402"/>
      <x:c r="W127" s="402"/>
      <x:c r="X127" s="402"/>
      <x:c r="Y127" s="402"/>
      <x:c r="Z127" s="402"/>
    </x:row>
    <x:row r="128">
      <x:c r="A128" s="402"/>
      <x:c r="B128" s="402"/>
      <x:c r="C128" s="402"/>
      <x:c r="D128" s="402"/>
      <x:c r="E128" s="402"/>
      <x:c r="F128" s="402"/>
      <x:c r="G128" s="402"/>
      <x:c r="H128" s="402"/>
      <x:c r="I128" s="402"/>
      <x:c r="J128" s="402"/>
      <x:c r="K128" s="402"/>
      <x:c r="L128" s="402"/>
      <x:c r="M128" s="402"/>
      <x:c r="N128" s="402"/>
      <x:c r="O128" s="402"/>
      <x:c r="P128" s="402"/>
      <x:c r="Q128" s="402"/>
      <x:c r="R128" s="402"/>
      <x:c r="S128" s="402"/>
      <x:c r="T128" s="402"/>
      <x:c r="U128" s="402"/>
      <x:c r="V128" s="402"/>
      <x:c r="W128" s="402"/>
      <x:c r="X128" s="402"/>
      <x:c r="Y128" s="402"/>
      <x:c r="Z128" s="402"/>
    </x:row>
    <x:row r="129">
      <x:c r="A129" s="402"/>
      <x:c r="B129" s="402"/>
      <x:c r="C129" s="402"/>
      <x:c r="D129" s="402"/>
      <x:c r="E129" s="402"/>
      <x:c r="F129" s="402"/>
      <x:c r="G129" s="402"/>
      <x:c r="H129" s="402"/>
      <x:c r="I129" s="402"/>
      <x:c r="J129" s="402"/>
      <x:c r="K129" s="402"/>
      <x:c r="L129" s="402"/>
      <x:c r="M129" s="402"/>
      <x:c r="N129" s="402"/>
      <x:c r="O129" s="402"/>
      <x:c r="P129" s="402"/>
      <x:c r="Q129" s="402"/>
      <x:c r="R129" s="402"/>
      <x:c r="S129" s="402"/>
      <x:c r="T129" s="402"/>
      <x:c r="U129" s="402"/>
      <x:c r="V129" s="402"/>
      <x:c r="W129" s="402"/>
      <x:c r="X129" s="402"/>
      <x:c r="Y129" s="402"/>
      <x:c r="Z129" s="402"/>
    </x:row>
    <x:row r="130">
      <x:c r="A130" s="402"/>
      <x:c r="B130" s="402"/>
      <x:c r="C130" s="402"/>
      <x:c r="D130" s="402"/>
      <x:c r="E130" s="402"/>
      <x:c r="F130" s="402"/>
      <x:c r="G130" s="402"/>
      <x:c r="H130" s="402"/>
      <x:c r="I130" s="402"/>
      <x:c r="J130" s="402"/>
      <x:c r="K130" s="402"/>
      <x:c r="L130" s="402"/>
      <x:c r="M130" s="402"/>
      <x:c r="N130" s="402"/>
      <x:c r="O130" s="402"/>
      <x:c r="P130" s="402"/>
      <x:c r="Q130" s="402"/>
      <x:c r="R130" s="402"/>
      <x:c r="S130" s="402"/>
      <x:c r="T130" s="402"/>
      <x:c r="U130" s="402"/>
      <x:c r="V130" s="402"/>
      <x:c r="W130" s="402"/>
      <x:c r="X130" s="402"/>
      <x:c r="Y130" s="402"/>
      <x:c r="Z130" s="402"/>
    </x:row>
    <x:row r="131">
      <x:c r="A131" s="402"/>
      <x:c r="B131" s="402"/>
      <x:c r="C131" s="402"/>
      <x:c r="D131" s="402"/>
      <x:c r="E131" s="402"/>
      <x:c r="F131" s="402"/>
      <x:c r="G131" s="402"/>
      <x:c r="H131" s="402"/>
      <x:c r="I131" s="402"/>
      <x:c r="J131" s="402"/>
      <x:c r="K131" s="402"/>
      <x:c r="L131" s="402"/>
      <x:c r="M131" s="402"/>
      <x:c r="N131" s="402"/>
      <x:c r="O131" s="402"/>
      <x:c r="P131" s="402"/>
      <x:c r="Q131" s="402"/>
      <x:c r="R131" s="402"/>
      <x:c r="S131" s="402"/>
      <x:c r="T131" s="402"/>
      <x:c r="U131" s="402"/>
      <x:c r="V131" s="402"/>
      <x:c r="W131" s="402"/>
      <x:c r="X131" s="402"/>
      <x:c r="Y131" s="402"/>
      <x:c r="Z131" s="402"/>
    </x:row>
    <x:row r="132">
      <x:c r="A132" s="402"/>
      <x:c r="B132" s="402"/>
      <x:c r="C132" s="402"/>
      <x:c r="D132" s="402"/>
      <x:c r="E132" s="402"/>
      <x:c r="F132" s="402"/>
      <x:c r="G132" s="402"/>
      <x:c r="H132" s="402"/>
      <x:c r="I132" s="402"/>
      <x:c r="J132" s="402"/>
      <x:c r="K132" s="402"/>
      <x:c r="L132" s="402"/>
      <x:c r="M132" s="402"/>
      <x:c r="N132" s="402"/>
      <x:c r="O132" s="402"/>
      <x:c r="P132" s="402"/>
      <x:c r="Q132" s="402"/>
      <x:c r="R132" s="402"/>
      <x:c r="S132" s="402"/>
      <x:c r="T132" s="402"/>
      <x:c r="U132" s="402"/>
      <x:c r="V132" s="402"/>
      <x:c r="W132" s="402"/>
      <x:c r="X132" s="402"/>
      <x:c r="Y132" s="402"/>
      <x:c r="Z132" s="402"/>
    </x:row>
    <x:row r="133">
      <x:c r="A133" s="402"/>
      <x:c r="B133" s="402"/>
      <x:c r="C133" s="402"/>
      <x:c r="D133" s="402"/>
      <x:c r="E133" s="402"/>
      <x:c r="F133" s="402"/>
      <x:c r="G133" s="402"/>
      <x:c r="H133" s="402"/>
      <x:c r="I133" s="402"/>
      <x:c r="J133" s="402"/>
      <x:c r="K133" s="402"/>
      <x:c r="L133" s="402"/>
      <x:c r="M133" s="402"/>
      <x:c r="N133" s="402"/>
      <x:c r="O133" s="402"/>
      <x:c r="P133" s="402"/>
      <x:c r="Q133" s="402"/>
      <x:c r="R133" s="402"/>
      <x:c r="S133" s="402"/>
      <x:c r="T133" s="402"/>
      <x:c r="U133" s="402"/>
      <x:c r="V133" s="402"/>
      <x:c r="W133" s="402"/>
      <x:c r="X133" s="402"/>
      <x:c r="Y133" s="402"/>
      <x:c r="Z133" s="402"/>
    </x:row>
    <x:row r="134">
      <x:c r="A134" s="402"/>
      <x:c r="B134" s="402"/>
      <x:c r="C134" s="402"/>
      <x:c r="D134" s="402"/>
      <x:c r="E134" s="402"/>
      <x:c r="F134" s="402"/>
      <x:c r="G134" s="402"/>
      <x:c r="H134" s="402"/>
      <x:c r="I134" s="402"/>
      <x:c r="J134" s="402"/>
      <x:c r="K134" s="402"/>
      <x:c r="L134" s="402"/>
      <x:c r="M134" s="402"/>
      <x:c r="N134" s="402"/>
      <x:c r="O134" s="402"/>
      <x:c r="P134" s="402"/>
      <x:c r="Q134" s="402"/>
      <x:c r="R134" s="402"/>
      <x:c r="S134" s="402"/>
      <x:c r="T134" s="402"/>
      <x:c r="U134" s="402"/>
      <x:c r="V134" s="402"/>
      <x:c r="W134" s="402"/>
      <x:c r="X134" s="402"/>
      <x:c r="Y134" s="402"/>
      <x:c r="Z134" s="402"/>
    </x:row>
    <x:row r="135">
      <x:c r="A135" s="402"/>
      <x:c r="B135" s="402"/>
      <x:c r="C135" s="402"/>
      <x:c r="D135" s="402"/>
      <x:c r="E135" s="402"/>
      <x:c r="F135" s="402"/>
      <x:c r="G135" s="402"/>
      <x:c r="H135" s="402"/>
      <x:c r="I135" s="402"/>
      <x:c r="J135" s="402"/>
      <x:c r="K135" s="402"/>
      <x:c r="L135" s="402"/>
      <x:c r="M135" s="402"/>
      <x:c r="N135" s="402"/>
      <x:c r="O135" s="402"/>
      <x:c r="P135" s="402"/>
      <x:c r="Q135" s="402"/>
      <x:c r="R135" s="402"/>
      <x:c r="S135" s="402"/>
      <x:c r="T135" s="402"/>
      <x:c r="U135" s="402"/>
      <x:c r="V135" s="402"/>
      <x:c r="W135" s="402"/>
      <x:c r="X135" s="402"/>
      <x:c r="Y135" s="402"/>
      <x:c r="Z135" s="402"/>
    </x:row>
    <x:row r="136">
      <x:c r="A136" s="402"/>
      <x:c r="B136" s="402"/>
      <x:c r="C136" s="402"/>
      <x:c r="D136" s="402"/>
      <x:c r="E136" s="402"/>
      <x:c r="F136" s="402"/>
      <x:c r="G136" s="402"/>
      <x:c r="H136" s="402"/>
      <x:c r="I136" s="402"/>
      <x:c r="J136" s="402"/>
      <x:c r="K136" s="402"/>
      <x:c r="L136" s="402"/>
      <x:c r="M136" s="402"/>
      <x:c r="N136" s="402"/>
      <x:c r="O136" s="402"/>
      <x:c r="P136" s="402"/>
      <x:c r="Q136" s="402"/>
      <x:c r="R136" s="402"/>
      <x:c r="S136" s="402"/>
      <x:c r="T136" s="402"/>
      <x:c r="U136" s="402"/>
      <x:c r="V136" s="402"/>
      <x:c r="W136" s="402"/>
      <x:c r="X136" s="402"/>
      <x:c r="Y136" s="402"/>
      <x:c r="Z136" s="402"/>
    </x:row>
    <x:row r="137">
      <x:c r="A137" s="402"/>
      <x:c r="B137" s="402"/>
      <x:c r="C137" s="402"/>
      <x:c r="D137" s="402"/>
      <x:c r="E137" s="402"/>
      <x:c r="F137" s="402"/>
      <x:c r="G137" s="402"/>
      <x:c r="H137" s="402"/>
      <x:c r="I137" s="402"/>
      <x:c r="J137" s="402"/>
      <x:c r="K137" s="402"/>
      <x:c r="L137" s="402"/>
      <x:c r="M137" s="402"/>
      <x:c r="N137" s="402"/>
      <x:c r="O137" s="402"/>
      <x:c r="P137" s="402"/>
      <x:c r="Q137" s="402"/>
      <x:c r="R137" s="402"/>
      <x:c r="S137" s="402"/>
      <x:c r="T137" s="402"/>
      <x:c r="U137" s="402"/>
      <x:c r="V137" s="402"/>
      <x:c r="W137" s="402"/>
      <x:c r="X137" s="402"/>
      <x:c r="Y137" s="402"/>
      <x:c r="Z137" s="402"/>
    </x:row>
    <x:row r="138">
      <x:c r="A138" s="402"/>
      <x:c r="B138" s="402"/>
      <x:c r="C138" s="402"/>
      <x:c r="D138" s="402"/>
      <x:c r="E138" s="402"/>
      <x:c r="F138" s="402"/>
      <x:c r="G138" s="402"/>
      <x:c r="H138" s="402"/>
      <x:c r="I138" s="402"/>
      <x:c r="J138" s="402"/>
      <x:c r="K138" s="402"/>
      <x:c r="L138" s="402"/>
      <x:c r="M138" s="402"/>
      <x:c r="N138" s="402"/>
      <x:c r="O138" s="402"/>
      <x:c r="P138" s="402"/>
      <x:c r="Q138" s="402"/>
      <x:c r="R138" s="402"/>
      <x:c r="S138" s="402"/>
      <x:c r="T138" s="402"/>
      <x:c r="U138" s="402"/>
      <x:c r="V138" s="402"/>
      <x:c r="W138" s="402"/>
      <x:c r="X138" s="402"/>
      <x:c r="Y138" s="402"/>
      <x:c r="Z138" s="402"/>
    </x:row>
    <x:row r="139">
      <x:c r="A139" s="402"/>
      <x:c r="B139" s="402"/>
      <x:c r="C139" s="402"/>
      <x:c r="D139" s="402"/>
      <x:c r="E139" s="402"/>
      <x:c r="F139" s="402"/>
      <x:c r="G139" s="402"/>
      <x:c r="H139" s="402"/>
      <x:c r="I139" s="402"/>
      <x:c r="J139" s="402"/>
      <x:c r="K139" s="402"/>
      <x:c r="L139" s="402"/>
      <x:c r="M139" s="402"/>
      <x:c r="N139" s="402"/>
      <x:c r="O139" s="402"/>
      <x:c r="P139" s="402"/>
      <x:c r="Q139" s="402"/>
      <x:c r="R139" s="402"/>
      <x:c r="S139" s="402"/>
      <x:c r="T139" s="402"/>
      <x:c r="U139" s="402"/>
      <x:c r="V139" s="402"/>
      <x:c r="W139" s="402"/>
      <x:c r="X139" s="402"/>
      <x:c r="Y139" s="402"/>
      <x:c r="Z139" s="402"/>
    </x:row>
    <x:row r="140">
      <x:c r="A140" s="402"/>
      <x:c r="B140" s="402"/>
      <x:c r="C140" s="402"/>
      <x:c r="D140" s="402"/>
      <x:c r="E140" s="402"/>
      <x:c r="F140" s="402"/>
      <x:c r="G140" s="402"/>
      <x:c r="H140" s="402"/>
      <x:c r="I140" s="402"/>
      <x:c r="J140" s="402"/>
      <x:c r="K140" s="402"/>
      <x:c r="L140" s="402"/>
      <x:c r="M140" s="402"/>
      <x:c r="N140" s="402"/>
      <x:c r="O140" s="402"/>
      <x:c r="P140" s="402"/>
      <x:c r="Q140" s="402"/>
      <x:c r="R140" s="402"/>
      <x:c r="S140" s="402"/>
      <x:c r="T140" s="402"/>
      <x:c r="U140" s="402"/>
      <x:c r="V140" s="402"/>
      <x:c r="W140" s="402"/>
      <x:c r="X140" s="402"/>
      <x:c r="Y140" s="402"/>
      <x:c r="Z140" s="402"/>
    </x:row>
    <x:row r="141">
      <x:c r="A141" s="402"/>
      <x:c r="B141" s="402"/>
      <x:c r="C141" s="402"/>
      <x:c r="D141" s="402"/>
      <x:c r="E141" s="402"/>
      <x:c r="F141" s="402"/>
      <x:c r="G141" s="402"/>
      <x:c r="H141" s="402"/>
      <x:c r="I141" s="402"/>
      <x:c r="J141" s="402"/>
      <x:c r="K141" s="402"/>
      <x:c r="L141" s="402"/>
      <x:c r="M141" s="402"/>
      <x:c r="N141" s="402"/>
      <x:c r="O141" s="402"/>
      <x:c r="P141" s="402"/>
      <x:c r="Q141" s="402"/>
      <x:c r="R141" s="402"/>
      <x:c r="S141" s="402"/>
      <x:c r="T141" s="402"/>
      <x:c r="U141" s="402"/>
      <x:c r="V141" s="402"/>
      <x:c r="W141" s="402"/>
      <x:c r="X141" s="402"/>
      <x:c r="Y141" s="402"/>
      <x:c r="Z141" s="402"/>
    </x:row>
    <x:row r="142">
      <x:c r="A142" s="402"/>
      <x:c r="B142" s="402"/>
      <x:c r="C142" s="402"/>
      <x:c r="D142" s="402"/>
      <x:c r="E142" s="402"/>
      <x:c r="F142" s="402"/>
      <x:c r="G142" s="402"/>
      <x:c r="H142" s="402"/>
      <x:c r="I142" s="402"/>
      <x:c r="J142" s="402"/>
      <x:c r="K142" s="402"/>
      <x:c r="L142" s="402"/>
      <x:c r="M142" s="402"/>
      <x:c r="N142" s="402"/>
      <x:c r="O142" s="402"/>
      <x:c r="P142" s="402"/>
      <x:c r="Q142" s="402"/>
      <x:c r="R142" s="402"/>
      <x:c r="S142" s="402"/>
      <x:c r="T142" s="402"/>
      <x:c r="U142" s="402"/>
      <x:c r="V142" s="402"/>
      <x:c r="W142" s="402"/>
      <x:c r="X142" s="402"/>
      <x:c r="Y142" s="402"/>
      <x:c r="Z142" s="402"/>
    </x:row>
    <x:row r="143">
      <x:c r="A143" s="402"/>
      <x:c r="B143" s="402"/>
      <x:c r="C143" s="402"/>
      <x:c r="D143" s="402"/>
      <x:c r="E143" s="402"/>
      <x:c r="F143" s="402"/>
      <x:c r="G143" s="402"/>
      <x:c r="H143" s="402"/>
      <x:c r="I143" s="402"/>
      <x:c r="J143" s="402"/>
      <x:c r="K143" s="402"/>
      <x:c r="L143" s="402"/>
      <x:c r="M143" s="402"/>
      <x:c r="N143" s="402"/>
      <x:c r="O143" s="402"/>
      <x:c r="P143" s="402"/>
      <x:c r="Q143" s="402"/>
      <x:c r="R143" s="402"/>
      <x:c r="S143" s="402"/>
      <x:c r="T143" s="402"/>
      <x:c r="U143" s="402"/>
      <x:c r="V143" s="402"/>
      <x:c r="W143" s="402"/>
      <x:c r="X143" s="402"/>
      <x:c r="Y143" s="402"/>
      <x:c r="Z143" s="402"/>
    </x:row>
    <x:row r="144">
      <x:c r="A144" s="402"/>
      <x:c r="B144" s="402"/>
      <x:c r="C144" s="402"/>
      <x:c r="D144" s="402"/>
      <x:c r="E144" s="402"/>
      <x:c r="F144" s="402"/>
      <x:c r="G144" s="402"/>
      <x:c r="H144" s="402"/>
      <x:c r="I144" s="402"/>
      <x:c r="J144" s="402"/>
      <x:c r="K144" s="402"/>
      <x:c r="L144" s="402"/>
      <x:c r="M144" s="402"/>
      <x:c r="N144" s="402"/>
      <x:c r="O144" s="402"/>
      <x:c r="P144" s="402"/>
      <x:c r="Q144" s="402"/>
      <x:c r="R144" s="402"/>
      <x:c r="S144" s="402"/>
      <x:c r="T144" s="402"/>
      <x:c r="U144" s="402"/>
      <x:c r="V144" s="402"/>
      <x:c r="W144" s="402"/>
      <x:c r="X144" s="402"/>
      <x:c r="Y144" s="402"/>
      <x:c r="Z144" s="402"/>
    </x:row>
    <x:row r="145">
      <x:c r="A145" s="402"/>
      <x:c r="B145" s="402"/>
      <x:c r="C145" s="402"/>
      <x:c r="D145" s="402"/>
      <x:c r="E145" s="402"/>
      <x:c r="F145" s="402"/>
      <x:c r="G145" s="402"/>
      <x:c r="H145" s="402"/>
      <x:c r="I145" s="402"/>
      <x:c r="J145" s="402"/>
      <x:c r="K145" s="402"/>
      <x:c r="L145" s="402"/>
      <x:c r="M145" s="402"/>
      <x:c r="N145" s="402"/>
      <x:c r="O145" s="402"/>
      <x:c r="P145" s="402"/>
      <x:c r="Q145" s="402"/>
      <x:c r="R145" s="402"/>
      <x:c r="S145" s="402"/>
      <x:c r="T145" s="402"/>
      <x:c r="U145" s="402"/>
      <x:c r="V145" s="402"/>
      <x:c r="W145" s="402"/>
      <x:c r="X145" s="402"/>
      <x:c r="Y145" s="402"/>
      <x:c r="Z145" s="402"/>
    </x:row>
    <x:row r="146">
      <x:c r="A146" s="402"/>
      <x:c r="B146" s="402"/>
      <x:c r="C146" s="402"/>
      <x:c r="D146" s="402"/>
      <x:c r="E146" s="402"/>
      <x:c r="F146" s="402"/>
      <x:c r="G146" s="402"/>
      <x:c r="H146" s="402"/>
      <x:c r="I146" s="402"/>
      <x:c r="J146" s="402"/>
      <x:c r="K146" s="402"/>
      <x:c r="L146" s="402"/>
      <x:c r="M146" s="402"/>
      <x:c r="N146" s="402"/>
      <x:c r="O146" s="402"/>
      <x:c r="P146" s="402"/>
      <x:c r="Q146" s="402"/>
      <x:c r="R146" s="402"/>
      <x:c r="S146" s="402"/>
      <x:c r="T146" s="402"/>
      <x:c r="U146" s="402"/>
      <x:c r="V146" s="402"/>
      <x:c r="W146" s="402"/>
      <x:c r="X146" s="402"/>
      <x:c r="Y146" s="402"/>
      <x:c r="Z146" s="402"/>
    </x:row>
    <x:row r="147">
      <x:c r="A147" s="402"/>
      <x:c r="B147" s="402"/>
      <x:c r="C147" s="402"/>
      <x:c r="D147" s="402"/>
      <x:c r="E147" s="402"/>
      <x:c r="F147" s="402"/>
      <x:c r="G147" s="402"/>
      <x:c r="H147" s="402"/>
      <x:c r="I147" s="402"/>
      <x:c r="J147" s="402"/>
      <x:c r="K147" s="402"/>
      <x:c r="L147" s="402"/>
      <x:c r="M147" s="402"/>
      <x:c r="N147" s="402"/>
      <x:c r="O147" s="402"/>
      <x:c r="P147" s="402"/>
      <x:c r="Q147" s="402"/>
      <x:c r="R147" s="402"/>
      <x:c r="S147" s="402"/>
      <x:c r="T147" s="402"/>
      <x:c r="U147" s="402"/>
      <x:c r="V147" s="402"/>
      <x:c r="W147" s="402"/>
      <x:c r="X147" s="402"/>
      <x:c r="Y147" s="402"/>
      <x:c r="Z147" s="402"/>
    </x:row>
    <x:row r="148">
      <x:c r="A148" s="402"/>
      <x:c r="B148" s="402"/>
      <x:c r="C148" s="402"/>
      <x:c r="D148" s="402"/>
      <x:c r="E148" s="402"/>
      <x:c r="F148" s="402"/>
      <x:c r="G148" s="402"/>
      <x:c r="H148" s="402"/>
      <x:c r="I148" s="402"/>
      <x:c r="J148" s="402"/>
      <x:c r="K148" s="402"/>
      <x:c r="L148" s="402"/>
      <x:c r="M148" s="402"/>
      <x:c r="N148" s="402"/>
      <x:c r="O148" s="402"/>
      <x:c r="P148" s="402"/>
      <x:c r="Q148" s="402"/>
      <x:c r="R148" s="402"/>
      <x:c r="S148" s="402"/>
      <x:c r="T148" s="402"/>
      <x:c r="U148" s="402"/>
      <x:c r="V148" s="402"/>
      <x:c r="W148" s="402"/>
      <x:c r="X148" s="402"/>
      <x:c r="Y148" s="402"/>
      <x:c r="Z148" s="402"/>
    </x:row>
    <x:row r="149">
      <x:c r="A149" s="402"/>
      <x:c r="B149" s="402"/>
      <x:c r="C149" s="402"/>
      <x:c r="D149" s="402"/>
      <x:c r="E149" s="402"/>
      <x:c r="F149" s="402"/>
      <x:c r="G149" s="402"/>
      <x:c r="H149" s="402"/>
      <x:c r="I149" s="402"/>
      <x:c r="J149" s="402"/>
      <x:c r="K149" s="402"/>
      <x:c r="L149" s="402"/>
      <x:c r="M149" s="402"/>
      <x:c r="N149" s="402"/>
      <x:c r="O149" s="402"/>
      <x:c r="P149" s="402"/>
      <x:c r="Q149" s="402"/>
      <x:c r="R149" s="402"/>
      <x:c r="S149" s="402"/>
      <x:c r="T149" s="402"/>
      <x:c r="U149" s="402"/>
      <x:c r="V149" s="402"/>
      <x:c r="W149" s="402"/>
      <x:c r="X149" s="402"/>
      <x:c r="Y149" s="402"/>
      <x:c r="Z149" s="402"/>
    </x:row>
    <x:row r="150">
      <x:c r="A150" s="402"/>
      <x:c r="B150" s="402"/>
      <x:c r="C150" s="402"/>
      <x:c r="D150" s="402"/>
      <x:c r="E150" s="402"/>
      <x:c r="F150" s="402"/>
      <x:c r="G150" s="402"/>
      <x:c r="H150" s="402"/>
      <x:c r="I150" s="402"/>
      <x:c r="J150" s="402"/>
      <x:c r="K150" s="402"/>
      <x:c r="L150" s="402"/>
      <x:c r="M150" s="402"/>
      <x:c r="N150" s="402"/>
      <x:c r="O150" s="402"/>
      <x:c r="P150" s="402"/>
      <x:c r="Q150" s="402"/>
      <x:c r="R150" s="402"/>
      <x:c r="S150" s="402"/>
      <x:c r="T150" s="402"/>
      <x:c r="U150" s="402"/>
      <x:c r="V150" s="402"/>
      <x:c r="W150" s="402"/>
      <x:c r="X150" s="402"/>
      <x:c r="Y150" s="402"/>
      <x:c r="Z150" s="402"/>
    </x:row>
    <x:row r="151">
      <x:c r="A151" s="402"/>
      <x:c r="B151" s="402"/>
      <x:c r="C151" s="402"/>
      <x:c r="D151" s="402"/>
      <x:c r="E151" s="402"/>
      <x:c r="F151" s="402"/>
      <x:c r="G151" s="402"/>
      <x:c r="H151" s="402"/>
      <x:c r="I151" s="402"/>
      <x:c r="J151" s="402"/>
      <x:c r="K151" s="402"/>
      <x:c r="L151" s="402"/>
      <x:c r="M151" s="402"/>
      <x:c r="N151" s="402"/>
      <x:c r="O151" s="402"/>
      <x:c r="P151" s="402"/>
      <x:c r="Q151" s="402"/>
      <x:c r="R151" s="402"/>
      <x:c r="S151" s="402"/>
      <x:c r="T151" s="402"/>
      <x:c r="U151" s="402"/>
      <x:c r="V151" s="402"/>
      <x:c r="W151" s="402"/>
      <x:c r="X151" s="402"/>
      <x:c r="Y151" s="402"/>
      <x:c r="Z151" s="402"/>
    </x:row>
    <x:row r="152">
      <x:c r="A152" s="402"/>
      <x:c r="B152" s="402"/>
      <x:c r="C152" s="402"/>
      <x:c r="D152" s="402"/>
      <x:c r="E152" s="402"/>
      <x:c r="F152" s="402"/>
      <x:c r="G152" s="402"/>
      <x:c r="H152" s="402"/>
      <x:c r="I152" s="402"/>
      <x:c r="J152" s="402"/>
      <x:c r="K152" s="402"/>
      <x:c r="L152" s="402"/>
      <x:c r="M152" s="402"/>
      <x:c r="N152" s="402"/>
      <x:c r="O152" s="402"/>
      <x:c r="P152" s="402"/>
      <x:c r="Q152" s="402"/>
      <x:c r="R152" s="402"/>
      <x:c r="S152" s="402"/>
      <x:c r="T152" s="402"/>
      <x:c r="U152" s="402"/>
      <x:c r="V152" s="402"/>
      <x:c r="W152" s="402"/>
      <x:c r="X152" s="402"/>
      <x:c r="Y152" s="402"/>
      <x:c r="Z152" s="402"/>
    </x:row>
    <x:row r="153">
      <x:c r="A153" s="402"/>
      <x:c r="B153" s="402"/>
      <x:c r="C153" s="402"/>
      <x:c r="D153" s="402"/>
      <x:c r="E153" s="402"/>
      <x:c r="F153" s="402"/>
      <x:c r="G153" s="402"/>
      <x:c r="H153" s="402"/>
      <x:c r="I153" s="402"/>
      <x:c r="J153" s="402"/>
      <x:c r="K153" s="402"/>
      <x:c r="L153" s="402"/>
      <x:c r="M153" s="402"/>
      <x:c r="N153" s="402"/>
      <x:c r="O153" s="402"/>
      <x:c r="P153" s="402"/>
      <x:c r="Q153" s="402"/>
      <x:c r="R153" s="402"/>
      <x:c r="S153" s="402"/>
      <x:c r="T153" s="402"/>
      <x:c r="U153" s="402"/>
      <x:c r="V153" s="402"/>
      <x:c r="W153" s="402"/>
      <x:c r="X153" s="402"/>
      <x:c r="Y153" s="402"/>
      <x:c r="Z153" s="402"/>
    </x:row>
    <x:row r="154">
      <x:c r="A154" s="402"/>
      <x:c r="B154" s="402"/>
      <x:c r="C154" s="402"/>
      <x:c r="D154" s="402"/>
      <x:c r="E154" s="402"/>
      <x:c r="F154" s="402"/>
      <x:c r="G154" s="402"/>
      <x:c r="H154" s="402"/>
      <x:c r="I154" s="402"/>
      <x:c r="J154" s="402"/>
      <x:c r="K154" s="402"/>
      <x:c r="L154" s="402"/>
      <x:c r="M154" s="402"/>
      <x:c r="N154" s="402"/>
      <x:c r="O154" s="402"/>
      <x:c r="P154" s="402"/>
      <x:c r="Q154" s="402"/>
      <x:c r="R154" s="402"/>
      <x:c r="S154" s="402"/>
      <x:c r="T154" s="402"/>
      <x:c r="U154" s="402"/>
      <x:c r="V154" s="402"/>
      <x:c r="W154" s="402"/>
      <x:c r="X154" s="402"/>
      <x:c r="Y154" s="402"/>
      <x:c r="Z154" s="402"/>
    </x:row>
    <x:row r="155">
      <x:c r="A155" s="402"/>
      <x:c r="B155" s="402"/>
      <x:c r="C155" s="402"/>
      <x:c r="D155" s="402"/>
      <x:c r="E155" s="402"/>
      <x:c r="F155" s="402"/>
      <x:c r="G155" s="402"/>
      <x:c r="H155" s="402"/>
      <x:c r="I155" s="402"/>
      <x:c r="J155" s="402"/>
      <x:c r="K155" s="402"/>
      <x:c r="L155" s="402"/>
      <x:c r="M155" s="402"/>
      <x:c r="N155" s="402"/>
      <x:c r="O155" s="402"/>
      <x:c r="P155" s="402"/>
      <x:c r="Q155" s="402"/>
      <x:c r="R155" s="402"/>
      <x:c r="S155" s="402"/>
      <x:c r="T155" s="402"/>
      <x:c r="U155" s="402"/>
      <x:c r="V155" s="402"/>
      <x:c r="W155" s="402"/>
      <x:c r="X155" s="402"/>
      <x:c r="Y155" s="402"/>
      <x:c r="Z155" s="402"/>
    </x:row>
    <x:row r="156">
      <x:c r="A156" s="402"/>
      <x:c r="B156" s="402"/>
      <x:c r="C156" s="402"/>
      <x:c r="D156" s="402"/>
      <x:c r="E156" s="402"/>
      <x:c r="F156" s="402"/>
      <x:c r="G156" s="402"/>
      <x:c r="H156" s="402"/>
      <x:c r="I156" s="402"/>
      <x:c r="J156" s="402"/>
      <x:c r="K156" s="402"/>
      <x:c r="L156" s="402"/>
      <x:c r="M156" s="402"/>
      <x:c r="N156" s="402"/>
      <x:c r="O156" s="402"/>
      <x:c r="P156" s="402"/>
      <x:c r="Q156" s="402"/>
      <x:c r="R156" s="402"/>
      <x:c r="S156" s="402"/>
      <x:c r="T156" s="402"/>
      <x:c r="U156" s="402"/>
      <x:c r="V156" s="402"/>
      <x:c r="W156" s="402"/>
      <x:c r="X156" s="402"/>
      <x:c r="Y156" s="402"/>
      <x:c r="Z156" s="402"/>
    </x:row>
    <x:row r="157">
      <x:c r="A157" s="402"/>
      <x:c r="B157" s="402"/>
      <x:c r="C157" s="402"/>
      <x:c r="D157" s="402"/>
      <x:c r="E157" s="402"/>
      <x:c r="F157" s="402"/>
      <x:c r="G157" s="402"/>
      <x:c r="H157" s="402"/>
      <x:c r="I157" s="402"/>
      <x:c r="J157" s="402"/>
      <x:c r="K157" s="402"/>
      <x:c r="L157" s="402"/>
      <x:c r="M157" s="402"/>
      <x:c r="N157" s="402"/>
      <x:c r="O157" s="402"/>
      <x:c r="P157" s="402"/>
      <x:c r="Q157" s="402"/>
      <x:c r="R157" s="402"/>
      <x:c r="S157" s="402"/>
      <x:c r="T157" s="402"/>
      <x:c r="U157" s="402"/>
      <x:c r="V157" s="402"/>
      <x:c r="W157" s="402"/>
      <x:c r="X157" s="402"/>
      <x:c r="Y157" s="402"/>
      <x:c r="Z157" s="402"/>
    </x:row>
    <x:row r="158">
      <x:c r="A158" s="402"/>
      <x:c r="B158" s="402"/>
      <x:c r="C158" s="402"/>
      <x:c r="D158" s="402"/>
      <x:c r="E158" s="402"/>
      <x:c r="F158" s="402"/>
      <x:c r="G158" s="402"/>
      <x:c r="H158" s="402"/>
      <x:c r="I158" s="402"/>
      <x:c r="J158" s="402"/>
      <x:c r="K158" s="402"/>
      <x:c r="L158" s="402"/>
      <x:c r="M158" s="402"/>
      <x:c r="N158" s="402"/>
      <x:c r="O158" s="402"/>
      <x:c r="P158" s="402"/>
      <x:c r="Q158" s="402"/>
      <x:c r="R158" s="402"/>
      <x:c r="S158" s="402"/>
      <x:c r="T158" s="402"/>
      <x:c r="U158" s="402"/>
      <x:c r="V158" s="402"/>
      <x:c r="W158" s="402"/>
      <x:c r="X158" s="402"/>
      <x:c r="Y158" s="402"/>
      <x:c r="Z158" s="402"/>
    </x:row>
    <x:row r="159">
      <x:c r="A159" s="402"/>
      <x:c r="B159" s="402"/>
      <x:c r="C159" s="402"/>
      <x:c r="D159" s="402"/>
      <x:c r="E159" s="402"/>
      <x:c r="F159" s="402"/>
      <x:c r="G159" s="402"/>
      <x:c r="H159" s="402"/>
      <x:c r="I159" s="402"/>
      <x:c r="J159" s="402"/>
      <x:c r="K159" s="402"/>
      <x:c r="L159" s="402"/>
      <x:c r="M159" s="402"/>
      <x:c r="N159" s="402"/>
      <x:c r="O159" s="402"/>
      <x:c r="P159" s="402"/>
      <x:c r="Q159" s="402"/>
      <x:c r="R159" s="402"/>
      <x:c r="S159" s="402"/>
      <x:c r="T159" s="402"/>
      <x:c r="U159" s="402"/>
      <x:c r="V159" s="402"/>
      <x:c r="W159" s="402"/>
      <x:c r="X159" s="402"/>
      <x:c r="Y159" s="402"/>
      <x:c r="Z159" s="402"/>
    </x:row>
    <x:row r="160">
      <x:c r="A160" s="402"/>
      <x:c r="B160" s="402"/>
      <x:c r="C160" s="402"/>
      <x:c r="D160" s="402"/>
      <x:c r="E160" s="402"/>
      <x:c r="F160" s="402"/>
      <x:c r="G160" s="402"/>
      <x:c r="H160" s="402"/>
      <x:c r="I160" s="402"/>
      <x:c r="J160" s="402"/>
      <x:c r="K160" s="402"/>
      <x:c r="L160" s="402"/>
      <x:c r="M160" s="402"/>
      <x:c r="N160" s="402"/>
      <x:c r="O160" s="402"/>
      <x:c r="P160" s="402"/>
      <x:c r="Q160" s="402"/>
      <x:c r="R160" s="402"/>
      <x:c r="S160" s="402"/>
      <x:c r="T160" s="402"/>
      <x:c r="U160" s="402"/>
      <x:c r="V160" s="402"/>
      <x:c r="W160" s="402"/>
      <x:c r="X160" s="402"/>
      <x:c r="Y160" s="402"/>
      <x:c r="Z160" s="402"/>
    </x:row>
    <x:row r="161">
      <x:c r="A161" s="402"/>
      <x:c r="B161" s="402"/>
      <x:c r="C161" s="402"/>
      <x:c r="D161" s="402"/>
      <x:c r="E161" s="402"/>
      <x:c r="F161" s="402"/>
      <x:c r="G161" s="402"/>
      <x:c r="H161" s="402"/>
      <x:c r="I161" s="402"/>
      <x:c r="J161" s="402"/>
      <x:c r="K161" s="402"/>
      <x:c r="L161" s="402"/>
      <x:c r="M161" s="402"/>
      <x:c r="N161" s="402"/>
      <x:c r="O161" s="402"/>
      <x:c r="P161" s="402"/>
      <x:c r="Q161" s="402"/>
      <x:c r="R161" s="402"/>
      <x:c r="S161" s="402"/>
      <x:c r="T161" s="402"/>
      <x:c r="U161" s="402"/>
      <x:c r="V161" s="402"/>
      <x:c r="W161" s="402"/>
      <x:c r="X161" s="402"/>
      <x:c r="Y161" s="402"/>
      <x:c r="Z161" s="402"/>
    </x:row>
    <x:row r="162">
      <x:c r="A162" s="402"/>
      <x:c r="B162" s="402"/>
      <x:c r="C162" s="402"/>
      <x:c r="D162" s="402"/>
      <x:c r="E162" s="402"/>
      <x:c r="F162" s="402"/>
      <x:c r="G162" s="402"/>
      <x:c r="H162" s="402"/>
      <x:c r="I162" s="402"/>
      <x:c r="J162" s="402"/>
      <x:c r="K162" s="402"/>
      <x:c r="L162" s="402"/>
      <x:c r="M162" s="402"/>
      <x:c r="N162" s="402"/>
      <x:c r="O162" s="402"/>
      <x:c r="P162" s="402"/>
      <x:c r="Q162" s="402"/>
      <x:c r="R162" s="402"/>
      <x:c r="S162" s="402"/>
      <x:c r="T162" s="402"/>
      <x:c r="U162" s="402"/>
      <x:c r="V162" s="402"/>
      <x:c r="W162" s="402"/>
      <x:c r="X162" s="402"/>
      <x:c r="Y162" s="402"/>
      <x:c r="Z162" s="402"/>
    </x:row>
    <x:row r="163">
      <x:c r="A163" s="402"/>
      <x:c r="B163" s="402"/>
      <x:c r="C163" s="402"/>
      <x:c r="D163" s="402"/>
      <x:c r="E163" s="402"/>
      <x:c r="F163" s="402"/>
      <x:c r="G163" s="402"/>
      <x:c r="H163" s="402"/>
      <x:c r="I163" s="402"/>
      <x:c r="J163" s="402"/>
      <x:c r="K163" s="402"/>
      <x:c r="L163" s="402"/>
      <x:c r="M163" s="402"/>
      <x:c r="N163" s="402"/>
      <x:c r="O163" s="402"/>
      <x:c r="P163" s="402"/>
      <x:c r="Q163" s="402"/>
      <x:c r="R163" s="402"/>
      <x:c r="S163" s="402"/>
      <x:c r="T163" s="402"/>
      <x:c r="U163" s="402"/>
      <x:c r="V163" s="402"/>
      <x:c r="W163" s="402"/>
      <x:c r="X163" s="402"/>
      <x:c r="Y163" s="402"/>
      <x:c r="Z163" s="402"/>
    </x:row>
    <x:row r="164">
      <x:c r="A164" s="402"/>
      <x:c r="B164" s="402"/>
      <x:c r="C164" s="402"/>
      <x:c r="D164" s="402"/>
      <x:c r="E164" s="402"/>
      <x:c r="F164" s="402"/>
      <x:c r="G164" s="402"/>
      <x:c r="H164" s="402"/>
      <x:c r="I164" s="402"/>
      <x:c r="J164" s="402"/>
      <x:c r="K164" s="402"/>
      <x:c r="L164" s="402"/>
      <x:c r="M164" s="402"/>
      <x:c r="N164" s="402"/>
      <x:c r="O164" s="402"/>
      <x:c r="P164" s="402"/>
      <x:c r="Q164" s="402"/>
      <x:c r="R164" s="402"/>
      <x:c r="S164" s="402"/>
      <x:c r="T164" s="402"/>
      <x:c r="U164" s="402"/>
      <x:c r="V164" s="402"/>
      <x:c r="W164" s="402"/>
      <x:c r="X164" s="402"/>
      <x:c r="Y164" s="402"/>
      <x:c r="Z164" s="402"/>
    </x:row>
    <x:row r="165">
      <x:c r="A165" s="402"/>
      <x:c r="B165" s="402"/>
      <x:c r="C165" s="402"/>
      <x:c r="D165" s="402"/>
      <x:c r="E165" s="402"/>
      <x:c r="F165" s="402"/>
      <x:c r="G165" s="402"/>
      <x:c r="H165" s="402"/>
      <x:c r="I165" s="402"/>
      <x:c r="J165" s="402"/>
      <x:c r="K165" s="402"/>
      <x:c r="L165" s="402"/>
      <x:c r="M165" s="402"/>
      <x:c r="N165" s="402"/>
      <x:c r="O165" s="402"/>
      <x:c r="P165" s="402"/>
      <x:c r="Q165" s="402"/>
      <x:c r="R165" s="402"/>
      <x:c r="S165" s="402"/>
      <x:c r="T165" s="402"/>
      <x:c r="U165" s="402"/>
      <x:c r="V165" s="402"/>
      <x:c r="W165" s="402"/>
      <x:c r="X165" s="402"/>
      <x:c r="Y165" s="402"/>
      <x:c r="Z165" s="402"/>
    </x:row>
    <x:row r="166">
      <x:c r="A166" s="402"/>
      <x:c r="B166" s="402"/>
      <x:c r="C166" s="402"/>
      <x:c r="D166" s="402"/>
      <x:c r="E166" s="402"/>
      <x:c r="F166" s="402"/>
      <x:c r="G166" s="402"/>
      <x:c r="H166" s="402"/>
      <x:c r="I166" s="402"/>
      <x:c r="J166" s="402"/>
      <x:c r="K166" s="402"/>
      <x:c r="L166" s="402"/>
      <x:c r="M166" s="402"/>
      <x:c r="N166" s="402"/>
      <x:c r="O166" s="402"/>
      <x:c r="P166" s="402"/>
      <x:c r="Q166" s="402"/>
      <x:c r="R166" s="402"/>
      <x:c r="S166" s="402"/>
      <x:c r="T166" s="402"/>
      <x:c r="U166" s="402"/>
      <x:c r="V166" s="402"/>
      <x:c r="W166" s="402"/>
      <x:c r="X166" s="402"/>
      <x:c r="Y166" s="402"/>
      <x:c r="Z166" s="402"/>
    </x:row>
    <x:row r="167">
      <x:c r="A167" s="402"/>
      <x:c r="B167" s="402"/>
      <x:c r="C167" s="402"/>
      <x:c r="D167" s="402"/>
      <x:c r="E167" s="402"/>
      <x:c r="F167" s="402"/>
      <x:c r="G167" s="402"/>
      <x:c r="H167" s="402"/>
      <x:c r="I167" s="402"/>
      <x:c r="J167" s="402"/>
      <x:c r="K167" s="402"/>
      <x:c r="L167" s="402"/>
      <x:c r="M167" s="402"/>
      <x:c r="N167" s="402"/>
      <x:c r="O167" s="402"/>
      <x:c r="P167" s="402"/>
      <x:c r="Q167" s="402"/>
      <x:c r="R167" s="402"/>
      <x:c r="S167" s="402"/>
      <x:c r="T167" s="402"/>
      <x:c r="U167" s="402"/>
      <x:c r="V167" s="402"/>
      <x:c r="W167" s="402"/>
      <x:c r="X167" s="402"/>
      <x:c r="Y167" s="402"/>
      <x:c r="Z167" s="402"/>
    </x:row>
    <x:row r="168">
      <x:c r="A168" s="402"/>
      <x:c r="B168" s="402"/>
      <x:c r="C168" s="402"/>
      <x:c r="D168" s="402"/>
      <x:c r="E168" s="402"/>
      <x:c r="F168" s="402"/>
      <x:c r="G168" s="402"/>
      <x:c r="H168" s="402"/>
      <x:c r="I168" s="402"/>
      <x:c r="J168" s="402"/>
      <x:c r="K168" s="402"/>
      <x:c r="L168" s="402"/>
      <x:c r="M168" s="402"/>
      <x:c r="N168" s="402"/>
      <x:c r="O168" s="402"/>
      <x:c r="P168" s="402"/>
      <x:c r="Q168" s="402"/>
      <x:c r="R168" s="402"/>
      <x:c r="S168" s="402"/>
      <x:c r="T168" s="402"/>
      <x:c r="U168" s="402"/>
      <x:c r="V168" s="402"/>
      <x:c r="W168" s="402"/>
      <x:c r="X168" s="402"/>
      <x:c r="Y168" s="402"/>
      <x:c r="Z168" s="402"/>
    </x:row>
    <x:row r="169">
      <x:c r="A169" s="402"/>
      <x:c r="B169" s="402"/>
      <x:c r="C169" s="402"/>
      <x:c r="D169" s="402"/>
      <x:c r="E169" s="402"/>
      <x:c r="F169" s="402"/>
      <x:c r="G169" s="402"/>
      <x:c r="H169" s="402"/>
      <x:c r="I169" s="402"/>
      <x:c r="J169" s="402"/>
      <x:c r="K169" s="402"/>
      <x:c r="L169" s="402"/>
      <x:c r="M169" s="402"/>
      <x:c r="N169" s="402"/>
      <x:c r="O169" s="402"/>
      <x:c r="P169" s="402"/>
      <x:c r="Q169" s="402"/>
      <x:c r="R169" s="402"/>
      <x:c r="S169" s="402"/>
      <x:c r="T169" s="402"/>
      <x:c r="U169" s="402"/>
      <x:c r="V169" s="402"/>
      <x:c r="W169" s="402"/>
      <x:c r="X169" s="402"/>
      <x:c r="Y169" s="402"/>
      <x:c r="Z169" s="402"/>
    </x:row>
    <x:row r="170">
      <x:c r="A170" s="402"/>
      <x:c r="B170" s="402"/>
      <x:c r="C170" s="402"/>
      <x:c r="D170" s="402"/>
      <x:c r="E170" s="402"/>
      <x:c r="F170" s="402"/>
      <x:c r="G170" s="402"/>
      <x:c r="H170" s="402"/>
      <x:c r="I170" s="402"/>
      <x:c r="J170" s="402"/>
      <x:c r="K170" s="402"/>
      <x:c r="L170" s="402"/>
      <x:c r="M170" s="402"/>
      <x:c r="N170" s="402"/>
      <x:c r="O170" s="402"/>
      <x:c r="P170" s="402"/>
      <x:c r="Q170" s="402"/>
      <x:c r="R170" s="402"/>
      <x:c r="S170" s="402"/>
      <x:c r="T170" s="402"/>
      <x:c r="U170" s="402"/>
      <x:c r="V170" s="402"/>
      <x:c r="W170" s="402"/>
      <x:c r="X170" s="402"/>
      <x:c r="Y170" s="402"/>
      <x:c r="Z170" s="402"/>
    </x:row>
    <x:row r="171">
      <x:c r="A171" s="402"/>
      <x:c r="B171" s="402"/>
      <x:c r="C171" s="402"/>
      <x:c r="D171" s="402"/>
      <x:c r="E171" s="402"/>
      <x:c r="F171" s="402"/>
      <x:c r="G171" s="402"/>
      <x:c r="H171" s="402"/>
      <x:c r="I171" s="402"/>
      <x:c r="J171" s="402"/>
      <x:c r="K171" s="402"/>
      <x:c r="L171" s="402"/>
      <x:c r="M171" s="402"/>
      <x:c r="N171" s="402"/>
      <x:c r="O171" s="402"/>
      <x:c r="P171" s="402"/>
      <x:c r="Q171" s="402"/>
      <x:c r="R171" s="402"/>
      <x:c r="S171" s="402"/>
      <x:c r="T171" s="402"/>
      <x:c r="U171" s="402"/>
      <x:c r="V171" s="402"/>
      <x:c r="W171" s="402"/>
      <x:c r="X171" s="402"/>
      <x:c r="Y171" s="402"/>
      <x:c r="Z171" s="402"/>
    </x:row>
    <x:row r="172">
      <x:c r="A172" s="402"/>
      <x:c r="B172" s="402"/>
      <x:c r="C172" s="402"/>
      <x:c r="D172" s="402"/>
      <x:c r="E172" s="402"/>
      <x:c r="F172" s="402"/>
      <x:c r="G172" s="402"/>
      <x:c r="H172" s="402"/>
      <x:c r="I172" s="402"/>
      <x:c r="J172" s="402"/>
      <x:c r="K172" s="402"/>
      <x:c r="L172" s="402"/>
      <x:c r="M172" s="402"/>
      <x:c r="N172" s="402"/>
      <x:c r="O172" s="402"/>
      <x:c r="P172" s="402"/>
      <x:c r="Q172" s="402"/>
      <x:c r="R172" s="402"/>
      <x:c r="S172" s="402"/>
      <x:c r="T172" s="402"/>
      <x:c r="U172" s="402"/>
      <x:c r="V172" s="402"/>
      <x:c r="W172" s="402"/>
      <x:c r="X172" s="402"/>
      <x:c r="Y172" s="402"/>
      <x:c r="Z172" s="402"/>
    </x:row>
    <x:row r="173">
      <x:c r="A173" s="402"/>
      <x:c r="B173" s="402"/>
      <x:c r="C173" s="402"/>
      <x:c r="D173" s="402"/>
      <x:c r="E173" s="402"/>
      <x:c r="F173" s="402"/>
      <x:c r="G173" s="402"/>
      <x:c r="H173" s="402"/>
      <x:c r="I173" s="402"/>
      <x:c r="J173" s="402"/>
      <x:c r="K173" s="402"/>
      <x:c r="L173" s="402"/>
      <x:c r="M173" s="402"/>
      <x:c r="N173" s="402"/>
      <x:c r="O173" s="402"/>
      <x:c r="P173" s="402"/>
      <x:c r="Q173" s="402"/>
      <x:c r="R173" s="402"/>
      <x:c r="S173" s="402"/>
      <x:c r="T173" s="402"/>
      <x:c r="U173" s="402"/>
      <x:c r="V173" s="402"/>
      <x:c r="W173" s="402"/>
      <x:c r="X173" s="402"/>
      <x:c r="Y173" s="402"/>
      <x:c r="Z173" s="402"/>
    </x:row>
    <x:row r="174">
      <x:c r="A174" s="402"/>
      <x:c r="B174" s="402"/>
      <x:c r="C174" s="402"/>
      <x:c r="D174" s="402"/>
      <x:c r="E174" s="402"/>
      <x:c r="F174" s="402"/>
      <x:c r="G174" s="402"/>
      <x:c r="H174" s="402"/>
      <x:c r="I174" s="402"/>
      <x:c r="J174" s="402"/>
      <x:c r="K174" s="402"/>
      <x:c r="L174" s="402"/>
      <x:c r="M174" s="402"/>
      <x:c r="N174" s="402"/>
      <x:c r="O174" s="402"/>
      <x:c r="P174" s="402"/>
      <x:c r="Q174" s="402"/>
      <x:c r="R174" s="402"/>
      <x:c r="S174" s="402"/>
      <x:c r="T174" s="402"/>
      <x:c r="U174" s="402"/>
      <x:c r="V174" s="402"/>
      <x:c r="W174" s="402"/>
      <x:c r="X174" s="402"/>
      <x:c r="Y174" s="402"/>
      <x:c r="Z174" s="402"/>
    </x:row>
    <x:row r="175">
      <x:c r="A175" s="402"/>
      <x:c r="B175" s="402"/>
      <x:c r="C175" s="402"/>
      <x:c r="D175" s="402"/>
      <x:c r="E175" s="402"/>
      <x:c r="F175" s="402"/>
      <x:c r="G175" s="402"/>
      <x:c r="H175" s="402"/>
      <x:c r="I175" s="402"/>
      <x:c r="J175" s="402"/>
      <x:c r="K175" s="402"/>
      <x:c r="L175" s="402"/>
      <x:c r="M175" s="402"/>
      <x:c r="N175" s="402"/>
      <x:c r="O175" s="402"/>
      <x:c r="P175" s="402"/>
      <x:c r="Q175" s="402"/>
      <x:c r="R175" s="402"/>
      <x:c r="S175" s="402"/>
      <x:c r="T175" s="402"/>
      <x:c r="U175" s="402"/>
      <x:c r="V175" s="402"/>
      <x:c r="W175" s="402"/>
      <x:c r="X175" s="402"/>
      <x:c r="Y175" s="402"/>
      <x:c r="Z175" s="402"/>
    </x:row>
    <x:row r="176">
      <x:c r="A176" s="402"/>
      <x:c r="B176" s="402"/>
      <x:c r="C176" s="402"/>
      <x:c r="D176" s="402"/>
      <x:c r="E176" s="402"/>
      <x:c r="F176" s="402"/>
      <x:c r="G176" s="402"/>
      <x:c r="H176" s="402"/>
      <x:c r="I176" s="402"/>
      <x:c r="J176" s="402"/>
      <x:c r="K176" s="402"/>
      <x:c r="L176" s="402"/>
      <x:c r="M176" s="402"/>
      <x:c r="N176" s="402"/>
      <x:c r="O176" s="402"/>
      <x:c r="P176" s="402"/>
      <x:c r="Q176" s="402"/>
      <x:c r="R176" s="402"/>
      <x:c r="S176" s="402"/>
      <x:c r="T176" s="402"/>
      <x:c r="U176" s="402"/>
      <x:c r="V176" s="402"/>
      <x:c r="W176" s="402"/>
      <x:c r="X176" s="402"/>
      <x:c r="Y176" s="402"/>
      <x:c r="Z176" s="402"/>
    </x:row>
    <x:row r="177">
      <x:c r="A177" s="402"/>
      <x:c r="B177" s="402"/>
      <x:c r="C177" s="402"/>
      <x:c r="D177" s="402"/>
      <x:c r="E177" s="402"/>
      <x:c r="F177" s="402"/>
      <x:c r="G177" s="402"/>
      <x:c r="H177" s="402"/>
      <x:c r="I177" s="402"/>
      <x:c r="J177" s="402"/>
      <x:c r="K177" s="402"/>
      <x:c r="L177" s="402"/>
      <x:c r="M177" s="402"/>
      <x:c r="N177" s="402"/>
      <x:c r="O177" s="402"/>
      <x:c r="P177" s="402"/>
      <x:c r="Q177" s="402"/>
      <x:c r="R177" s="402"/>
      <x:c r="S177" s="402"/>
      <x:c r="T177" s="402"/>
      <x:c r="U177" s="402"/>
      <x:c r="V177" s="402"/>
      <x:c r="W177" s="402"/>
      <x:c r="X177" s="402"/>
      <x:c r="Y177" s="402"/>
      <x:c r="Z177" s="402"/>
    </x:row>
    <x:row r="178">
      <x:c r="A178" s="402"/>
      <x:c r="B178" s="402"/>
      <x:c r="C178" s="402"/>
      <x:c r="D178" s="402"/>
      <x:c r="E178" s="402"/>
      <x:c r="F178" s="402"/>
      <x:c r="G178" s="402"/>
      <x:c r="H178" s="402"/>
      <x:c r="I178" s="402"/>
      <x:c r="J178" s="402"/>
      <x:c r="K178" s="402"/>
      <x:c r="L178" s="402"/>
      <x:c r="M178" s="402"/>
      <x:c r="N178" s="402"/>
      <x:c r="O178" s="402"/>
      <x:c r="P178" s="402"/>
      <x:c r="Q178" s="402"/>
      <x:c r="R178" s="402"/>
      <x:c r="S178" s="402"/>
      <x:c r="T178" s="402"/>
      <x:c r="U178" s="402"/>
      <x:c r="V178" s="402"/>
      <x:c r="W178" s="402"/>
      <x:c r="X178" s="402"/>
      <x:c r="Y178" s="402"/>
      <x:c r="Z178" s="402"/>
    </x:row>
    <x:row r="179">
      <x:c r="A179" s="402"/>
      <x:c r="B179" s="402"/>
      <x:c r="C179" s="402"/>
      <x:c r="D179" s="402"/>
      <x:c r="E179" s="402"/>
      <x:c r="F179" s="402"/>
      <x:c r="G179" s="402"/>
      <x:c r="H179" s="402"/>
      <x:c r="I179" s="402"/>
      <x:c r="J179" s="402"/>
      <x:c r="K179" s="402"/>
      <x:c r="L179" s="402"/>
      <x:c r="M179" s="402"/>
      <x:c r="N179" s="402"/>
      <x:c r="O179" s="402"/>
      <x:c r="P179" s="402"/>
      <x:c r="Q179" s="402"/>
      <x:c r="R179" s="402"/>
      <x:c r="S179" s="402"/>
      <x:c r="T179" s="402"/>
      <x:c r="U179" s="402"/>
      <x:c r="V179" s="402"/>
      <x:c r="W179" s="402"/>
      <x:c r="X179" s="402"/>
      <x:c r="Y179" s="402"/>
      <x:c r="Z179" s="402"/>
    </x:row>
    <x:row r="180">
      <x:c r="A180" s="402"/>
      <x:c r="B180" s="402"/>
      <x:c r="C180" s="402"/>
      <x:c r="D180" s="402"/>
      <x:c r="E180" s="402"/>
      <x:c r="F180" s="402"/>
      <x:c r="G180" s="402"/>
      <x:c r="H180" s="402"/>
      <x:c r="I180" s="402"/>
      <x:c r="J180" s="402"/>
      <x:c r="K180" s="402"/>
      <x:c r="L180" s="402"/>
      <x:c r="M180" s="402"/>
      <x:c r="N180" s="402"/>
      <x:c r="O180" s="402"/>
      <x:c r="P180" s="402"/>
      <x:c r="Q180" s="402"/>
      <x:c r="R180" s="402"/>
      <x:c r="S180" s="402"/>
      <x:c r="T180" s="402"/>
      <x:c r="U180" s="402"/>
      <x:c r="V180" s="402"/>
      <x:c r="W180" s="402"/>
      <x:c r="X180" s="402"/>
      <x:c r="Y180" s="402"/>
      <x:c r="Z180" s="402"/>
    </x:row>
    <x:row r="181">
      <x:c r="A181" s="402"/>
      <x:c r="B181" s="402"/>
      <x:c r="C181" s="402"/>
      <x:c r="D181" s="402"/>
      <x:c r="E181" s="402"/>
      <x:c r="F181" s="402"/>
      <x:c r="G181" s="402"/>
      <x:c r="H181" s="402"/>
      <x:c r="I181" s="402"/>
      <x:c r="J181" s="402"/>
      <x:c r="K181" s="402"/>
      <x:c r="L181" s="402"/>
      <x:c r="M181" s="402"/>
      <x:c r="N181" s="402"/>
      <x:c r="O181" s="402"/>
      <x:c r="P181" s="402"/>
      <x:c r="Q181" s="402"/>
      <x:c r="R181" s="402"/>
      <x:c r="S181" s="402"/>
      <x:c r="T181" s="402"/>
      <x:c r="U181" s="402"/>
      <x:c r="V181" s="402"/>
      <x:c r="W181" s="402"/>
      <x:c r="X181" s="402"/>
      <x:c r="Y181" s="402"/>
      <x:c r="Z181" s="402"/>
    </x:row>
    <x:row r="182">
      <x:c r="A182" s="402"/>
      <x:c r="B182" s="402"/>
      <x:c r="C182" s="402"/>
      <x:c r="D182" s="402"/>
      <x:c r="E182" s="402"/>
      <x:c r="F182" s="402"/>
      <x:c r="G182" s="402"/>
      <x:c r="H182" s="402"/>
      <x:c r="I182" s="402"/>
      <x:c r="J182" s="402"/>
      <x:c r="K182" s="402"/>
      <x:c r="L182" s="402"/>
      <x:c r="M182" s="402"/>
      <x:c r="N182" s="402"/>
      <x:c r="O182" s="402"/>
      <x:c r="P182" s="402"/>
      <x:c r="Q182" s="402"/>
      <x:c r="R182" s="402"/>
      <x:c r="S182" s="402"/>
      <x:c r="T182" s="402"/>
      <x:c r="U182" s="402"/>
      <x:c r="V182" s="402"/>
      <x:c r="W182" s="402"/>
      <x:c r="X182" s="402"/>
      <x:c r="Y182" s="402"/>
      <x:c r="Z182" s="402"/>
    </x:row>
    <x:row r="183">
      <x:c r="A183" s="402"/>
      <x:c r="B183" s="402"/>
      <x:c r="C183" s="402"/>
      <x:c r="D183" s="402"/>
      <x:c r="E183" s="402"/>
      <x:c r="F183" s="402"/>
      <x:c r="G183" s="402"/>
      <x:c r="H183" s="402"/>
      <x:c r="I183" s="402"/>
      <x:c r="J183" s="402"/>
      <x:c r="K183" s="402"/>
      <x:c r="L183" s="402"/>
      <x:c r="M183" s="402"/>
      <x:c r="N183" s="402"/>
      <x:c r="O183" s="402"/>
      <x:c r="P183" s="402"/>
      <x:c r="Q183" s="402"/>
      <x:c r="R183" s="402"/>
      <x:c r="S183" s="402"/>
      <x:c r="T183" s="402"/>
      <x:c r="U183" s="402"/>
      <x:c r="V183" s="402"/>
      <x:c r="W183" s="402"/>
      <x:c r="X183" s="402"/>
      <x:c r="Y183" s="402"/>
      <x:c r="Z183" s="402"/>
    </x:row>
    <x:row r="184">
      <x:c r="A184" s="402"/>
      <x:c r="B184" s="402"/>
      <x:c r="C184" s="402"/>
      <x:c r="D184" s="402"/>
      <x:c r="E184" s="402"/>
      <x:c r="F184" s="402"/>
      <x:c r="G184" s="402"/>
      <x:c r="H184" s="402"/>
      <x:c r="I184" s="402"/>
      <x:c r="J184" s="402"/>
      <x:c r="K184" s="402"/>
      <x:c r="L184" s="402"/>
      <x:c r="M184" s="402"/>
      <x:c r="N184" s="402"/>
      <x:c r="O184" s="402"/>
      <x:c r="P184" s="402"/>
      <x:c r="Q184" s="402"/>
      <x:c r="R184" s="402"/>
      <x:c r="S184" s="402"/>
      <x:c r="T184" s="402"/>
      <x:c r="U184" s="402"/>
      <x:c r="V184" s="402"/>
      <x:c r="W184" s="402"/>
      <x:c r="X184" s="402"/>
      <x:c r="Y184" s="402"/>
      <x:c r="Z184" s="402"/>
    </x:row>
    <x:row r="185">
      <x:c r="A185" s="402"/>
      <x:c r="B185" s="402"/>
      <x:c r="C185" s="402"/>
      <x:c r="D185" s="402"/>
      <x:c r="E185" s="402"/>
      <x:c r="F185" s="402"/>
      <x:c r="G185" s="402"/>
      <x:c r="H185" s="402"/>
      <x:c r="I185" s="402"/>
      <x:c r="J185" s="402"/>
      <x:c r="K185" s="402"/>
      <x:c r="L185" s="402"/>
      <x:c r="M185" s="402"/>
      <x:c r="N185" s="402"/>
      <x:c r="O185" s="402"/>
      <x:c r="P185" s="402"/>
      <x:c r="Q185" s="402"/>
      <x:c r="R185" s="402"/>
      <x:c r="S185" s="402"/>
      <x:c r="T185" s="402"/>
      <x:c r="U185" s="402"/>
      <x:c r="V185" s="402"/>
      <x:c r="W185" s="402"/>
      <x:c r="X185" s="402"/>
      <x:c r="Y185" s="402"/>
      <x:c r="Z185" s="402"/>
    </x:row>
    <x:row r="186">
      <x:c r="A186" s="402"/>
      <x:c r="B186" s="402"/>
      <x:c r="C186" s="402"/>
      <x:c r="D186" s="402"/>
      <x:c r="E186" s="402"/>
      <x:c r="F186" s="402"/>
      <x:c r="G186" s="402"/>
      <x:c r="H186" s="402"/>
      <x:c r="I186" s="402"/>
      <x:c r="J186" s="402"/>
      <x:c r="K186" s="402"/>
      <x:c r="L186" s="402"/>
      <x:c r="M186" s="402"/>
      <x:c r="N186" s="402"/>
      <x:c r="O186" s="402"/>
      <x:c r="P186" s="402"/>
      <x:c r="Q186" s="402"/>
      <x:c r="R186" s="402"/>
      <x:c r="S186" s="402"/>
      <x:c r="T186" s="402"/>
      <x:c r="U186" s="402"/>
      <x:c r="V186" s="402"/>
      <x:c r="W186" s="402"/>
      <x:c r="X186" s="402"/>
      <x:c r="Y186" s="402"/>
      <x:c r="Z186" s="402"/>
    </x:row>
    <x:row r="187">
      <x:c r="A187" s="402"/>
      <x:c r="B187" s="402"/>
      <x:c r="C187" s="402"/>
      <x:c r="D187" s="402"/>
      <x:c r="E187" s="402"/>
      <x:c r="F187" s="402"/>
      <x:c r="G187" s="402"/>
      <x:c r="H187" s="402"/>
      <x:c r="I187" s="402"/>
      <x:c r="J187" s="402"/>
      <x:c r="K187" s="402"/>
      <x:c r="L187" s="402"/>
      <x:c r="M187" s="402"/>
      <x:c r="N187" s="402"/>
      <x:c r="O187" s="402"/>
      <x:c r="P187" s="402"/>
      <x:c r="Q187" s="402"/>
      <x:c r="R187" s="402"/>
      <x:c r="S187" s="402"/>
      <x:c r="T187" s="402"/>
      <x:c r="U187" s="402"/>
      <x:c r="V187" s="402"/>
      <x:c r="W187" s="402"/>
      <x:c r="X187" s="402"/>
      <x:c r="Y187" s="402"/>
      <x:c r="Z187" s="402"/>
    </x:row>
    <x:row r="188">
      <x:c r="A188" s="402"/>
      <x:c r="B188" s="402"/>
      <x:c r="C188" s="402"/>
      <x:c r="D188" s="402"/>
      <x:c r="E188" s="402"/>
      <x:c r="F188" s="402"/>
      <x:c r="G188" s="402"/>
      <x:c r="H188" s="402"/>
      <x:c r="I188" s="402"/>
      <x:c r="J188" s="402"/>
      <x:c r="K188" s="402"/>
      <x:c r="L188" s="402"/>
      <x:c r="M188" s="402"/>
      <x:c r="N188" s="402"/>
      <x:c r="O188" s="402"/>
      <x:c r="P188" s="402"/>
      <x:c r="Q188" s="402"/>
      <x:c r="R188" s="402"/>
      <x:c r="S188" s="402"/>
      <x:c r="T188" s="402"/>
      <x:c r="U188" s="402"/>
      <x:c r="V188" s="402"/>
      <x:c r="W188" s="402"/>
      <x:c r="X188" s="402"/>
      <x:c r="Y188" s="402"/>
      <x:c r="Z188" s="402"/>
    </x:row>
    <x:row r="189">
      <x:c r="A189" s="402"/>
      <x:c r="B189" s="402"/>
      <x:c r="C189" s="402"/>
      <x:c r="D189" s="402"/>
      <x:c r="E189" s="402"/>
      <x:c r="F189" s="402"/>
      <x:c r="G189" s="402"/>
      <x:c r="H189" s="402"/>
      <x:c r="I189" s="402"/>
      <x:c r="J189" s="402"/>
      <x:c r="K189" s="402"/>
      <x:c r="L189" s="402"/>
      <x:c r="M189" s="402"/>
      <x:c r="N189" s="402"/>
      <x:c r="O189" s="402"/>
      <x:c r="P189" s="402"/>
      <x:c r="Q189" s="402"/>
      <x:c r="R189" s="402"/>
      <x:c r="S189" s="402"/>
      <x:c r="T189" s="402"/>
      <x:c r="U189" s="402"/>
      <x:c r="V189" s="402"/>
      <x:c r="W189" s="402"/>
      <x:c r="X189" s="402"/>
      <x:c r="Y189" s="402"/>
      <x:c r="Z189" s="402"/>
    </x:row>
    <x:row r="190">
      <x:c r="A190" s="402"/>
      <x:c r="B190" s="402"/>
      <x:c r="C190" s="402"/>
      <x:c r="D190" s="402"/>
      <x:c r="E190" s="402"/>
      <x:c r="F190" s="402"/>
      <x:c r="G190" s="402"/>
      <x:c r="H190" s="402"/>
      <x:c r="I190" s="402"/>
      <x:c r="J190" s="402"/>
      <x:c r="K190" s="402"/>
      <x:c r="L190" s="402"/>
      <x:c r="M190" s="402"/>
      <x:c r="N190" s="402"/>
      <x:c r="O190" s="402"/>
      <x:c r="P190" s="402"/>
      <x:c r="Q190" s="402"/>
      <x:c r="R190" s="402"/>
      <x:c r="S190" s="402"/>
      <x:c r="T190" s="402"/>
      <x:c r="U190" s="402"/>
      <x:c r="V190" s="402"/>
      <x:c r="W190" s="402"/>
      <x:c r="X190" s="402"/>
      <x:c r="Y190" s="402"/>
      <x:c r="Z190" s="402"/>
    </x:row>
    <x:row r="191">
      <x:c r="A191" s="402"/>
      <x:c r="B191" s="402"/>
      <x:c r="C191" s="402"/>
      <x:c r="D191" s="402"/>
      <x:c r="E191" s="402"/>
      <x:c r="F191" s="402"/>
      <x:c r="G191" s="402"/>
      <x:c r="H191" s="402"/>
      <x:c r="I191" s="402"/>
      <x:c r="J191" s="402"/>
      <x:c r="K191" s="402"/>
      <x:c r="L191" s="402"/>
      <x:c r="M191" s="402"/>
      <x:c r="N191" s="402"/>
      <x:c r="O191" s="402"/>
      <x:c r="P191" s="402"/>
      <x:c r="Q191" s="402"/>
      <x:c r="R191" s="402"/>
      <x:c r="S191" s="402"/>
      <x:c r="T191" s="402"/>
      <x:c r="U191" s="402"/>
      <x:c r="V191" s="402"/>
      <x:c r="W191" s="402"/>
      <x:c r="X191" s="402"/>
      <x:c r="Y191" s="402"/>
      <x:c r="Z191" s="402"/>
    </x:row>
    <x:row r="192">
      <x:c r="A192" s="402"/>
      <x:c r="B192" s="402"/>
      <x:c r="C192" s="402"/>
      <x:c r="D192" s="402"/>
      <x:c r="E192" s="402"/>
      <x:c r="F192" s="402"/>
      <x:c r="G192" s="402"/>
      <x:c r="H192" s="402"/>
      <x:c r="I192" s="402"/>
      <x:c r="J192" s="402"/>
      <x:c r="K192" s="402"/>
      <x:c r="L192" s="402"/>
      <x:c r="M192" s="402"/>
      <x:c r="N192" s="402"/>
      <x:c r="O192" s="402"/>
      <x:c r="P192" s="402"/>
      <x:c r="Q192" s="402"/>
      <x:c r="R192" s="402"/>
      <x:c r="S192" s="402"/>
      <x:c r="T192" s="402"/>
      <x:c r="U192" s="402"/>
      <x:c r="V192" s="402"/>
      <x:c r="W192" s="402"/>
      <x:c r="X192" s="402"/>
      <x:c r="Y192" s="402"/>
      <x:c r="Z192" s="402"/>
    </x:row>
    <x:row r="193">
      <x:c r="A193" s="402"/>
      <x:c r="B193" s="402"/>
      <x:c r="C193" s="402"/>
      <x:c r="D193" s="402"/>
      <x:c r="E193" s="402"/>
      <x:c r="F193" s="402"/>
      <x:c r="G193" s="402"/>
      <x:c r="H193" s="402"/>
      <x:c r="I193" s="402"/>
      <x:c r="J193" s="402"/>
      <x:c r="K193" s="402"/>
      <x:c r="L193" s="402"/>
      <x:c r="M193" s="402"/>
      <x:c r="N193" s="402"/>
      <x:c r="O193" s="402"/>
      <x:c r="P193" s="402"/>
      <x:c r="Q193" s="402"/>
      <x:c r="R193" s="402"/>
      <x:c r="S193" s="402"/>
      <x:c r="T193" s="402"/>
      <x:c r="U193" s="402"/>
      <x:c r="V193" s="402"/>
      <x:c r="W193" s="402"/>
      <x:c r="X193" s="402"/>
      <x:c r="Y193" s="402"/>
      <x:c r="Z193" s="402"/>
    </x:row>
    <x:row r="194">
      <x:c r="A194" s="402"/>
      <x:c r="B194" s="402"/>
      <x:c r="C194" s="402"/>
      <x:c r="D194" s="402"/>
      <x:c r="E194" s="402"/>
      <x:c r="F194" s="402"/>
      <x:c r="G194" s="402"/>
      <x:c r="H194" s="402"/>
      <x:c r="I194" s="402"/>
      <x:c r="J194" s="402"/>
      <x:c r="K194" s="402"/>
      <x:c r="L194" s="402"/>
      <x:c r="M194" s="402"/>
      <x:c r="N194" s="402"/>
      <x:c r="O194" s="402"/>
      <x:c r="P194" s="402"/>
      <x:c r="Q194" s="402"/>
      <x:c r="R194" s="402"/>
      <x:c r="S194" s="402"/>
      <x:c r="T194" s="402"/>
      <x:c r="U194" s="402"/>
      <x:c r="V194" s="402"/>
      <x:c r="W194" s="402"/>
      <x:c r="X194" s="402"/>
      <x:c r="Y194" s="402"/>
      <x:c r="Z194" s="402"/>
    </x:row>
    <x:row r="195">
      <x:c r="A195" s="402"/>
      <x:c r="B195" s="402"/>
      <x:c r="C195" s="402"/>
      <x:c r="D195" s="402"/>
      <x:c r="E195" s="402"/>
      <x:c r="F195" s="402"/>
      <x:c r="G195" s="402"/>
      <x:c r="H195" s="402"/>
      <x:c r="I195" s="402"/>
      <x:c r="J195" s="402"/>
      <x:c r="K195" s="402"/>
      <x:c r="L195" s="402"/>
      <x:c r="M195" s="402"/>
      <x:c r="N195" s="402"/>
      <x:c r="O195" s="402"/>
      <x:c r="P195" s="402"/>
      <x:c r="Q195" s="402"/>
      <x:c r="R195" s="402"/>
      <x:c r="S195" s="402"/>
      <x:c r="T195" s="402"/>
      <x:c r="U195" s="402"/>
      <x:c r="V195" s="402"/>
      <x:c r="W195" s="402"/>
      <x:c r="X195" s="402"/>
      <x:c r="Y195" s="402"/>
      <x:c r="Z195" s="402"/>
    </x:row>
    <x:row r="196">
      <x:c r="A196" s="402"/>
      <x:c r="B196" s="402"/>
      <x:c r="C196" s="402"/>
      <x:c r="D196" s="402"/>
      <x:c r="E196" s="402"/>
      <x:c r="F196" s="402"/>
      <x:c r="G196" s="402"/>
      <x:c r="H196" s="402"/>
      <x:c r="I196" s="402"/>
      <x:c r="J196" s="402"/>
      <x:c r="K196" s="402"/>
      <x:c r="L196" s="402"/>
      <x:c r="M196" s="402"/>
      <x:c r="N196" s="402"/>
      <x:c r="O196" s="402"/>
      <x:c r="P196" s="402"/>
      <x:c r="Q196" s="402"/>
      <x:c r="R196" s="402"/>
      <x:c r="S196" s="402"/>
      <x:c r="T196" s="402"/>
      <x:c r="U196" s="402"/>
      <x:c r="V196" s="402"/>
      <x:c r="W196" s="402"/>
      <x:c r="X196" s="402"/>
      <x:c r="Y196" s="402"/>
      <x:c r="Z196" s="402"/>
    </x:row>
    <x:row r="197">
      <x:c r="A197" s="402"/>
      <x:c r="B197" s="402"/>
      <x:c r="C197" s="402"/>
      <x:c r="D197" s="402"/>
      <x:c r="E197" s="402"/>
      <x:c r="F197" s="402"/>
      <x:c r="G197" s="402"/>
      <x:c r="H197" s="402"/>
      <x:c r="I197" s="402"/>
      <x:c r="J197" s="402"/>
      <x:c r="K197" s="402"/>
      <x:c r="L197" s="402"/>
      <x:c r="M197" s="402"/>
      <x:c r="N197" s="402"/>
      <x:c r="O197" s="402"/>
      <x:c r="P197" s="402"/>
      <x:c r="Q197" s="402"/>
      <x:c r="R197" s="402"/>
      <x:c r="S197" s="402"/>
      <x:c r="T197" s="402"/>
      <x:c r="U197" s="402"/>
      <x:c r="V197" s="402"/>
      <x:c r="W197" s="402"/>
      <x:c r="X197" s="402"/>
      <x:c r="Y197" s="402"/>
      <x:c r="Z197" s="402"/>
    </x:row>
    <x:row r="198">
      <x:c r="A198" s="402"/>
      <x:c r="B198" s="402"/>
      <x:c r="C198" s="402"/>
      <x:c r="D198" s="402"/>
      <x:c r="E198" s="402"/>
      <x:c r="F198" s="402"/>
      <x:c r="G198" s="402"/>
      <x:c r="H198" s="402"/>
      <x:c r="I198" s="402"/>
      <x:c r="J198" s="402"/>
      <x:c r="K198" s="402"/>
      <x:c r="L198" s="402"/>
      <x:c r="M198" s="402"/>
      <x:c r="N198" s="402"/>
      <x:c r="O198" s="402"/>
      <x:c r="P198" s="402"/>
      <x:c r="Q198" s="402"/>
      <x:c r="R198" s="402"/>
      <x:c r="S198" s="402"/>
      <x:c r="T198" s="402"/>
      <x:c r="U198" s="402"/>
      <x:c r="V198" s="402"/>
      <x:c r="W198" s="402"/>
      <x:c r="X198" s="402"/>
      <x:c r="Y198" s="402"/>
      <x:c r="Z198" s="402"/>
    </x:row>
    <x:row r="199">
      <x:c r="A199" s="402"/>
      <x:c r="B199" s="402"/>
      <x:c r="C199" s="402"/>
      <x:c r="D199" s="402"/>
      <x:c r="E199" s="402"/>
      <x:c r="F199" s="402"/>
      <x:c r="G199" s="402"/>
      <x:c r="H199" s="402"/>
      <x:c r="I199" s="402"/>
      <x:c r="J199" s="402"/>
      <x:c r="K199" s="402"/>
      <x:c r="L199" s="402"/>
      <x:c r="M199" s="402"/>
      <x:c r="N199" s="402"/>
      <x:c r="O199" s="402"/>
      <x:c r="P199" s="402"/>
      <x:c r="Q199" s="402"/>
      <x:c r="R199" s="402"/>
      <x:c r="S199" s="402"/>
      <x:c r="T199" s="402"/>
      <x:c r="U199" s="402"/>
      <x:c r="V199" s="402"/>
      <x:c r="W199" s="402"/>
      <x:c r="X199" s="402"/>
      <x:c r="Y199" s="402"/>
      <x:c r="Z199" s="402"/>
    </x:row>
    <x:row r="200">
      <x:c r="A200" s="402"/>
      <x:c r="B200" s="402"/>
      <x:c r="C200" s="402"/>
      <x:c r="D200" s="402"/>
      <x:c r="E200" s="402"/>
      <x:c r="F200" s="402"/>
      <x:c r="G200" s="402"/>
      <x:c r="H200" s="402"/>
      <x:c r="I200" s="402"/>
      <x:c r="J200" s="402"/>
      <x:c r="K200" s="402"/>
      <x:c r="L200" s="402"/>
      <x:c r="M200" s="402"/>
      <x:c r="N200" s="402"/>
      <x:c r="O200" s="402"/>
      <x:c r="P200" s="402"/>
      <x:c r="Q200" s="402"/>
      <x:c r="R200" s="402"/>
      <x:c r="S200" s="402"/>
      <x:c r="T200" s="402"/>
      <x:c r="U200" s="402"/>
      <x:c r="V200" s="402"/>
      <x:c r="W200" s="402"/>
      <x:c r="X200" s="402"/>
      <x:c r="Y200" s="402"/>
      <x:c r="Z200" s="402"/>
    </x:row>
  </x:sheetData>
  <x:pageMargins left="0.7" right="0.7" top="0.75" bottom="0.75" header="0.3" footer="0.3"/>
</x:worksheet>
</file>