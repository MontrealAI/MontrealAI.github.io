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fb0ce5cdd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b687bec797548a8"/>
    <x:sheet xmlns:r="http://schemas.openxmlformats.org/officeDocument/2006/relationships" name="Assumptions" sheetId="2" r:id="R47194b62fb9c40b0"/>
    <x:sheet xmlns:r="http://schemas.openxmlformats.org/officeDocument/2006/relationships" name="Monthly Model" sheetId="3" r:id="R6ff6a1c55b1e4b63"/>
    <x:sheet xmlns:r="http://schemas.openxmlformats.org/officeDocument/2006/relationships" name="Annual Summary" sheetId="4" r:id="R0fea3e06847d4bee"/>
    <x:sheet xmlns:r="http://schemas.openxmlformats.org/officeDocument/2006/relationships" name="Scenario Comparison" sheetId="5" r:id="Ree4763334c584af6"/>
    <x:sheet xmlns:r="http://schemas.openxmlformats.org/officeDocument/2006/relationships" name="Unit Economics" sheetId="6" r:id="R6f8a6c69956543e1"/>
    <x:sheet xmlns:r="http://schemas.openxmlformats.org/officeDocument/2006/relationships" name="Valuation" sheetId="7" r:id="Rc4688d6f99e940ce"/>
    <x:sheet xmlns:r="http://schemas.openxmlformats.org/officeDocument/2006/relationships" name="Notes" sheetId="8" r:id="R319c0e0e90664467"/>
    <x:sheet xmlns:r="http://schemas.openxmlformats.org/officeDocument/2006/relationships" name="Hiring Plan" sheetId="9" r:id="Rf01384392f3f401b"/>
    <x:sheet xmlns:r="http://schemas.openxmlformats.org/officeDocument/2006/relationships" name="Actuals vs Plan" sheetId="10" r:id="Rfb1bd6fe09fb4991"/>
  </x:sheets>
</x:workbook>
</file>

<file path=xl/comments1.xml><?xml version="1.0" encoding="utf-8"?>
<x:comments xmlns:x="http://schemas.openxmlformats.org/spreadsheetml/2006/main">
  <x:authors>
    <x:author>tc={9335F3D2-586B-2872-C70C-90454AA6E326}</x:author>
    <x:author>tc={6E65AE8F-4F50-DE0E-F252-CD1302D54E7D}</x:author>
    <x:author>tc={58ADEA78-6846-A3E4-44EF-8949BE6272F5}</x:author>
    <x:author>tc={4A5DA4D2-9057-2CDC-B1B0-7713FBB0BE43}</x:author>
    <x:author>tc={03C97F2F-C551-E367-250B-D54835AE7FF8}</x:author>
    <x:author>tc={21FA2546-EF67-9158-C21A-8C79337D60A2}</x:author>
    <x:author>tc={5C58C847-D1CB-890C-BF7D-76793F473F4D}</x:author>
    <x:author>tc={073DC8C4-DB19-E4A1-3CA9-5979B8A99562}</x:author>
    <x:author>tc={175FFDFA-B339-8512-E537-A25D71758F08}</x:author>
    <x:author>tc={3076D730-3002-9053-0B68-BF6A812F09FC}</x:author>
    <x:author>tc={9E1C4F16-0B37-4EBC-1814-19BC2DDF72C4}</x:author>
    <x:author>tc={4AD8E967-D541-9C7E-7F85-94CA90E71102}</x:author>
    <x:author>tc={4012E543-6928-00E6-7EBB-123D9B3EC411}</x:author>
    <x:author>tc={C66141B2-C093-7EEC-D149-9C0B6E28D54E}</x:author>
    <x:author>tc={8DC1E6CE-C718-FAB6-E9E9-2D6AAB284887}</x:author>
    <x:author>tc={E4BFABDD-1268-7259-13C4-4D8C8B045599}</x:author>
    <x:author>tc={79CFEFAD-B2E9-0721-F5FB-8A611108483D}</x:author>
    <x:author>tc={58CC6EAE-B1D3-E49E-88A3-BC2DF8BA592A}</x:author>
    <x:author>tc={48455117-05A3-7E49-A3CE-84E212596EF4}</x:author>
    <x:author>tc={1C00B15B-8813-D26E-D51C-C02E29232CF6}</x:author>
    <x:author>tc={D02A722F-4524-65AF-76B1-1C0534C9C64D}</x:author>
    <x:author>tc={75C32A90-420D-BADE-8BF2-4381D8FD8EDA}</x:author>
    <x:author>tc={4B0F44A4-52AA-9F3B-3512-CA4CE5E3D511}</x:author>
    <x:author>tc={F600C3AB-FC9B-4AE1-936B-92D973624ED6}</x:author>
    <x:author>tc={BF84D2A1-264C-D2DE-982D-EDA4955DF198}</x:author>
    <x:author>tc={25907258-040F-EDDA-F33D-F42FE54E8107}</x:author>
    <x:author>tc={B2C9A862-4E2E-AE18-ADE1-72C665033A81}</x:author>
    <x:author>tc={1BEE2D6E-F788-2A70-0A07-6F23D5066352}</x:author>
    <x:author>tc={8894736E-2CD9-60F9-8C66-B6445847721E}</x:author>
    <x:author>tc={F4784AC8-11D9-2AB9-AD03-7AD20BE9EDF0}</x:author>
    <x:author>tc={EB6F3FE6-5496-A32F-1419-7A57E78D33CB}</x:author>
    <x:author>tc={8F9EC1EC-37C8-2089-1B55-D899E167DB55}</x:author>
    <x:author>tc={AAF5A459-E772-F176-D06F-9B6D28E23B3D}</x:author>
    <x:author>tc={8EE7607A-A607-B685-5474-BD48C5F9E7E2}</x:author>
    <x:author>tc={E19EFDBA-E5A6-6CE0-883C-88CF16768506}</x:author>
    <x:author>tc={7F77407D-D201-9F1A-30D0-76C70AC62245}</x:author>
    <x:author>tc={D1E05EB6-6B90-BDA5-D625-529BA2A90621}</x:author>
    <x:author>tc={70E91DD5-1B30-89D6-DE98-81FBFFB18C69}</x:author>
    <x:author>tc={82FB5213-8AED-1009-36DB-63FA079E5D0E}</x:author>
    <x:author>tc={000715CF-C4BF-3979-78F2-E07DD9716E71}</x:author>
    <x:author>tc={5967C4FA-6F1E-72A4-274F-A84793A92015}</x:author>
    <x:author>tc={A1BCC58D-55B3-CC87-34C7-C477C89A568F}</x:author>
    <x:author>tc={F24787AF-582E-314C-EEF5-8673FA3040FB}</x:author>
    <x:author>tc={1A7808F8-0DF8-67B3-D82A-A3FDB80C2ADE}</x:author>
    <x:author>tc={E70694E1-7E47-5FA7-88FA-1BC72B209443}</x:author>
    <x:author>tc={6AB4204F-A4D7-7AD1-1F96-2A6A871301A6}</x:author>
    <x:author>tc={5BBDDCB0-0F04-E062-FC06-0A43D99F1786}</x:author>
    <x:author>tc={9D213FD9-ABDF-C1CB-791A-A5F1A7FD2F81}</x:author>
    <x:author>tc={8C5A3D4A-8E71-1D53-77E8-C5C0A5948F13}</x:author>
    <x:author>tc={9F78590A-D54C-9BB7-9B5A-868E9BA2E063}</x:author>
    <x:author>tc={7BB47CD0-03A6-194A-A9F2-481CEFEB0C89}</x:author>
    <x:author>tc={5AAC44D4-E0A3-26DD-706B-36C2AD0DA067}</x:author>
    <x:author>tc={801A3F6C-F772-396A-3C33-6F91B80625C7}</x:author>
    <x:author>tc={054C08F6-03C9-4AD0-FDB1-883D37BB9A25}</x:author>
    <x:author>tc={40A294B3-74CB-51A4-F34B-156C44CA7621}</x:author>
    <x:author>tc={763D369B-2AC2-B584-31A8-436ECE966EB8}</x:author>
    <x:author>tc={BED6E884-8E93-4166-D1F9-937143D33C5B}</x:author>
    <x:author>tc={56B6E736-A642-C3FC-1880-B234A7AC35F7}</x:author>
    <x:author>tc={C899A836-8FCB-DCB3-78E9-C3707D43F4C9}</x:author>
    <x:author>tc={025103CD-3DD3-813F-44E0-0E0B14D103CE}</x:author>
    <x:author>tc={0DD0480B-C6D4-58E6-BAE4-E7C24CBF85D7}</x:author>
    <x:author>tc={9002A517-9100-1819-90BE-C97861192E92}</x:author>
    <x:author>tc={D4CF754E-13B5-FD17-CB40-E6B4442500FF}</x:author>
    <x:author>tc={D248A66A-35B4-7823-155F-AAE8F496E680}</x:author>
    <x:author>tc={DE6EAA85-D9F6-0895-4A95-A152FA3DCDC2}</x:author>
    <x:author>tc={636FDD80-1724-B46B-62FB-AFB69CB9FFB1}</x:author>
    <x:author>tc={6DBBACC8-68FF-25AC-9A6D-5F7E37300578}</x:author>
    <x:author>tc={2E1A4FC0-B102-26A1-7936-AD13624B22DE}</x:author>
    <x:author>tc={0B5299B5-28C5-2BB5-836F-1546D5634F4E}</x:author>
    <x:author>tc={B8424F62-A5FF-C0CA-163B-13601025DFEC}</x:author>
    <x:author>tc={AC6932CA-0460-54DC-DDBF-E1784F8A961E}</x:author>
    <x:author>tc={D1714E5D-F1C9-0E29-53F4-6AF40B06B5C1}</x:author>
    <x:author>tc={1D5EDC41-0828-8056-F1AF-0C4F27F5B88E}</x:author>
    <x:author>tc={868E65C8-8FFC-988E-7BA6-1100D68E7928}</x:author>
    <x:author>tc={5EA57A90-822B-A269-4059-B3C7D4AD4B12}</x:author>
    <x:author>tc={65BB0A9E-4718-CC95-F033-0676BD0DAE0B}</x:author>
    <x:author>tc={0528D2C2-91D3-8810-03E5-F2F41BA85AB7}</x:author>
    <x:author>tc={05BC6949-8917-856C-F942-0954966D697E}</x:author>
    <x:author>tc={59AF24F0-704D-C1DE-CA7B-85151FA43C94}</x:author>
    <x:author>tc={AA15ADDF-CEA9-EC13-3999-BE99164FD2EB}</x:author>
    <x:author>tc={56288F27-3278-6D8C-0473-7965EC796070}</x:author>
    <x:author>tc={DFE953B7-6E62-13D8-C933-51128CDCF0EE}</x:author>
    <x:author>tc={E62DFEEE-D2BD-EB85-C4FC-07EFF7677428}</x:author>
    <x:author>tc={32BFA060-B806-E31B-A01C-C2B5E29FD0A2}</x:author>
    <x:author>tc={DF84CB0E-03F8-FAED-1B53-AEE438CA315B}</x:author>
    <x:author>tc={4196140F-C134-034E-BD54-4258B8EC8212}</x:author>
    <x:author>tc={0BA7A8D8-0965-904E-8904-20A08F2399E0}</x:author>
    <x:author>tc={DA8F3B84-C442-7579-D6A9-D02D7AD175C6}</x:author>
    <x:author>tc={AB0ADBAB-2BD4-F1AE-50B5-06CE96FE3D7E}</x:author>
    <x:author>tc={14557B0C-17B2-02EA-F225-635710E6F3EC}</x:author>
    <x:author>tc={F8641309-3FFE-57EB-977F-CC595B9B386C}</x:author>
    <x:author>tc={E70971B4-51D8-02B6-9022-AB7B78CF99F5}</x:author>
    <x:author>tc={51DF6953-EB5C-6A7B-2041-ECB7327B3A1E}</x:author>
    <x:author>tc={A9B8EB9E-846F-0E68-FB08-6096AD298D08}</x:author>
    <x:author>tc={EDF31D78-43B6-52A9-2B22-1921512C21AC}</x:author>
    <x:author>tc={07A1623C-CBC9-7F75-2035-A4B33397BD91}</x:author>
    <x:author>tc={07CCEF91-48E1-95C8-2ABF-8828B32C2219}</x:author>
    <x:author>tc={1E646DB9-2CF5-5815-0815-6C751277ECAE}</x:author>
    <x:author>tc={D49A5B00-AE45-93DA-3570-53A7FFF3A732}</x:author>
    <x:author>tc={4B639F8D-BF25-3A2D-ABA1-307AF9BC03AE}</x:author>
    <x:author>tc={DD313B81-C0AB-5213-AB8E-0F4A0DFF95DC}</x:author>
    <x:author>tc={C6D077BD-A037-1E9A-441F-5F2680B5562E}</x:author>
    <x:author>tc={F32755B3-49D9-75D4-83D4-441C31B4FE47}</x:author>
    <x:author>tc={DE0BD5C1-908B-9647-95B4-E3CC50685EE2}</x:author>
    <x:author>tc={395A0751-80AE-55C8-6ACA-B1963282C466}</x:author>
    <x:author>tc={CAAACC7C-ACD5-2E1C-CF5C-1D18801F3B4E}</x:author>
    <x:author>tc={CF12DFF5-E0E0-7A03-CC4B-9C18DA060C4E}</x:author>
    <x:author>tc={40428B7B-D88B-CB19-B9F0-9630171FEB50}</x:author>
    <x:author>tc={7CEBFECC-DF9F-0417-0958-DB90AE8AAA1F}</x:author>
    <x:author>tc={18CE4CF1-7401-725C-3CB9-CCEAAD488003}</x:author>
    <x:author>tc={52E9C645-B056-4810-01AA-286D1DCCFEE5}</x:author>
    <x:author>tc={3A3BEB30-6C4C-7465-99EB-2485B498E5D3}</x:author>
    <x:author>tc={EE1C058D-7EA0-DB7B-1D3A-3EF856A2075B}</x:author>
    <x:author>tc={B700D16E-3401-510B-82C6-EE9331DD9A66}</x:author>
    <x:author>tc={1EBEE537-D910-9DFE-023F-6A5B5D84F63E}</x:author>
    <x:author>tc={BF30134C-6454-105B-4F10-32BA76CC42F6}</x:author>
    <x:author>tc={14B562DA-0DCA-FE68-D221-3E5B26466CAA}</x:author>
    <x:author>tc={F44B0983-4F8F-88A3-5153-3CA3AD289325}</x:author>
    <x:author>tc={63CEC0A5-7A65-273A-1B31-75B4B8907A66}</x:author>
    <x:author>tc={7E986B9A-3FBF-97D1-52C4-194517756605}</x:author>
    <x:author>tc={084751B8-8299-2E5E-62F8-1E796FDC14CE}</x:author>
    <x:author>tc={831561AD-8825-42E1-F1A0-D7C1548B24CB}</x:author>
    <x:author>tc={0C0CFE2A-CFD8-FFEE-8B74-E610CBA19AF0}</x:author>
    <x:author>tc={29AF4F07-18FE-4CB3-7E37-62B14FC72BCF}</x:author>
    <x:author>tc={CCD0DA05-308A-24C9-6003-6EC8499BA06A}</x:author>
    <x:author>tc={39430F1D-93D0-9208-EC0A-9D23E39EE5CD}</x:author>
    <x:author>tc={78BF531F-CA12-AD3E-40E0-9CCEC934B74C}</x:author>
    <x:author>tc={C1BF1008-FD14-8320-ECB8-443005B15D03}</x:author>
    <x:author>tc={4E720391-33A8-5821-BFEB-FBDEF68DD66F}</x:author>
    <x:author>tc={1CA26827-EEF7-B876-BFFB-FE007B84A0BE}</x:author>
    <x:author>tc={9B7CF64F-0742-77B9-4DB6-49E8F6CBBCA9}</x:author>
    <x:author>tc={889CD90F-0616-2287-AE7A-FA116EB1669E}</x:author>
    <x:author>tc={A8D115F3-46AA-23E0-2A37-A8327ECC3607}</x:author>
    <x:author>tc={93224F82-C9EE-3ED1-877F-78DF94693592}</x:author>
    <x:author>tc={DF93C689-BA21-0385-166D-BE33BDE33DE2}</x:author>
    <x:author>tc={A55643B2-E305-E548-5ED2-88F666034A65}</x:author>
    <x:author>tc={8251A03C-76E9-BE92-BC65-F2DAB4891852}</x:author>
    <x:author>tc={490580ED-B770-42EC-EA65-2EF76DB54C8E}</x:author>
    <x:author>tc={2B9B8190-B5FA-5DAC-4F70-8915CEEDA6B2}</x:author>
    <x:author>tc={B0AFABA6-2FD7-9BD8-AB78-37A0799E298B}</x:author>
    <x:author>tc={62C3D179-FDC8-456D-F553-8C92696A6454}</x:author>
    <x:author>tc={17D523D7-8580-883B-F844-C3E3B179B68B}</x:author>
    <x:author>tc={7E9BDFF9-F2CF-21B9-5A10-8523BDDC9870}</x:author>
    <x:author>tc={C9E3707C-A951-ECD3-3312-1ED8CCAC1D6A}</x:author>
    <x:author>tc={2A541355-F551-5D93-05FA-1A9EF673E5C0}</x:author>
    <x:author>tc={0FAD7FB8-EFA0-F1F8-4213-1B551172194D}</x:author>
    <x:author>tc={84CB10FD-01EB-8461-56AE-4306CF55597B}</x:author>
    <x:author>tc={9B81EEDA-0BB3-C6AE-BCE7-16B3C3826AC1}</x:author>
    <x:author>tc={B930B2FA-6C1F-8C81-1139-EDC65141D4E8}</x:author>
    <x:author>tc={E9FF32B2-6177-AC57-AD94-3C2987404BBC}</x:author>
    <x:author>tc={CA2DD854-A891-F0C3-8089-381254DE3B5C}</x:author>
    <x:author>tc={95E2FF5B-64AF-E393-20B0-22D5287A8631}</x:author>
    <x:author>tc={FBF0BDA8-553B-35AC-C53C-AA5C019375AE}</x:author>
    <x:author>tc={1EDE18F9-50C2-B6CE-0961-43D86BA86E16}</x:author>
    <x:author>tc={6BAF2259-D8F5-D607-6077-5748309B4A5C}</x:author>
    <x:author>tc={CC4B8866-A77E-4CFA-FE48-0FA0A46693D0}</x:author>
    <x:author>tc={1817FD5E-8D42-59AB-E1B2-558678B2B13B}</x:author>
    <x:author>tc={1D6AE764-6474-E1A9-D367-724F48F86708}</x:author>
    <x:author>tc={120841A6-1A74-F34F-5C96-14483438523E}</x:author>
    <x:author>tc={0FE81D88-B83A-4517-06A3-07C14223E111}</x:author>
    <x:author>tc={70527F03-23FB-3308-51D4-B03D6A87E04C}</x:author>
    <x:author>tc={E6073104-66F0-2123-8028-07DB75AC81CD}</x:author>
    <x:author>tc={4E524AA3-B322-E97D-720B-D8D27F80D2B1}</x:author>
    <x:author>tc={C0F925AB-763E-1751-D7FB-CA3A90D06E7E}</x:author>
    <x:author>tc={F554A384-21EC-A46B-4D29-D1996F1D83D7}</x:author>
    <x:author>tc={4CF1180C-C4E7-EF52-0B35-4AB160B64874}</x:author>
    <x:author>tc={76172F8D-8D78-A7B4-19DF-FD3BEFB6E14C}</x:author>
    <x:author>tc={9F5D3AFE-D81F-C7CC-FCF7-167B765ED77F}</x:author>
    <x:author>tc={08BF6791-B43E-CD1A-3290-840D1B798170}</x:author>
    <x:author>tc={C3D244D4-2F9C-ED85-B90B-E7AD7D8720E8}</x:author>
    <x:author>tc={1C7AEA22-F582-9E4C-7832-CABD4F13C86B}</x:author>
    <x:author>tc={DCBC98FA-C1F2-CAD9-6196-1CAE3A523821}</x:author>
    <x:author>tc={A15B6D38-1114-CF73-8B40-9D26036A12DA}</x:author>
    <x:author>tc={F8654403-A7E2-B1FA-E20E-D0A96E43C422}</x:author>
    <x:author>tc={42E4B247-79DD-5A86-70D0-1CFF22E017E0}</x:author>
    <x:author>tc={09FEFA90-8660-AB41-8CC8-BE5365694A23}</x:author>
    <x:author>tc={1454ED3A-18BA-4272-8ADE-3CD4264A2C78}</x:author>
    <x:author>tc={757372C2-9AAC-C077-465B-B7EEB2F06201}</x:author>
    <x:author>tc={1881B8E6-216C-BDEE-6644-C8089BA64D22}</x:author>
    <x:author>tc={05306371-EE65-C9B0-DDFE-39393503CBBB}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date; first full month after July 2026 release.
Scenario: Conservative
Status: synthetic internal planning assumption; replace with observed data before external reliance.</x:t>
        </x:r>
      </x:text>
    </x:comment>
    <x:comment ref="E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date; first full month after July 2026 release.
Scenario: Base
Status: synthetic internal planning assumption; replace with observed data before external reliance.</x:t>
        </x:r>
      </x:text>
    </x:comment>
    <x:comment ref="F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date; first full month after July 2026 release.
Scenario: Upside
Status: synthetic internal planning assumption; replace with observed data before external reliance.</x:t>
        </x:r>
      </x:text>
    </x:comment>
    <x:comment ref="D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funding assumption; replace with actual cash balance.
Scenario: Conservative
Status: synthetic internal planning assumption; replace with observed data before external reliance.</x:t>
        </x:r>
      </x:text>
    </x:comment>
    <x:comment ref="E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funding assumption; replace with actual cash balance.
Scenario: Base
Status: synthetic internal planning assumption; replace with observed data before external reliance.</x:t>
        </x:r>
      </x:text>
    </x:comment>
    <x:comment ref="F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funding assumption; replace with actual cash balance.
Scenario: Upside
Status: synthetic internal planning assumption; replace with observed data before external reliance.</x:t>
        </x:r>
      </x:text>
    </x:comment>
    <x:comment ref="D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Optional financing assumption; set amount to zero to model no financing.
Scenario: Conservative
Status: synthetic internal planning assumption; replace with observed data before external reliance.</x:t>
        </x:r>
      </x:text>
    </x:comment>
    <x:comment ref="E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Optional financing assumption; set amount to zero to model no financing.
Scenario: Base
Status: synthetic internal planning assumption; replace with observed data before external reliance.</x:t>
        </x:r>
      </x:text>
    </x:comment>
    <x:comment ref="F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Optional financing assumption; set amount to zero to model no financing.
Scenario: Upside
Status: synthetic internal planning assumption; replace with observed data before external reliance.</x:t>
        </x:r>
      </x:text>
    </x:comment>
    <x:comment ref="D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financing assumption; not a commitment or forecast.
Scenario: Conservative
Status: synthetic internal planning assumption; replace with observed data before external reliance.</x:t>
        </x:r>
      </x:text>
    </x:comment>
    <x:comment ref="E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financing assumption; not a commitment or forecast.
Scenario: Base
Status: synthetic internal planning assumption; replace with observed data before external reliance.</x:t>
        </x:r>
      </x:text>
    </x:comment>
    <x:comment ref="F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financing assumption; not a commitment or forecast.
Scenario: Upside
Status: synthetic internal planning assumption; replace with observed data before external reliance.</x:t>
        </x:r>
      </x:text>
    </x:comment>
    <x:comment ref="D1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the balance is collected in the following month.
Scenario: Conservative
Status: synthetic internal planning assumption; replace with observed data before external reliance.</x:t>
        </x:r>
      </x:text>
    </x:comment>
    <x:comment ref="E10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the balance is collected in the following month.
Scenario: Base
Status: synthetic internal planning assumption; replace with observed data before external reliance.</x:t>
        </x:r>
      </x:text>
    </x:comment>
    <x:comment ref="F1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the balance is collected in the following month.
Scenario: Upside
Status: synthetic internal planning assumption; replace with observed data before external reliance.</x:t>
        </x:r>
      </x:text>
    </x:comment>
    <x:comment ref="D1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planning assumption for qualified, permissioned opportunities—not scraped contacts.
Scenario: Conservative
Status: synthetic internal planning assumption; replace with observed data before external reliance.</x:t>
        </x:r>
      </x:text>
    </x:comment>
    <x:comment ref="E1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planning assumption for qualified, permissioned opportunities—not scraped contacts.
Scenario: Base
Status: synthetic internal planning assumption; replace with observed data before external reliance.</x:t>
        </x:r>
      </x:text>
    </x:comment>
    <x:comment ref="F1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planning assumption for qualified, permissioned opportunities—not scraped contacts.
Scenario: Upside
Status: synthetic internal planning assumption; replace with observed data before external reliance.</x:t>
        </x:r>
      </x:text>
    </x:comment>
    <x:comment ref="D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growth assumption from content, MasterClasses, referrals, partners, and inbound demand.
Scenario: Conservative
Status: synthetic internal planning assumption; replace with observed data before external reliance.</x:t>
        </x:r>
      </x:text>
    </x:comment>
    <x:comment ref="E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growth assumption from content, MasterClasses, referrals, partners, and inbound demand.
Scenario: Base
Status: synthetic internal planning assumption; replace with observed data before external reliance.</x:t>
        </x:r>
      </x:text>
    </x:comment>
    <x:comment ref="F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growth assumption from content, MasterClasses, referrals, partners, and inbound demand.
Scenario: Upside
Status: synthetic internal planning assumption; replace with observed data before external reliance.</x:t>
        </x:r>
      </x:text>
    </x:comment>
    <x:comment ref="D1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mature growth assumption.
Scenario: Conservative
Status: synthetic internal planning assumption; replace with observed data before external reliance.</x:t>
        </x:r>
      </x:text>
    </x:comment>
    <x:comment ref="E1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mature growth assumption.
Scenario: Base
Status: synthetic internal planning assumption; replace with observed data before external reliance.</x:t>
        </x:r>
      </x:text>
    </x:comment>
    <x:comment ref="F14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mature growth assumption.
Scenario: Upside
Status: synthetic internal planning assumption; replace with observed data before external reliance.</x:t>
        </x:r>
      </x:text>
    </x:comment>
    <x:comment ref="D15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assumption; replace with observed funnel data.
Scenario: Conservative
Status: synthetic internal planning assumption; replace with observed data before external reliance.</x:t>
        </x:r>
      </x:text>
    </x:comment>
    <x:comment ref="E15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assumption; replace with observed funnel data.
Scenario: Base
Status: synthetic internal planning assumption; replace with observed data before external reliance.</x:t>
        </x:r>
      </x:text>
    </x:comment>
    <x:comment ref="F15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assumption; replace with observed funnel data.
Scenario: Upside
Status: synthetic internal planning assumption; replace with observed data before external reliance.</x:t>
        </x:r>
      </x:text>
    </x:comment>
    <x:comment ref="D1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Conservative
Status: synthetic internal planning assumption; replace with observed data before external reliance.</x:t>
        </x:r>
      </x:text>
    </x:comment>
    <x:comment ref="E16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Base
Status: synthetic internal planning assumption; replace with observed data before external reliance.</x:t>
        </x:r>
      </x:text>
    </x:comment>
    <x:comment ref="F16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Upside
Status: synthetic internal planning assumption; replace with observed data before external reliance.</x:t>
        </x:r>
      </x:text>
    </x:comment>
    <x:comment ref="D17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Conservative
Status: synthetic internal planning assumption; replace with observed data before external reliance.</x:t>
        </x:r>
      </x:text>
    </x:comment>
    <x:comment ref="E1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Base
Status: synthetic internal planning assumption; replace with observed data before external reliance.</x:t>
        </x:r>
      </x:text>
    </x:comment>
    <x:comment ref="F1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Upside
Status: synthetic internal planning assumption; replace with observed data before external reliance.</x:t>
        </x:r>
      </x:text>
    </x:comment>
    <x:comment ref="D1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Conservative
Status: synthetic internal planning assumption; replace with observed data before external reliance.</x:t>
        </x:r>
      </x:text>
    </x:comment>
    <x:comment ref="E18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Base
Status: synthetic internal planning assumption; replace with observed data before external reliance.</x:t>
        </x:r>
      </x:text>
    </x:comment>
    <x:comment ref="F1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assumption.
Scenario: Upside
Status: synthetic internal planning assumption; replace with observed data before external reliance.</x:t>
        </x:r>
      </x:text>
    </x:comment>
    <x:comment ref="D19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 before proof-driven lift.
Scenario: Conservative
Status: synthetic internal planning assumption; replace with observed data before external reliance.</x:t>
        </x:r>
      </x:text>
    </x:comment>
    <x:comment ref="E19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 before proof-driven lift.
Scenario: Base
Status: synthetic internal planning assumption; replace with observed data before external reliance.</x:t>
        </x:r>
      </x:text>
    </x:comment>
    <x:comment ref="F1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conversion assumption before proof-driven lift.
Scenario: Upside
Status: synthetic internal planning assumption; replace with observed data before external reliance.</x:t>
        </x:r>
      </x:text>
    </x:comment>
    <x:comment ref="D2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expansion assumption.
Scenario: Conservative
Status: synthetic internal planning assumption; replace with observed data before external reliance.</x:t>
        </x:r>
      </x:text>
    </x:comment>
    <x:comment ref="E20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expansion assumption.
Scenario: Base
Status: synthetic internal planning assumption; replace with observed data before external reliance.</x:t>
        </x:r>
      </x:text>
    </x:comment>
    <x:comment ref="F20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expansion assumption.
Scenario: Upside
Status: synthetic internal planning assumption; replace with observed data before external reliance.</x:t>
        </x:r>
      </x:text>
    </x:comment>
    <x:comment ref="D21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expansion assumption.
Scenario: Conservative
Status: synthetic internal planning assumption; replace with observed data before external reliance.</x:t>
        </x:r>
      </x:text>
    </x:comment>
    <x:comment ref="E21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expansion assumption.
Scenario: Base
Status: synthetic internal planning assumption; replace with observed data before external reliance.</x:t>
        </x:r>
      </x:text>
    </x:comment>
    <x:comment ref="F21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expansion assumption.
Scenario: Upside
Status: synthetic internal planning assumption; replace with observed data before external reliance.</x:t>
        </x:r>
      </x:text>
    </x:comment>
    <x:comment ref="D22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Core commercial proof assumption: customers commission a related second mission.
Scenario: Conservative
Status: synthetic internal planning assumption; replace with observed data before external reliance.</x:t>
        </x:r>
      </x:text>
    </x:comment>
    <x:comment ref="E2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Core commercial proof assumption: customers commission a related second mission.
Scenario: Base
Status: synthetic internal planning assumption; replace with observed data before external reliance.</x:t>
        </x:r>
      </x:text>
    </x:comment>
    <x:comment ref="F2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Core commercial proof assumption: customers commission a related second mission.
Scenario: Upside
Status: synthetic internal planning assumption; replace with observed data before external reliance.</x:t>
        </x:r>
      </x:text>
    </x:comment>
    <x:comment ref="D2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 valid mission may conclude proceed, narrow, repair, reject, quarantine, or stop.
Scenario: Conservative
Status: synthetic internal planning assumption; replace with observed data before external reliance.</x:t>
        </x:r>
      </x:text>
    </x:comment>
    <x:comment ref="E2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 valid mission may conclude proceed, narrow, repair, reject, quarantine, or stop.
Scenario: Base
Status: synthetic internal planning assumption; replace with observed data before external reliance.</x:t>
        </x:r>
      </x:text>
    </x:comment>
    <x:comment ref="F2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 valid mission may conclude proceed, narrow, repair, reject, quarantine, or stop.
Scenario: Upside
Status: synthetic internal planning assumption; replace with observed data before external reliance.</x:t>
        </x:r>
      </x:text>
    </x:comment>
    <x:comment ref="D24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proof-driven conversion lift; applied only after validated customer outcomes.
Scenario: Conservative
Status: synthetic internal planning assumption; replace with observed data before external reliance.</x:t>
        </x:r>
      </x:text>
    </x:comment>
    <x:comment ref="E24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proof-driven conversion lift; applied only after validated customer outcomes.
Scenario: Base
Status: synthetic internal planning assumption; replace with observed data before external reliance.</x:t>
        </x:r>
      </x:text>
    </x:comment>
    <x:comment ref="F24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proof-driven conversion lift; applied only after validated customer outcomes.
Scenario: Upside
Status: synthetic internal planning assumption; replace with observed data before external reliance.</x:t>
        </x:r>
      </x:text>
    </x:comment>
    <x:comment ref="D2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Caps compounding to prevent unrealistic conversion inflation.
Scenario: Conservative
Status: synthetic internal planning assumption; replace with observed data before external reliance.</x:t>
        </x:r>
      </x:text>
    </x:comment>
    <x:comment ref="E25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Caps compounding to prevent unrealistic conversion inflation.
Scenario: Base
Status: synthetic internal planning assumption; replace with observed data before external reliance.</x:t>
        </x:r>
      </x:text>
    </x:comment>
    <x:comment ref="F25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Caps compounding to prevent unrealistic conversion inflation.
Scenario: Upside
Status: synthetic internal planning assumption; replace with observed data before external reliance.</x:t>
        </x:r>
      </x:text>
    </x:comment>
    <x:comment ref="D26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referral effect from real, permissioned outcomes.
Scenario: Conservative
Status: synthetic internal planning assumption; replace with observed data before external reliance.</x:t>
        </x:r>
      </x:text>
    </x:comment>
    <x:comment ref="E2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referral effect from real, permissioned outcomes.
Scenario: Base
Status: synthetic internal planning assumption; replace with observed data before external reliance.</x:t>
        </x:r>
      </x:text>
    </x:comment>
    <x:comment ref="F2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referral effect from real, permissioned outcomes.
Scenario: Upside
Status: synthetic internal planning assumption; replace with observed data before external reliance.</x:t>
        </x:r>
      </x:text>
    </x:comment>
    <x:comment ref="D28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ranges; not yet validated by repeated market transactions.
Scenario: Conservative
Status: synthetic internal planning assumption; replace with observed data before external reliance.</x:t>
        </x:r>
      </x:text>
    </x:comment>
    <x:comment ref="E28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ranges; not yet validated by repeated market transactions.
Scenario: Base
Status: synthetic internal planning assumption; replace with observed data before external reliance.</x:t>
        </x:r>
      </x:text>
    </x:comment>
    <x:comment ref="F28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ranges; not yet validated by repeated market transactions.
Scenario: Upside
Status: synthetic internal planning assumption; replace with observed data before external reliance.</x:t>
        </x:r>
      </x:text>
    </x:comment>
    <x:comment ref="D29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ranges.
Scenario: Conservative
Status: synthetic internal planning assumption; replace with observed data before external reliance.</x:t>
        </x:r>
      </x:text>
    </x:comment>
    <x:comment ref="E2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ranges.
Scenario: Base
Status: synthetic internal planning assumption; replace with observed data before external reliance.</x:t>
        </x:r>
      </x:text>
    </x:comment>
    <x:comment ref="F29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ranges.
Scenario: Upside
Status: synthetic internal planning assumption; replace with observed data before external reliance.</x:t>
        </x:r>
      </x:text>
    </x:comment>
    <x:comment ref="D30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ranges.
Scenario: Conservative
Status: synthetic internal planning assumption; replace with observed data before external reliance.</x:t>
        </x:r>
      </x:text>
    </x:comment>
    <x:comment ref="E30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ranges.
Scenario: Base
Status: synthetic internal planning assumption; replace with observed data before external reliance.</x:t>
        </x:r>
      </x:text>
    </x:comment>
    <x:comment ref="F30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commercialization price-test ranges.
Scenario: Upside
Status: synthetic internal planning assumption; replace with observed data before external reliance.</x:t>
        </x:r>
      </x:text>
    </x:comment>
    <x:comment ref="D31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a related follow-on mission at the core mission price.
Scenario: Conservative
Status: synthetic internal planning assumption; replace with observed data before external reliance.</x:t>
        </x:r>
      </x:text>
    </x:comment>
    <x:comment ref="E31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a related follow-on mission at the core mission price.
Scenario: Base
Status: synthetic internal planning assumption; replace with observed data before external reliance.</x:t>
        </x:r>
      </x:text>
    </x:comment>
    <x:comment ref="F31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a related follow-on mission at the core mission price.
Scenario: Upside
Status: synthetic internal planning assumption; replace with observed data before external reliance.</x:t>
        </x:r>
      </x:text>
    </x:comment>
    <x:comment ref="D32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enterprise-pilot price-test ranges.
Scenario: Conservative
Status: synthetic internal planning assumption; replace with observed data before external reliance.</x:t>
        </x:r>
      </x:text>
    </x:comment>
    <x:comment ref="E32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enterprise-pilot price-test ranges.
Scenario: Base
Status: synthetic internal planning assumption; replace with observed data before external reliance.</x:t>
        </x:r>
      </x:text>
    </x:comment>
    <x:comment ref="F32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enterprise-pilot price-test ranges.
Scenario: Upside
Status: synthetic internal planning assumption; replace with observed data before external reliance.</x:t>
        </x:r>
      </x:text>
    </x:comment>
    <x:comment ref="D33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annual contract price-test ranges.
Scenario: Conservative
Status: synthetic internal planning assumption; replace with observed data before external reliance.</x:t>
        </x:r>
      </x:text>
    </x:comment>
    <x:comment ref="E33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annual contract price-test ranges.
Scenario: Base
Status: synthetic internal planning assumption; replace with observed data before external reliance.</x:t>
        </x:r>
      </x:text>
    </x:comment>
    <x:comment ref="F33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Within GoalOS annual contract price-test ranges.
Scenario: Upside
Status: synthetic internal planning assumption; replace with observed data before external reliance.</x:t>
        </x:r>
      </x:text>
    </x:comment>
    <x:comment ref="D34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assumption.
Scenario: Conservative
Status: synthetic internal planning assumption; replace with observed data before external reliance.</x:t>
        </x:r>
      </x:text>
    </x:comment>
    <x:comment ref="E34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assumption.
Scenario: Base
Status: synthetic internal planning assumption; replace with observed data before external reliance.</x:t>
        </x:r>
      </x:text>
    </x:comment>
    <x:comment ref="F34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assumption.
Scenario: Upside
Status: synthetic internal planning assumption; replace with observed data before external reliance.</x:t>
        </x:r>
      </x:text>
    </x:comment>
    <x:comment ref="D35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assumption; replace with observed retention.
Scenario: Conservative
Status: synthetic internal planning assumption; replace with observed data before external reliance.</x:t>
        </x:r>
      </x:text>
    </x:comment>
    <x:comment ref="E35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assumption; replace with observed retention.
Scenario: Base
Status: synthetic internal planning assumption; replace with observed data before external reliance.</x:t>
        </x:r>
      </x:text>
    </x:comment>
    <x:comment ref="F35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assumption; replace with observed retention.
Scenario: Upside
Status: synthetic internal planning assumption; replace with observed data before external reliance.</x:t>
        </x:r>
      </x:text>
    </x:comment>
    <x:comment ref="D37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Conservative
Status: synthetic internal planning assumption; replace with observed data before external reliance.</x:t>
        </x:r>
      </x:text>
    </x:comment>
    <x:comment ref="E37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Base
Status: synthetic internal planning assumption; replace with observed data before external reliance.</x:t>
        </x:r>
      </x:text>
    </x:comment>
    <x:comment ref="F37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Upside
Status: synthetic internal planning assumption; replace with observed data before external reliance.</x:t>
        </x:r>
      </x:text>
    </x:comment>
    <x:comment ref="D38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Conservative
Status: synthetic internal planning assumption; replace with observed data before external reliance.</x:t>
        </x:r>
      </x:text>
    </x:comment>
    <x:comment ref="E38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Base
Status: synthetic internal planning assumption; replace with observed data before external reliance.</x:t>
        </x:r>
      </x:text>
    </x:comment>
    <x:comment ref="F38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Upside
Status: synthetic internal planning assumption; replace with observed data before external reliance.</x:t>
        </x:r>
      </x:text>
    </x:comment>
    <x:comment ref="D39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Conservative
Status: synthetic internal planning assumption; replace with observed data before external reliance.</x:t>
        </x:r>
      </x:text>
    </x:comment>
    <x:comment ref="E39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Base
Status: synthetic internal planning assumption; replace with observed data before external reliance.</x:t>
        </x:r>
      </x:text>
    </x:comment>
    <x:comment ref="F39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Upside
Status: synthetic internal planning assumption; replace with observed data before external reliance.</x:t>
        </x:r>
      </x:text>
    </x:comment>
    <x:comment ref="D40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validated capability reduces repeat-mission effort.
Scenario: Conservative
Status: synthetic internal planning assumption; replace with observed data before external reliance.</x:t>
        </x:r>
      </x:text>
    </x:comment>
    <x:comment ref="E40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validated capability reduces repeat-mission effort.
Scenario: Base
Status: synthetic internal planning assumption; replace with observed data before external reliance.</x:t>
        </x:r>
      </x:text>
    </x:comment>
    <x:comment ref="F40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Assumes validated capability reduces repeat-mission effort.
Scenario: Upside
Status: synthetic internal planning assumption; replace with observed data before external reliance.</x:t>
        </x:r>
      </x:text>
    </x:comment>
    <x:comment ref="D41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Conservative
Status: synthetic internal planning assumption; replace with observed data before external reliance.</x:t>
        </x:r>
      </x:text>
    </x:comment>
    <x:comment ref="E41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Base
Status: synthetic internal planning assumption; replace with observed data before external reliance.</x:t>
        </x:r>
      </x:text>
    </x:comment>
    <x:comment ref="F41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delivery estimate.
Scenario: Upside
Status: synthetic internal planning assumption; replace with observed data before external reliance.</x:t>
        </x:r>
      </x:text>
    </x:comment>
    <x:comment ref="D42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customer-success and proof-operations estimate.
Scenario: Conservative
Status: synthetic internal planning assumption; replace with observed data before external reliance.</x:t>
        </x:r>
      </x:text>
    </x:comment>
    <x:comment ref="E42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customer-success and proof-operations estimate.
Scenario: Base
Status: synthetic internal planning assumption; replace with observed data before external reliance.</x:t>
        </x:r>
      </x:text>
    </x:comment>
    <x:comment ref="F42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customer-success and proof-operations estimate.
Scenario: Upside
Status: synthetic internal planning assumption; replace with observed data before external reliance.</x:t>
        </x:r>
      </x:text>
    </x:comment>
    <x:comment ref="D43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Loaded capacity after non-delivery time.
Scenario: Conservative
Status: synthetic internal planning assumption; replace with observed data before external reliance.</x:t>
        </x:r>
      </x:text>
    </x:comment>
    <x:comment ref="E43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Loaded capacity after non-delivery time.
Scenario: Base
Status: synthetic internal planning assumption; replace with observed data before external reliance.</x:t>
        </x:r>
      </x:text>
    </x:comment>
    <x:comment ref="F43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Loaded capacity after non-delivery time.
Scenario: Upside
Status: synthetic internal planning assumption; replace with observed data before external reliance.</x:t>
        </x:r>
      </x:text>
    </x:comment>
    <x:comment ref="D44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44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44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45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Salary, benefits, payroll burden, and employer costs.
Scenario: Conservative
Status: synthetic internal planning assumption; replace with observed data before external reliance.</x:t>
        </x:r>
      </x:text>
    </x:comment>
    <x:comment ref="E45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Salary, benefits, payroll burden, and employer costs.
Scenario: Base
Status: synthetic internal planning assumption; replace with observed data before external reliance.</x:t>
        </x:r>
      </x:text>
    </x:comment>
    <x:comment ref="F45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Salary, benefits, payroll burden, and employer costs.
Scenario: Upside
Status: synthetic internal planning assumption; replace with observed data before external reliance.</x:t>
        </x:r>
      </x:text>
    </x:comment>
    <x:comment ref="D46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Chronicle-assisted improvement assumption.
Scenario: Conservative
Status: synthetic internal planning assumption; replace with observed data before external reliance.</x:t>
        </x:r>
      </x:text>
    </x:comment>
    <x:comment ref="E46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Chronicle-assisted improvement assumption.
Scenario: Base
Status: synthetic internal planning assumption; replace with observed data before external reliance.</x:t>
        </x:r>
      </x:text>
    </x:comment>
    <x:comment ref="F46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Chronicle-assisted improvement assumption.
Scenario: Upside
Status: synthetic internal planning assumption; replace with observed data before external reliance.</x:t>
        </x:r>
      </x:text>
    </x:comment>
    <x:comment ref="D47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Caps automation and reuse efficiency.
Scenario: Conservative
Status: synthetic internal planning assumption; replace with observed data before external reliance.</x:t>
        </x:r>
      </x:text>
    </x:comment>
    <x:comment ref="E47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Caps automation and reuse efficiency.
Scenario: Base
Status: synthetic internal planning assumption; replace with observed data before external reliance.</x:t>
        </x:r>
      </x:text>
    </x:comment>
    <x:comment ref="F47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Caps automation and reuse efficiency.
Scenario: Upside
Status: synthetic internal planning assumption; replace with observed data before external reliance.</x:t>
        </x:r>
      </x:text>
    </x:comment>
    <x:comment ref="D48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Conservative
Status: synthetic internal planning assumption; replace with observed data before external reliance.</x:t>
        </x:r>
      </x:text>
    </x:comment>
    <x:comment ref="E48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Base
Status: synthetic internal planning assumption; replace with observed data before external reliance.</x:t>
        </x:r>
      </x:text>
    </x:comment>
    <x:comment ref="F48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Upside
Status: synthetic internal planning assumption; replace with observed data before external reliance.</x:t>
        </x:r>
      </x:text>
    </x:comment>
    <x:comment ref="D49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Conservative
Status: synthetic internal planning assumption; replace with observed data before external reliance.</x:t>
        </x:r>
      </x:text>
    </x:comment>
    <x:comment ref="E49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Base
Status: synthetic internal planning assumption; replace with observed data before external reliance.</x:t>
        </x:r>
      </x:text>
    </x:comment>
    <x:comment ref="F49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Upside
Status: synthetic internal planning assumption; replace with observed data before external reliance.</x:t>
        </x:r>
      </x:text>
    </x:comment>
    <x:comment ref="D50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Conservative
Status: synthetic internal planning assumption; replace with observed data before external reliance.</x:t>
        </x:r>
      </x:text>
    </x:comment>
    <x:comment ref="E50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Base
Status: synthetic internal planning assumption; replace with observed data before external reliance.</x:t>
        </x:r>
      </x:text>
    </x:comment>
    <x:comment ref="F50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Upside
Status: synthetic internal planning assumption; replace with observed data before external reliance.</x:t>
        </x:r>
      </x:text>
    </x:comment>
    <x:comment ref="D51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Conservative
Status: synthetic internal planning assumption; replace with observed data before external reliance.</x:t>
        </x:r>
      </x:text>
    </x:comment>
    <x:comment ref="E51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Base
Status: synthetic internal planning assumption; replace with observed data before external reliance.</x:t>
        </x:r>
      </x:text>
    </x:comment>
    <x:comment ref="F51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Upside
Status: synthetic internal planning assumption; replace with observed data before external reliance.</x:t>
        </x:r>
      </x:text>
    </x:comment>
    <x:comment ref="D52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Conservative
Status: synthetic internal planning assumption; replace with observed data before external reliance.</x:t>
        </x:r>
      </x:text>
    </x:comment>
    <x:comment ref="E52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Base
Status: synthetic internal planning assumption; replace with observed data before external reliance.</x:t>
        </x:r>
      </x:text>
    </x:comment>
    <x:comment ref="F52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Upside
Status: synthetic internal planning assumption; replace with observed data before external reliance.</x:t>
        </x:r>
      </x:text>
    </x:comment>
    <x:comment ref="D53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Conservative
Status: synthetic internal planning assumption; replace with observed data before external reliance.</x:t>
        </x:r>
      </x:text>
    </x:comment>
    <x:comment ref="E53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Base
Status: synthetic internal planning assumption; replace with observed data before external reliance.</x:t>
        </x:r>
      </x:text>
    </x:comment>
    <x:comment ref="F53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model, tooling, and review-cost estimate.
Scenario: Upside
Status: synthetic internal planning assumption; replace with observed data before external reliance.</x:t>
        </x:r>
      </x:text>
    </x:comment>
    <x:comment ref="D55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55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55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56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56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56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57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57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57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58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58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58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59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productivity assumption.
Scenario: Conservative
Status: synthetic internal planning assumption; replace with observed data before external reliance.</x:t>
        </x:r>
      </x:text>
    </x:comment>
    <x:comment ref="E59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productivity assumption.
Scenario: Base
Status: synthetic internal planning assumption; replace with observed data before external reliance.</x:t>
        </x:r>
      </x:text>
    </x:comment>
    <x:comment ref="F59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Internal productivity assumption.
Scenario: Upside
Status: synthetic internal planning assumption; replace with observed data before external reliance.</x:t>
        </x:r>
      </x:text>
    </x:comment>
    <x:comment ref="D60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60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60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61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61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61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62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62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62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63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Conservative
Status: synthetic internal planning assumption; replace with observed data before external reliance.</x:t>
        </x:r>
      </x:text>
    </x:comment>
    <x:comment ref="E63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Base
Status: synthetic internal planning assumption; replace with observed data before external reliance.</x:t>
        </x:r>
      </x:text>
    </x:comment>
    <x:comment ref="F63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staffing assumption.
Scenario: Upside
Status: synthetic internal planning assumption; replace with observed data before external reliance.</x:t>
        </x:r>
      </x:text>
    </x:comment>
    <x:comment ref="D64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investment assumption.
Scenario: Conservative
Status: synthetic internal planning assumption; replace with observed data before external reliance.</x:t>
        </x:r>
      </x:text>
    </x:comment>
    <x:comment ref="E64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investment assumption.
Scenario: Base
Status: synthetic internal planning assumption; replace with observed data before external reliance.</x:t>
        </x:r>
      </x:text>
    </x:comment>
    <x:comment ref="F64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investment assumption.
Scenario: Upside
Status: synthetic internal planning assumption; replace with observed data before external reliance.</x:t>
        </x:r>
      </x:text>
    </x:comment>
    <x:comment ref="D65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investment assumption.
Scenario: Conservative
Status: synthetic internal planning assumption; replace with observed data before external reliance.</x:t>
        </x:r>
      </x:text>
    </x:comment>
    <x:comment ref="E65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investment assumption.
Scenario: Base
Status: synthetic internal planning assumption; replace with observed data before external reliance.</x:t>
        </x:r>
      </x:text>
    </x:comment>
    <x:comment ref="F65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investment assumption.
Scenario: Upside
Status: synthetic internal planning assumption; replace with observed data before external reliance.</x:t>
        </x:r>
      </x:text>
    </x:comment>
    <x:comment ref="D66" authorId="1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Cloud, models, tools, evaluation, data, and infrastructure.
Scenario: Conservative
Status: synthetic internal planning assumption; replace with observed data before external reliance.</x:t>
        </x:r>
      </x:text>
    </x:comment>
    <x:comment ref="E66" authorId="1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Cloud, models, tools, evaluation, data, and infrastructure.
Scenario: Base
Status: synthetic internal planning assumption; replace with observed data before external reliance.</x:t>
        </x:r>
      </x:text>
    </x:comment>
    <x:comment ref="F66" authorId="1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Cloud, models, tools, evaluation, data, and infrastructure.
Scenario: Upside
Status: synthetic internal planning assumption; replace with observed data before external reliance.</x:t>
        </x:r>
      </x:text>
    </x:comment>
    <x:comment ref="D67" authorId="1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Legal, accounting, insurance, office, and administrative costs.
Scenario: Conservative
Status: synthetic internal planning assumption; replace with observed data before external reliance.</x:t>
        </x:r>
      </x:text>
    </x:comment>
    <x:comment ref="E67" authorId="1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Legal, accounting, insurance, office, and administrative costs.
Scenario: Base
Status: synthetic internal planning assumption; replace with observed data before external reliance.</x:t>
        </x:r>
      </x:text>
    </x:comment>
    <x:comment ref="F67" authorId="1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Legal, accounting, insurance, office, and administrative costs.
Scenario: Upside
Status: synthetic internal planning assumption; replace with observed data before external reliance.</x:t>
        </x:r>
      </x:text>
    </x:comment>
    <x:comment ref="D68" authorId="1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assumption.
Scenario: Conservative
Status: synthetic internal planning assumption; replace with observed data before external reliance.</x:t>
        </x:r>
      </x:text>
    </x:comment>
    <x:comment ref="E68" authorId="1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assumption.
Scenario: Base
Status: synthetic internal planning assumption; replace with observed data before external reliance.</x:t>
        </x:r>
      </x:text>
    </x:comment>
    <x:comment ref="F68" authorId="1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planning assumption.
Scenario: Upside
Status: synthetic internal planning assumption; replace with observed data before external reliance.</x:t>
        </x:r>
      </x:text>
    </x:comment>
    <x:comment ref="D69" authorId="1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Simplified capital-investment assumption.
Scenario: Conservative
Status: synthetic internal planning assumption; replace with observed data before external reliance.</x:t>
        </x:r>
      </x:text>
    </x:comment>
    <x:comment ref="E69" authorId="1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Simplified capital-investment assumption.
Scenario: Base
Status: synthetic internal planning assumption; replace with observed data before external reliance.</x:t>
        </x:r>
      </x:text>
    </x:comment>
    <x:comment ref="F69" authorId="1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Simplified capital-investment assumption.
Scenario: Upside
Status: synthetic internal planning assumption; replace with observed data before external reliance.</x:t>
        </x:r>
      </x:text>
    </x:comment>
  </x:commentList>
</x:comments>
</file>

<file path=xl/comments2.xml><?xml version="1.0" encoding="utf-8"?>
<x:comments xmlns:x="http://schemas.openxmlformats.org/spreadsheetml/2006/main">
  <x:authors>
    <x:author>tc={6528C336-DA71-3386-A3FE-2B4DDF08C97E}</x:author>
    <x:author>tc={3401AB08-B810-493C-B586-2FAA93AA637C}</x:author>
  </x:authors>
  <x:commentList>
    <x:comment ref="B2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illustrative management assumption; replace with actual financing terms.</x:t>
        </x:r>
      </x:text>
    </x:comment>
    <x:comment ref="B2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illustrative management assumption; replace with actual financing terms.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 d, yyyy"/>
    <x:numFmt numFmtId="201" formatCode="$#,##0;[Red]($#,##0);-"/>
    <x:numFmt numFmtId="202" formatCode="#,##0.0;[Red](#,##0.0);-"/>
    <x:numFmt numFmtId="203" formatCode="0.00%;[Red](0.00%);-"/>
    <x:numFmt numFmtId="204" formatCode="mmm-yy"/>
    <x:numFmt numFmtId="205" formatCode="0.0%;[Red](0.0%);-"/>
    <x:numFmt numFmtId="206" formatCode="@"/>
    <x:numFmt numFmtId="207" formatCode="0.0x"/>
  </x:numFmts>
  <x:fonts count="19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5D98F"/>
      <x:name val="Carlito"/>
    </x:font>
    <x:font>
      <x:i/>
      <x:sz val="11"/>
      <x:color rgb="FF0B213B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b/>
      <x:sz val="11"/>
      <x:color rgb="FF008000"/>
      <x:name val="Carlito"/>
    </x:font>
    <x:font>
      <x:b/>
      <x:sz val="20"/>
      <x:color rgb="FFF5D98F"/>
      <x:name val="Carlito"/>
    </x:font>
    <x:font>
      <x:b/>
      <x:sz val="11"/>
      <x:color rgb="FF0B213B"/>
      <x:name val="Carlito"/>
    </x:font>
    <x:font>
      <x:sz val="11"/>
      <x:color rgb="FF008000"/>
      <x:name val="Carlito"/>
    </x:font>
    <x:font>
      <x:i/>
      <x:sz val="11"/>
      <x:color rgb="FF6B7280"/>
      <x:name val="Carlito"/>
    </x:font>
    <x:font>
      <x:b/>
      <x:sz val="18"/>
      <x:color rgb="FF0B213B"/>
      <x:name val="Carlito"/>
    </x:font>
    <x:font>
      <x:sz val="12"/>
      <x:color rgb="FF0B213B"/>
      <x:name val="Carlito"/>
    </x:font>
    <x:font>
      <x:sz val="11"/>
      <x:color rgb="FF000000"/>
      <x:name val="Carlito"/>
    </x:font>
    <x:font>
      <x:i/>
      <x:sz val="11"/>
      <x:color rgb="FFC00000"/>
      <x:name val="Carlito"/>
    </x:font>
    <x:font>
      <x:sz val="11"/>
      <x:color rgb="FF0B213B"/>
      <x:name val="Carlito"/>
    </x:font>
    <x:font>
      <x:sz val="11"/>
      <x:name val="Carlito"/>
    </x:font>
    <x:font>
      <x:b/>
      <x:sz val="18"/>
      <x:color rgb="FF008000"/>
      <x:name val="Carlito"/>
    </x:font>
    <x:font>
      <x:b/>
      <x:sz val="18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213B"/>
      </x:patternFill>
    </x:fill>
    <x:fill>
      <x:patternFill patternType="solid">
        <x:fgColor rgb="FF071426"/>
      </x:patternFill>
    </x:fill>
    <x:fill>
      <x:patternFill patternType="solid">
        <x:fgColor rgb="FFFFF8EA"/>
      </x:patternFill>
    </x:fill>
    <x:fill>
      <x:patternFill patternType="solid">
        <x:fgColor rgb="FF163D63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4B5563"/>
      </x:patternFill>
    </x:fill>
    <x:fill>
      <x:patternFill patternType="solid">
        <x:fgColor rgb="FFFFFDF8"/>
      </x:patternFill>
    </x:fill>
    <x:fill>
      <x:patternFill patternType="solid">
        <x:fgColor rgb="FFEAF2FB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1" xfId="0" applyNumberFormat="1" applyFont="1" applyFill="1" applyBorder="1"/>
    <x:xf numFmtId="0" fontId="6" fillId="0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6" fillId="6" borderId="0" xfId="0" applyNumberFormat="1" applyFont="1" applyFill="1" applyBorder="1"/>
    <x:xf numFmtId="200" fontId="5" fillId="0" borderId="1" xfId="0" applyNumberFormat="1" applyFont="1" applyFill="1" applyBorder="1"/>
    <x:xf numFmtId="200" fontId="6" fillId="6" borderId="1" xfId="0" applyNumberFormat="1" applyFont="1" applyFill="1" applyBorder="1"/>
    <x:xf numFmtId="201" fontId="5" fillId="0" borderId="0" xfId="0" applyNumberFormat="1" applyFont="1" applyFill="1" applyBorder="1"/>
    <x:xf numFmtId="201" fontId="6" fillId="6" borderId="0" xfId="0" applyNumberFormat="1" applyFont="1" applyFill="1" applyBorder="1"/>
    <x:xf numFmtId="201" fontId="5" fillId="0" borderId="1" xfId="0" applyNumberFormat="1" applyFont="1" applyFill="1" applyBorder="1"/>
    <x:xf numFmtId="201" fontId="6" fillId="6" borderId="1" xfId="0" applyNumberFormat="1" applyFont="1" applyFill="1" applyBorder="1"/>
    <x:xf numFmtId="202" fontId="5" fillId="0" borderId="0" xfId="0" applyNumberFormat="1" applyFont="1" applyFill="1" applyBorder="1"/>
    <x:xf numFmtId="202" fontId="6" fillId="6" borderId="0" xfId="0" applyNumberFormat="1" applyFont="1" applyFill="1" applyBorder="1"/>
    <x:xf numFmtId="202" fontId="5" fillId="0" borderId="1" xfId="0" applyNumberFormat="1" applyFont="1" applyFill="1" applyBorder="1"/>
    <x:xf numFmtId="202" fontId="6" fillId="6" borderId="1" xfId="0" applyNumberFormat="1" applyFont="1" applyFill="1" applyBorder="1"/>
    <x:xf numFmtId="203" fontId="5" fillId="0" borderId="0" xfId="0" applyNumberFormat="1" applyFont="1" applyFill="1" applyBorder="1"/>
    <x:xf numFmtId="203" fontId="6" fillId="6" borderId="0" xfId="0" applyNumberFormat="1" applyFont="1" applyFill="1" applyBorder="1"/>
    <x:xf numFmtId="203" fontId="5" fillId="0" borderId="1" xfId="0" applyNumberFormat="1" applyFont="1" applyFill="1" applyBorder="1"/>
    <x:xf numFmtId="203" fontId="6" fillId="6" borderId="1" xfId="0" applyNumberFormat="1" applyFont="1" applyFill="1" applyBorder="1"/>
    <x:xf numFmtId="204" fontId="1" fillId="5" borderId="0" xfId="0" applyNumberFormat="1" applyFont="1" applyFill="1" applyBorder="1" applyAlignment="1">
      <x:alignment horizontal="center" vertical="center"/>
    </x:xf>
    <x:xf numFmtId="204" fontId="1" fillId="5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1" xfId="0" applyNumberFormat="1" applyFont="1" applyFill="1" applyBorder="1"/>
    <x:xf numFmtId="0" fontId="0" fillId="7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11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1" fillId="9" borderId="1" xfId="0" applyNumberFormat="1" applyFont="1" applyFill="1" applyBorder="1"/>
    <x:xf numFmtId="0" fontId="11" fillId="9" borderId="1" xfId="0" applyNumberFormat="1" applyFont="1" applyFill="1" applyBorder="1" applyAlignment="1">
      <x:alignment horizontal="center"/>
    </x:xf>
    <x:xf numFmtId="0" fontId="11" fillId="9" borderId="1" xfId="0" applyNumberFormat="1" applyFont="1" applyFill="1" applyBorder="1" applyAlignment="1">
      <x:alignment horizontal="center" vertical="center"/>
    </x:xf>
    <x:xf numFmtId="201" fontId="11" fillId="9" borderId="0" xfId="0" applyNumberFormat="1" applyFont="1" applyFill="1" applyBorder="1" applyAlignment="1">
      <x:alignment horizontal="center" vertical="center"/>
    </x:xf>
    <x:xf numFmtId="201" fontId="11" fillId="9" borderId="1" xfId="0" applyNumberFormat="1" applyFont="1" applyFill="1" applyBorder="1" applyAlignment="1">
      <x:alignment horizontal="center" vertical="center"/>
    </x:xf>
    <x:xf numFmtId="205" fontId="11" fillId="9" borderId="0" xfId="0" applyNumberFormat="1" applyFont="1" applyFill="1" applyBorder="1" applyAlignment="1">
      <x:alignment horizontal="center" vertical="center"/>
    </x:xf>
    <x:xf numFmtId="205" fontId="11" fillId="9" borderId="1" xfId="0" applyNumberFormat="1" applyFont="1" applyFill="1" applyBorder="1" applyAlignment="1">
      <x:alignment horizontal="center" vertical="center"/>
    </x:xf>
    <x:xf numFmtId="206" fontId="11" fillId="9" borderId="0" xfId="0" applyNumberFormat="1" applyFont="1" applyFill="1" applyBorder="1" applyAlignment="1">
      <x:alignment horizontal="center" vertical="center"/>
    </x:xf>
    <x:xf numFmtId="206" fontId="11" fillId="9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12" fillId="1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5" fontId="5" fillId="6" borderId="0" xfId="0" applyNumberFormat="1" applyFont="1" applyFill="1" applyBorder="1"/>
    <x:xf numFmtId="205" fontId="5" fillId="6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5" fontId="9" fillId="0" borderId="0" xfId="0" applyNumberFormat="1" applyFont="1" applyFill="1" applyBorder="1"/>
    <x:xf numFmtId="201" fontId="9" fillId="0" borderId="1" xfId="0" applyNumberFormat="1" applyFont="1" applyFill="1" applyBorder="1"/>
    <x:xf numFmtId="202" fontId="9" fillId="0" borderId="1" xfId="0" applyNumberFormat="1" applyFont="1" applyFill="1" applyBorder="1"/>
    <x:xf numFmtId="205" fontId="9" fillId="0" borderId="1" xfId="0" applyNumberFormat="1" applyFont="1" applyFill="1" applyBorder="1"/>
    <x:xf numFmtId="201" fontId="13" fillId="0" borderId="0" xfId="0" applyNumberFormat="1" applyFont="1" applyFill="1" applyBorder="1"/>
    <x:xf numFmtId="205" fontId="13" fillId="0" borderId="0" xfId="0" applyNumberFormat="1" applyFont="1" applyFill="1" applyBorder="1"/>
    <x:xf numFmtId="201" fontId="13" fillId="0" borderId="1" xfId="0" applyNumberFormat="1" applyFont="1" applyFill="1" applyBorder="1"/>
    <x:xf numFmtId="205" fontId="13" fillId="0" borderId="1" xfId="0" applyNumberFormat="1" applyFont="1" applyFill="1" applyBorder="1"/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14" fillId="11" borderId="1" xfId="0" applyNumberFormat="1" applyFont="1" applyFill="1" applyBorder="1"/>
    <x:xf numFmtId="0" fontId="14" fillId="11" borderId="1" xfId="0" applyNumberFormat="1" applyFont="1" applyFill="1" applyBorder="1" applyAlignment="1">
      <x:alignment wrapText="1"/>
    </x:xf>
    <x:xf numFmtId="201" fontId="5" fillId="6" borderId="0" xfId="0" applyNumberFormat="1" applyFont="1" applyFill="1" applyBorder="1"/>
    <x:xf numFmtId="201" fontId="5" fillId="6" borderId="1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vertical="center" wrapText="1"/>
    </x:xf>
    <x:xf numFmtId="0" fontId="15" fillId="9" borderId="1" xfId="0" applyNumberFormat="1" applyFont="1" applyFill="1" applyBorder="1"/>
    <x:xf numFmtId="0" fontId="15" fillId="9" borderId="1" xfId="0" applyNumberFormat="1" applyFont="1" applyFill="1" applyBorder="1" applyAlignment="1">
      <x:alignment wrapText="1"/>
    </x:xf>
    <x:xf numFmtId="0" fontId="15" fillId="9" borderId="1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5" fillId="6" borderId="0" xfId="0" applyNumberFormat="1" applyFont="1" applyFill="1" applyBorder="1"/>
    <x:xf numFmtId="202" fontId="5" fillId="6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7" fillId="9" borderId="0" xfId="0" applyNumberFormat="1" applyFont="1" applyFill="1" applyBorder="1" applyAlignment="1">
      <x:alignment horizontal="center" vertical="center"/>
    </x:xf>
    <x:xf numFmtId="201" fontId="17" fillId="9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/>
    <x:xf numFmtId="0" fontId="17" fillId="5" borderId="0" xfId="0" applyNumberFormat="1" applyFont="1" applyFill="1" applyBorder="1" applyAlignment="1">
      <x:alignment horizontal="center"/>
    </x:xf>
    <x:xf numFmtId="206" fontId="17" fillId="9" borderId="0" xfId="0" applyNumberFormat="1" applyFont="1" applyFill="1" applyBorder="1" applyAlignment="1">
      <x:alignment horizontal="center" vertical="center"/>
    </x:xf>
    <x:xf numFmtId="0" fontId="17" fillId="9" borderId="1" xfId="0" applyNumberFormat="1" applyFont="1" applyFill="1" applyBorder="1" applyAlignment="1">
      <x:alignment horizontal="center" vertical="center"/>
    </x:xf>
    <x:xf numFmtId="201" fontId="17" fillId="9" borderId="1" xfId="0" applyNumberFormat="1" applyFont="1" applyFill="1" applyBorder="1" applyAlignment="1">
      <x:alignment horizontal="center" vertical="center"/>
    </x:xf>
    <x:xf numFmtId="0" fontId="17" fillId="0" borderId="1" xfId="0" applyNumberFormat="1" applyFont="1" applyFill="1" applyBorder="1"/>
    <x:xf numFmtId="0" fontId="17" fillId="5" borderId="1" xfId="0" applyNumberFormat="1" applyFont="1" applyFill="1" applyBorder="1" applyAlignment="1">
      <x:alignment horizontal="center"/>
    </x:xf>
    <x:xf numFmtId="206" fontId="17" fillId="9" borderId="1" xfId="0" applyNumberFormat="1" applyFont="1" applyFill="1" applyBorder="1" applyAlignment="1">
      <x:alignment horizontal="center" vertical="center"/>
    </x:xf>
    <x:xf numFmtId="207" fontId="5" fillId="0" borderId="0" xfId="0" applyNumberFormat="1" applyFont="1" applyFill="1" applyBorder="1"/>
    <x:xf numFmtId="207" fontId="5" fillId="0" borderId="1" xfId="0" applyNumberFormat="1" applyFont="1" applyFill="1" applyBorder="1"/>
    <x:xf numFmtId="0" fontId="18" fillId="5" borderId="0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FFC00000"/>
      </x:font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C00000"/>
      </x:font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39dba1a70406a" /><Relationship Type="http://schemas.openxmlformats.org/officeDocument/2006/relationships/theme" Target="/xl/theme/theme1.xml" Id="Ra57da64668fa4d6b" /><Relationship Type="http://schemas.openxmlformats.org/officeDocument/2006/relationships/sharedStrings" Target="/xl/sharedStrings.xml" Id="R882319e437b946e7" /><Relationship Type="http://schemas.openxmlformats.org/officeDocument/2006/relationships/worksheet" Target="/xl/worksheets/sheet1.xml" Id="R5b687bec797548a8" /><Relationship Type="http://schemas.openxmlformats.org/officeDocument/2006/relationships/worksheet" Target="/xl/worksheets/sheet2.xml" Id="R47194b62fb9c40b0" /><Relationship Type="http://schemas.openxmlformats.org/officeDocument/2006/relationships/worksheet" Target="/xl/worksheets/sheet3.xml" Id="R6ff6a1c55b1e4b63" /><Relationship Type="http://schemas.openxmlformats.org/officeDocument/2006/relationships/worksheet" Target="/xl/worksheets/sheet4.xml" Id="R0fea3e06847d4bee" /><Relationship Type="http://schemas.openxmlformats.org/officeDocument/2006/relationships/worksheet" Target="/xl/worksheets/sheet5.xml" Id="Ree4763334c584af6" /><Relationship Type="http://schemas.openxmlformats.org/officeDocument/2006/relationships/worksheet" Target="/xl/worksheets/sheet6.xml" Id="R6f8a6c69956543e1" /><Relationship Type="http://schemas.openxmlformats.org/officeDocument/2006/relationships/worksheet" Target="/xl/worksheets/sheet7.xml" Id="Rc4688d6f99e940ce" /><Relationship Type="http://schemas.openxmlformats.org/officeDocument/2006/relationships/worksheet" Target="/xl/worksheets/sheet8.xml" Id="R319c0e0e90664467" /><Relationship Type="http://schemas.openxmlformats.org/officeDocument/2006/relationships/worksheet" Target="/xl/worksheets/sheet9.xml" Id="Rf01384392f3f401b" /><Relationship Type="http://schemas.openxmlformats.org/officeDocument/2006/relationships/worksheet" Target="/xl/worksheets/sheet10.xml" Id="Rfb1bd6fe09fb4991" /><Relationship Type="http://schemas.microsoft.com/office/2017/10/relationships/person" Target="/xl/persons/person.xml" Id="R8075c0b948e349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a0ca6816964440" /><Relationship Type="http://schemas.openxmlformats.org/officeDocument/2006/relationships/chart" Target="/xl/drawings/charts/chart2.xml" Id="R2f245a4ae85b4b0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d33e9b78c1749a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b69c8e5b43d47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Trajectory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'Dashboard'!$B$29:$B$33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'Dashboard'!$C$29:$C$33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EBITDA &amp; ARR Scale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'Dashboard'!$B$29:$B$33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'Dashboard'!$C$29:$C$33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Ending ARR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'Dashboard'!$D$29:$D$33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Scenarios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Y1 Revenue</c:v>
          </c:tx>
          <c:cat>
            <c:strRef>
              <c:f>'Scenario Comparison'!$A$5:$A$7</c:f>
              <c:strCache>
                <c:ptCount val="0"/>
              </c:strCache>
            </c:strRef>
          </c:cat>
          <c:val>
            <c:numRef>
              <c:f>'Scenario Comparison'!$B$5:$B$7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Y3 Revenue</c:v>
          </c:tx>
          <c:cat>
            <c:strRef>
              <c:f>'Scenario Comparison'!$A$5:$A$7</c:f>
              <c:strCache>
                <c:ptCount val="0"/>
              </c:strCache>
            </c:strRef>
          </c:cat>
          <c:val>
            <c:numRef>
              <c:f>'Scenario Comparison'!$C$5:$C$7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Y5 Revenue</c:v>
          </c:tx>
          <c:cat>
            <c:strRef>
              <c:f>'Scenario Comparison'!$A$5:$A$7</c:f>
              <c:strCache>
                <c:ptCount val="0"/>
              </c:strCache>
            </c:strRef>
          </c:cat>
          <c:val>
            <c:numRef>
              <c:f>'Scenario Comparison'!$D$5:$D$7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Year-End Headcount by Function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Unit</c:v>
          </c:tx>
          <c:cat>
            <c:strRef>
              <c:f>'Hiring Plan'!$A$5:$A$10</c:f>
              <c:strCache>
                <c:ptCount val="0"/>
              </c:strCache>
            </c:strRef>
          </c:cat>
          <c:val>
            <c:numRef>
              <c:f>'Hiring Plan'!$B$5:$B$10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Year 1</c:v>
          </c:tx>
          <c:cat>
            <c:strRef>
              <c:f>'Hiring Plan'!$A$5:$A$10</c:f>
              <c:strCache>
                <c:ptCount val="0"/>
              </c:strCache>
            </c:strRef>
          </c:cat>
          <c:val>
            <c:numRef>
              <c:f>'Hiring Plan'!$C$5:$C$10</c:f>
              <c:numCache>
                <c:formatCode>#,##0.0;[Red](#,##0.0);-</c:formatCode>
                <c:ptCount val="0"/>
              </c:numCache>
            </c:numRef>
          </c:val>
        </c:ser>
        <c:ser>
          <c:idx val="2"/>
          <c:order val="2"/>
          <c:tx>
            <c:v>Year 2</c:v>
          </c:tx>
          <c:cat>
            <c:strRef>
              <c:f>'Hiring Plan'!$A$5:$A$10</c:f>
              <c:strCache>
                <c:ptCount val="0"/>
              </c:strCache>
            </c:strRef>
          </c:cat>
          <c:val>
            <c:numRef>
              <c:f>'Hiring Plan'!$D$5:$D$10</c:f>
              <c:numCache>
                <c:formatCode>#,##0.0;[Red](#,##0.0);-</c:formatCode>
                <c:ptCount val="0"/>
              </c:numCache>
            </c:numRef>
          </c:val>
        </c:ser>
        <c:ser>
          <c:idx val="3"/>
          <c:order val="3"/>
          <c:tx>
            <c:v>Year 3</c:v>
          </c:tx>
          <c:cat>
            <c:strRef>
              <c:f>'Hiring Plan'!$A$5:$A$10</c:f>
              <c:strCache>
                <c:ptCount val="0"/>
              </c:strCache>
            </c:strRef>
          </c:cat>
          <c:val>
            <c:numRef>
              <c:f>'Hiring Plan'!$E$5:$E$10</c:f>
              <c:numCache>
                <c:formatCode>#,##0.0;[Red](#,##0.0);-</c:formatCode>
                <c:ptCount val="0"/>
              </c:numCache>
            </c:numRef>
          </c:val>
        </c:ser>
        <c:ser>
          <c:idx val="4"/>
          <c:order val="4"/>
          <c:tx>
            <c:v>Year 4</c:v>
          </c:tx>
          <c:cat>
            <c:strRef>
              <c:f>'Hiring Plan'!$A$5:$A$10</c:f>
              <c:strCache>
                <c:ptCount val="0"/>
              </c:strCache>
            </c:strRef>
          </c:cat>
          <c:val>
            <c:numRef>
              <c:f>'Hiring Plan'!$F$5:$F$10</c:f>
              <c:numCache>
                <c:formatCode>#,##0.0;[Red](#,##0.0);-</c:formatCode>
                <c:ptCount val="0"/>
              </c:numCache>
            </c:numRef>
          </c:val>
        </c:ser>
        <c:ser>
          <c:idx val="5"/>
          <c:order val="5"/>
          <c:tx>
            <c:v>Year 5</c:v>
          </c:tx>
          <c:cat>
            <c:strRef>
              <c:f>'Hiring Plan'!$A$5:$A$10</c:f>
              <c:strCache>
                <c:ptCount val="0"/>
              </c:strCache>
            </c:strRef>
          </c:cat>
          <c:val>
            <c:numRef>
              <c:f>'Hiring Plan'!$G$5:$G$10</c:f>
              <c:numCache>
                <c:formatCode>#,##0.0;[Red](#,##0.0);-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a0ca6816964440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15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245a4ae85b4b0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33e9b78c1749a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69c8e5b43d479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MONTREAL.AI Financial Model" id="{28AFC74C-166E-48F8-A3A2-4A25B79C4CDF}"/>
  <xltc:person displayName="MONTREAL.AI Financial Model" id="{F4A337CF-45A4-4D1B-91AD-E047D2585F01}"/>
  <xltc:person displayName="MONTREAL.AI Financial Model" id="{BAE5361C-7744-4905-898E-2653AD57DD42}"/>
  <xltc:person displayName="MONTREAL.AI Financial Model" id="{0BFDAC76-FEB1-4BE1-A9B4-C5454DADBF21}"/>
  <xltc:person displayName="MONTREAL.AI Financial Model" id="{7928E42E-FE4B-4C27-8DC9-C2471D55A09B}"/>
  <xltc:person displayName="MONTREAL.AI Financial Model" id="{2CD7DFF7-8D31-4FD2-8B9D-4087DC9AF681}"/>
  <xltc:person displayName="MONTREAL.AI Financial Model" id="{6B16B15B-3AE4-45B1-9CCF-16D55E98DDA1}"/>
  <xltc:person displayName="MONTREAL.AI Financial Model" id="{E053806A-325F-4FE5-8807-B7585C388092}"/>
  <xltc:person displayName="MONTREAL.AI Financial Model" id="{D330BF06-78B4-4F63-AF6F-16303462AD4F}"/>
  <xltc:person displayName="MONTREAL.AI Financial Model" id="{C7D0A9FA-D15E-48EB-BA86-794CEAF77068}"/>
  <xltc:person displayName="MONTREAL.AI Financial Model" id="{5F0EBBBD-FF60-4CB0-9CAE-C8FD6E30D40E}"/>
  <xltc:person displayName="MONTREAL.AI Financial Model" id="{FE188837-D960-44B9-96C4-E437A82B28AE}"/>
  <xltc:person displayName="MONTREAL.AI Financial Model" id="{1313AC49-753A-4BFE-86E6-9A6FE3B57B63}"/>
  <xltc:person displayName="MONTREAL.AI Financial Model" id="{1F46A897-E60F-4577-AD9E-F99E1D1B34AC}"/>
  <xltc:person displayName="MONTREAL.AI Financial Model" id="{2740278D-D568-4BB1-888E-50883E7D7DCC}"/>
  <xltc:person displayName="MONTREAL.AI Financial Model" id="{4B07AEEB-B448-4F72-96FE-EF62DD4117FC}"/>
  <xltc:person displayName="MONTREAL.AI Financial Model" id="{02EC81FA-4C2F-4FDC-BF6B-F69F8C11FA35}"/>
  <xltc:person displayName="MONTREAL.AI Financial Model" id="{0726CF58-8C7A-45B6-8A68-E48BA4CE2466}"/>
  <xltc:person displayName="MONTREAL.AI Financial Model" id="{7DC3FC90-A0EF-42B9-B2DA-4A9174D47450}"/>
  <xltc:person displayName="MONTREAL.AI Financial Model" id="{723689DF-B7EC-486F-A44F-72417F82775F}"/>
  <xltc:person displayName="MONTREAL.AI Financial Model" id="{927EB74C-5B38-417A-A6F1-B36F848199D1}"/>
  <xltc:person displayName="MONTREAL.AI Financial Model" id="{583B46C7-BBC1-48F2-A01D-323D1C37FDB2}"/>
  <xltc:person displayName="MONTREAL.AI Financial Model" id="{40DA503D-DD00-43DB-B15A-66D28F3AD536}"/>
  <xltc:person displayName="MONTREAL.AI Financial Model" id="{81E87575-2141-47D7-BBDB-8E2F44D8D65F}"/>
  <xltc:person displayName="MONTREAL.AI Financial Model" id="{44F7080F-3E1E-4179-B16B-F3BA2119093C}"/>
  <xltc:person displayName="MONTREAL.AI Financial Model" id="{1F751004-E8C4-4791-B608-CD4E34719E1C}"/>
  <xltc:person displayName="MONTREAL.AI Financial Model" id="{7E86CDBA-D32F-48EF-A04F-8E65C6418BEE}"/>
  <xltc:person displayName="MONTREAL.AI Financial Model" id="{642CFCF8-F3C6-4FA1-9290-65FAA1262D09}"/>
  <xltc:person displayName="MONTREAL.AI Financial Model" id="{4DB03B72-9742-42F6-88AC-23F3A41328CC}"/>
  <xltc:person displayName="MONTREAL.AI Financial Model" id="{ADE53B1B-3376-4110-87AC-5C7BD0F334BB}"/>
  <xltc:person displayName="MONTREAL.AI Financial Model" id="{6278A492-631F-4A03-98AA-956DACB3B7E2}"/>
  <xltc:person displayName="MONTREAL.AI Financial Model" id="{B06A9F65-57EC-4A2E-B146-1D7DD2030DCD}"/>
  <xltc:person displayName="MONTREAL.AI Financial Model" id="{63444FC3-52AF-4D12-8E6B-A50FB58781D5}"/>
  <xltc:person displayName="MONTREAL.AI Financial Model" id="{9B9B53C8-B923-4EE7-B6B8-740E9449A7D0}"/>
  <xltc:person displayName="MONTREAL.AI Financial Model" id="{B6071E99-AEC1-47CD-B351-620E690DAA15}"/>
  <xltc:person displayName="MONTREAL.AI Financial Model" id="{F03E1FB0-2B69-42AA-A391-A5515A98770F}"/>
  <xltc:person displayName="MONTREAL.AI Financial Model" id="{E6A723CB-F725-472D-8C20-3CDCD090875C}"/>
  <xltc:person displayName="MONTREAL.AI Financial Model" id="{0DAEF296-B85A-4A97-AC8E-8845ADC56892}"/>
  <xltc:person displayName="MONTREAL.AI Financial Model" id="{29C7472D-8F30-4C99-998A-3E8579534823}"/>
  <xltc:person displayName="MONTREAL.AI Financial Model" id="{B1193593-8562-444F-82AB-716EE70F74C2}"/>
  <xltc:person displayName="MONTREAL.AI Financial Model" id="{4874E014-56CE-4BFB-BC9E-93DE5764A26B}"/>
  <xltc:person displayName="MONTREAL.AI Financial Model" id="{25AACC4B-28BD-443F-B54F-DD8E51BFD94A}"/>
  <xltc:person displayName="MONTREAL.AI Financial Model" id="{3C1C3436-DF85-49D6-95E3-03AA55AC4F0F}"/>
  <xltc:person displayName="MONTREAL.AI Financial Model" id="{488E42B9-C4BC-4D5B-8EA6-B3F09BE54C7A}"/>
  <xltc:person displayName="MONTREAL.AI Financial Model" id="{AD48AAA2-E481-416D-9F73-1DC902C20A3A}"/>
  <xltc:person displayName="MONTREAL.AI Financial Model" id="{7FCF6234-5674-4774-BFE0-21D6881BE41B}"/>
  <xltc:person displayName="MONTREAL.AI Financial Model" id="{1BA3D7DB-92C9-49AD-ABC0-F60B89C2AC0B}"/>
  <xltc:person displayName="MONTREAL.AI Financial Model" id="{B75728AA-305E-4333-9D6E-6650A1C2ACCE}"/>
  <xltc:person displayName="MONTREAL.AI Financial Model" id="{A939ED92-0EF1-415E-8920-32E8A5EBFA76}"/>
  <xltc:person displayName="MONTREAL.AI Financial Model" id="{1A72EE8A-05D6-49B4-866A-96E9C85DC27B}"/>
  <xltc:person displayName="MONTREAL.AI Financial Model" id="{A0423D27-78A8-4621-8F69-73844EC07AD0}"/>
  <xltc:person displayName="MONTREAL.AI Financial Model" id="{712AA907-8F71-469C-8958-E2C6B8B32DC2}"/>
  <xltc:person displayName="MONTREAL.AI Financial Model" id="{D23DF140-7E3C-42C7-8F55-65B031B72AF0}"/>
  <xltc:person displayName="MONTREAL.AI Financial Model" id="{6C9D53C2-BF1E-4335-B39E-63A64624DA7D}"/>
  <xltc:person displayName="MONTREAL.AI Financial Model" id="{8377E41E-80B2-4C31-92AE-C0A80DC2F0DE}"/>
  <xltc:person displayName="MONTREAL.AI Financial Model" id="{35B922C1-9577-4DE4-B0C9-0187B5C60629}"/>
  <xltc:person displayName="MONTREAL.AI Financial Model" id="{B5AE4633-B123-4AD6-BB41-10643CE93345}"/>
  <xltc:person displayName="MONTREAL.AI Financial Model" id="{B95CB3A1-F05B-41A9-A0BC-BA50D92D5891}"/>
  <xltc:person displayName="MONTREAL.AI Financial Model" id="{589783C5-4B43-439E-8935-FBFAF37E7353}"/>
  <xltc:person displayName="MONTREAL.AI Financial Model" id="{F7BCFDA5-EFD5-4EAF-BE4F-B3497A72197C}"/>
  <xltc:person displayName="MONTREAL.AI Financial Model" id="{CBD50117-74C6-464D-AFCF-1CF6F0637E37}"/>
  <xltc:person displayName="MONTREAL.AI Financial Model" id="{67BAAF09-2418-4523-B85D-177AA33AD284}"/>
  <xltc:person displayName="MONTREAL.AI Financial Model" id="{4ED7D93D-FEEE-4B0E-A667-192A479E7FA3}"/>
  <xltc:person displayName="MONTREAL.AI Financial Model" id="{F5D6886D-D25A-412F-A8A0-ED9C2C3C13BD}"/>
  <xltc:person displayName="MONTREAL.AI Financial Model" id="{D8A19798-62FF-43DC-9D27-CA5B944FEA05}"/>
  <xltc:person displayName="MONTREAL.AI Financial Model" id="{36EF4B81-22CB-4DD7-9850-B12158A389E5}"/>
  <xltc:person displayName="MONTREAL.AI Financial Model" id="{CB2ECAC1-01EA-4638-8504-2E8CDE84F30E}"/>
  <xltc:person displayName="MONTREAL.AI Financial Model" id="{8DB8A23D-E9C0-4518-9EF7-F70685D51AB4}"/>
  <xltc:person displayName="MONTREAL.AI Financial Model" id="{EB2103D2-CD85-40F1-8F55-F8C3FAEBBD3B}"/>
  <xltc:person displayName="MONTREAL.AI Financial Model" id="{7B91B445-2EDD-45AC-B2B7-B4EB984DCBB1}"/>
  <xltc:person displayName="MONTREAL.AI Financial Model" id="{20B9456F-1CC1-4B7D-9360-3338CE44E71E}"/>
  <xltc:person displayName="MONTREAL.AI Financial Model" id="{D8AE8E41-20DA-4BC4-96A8-603E330A8533}"/>
  <xltc:person displayName="MONTREAL.AI Financial Model" id="{EAF383C0-9B1C-447D-8601-E06D7CD749D8}"/>
  <xltc:person displayName="MONTREAL.AI Financial Model" id="{4C1A8535-71D6-4CFE-9BD9-8A2D8D2134CB}"/>
  <xltc:person displayName="MONTREAL.AI Financial Model" id="{E6551513-88B8-4E38-86D6-491874CB2570}"/>
  <xltc:person displayName="MONTREAL.AI Financial Model" id="{38AA3ECE-1893-4971-9187-FD8382C9B1F1}"/>
  <xltc:person displayName="MONTREAL.AI Financial Model" id="{0B8CDE5C-AB42-4762-AF34-67797799542C}"/>
  <xltc:person displayName="MONTREAL.AI Financial Model" id="{4DAF3523-18CA-4DCB-A1FC-3A3249A179B7}"/>
  <xltc:person displayName="MONTREAL.AI Financial Model" id="{62FB7953-B5A9-4958-8E93-6719487FC8AC}"/>
  <xltc:person displayName="MONTREAL.AI Financial Model" id="{E586F875-184A-4C2F-95E1-12DB09DE022D}"/>
  <xltc:person displayName="MONTREAL.AI Financial Model" id="{391047EE-4F8E-473F-8104-FC77491783BD}"/>
  <xltc:person displayName="MONTREAL.AI Financial Model" id="{8DB07882-B0E4-4E7B-9AB6-2C5BD4D88DC0}"/>
  <xltc:person displayName="MONTREAL.AI Financial Model" id="{D6F295AC-B31E-4A4C-ABA6-685C8A0228F7}"/>
  <xltc:person displayName="MONTREAL.AI Financial Model" id="{BA83438C-F3CC-4733-A5FF-A8E5FD994868}"/>
  <xltc:person displayName="MONTREAL.AI Financial Model" id="{9A1A0F27-0D2A-40B4-B1E3-E52871D2DD13}"/>
  <xltc:person displayName="MONTREAL.AI Financial Model" id="{6C078093-7F68-44C6-B1B7-4F4A85AD0944}"/>
  <xltc:person displayName="MONTREAL.AI Financial Model" id="{549A1843-520F-49F4-B442-4F0CC2C81ED2}"/>
  <xltc:person displayName="MONTREAL.AI Financial Model" id="{49D254C1-CA4B-4AD3-AA29-0619BC65F8AD}"/>
  <xltc:person displayName="MONTREAL.AI Financial Model" id="{7C382806-845F-4ECA-AC24-3775A1DEADDA}"/>
  <xltc:person displayName="MONTREAL.AI Financial Model" id="{1CC7A46A-BD2D-4EB6-AFE2-51AA1D9001D5}"/>
  <xltc:person displayName="MONTREAL.AI Financial Model" id="{24A4023C-567A-404D-9457-01B2511340E1}"/>
  <xltc:person displayName="MONTREAL.AI Financial Model" id="{40883814-BD95-4871-B878-0452436A67E5}"/>
  <xltc:person displayName="MONTREAL.AI Financial Model" id="{F1DAE983-4832-4021-8651-2D01F4549FDE}"/>
  <xltc:person displayName="MONTREAL.AI Financial Model" id="{663CBFD5-D7E2-493B-B4EC-CD48E02E170B}"/>
  <xltc:person displayName="MONTREAL.AI Financial Model" id="{49EC580A-1026-4967-B666-24D2899CCD45}"/>
  <xltc:person displayName="MONTREAL.AI Financial Model" id="{745F5AA5-026B-4715-BD65-AE377278A4E8}"/>
  <xltc:person displayName="MONTREAL.AI Financial Model" id="{95A09EC6-5910-496A-9A62-A0F072F15442}"/>
  <xltc:person displayName="MONTREAL.AI Financial Model" id="{4BA25906-899F-4417-8F7A-1C0645065112}"/>
  <xltc:person displayName="MONTREAL.AI Financial Model" id="{373366D4-7F57-4C7F-847C-4663332D0CDC}"/>
  <xltc:person displayName="MONTREAL.AI Financial Model" id="{E6606AA1-B649-40E4-932B-465790363788}"/>
  <xltc:person displayName="MONTREAL.AI Financial Model" id="{7B913142-DC21-46A5-B6E4-3632601993C4}"/>
  <xltc:person displayName="MONTREAL.AI Financial Model" id="{2249F4A2-6E3D-469D-A102-4334A7906D95}"/>
  <xltc:person displayName="MONTREAL.AI Financial Model" id="{6D2E3971-6C7A-4695-80D7-51B61A3DD6CF}"/>
  <xltc:person displayName="MONTREAL.AI Financial Model" id="{5F79D644-26A8-4A08-88AD-60EC013B4F3D}"/>
  <xltc:person displayName="MONTREAL.AI Financial Model" id="{87BB1A15-FE2B-4A92-B89D-3BA84C0395B4}"/>
  <xltc:person displayName="MONTREAL.AI Financial Model" id="{18E7F988-A52A-436B-B902-66EB18B2689C}"/>
  <xltc:person displayName="MONTREAL.AI Financial Model" id="{3A78B63E-BA26-4530-A68E-788C5452EA65}"/>
  <xltc:person displayName="MONTREAL.AI Financial Model" id="{B661678F-DF96-4D71-A17E-13C67F55BF1D}"/>
  <xltc:person displayName="MONTREAL.AI Financial Model" id="{178A2855-0B78-4CEE-8CA8-77BD97324A05}"/>
  <xltc:person displayName="MONTREAL.AI Financial Model" id="{4416B27B-6A8D-49C3-89F2-9ADF6ADF80B8}"/>
  <xltc:person displayName="MONTREAL.AI Financial Model" id="{B8AE586D-0A15-4391-943D-AE76F918E8E2}"/>
  <xltc:person displayName="MONTREAL.AI Financial Model" id="{DE7B5D5A-1A45-40A7-B039-723E8194F27B}"/>
  <xltc:person displayName="MONTREAL.AI Financial Model" id="{DF5DCACB-333C-47AE-9300-47C17E183333}"/>
  <xltc:person displayName="MONTREAL.AI Financial Model" id="{088007EB-FF53-413F-BA2F-2F9C106FC583}"/>
  <xltc:person displayName="MONTREAL.AI Financial Model" id="{29936F51-6BFF-4CFB-BBBD-5A03D75B81D8}"/>
  <xltc:person displayName="MONTREAL.AI Financial Model" id="{7352DA1E-6A85-4F03-98C0-EC946934A8C1}"/>
  <xltc:person displayName="MONTREAL.AI Financial Model" id="{337D5C2C-55D8-42AC-BDA4-48C123CC6DAA}"/>
  <xltc:person displayName="MONTREAL.AI Financial Model" id="{C0EBBC3E-61C5-4371-B8B3-34452C472B3E}"/>
  <xltc:person displayName="MONTREAL.AI Financial Model" id="{9E74EA71-FCC6-4C5F-A3AB-B9EF59C4ECB3}"/>
  <xltc:person displayName="MONTREAL.AI Financial Model" id="{D2DA17F9-0CAC-44A8-9EF2-6C8D72317125}"/>
  <xltc:person displayName="MONTREAL.AI Financial Model" id="{C7FA6CD4-F8A2-41AE-9B2B-88844CCB4E7D}"/>
  <xltc:person displayName="MONTREAL.AI Financial Model" id="{4A92DAC6-12A1-4697-AE6B-5981CA665CD2}"/>
  <xltc:person displayName="MONTREAL.AI Financial Model" id="{8A3FBBAF-77EB-4363-BE72-0AC342ABEC34}"/>
  <xltc:person displayName="MONTREAL.AI Financial Model" id="{13CA51CE-C547-4716-8007-9050FEA56C5E}"/>
  <xltc:person displayName="MONTREAL.AI Financial Model" id="{101592D3-B5B4-48B4-8FA3-3826720D441F}"/>
  <xltc:person displayName="MONTREAL.AI Financial Model" id="{B6DEB208-DD19-4CBE-97D1-77CC62F43A57}"/>
  <xltc:person displayName="MONTREAL.AI Financial Model" id="{7E3EF99F-5234-42A3-AA36-331F397CE8C8}"/>
  <xltc:person displayName="MONTREAL.AI Financial Model" id="{69F03361-334D-4A12-B5C8-57293C71512E}"/>
  <xltc:person displayName="MONTREAL.AI Financial Model" id="{C85A1BBC-9913-42C0-B1B5-8CFB3666474A}"/>
  <xltc:person displayName="MONTREAL.AI Financial Model" id="{029484DD-1BB9-4EE8-8BB5-841F8E66B994}"/>
  <xltc:person displayName="MONTREAL.AI Financial Model" id="{758CA7A5-2533-46C8-B821-0E73E61E2221}"/>
  <xltc:person displayName="MONTREAL.AI Financial Model" id="{98681D72-53E0-44ED-8985-B64238400FF5}"/>
  <xltc:person displayName="MONTREAL.AI Financial Model" id="{151A5CFC-EDDC-4C0B-8243-317DF5D061EB}"/>
  <xltc:person displayName="MONTREAL.AI Financial Model" id="{FB68DDB7-EA86-4678-A05D-F1083F9E1125}"/>
  <xltc:person displayName="MONTREAL.AI Financial Model" id="{4E180F1C-0097-45C1-84F6-9F04AD0E7733}"/>
  <xltc:person displayName="MONTREAL.AI Financial Model" id="{AD83AF7E-6900-45DF-9BFF-4152782ED157}"/>
  <xltc:person displayName="MONTREAL.AI Financial Model" id="{A3DE51D2-8463-46C4-8937-D6C3A2DDAC2A}"/>
  <xltc:person displayName="MONTREAL.AI Financial Model" id="{D15C1E66-06DB-428C-AE29-471AE20A89B1}"/>
  <xltc:person displayName="MONTREAL.AI Financial Model" id="{E17BE38C-A0F4-43F3-8DD5-A4343A29822A}"/>
  <xltc:person displayName="MONTREAL.AI Financial Model" id="{E9A84DD8-7064-4EFC-ADED-BFBF4BD6D9E1}"/>
  <xltc:person displayName="MONTREAL.AI Financial Model" id="{49853EE7-0BA4-4867-B7AD-B03940160196}"/>
  <xltc:person displayName="MONTREAL.AI Financial Model" id="{9FE69232-B76B-4117-9ED8-40931A757860}"/>
  <xltc:person displayName="MONTREAL.AI Financial Model" id="{AF165E59-6F70-455C-B936-1358F5CD53A7}"/>
  <xltc:person displayName="MONTREAL.AI Financial Model" id="{65A94FFE-DF18-419C-B527-0D5A9CDCC4DE}"/>
  <xltc:person displayName="MONTREAL.AI Financial Model" id="{00E2B4D5-7846-4C5C-A27D-8D6ACFEC2705}"/>
  <xltc:person displayName="MONTREAL.AI Financial Model" id="{59474EC6-C18B-4A67-A0AA-74A603A4BF4E}"/>
  <xltc:person displayName="MONTREAL.AI Financial Model" id="{A49850BA-602F-44A0-A1D0-19A216BB2A6C}"/>
  <xltc:person displayName="MONTREAL.AI Financial Model" id="{716FE688-F299-415C-97BB-C6FFEF1C56D2}"/>
  <xltc:person displayName="MONTREAL.AI Financial Model" id="{F1816694-87C3-4483-8235-20027406B144}"/>
  <xltc:person displayName="MONTREAL.AI Financial Model" id="{CDA64616-EAC1-4B36-B5AF-4E3FDAD05A4D}"/>
  <xltc:person displayName="MONTREAL.AI Financial Model" id="{C87AFC87-F87B-4BE5-A35C-B07C6989399C}"/>
  <xltc:person displayName="MONTREAL.AI Financial Model" id="{0042CB04-EEC5-436A-BFD7-4445967E0E56}"/>
  <xltc:person displayName="MONTREAL.AI Financial Model" id="{56CD7F3A-F246-4EB4-901E-B53E8CFF7D1E}"/>
  <xltc:person displayName="MONTREAL.AI Financial Model" id="{0B4684D3-4463-4523-BA98-56EC9CC12B74}"/>
  <xltc:person displayName="MONTREAL.AI Financial Model" id="{D04A9B5C-48F0-4B5E-BB53-AAD1CAF8AE59}"/>
  <xltc:person displayName="MONTREAL.AI Financial Model" id="{90613232-7CE9-4EC8-95AE-2CFBB62EC84F}"/>
  <xltc:person displayName="MONTREAL.AI Financial Model" id="{B3A5A94E-C219-4905-810C-27A0B4871AD1}"/>
  <xltc:person displayName="MONTREAL.AI Financial Model" id="{28D65504-217B-4D89-9A25-B8A5F268927C}"/>
  <xltc:person displayName="MONTREAL.AI Financial Model" id="{B88FE084-BFF8-47F2-8CA2-BFCB7E6C05BA}"/>
  <xltc:person displayName="MONTREAL.AI Financial Model" id="{96A01266-248A-4B2F-AB15-800A6C3459D7}"/>
  <xltc:person displayName="MONTREAL.AI Financial Model" id="{05630EE5-DBAB-40FC-88E1-7350412BEC20}"/>
  <xltc:person displayName="MONTREAL.AI Financial Model" id="{35CF32D0-7A6F-47F3-BFDC-7861EC371AF3}"/>
  <xltc:person displayName="MONTREAL.AI Financial Model" id="{42534BF8-4705-485D-956E-3AE542009936}"/>
  <xltc:person displayName="MONTREAL.AI Financial Model" id="{FB257AF2-30AE-4612-A258-EAF8416B3958}"/>
  <xltc:person displayName="MONTREAL.AI Financial Model" id="{3F0D7870-A93F-4A5A-9B5F-1C10FDDB4D13}"/>
  <xltc:person displayName="MONTREAL.AI Financial Model" id="{2FD35287-F425-4D67-AAE4-3E468C9A2D7C}"/>
  <xltc:person displayName="MONTREAL.AI Financial Model" id="{3717DDBB-6D6D-4CCE-88D4-7CA30C8B35D0}"/>
  <xltc:person displayName="MONTREAL.AI Financial Model" id="{6E27B918-4DEA-4AA1-8684-AB91E1392A8A}"/>
  <xltc:person displayName="MONTREAL.AI Financial Model" id="{8BDE5E7C-4EE5-4ACB-A8B9-CC787A3AF0EA}"/>
  <xltc:person displayName="MONTREAL.AI Financial Model" id="{735A7FDA-6A49-41CC-8132-6A89C98FA052}"/>
  <xltc:person displayName="MONTREAL.AI Financial Model" id="{C78C431C-6E4B-4075-B0F2-46385649427B}"/>
  <xltc:person displayName="MONTREAL.AI Financial Model" id="{6215972D-26E3-4C86-9503-C4BFCF37DFE0}"/>
  <xltc:person displayName="MONTREAL.AI Financial Model" id="{2E296D80-2C77-4713-BD2B-A6AF6639CF00}"/>
  <xltc:person displayName="MONTREAL.AI Financial Model" id="{4AB33660-2DB7-497F-BEB2-81B94235E470}"/>
  <xltc:person displayName="MONTREAL.AI Financial Model" id="{4B35CDBC-4AD0-42AD-B1B7-BE882C89F4A7}"/>
  <xltc:person displayName="MONTREAL.AI Financial Model" id="{7BCDD655-7C27-4215-9860-181A016002A3}"/>
  <xltc:person displayName="MONTREAL.AI Financial Model" id="{609D1914-09EF-4243-A27D-0203678F6084}"/>
  <xltc:person displayName="MONTREAL.AI Financial Model" id="{E0FCBE83-8B44-44EE-930E-B601E79BAD99}"/>
  <xltc:person displayName="MONTREAL.AI Financial Model" id="{18CC897A-6573-4715-8135-9D3B852F4EE4}"/>
  <xltc:person displayName="MONTREAL.AI Financial Model" id="{6621D1F9-5DF0-4186-900E-25F05C665E2C}"/>
  <xltc:person displayName="MONTREAL.AI Financial Model" id="{DA77312C-3D55-4F79-99B5-AB8B7F6CE834}"/>
  <xltc:person displayName="MONTREAL.AI Financial Model" id="{9E59DCD2-1B99-41B4-9BD7-6DDA9C54F73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6" dT="2026-07-17T21:48:44.024" personId="{28AFC74C-166E-48F8-A3A2-4A25B79C4CDF}" id="{9335F3D2-586B-2872-C70C-90454AA6E326}">
    <xltc:text>Source: Management planning date; first full month after July 2026 release.
Scenario: Conservative
Status: synthetic internal planning assumption; replace with observed data before external reliance.</xltc:text>
  </xltc:threadedComment>
  <xltc:threadedComment ref="E6" dT="2026-07-17T21:48:44.031" personId="{F4A337CF-45A4-4D1B-91AD-E047D2585F01}" id="{6E65AE8F-4F50-DE0E-F252-CD1302D54E7D}">
    <xltc:text>Source: Management planning date; first full month after July 2026 release.
Scenario: Base
Status: synthetic internal planning assumption; replace with observed data before external reliance.</xltc:text>
  </xltc:threadedComment>
  <xltc:threadedComment ref="F6" dT="2026-07-17T21:48:44.036" personId="{BAE5361C-7744-4905-898E-2653AD57DD42}" id="{58ADEA78-6846-A3E4-44EF-8949BE6272F5}">
    <xltc:text>Source: Management planning date; first full month after July 2026 release.
Scenario: Upside
Status: synthetic internal planning assumption; replace with observed data before external reliance.</xltc:text>
  </xltc:threadedComment>
  <xltc:threadedComment ref="D7" dT="2026-07-17T21:48:44.054" personId="{0BFDAC76-FEB1-4BE1-A9B4-C5454DADBF21}" id="{4A5DA4D2-9057-2CDC-B1B0-7713FBB0BE43}">
    <xltc:text>Source: Management funding assumption; replace with actual cash balance.
Scenario: Conservative
Status: synthetic internal planning assumption; replace with observed data before external reliance.</xltc:text>
  </xltc:threadedComment>
  <xltc:threadedComment ref="E7" dT="2026-07-17T21:48:44.058" personId="{7928E42E-FE4B-4C27-8DC9-C2471D55A09B}" id="{03C97F2F-C551-E367-250B-D54835AE7FF8}">
    <xltc:text>Source: Management funding assumption; replace with actual cash balance.
Scenario: Base
Status: synthetic internal planning assumption; replace with observed data before external reliance.</xltc:text>
  </xltc:threadedComment>
  <xltc:threadedComment ref="F7" dT="2026-07-17T21:48:44.064" personId="{2CD7DFF7-8D31-4FD2-8B9D-4087DC9AF681}" id="{21FA2546-EF67-9158-C21A-8C79337D60A2}">
    <xltc:text>Source: Management funding assumption; replace with actual cash balance.
Scenario: Upside
Status: synthetic internal planning assumption; replace with observed data before external reliance.</xltc:text>
  </xltc:threadedComment>
  <xltc:threadedComment ref="D8" dT="2026-07-17T21:48:44.08" personId="{6B16B15B-3AE4-45B1-9CCF-16D55E98DDA1}" id="{5C58C847-D1CB-890C-BF7D-76793F473F4D}">
    <xltc:text>Source: Optional financing assumption; set amount to zero to model no financing.
Scenario: Conservative
Status: synthetic internal planning assumption; replace with observed data before external reliance.</xltc:text>
  </xltc:threadedComment>
  <xltc:threadedComment ref="E8" dT="2026-07-17T21:48:44.085" personId="{E053806A-325F-4FE5-8807-B7585C388092}" id="{073DC8C4-DB19-E4A1-3CA9-5979B8A99562}">
    <xltc:text>Source: Optional financing assumption; set amount to zero to model no financing.
Scenario: Base
Status: synthetic internal planning assumption; replace with observed data before external reliance.</xltc:text>
  </xltc:threadedComment>
  <xltc:threadedComment ref="F8" dT="2026-07-17T21:48:44.088" personId="{D330BF06-78B4-4F63-AF6F-16303462AD4F}" id="{175FFDFA-B339-8512-E537-A25D71758F08}">
    <xltc:text>Source: Optional financing assumption; set amount to zero to model no financing.
Scenario: Upside
Status: synthetic internal planning assumption; replace with observed data before external reliance.</xltc:text>
  </xltc:threadedComment>
  <xltc:threadedComment ref="D9" dT="2026-07-17T21:48:44.106" personId="{C7D0A9FA-D15E-48EB-BA86-794CEAF77068}" id="{3076D730-3002-9053-0B68-BF6A812F09FC}">
    <xltc:text>Source: Management financing assumption; not a commitment or forecast.
Scenario: Conservative
Status: synthetic internal planning assumption; replace with observed data before external reliance.</xltc:text>
  </xltc:threadedComment>
  <xltc:threadedComment ref="E9" dT="2026-07-17T21:48:44.113" personId="{5F0EBBBD-FF60-4CB0-9CAE-C8FD6E30D40E}" id="{9E1C4F16-0B37-4EBC-1814-19BC2DDF72C4}">
    <xltc:text>Source: Management financing assumption; not a commitment or forecast.
Scenario: Base
Status: synthetic internal planning assumption; replace with observed data before external reliance.</xltc:text>
  </xltc:threadedComment>
  <xltc:threadedComment ref="F9" dT="2026-07-17T21:48:44.118" personId="{FE188837-D960-44B9-96C4-E437A82B28AE}" id="{4AD8E967-D541-9C7E-7F85-94CA90E71102}">
    <xltc:text>Source: Management financing assumption; not a commitment or forecast.
Scenario: Upside
Status: synthetic internal planning assumption; replace with observed data before external reliance.</xltc:text>
  </xltc:threadedComment>
  <xltc:threadedComment ref="D10" dT="2026-07-17T21:48:44.135" personId="{1313AC49-753A-4BFE-86E6-9A6FE3B57B63}" id="{4012E543-6928-00E6-7EBB-123D9B3EC411}">
    <xltc:text>Source: Assumes the balance is collected in the following month.
Scenario: Conservative
Status: synthetic internal planning assumption; replace with observed data before external reliance.</xltc:text>
  </xltc:threadedComment>
  <xltc:threadedComment ref="E10" dT="2026-07-17T21:48:44.145" personId="{1F46A897-E60F-4577-AD9E-F99E1D1B34AC}" id="{C66141B2-C093-7EEC-D149-9C0B6E28D54E}">
    <xltc:text>Source: Assumes the balance is collected in the following month.
Scenario: Base
Status: synthetic internal planning assumption; replace with observed data before external reliance.</xltc:text>
  </xltc:threadedComment>
  <xltc:threadedComment ref="F10" dT="2026-07-17T21:48:44.15" personId="{2740278D-D568-4BB1-888E-50883E7D7DCC}" id="{8DC1E6CE-C718-FAB6-E9E9-2D6AAB284887}">
    <xltc:text>Source: Assumes the balance is collected in the following month.
Scenario: Upside
Status: synthetic internal planning assumption; replace with observed data before external reliance.</xltc:text>
  </xltc:threadedComment>
  <xltc:threadedComment ref="D12" dT="2026-07-17T21:48:44.185" personId="{4B07AEEB-B448-4F72-96FE-EF62DD4117FC}" id="{E4BFABDD-1268-7259-13C4-4D8C8B045599}">
    <xltc:text>Source: Internal planning assumption for qualified, permissioned opportunities—not scraped contacts.
Scenario: Conservative
Status: synthetic internal planning assumption; replace with observed data before external reliance.</xltc:text>
  </xltc:threadedComment>
  <xltc:threadedComment ref="E12" dT="2026-07-17T21:48:44.193" personId="{02EC81FA-4C2F-4FDC-BF6B-F69F8C11FA35}" id="{79CFEFAD-B2E9-0721-F5FB-8A611108483D}">
    <xltc:text>Source: Internal planning assumption for qualified, permissioned opportunities—not scraped contacts.
Scenario: Base
Status: synthetic internal planning assumption; replace with observed data before external reliance.</xltc:text>
  </xltc:threadedComment>
  <xltc:threadedComment ref="F12" dT="2026-07-17T21:48:44.198" personId="{0726CF58-8C7A-45B6-8A68-E48BA4CE2466}" id="{58CC6EAE-B1D3-E49E-88A3-BC2DF8BA592A}">
    <xltc:text>Source: Internal planning assumption for qualified, permissioned opportunities—not scraped contacts.
Scenario: Upside
Status: synthetic internal planning assumption; replace with observed data before external reliance.</xltc:text>
  </xltc:threadedComment>
  <xltc:threadedComment ref="D13" dT="2026-07-17T21:48:44.214" personId="{7DC3FC90-A0EF-42B9-B2DA-4A9174D47450}" id="{48455117-05A3-7E49-A3CE-84E212596EF4}">
    <xltc:text>Source: Synthetic growth assumption from content, MasterClasses, referrals, partners, and inbound demand.
Scenario: Conservative
Status: synthetic internal planning assumption; replace with observed data before external reliance.</xltc:text>
  </xltc:threadedComment>
  <xltc:threadedComment ref="E13" dT="2026-07-17T21:48:44.219" personId="{723689DF-B7EC-486F-A44F-72417F82775F}" id="{1C00B15B-8813-D26E-D51C-C02E29232CF6}">
    <xltc:text>Source: Synthetic growth assumption from content, MasterClasses, referrals, partners, and inbound demand.
Scenario: Base
Status: synthetic internal planning assumption; replace with observed data before external reliance.</xltc:text>
  </xltc:threadedComment>
  <xltc:threadedComment ref="F13" dT="2026-07-17T21:48:44.225" personId="{927EB74C-5B38-417A-A6F1-B36F848199D1}" id="{D02A722F-4524-65AF-76B1-1C0534C9C64D}">
    <xltc:text>Source: Synthetic growth assumption from content, MasterClasses, referrals, partners, and inbound demand.
Scenario: Upside
Status: synthetic internal planning assumption; replace with observed data before external reliance.</xltc:text>
  </xltc:threadedComment>
  <xltc:threadedComment ref="D14" dT="2026-07-17T21:48:44.243" personId="{583B46C7-BBC1-48F2-A01D-323D1C37FDB2}" id="{75C32A90-420D-BADE-8BF2-4381D8FD8EDA}">
    <xltc:text>Source: Synthetic mature growth assumption.
Scenario: Conservative
Status: synthetic internal planning assumption; replace with observed data before external reliance.</xltc:text>
  </xltc:threadedComment>
  <xltc:threadedComment ref="E14" dT="2026-07-17T21:48:44.248" personId="{40DA503D-DD00-43DB-B15A-66D28F3AD536}" id="{4B0F44A4-52AA-9F3B-3512-CA4CE5E3D511}">
    <xltc:text>Source: Synthetic mature growth assumption.
Scenario: Base
Status: synthetic internal planning assumption; replace with observed data before external reliance.</xltc:text>
  </xltc:threadedComment>
  <xltc:threadedComment ref="F14" dT="2026-07-17T21:48:44.255" personId="{81E87575-2141-47D7-BBDB-8E2F44D8D65F}" id="{F600C3AB-FC9B-4AE1-936B-92D973624ED6}">
    <xltc:text>Source: Synthetic mature growth assumption.
Scenario: Upside
Status: synthetic internal planning assumption; replace with observed data before external reliance.</xltc:text>
  </xltc:threadedComment>
  <xltc:threadedComment ref="D15" dT="2026-07-17T21:48:44.274" personId="{44F7080F-3E1E-4179-B16B-F3BA2119093C}" id="{BF84D2A1-264C-D2DE-982D-EDA4955DF198}">
    <xltc:text>Source: Internal conversion assumption; replace with observed funnel data.
Scenario: Conservative
Status: synthetic internal planning assumption; replace with observed data before external reliance.</xltc:text>
  </xltc:threadedComment>
  <xltc:threadedComment ref="E15" dT="2026-07-17T21:48:44.279" personId="{1F751004-E8C4-4791-B608-CD4E34719E1C}" id="{25907258-040F-EDDA-F33D-F42FE54E8107}">
    <xltc:text>Source: Internal conversion assumption; replace with observed funnel data.
Scenario: Base
Status: synthetic internal planning assumption; replace with observed data before external reliance.</xltc:text>
  </xltc:threadedComment>
  <xltc:threadedComment ref="F15" dT="2026-07-17T21:48:44.284" personId="{7E86CDBA-D32F-48EF-A04F-8E65C6418BEE}" id="{B2C9A862-4E2E-AE18-ADE1-72C665033A81}">
    <xltc:text>Source: Internal conversion assumption; replace with observed funnel data.
Scenario: Upside
Status: synthetic internal planning assumption; replace with observed data before external reliance.</xltc:text>
  </xltc:threadedComment>
  <xltc:threadedComment ref="D16" dT="2026-07-17T21:48:44.301" personId="{642CFCF8-F3C6-4FA1-9290-65FAA1262D09}" id="{1BEE2D6E-F788-2A70-0A07-6F23D5066352}">
    <xltc:text>Source: Internal conversion assumption.
Scenario: Conservative
Status: synthetic internal planning assumption; replace with observed data before external reliance.</xltc:text>
  </xltc:threadedComment>
  <xltc:threadedComment ref="E16" dT="2026-07-17T21:48:44.306" personId="{4DB03B72-9742-42F6-88AC-23F3A41328CC}" id="{8894736E-2CD9-60F9-8C66-B6445847721E}">
    <xltc:text>Source: Internal conversion assumption.
Scenario: Base
Status: synthetic internal planning assumption; replace with observed data before external reliance.</xltc:text>
  </xltc:threadedComment>
  <xltc:threadedComment ref="F16" dT="2026-07-17T21:48:44.311" personId="{ADE53B1B-3376-4110-87AC-5C7BD0F334BB}" id="{F4784AC8-11D9-2AB9-AD03-7AD20BE9EDF0}">
    <xltc:text>Source: Internal conversion assumption.
Scenario: Upside
Status: synthetic internal planning assumption; replace with observed data before external reliance.</xltc:text>
  </xltc:threadedComment>
  <xltc:threadedComment ref="D17" dT="2026-07-17T21:48:44.33" personId="{6278A492-631F-4A03-98AA-956DACB3B7E2}" id="{EB6F3FE6-5496-A32F-1419-7A57E78D33CB}">
    <xltc:text>Source: Internal conversion assumption.
Scenario: Conservative
Status: synthetic internal planning assumption; replace with observed data before external reliance.</xltc:text>
  </xltc:threadedComment>
  <xltc:threadedComment ref="E17" dT="2026-07-17T21:48:44.339" personId="{B06A9F65-57EC-4A2E-B146-1D7DD2030DCD}" id="{8F9EC1EC-37C8-2089-1B55-D899E167DB55}">
    <xltc:text>Source: Internal conversion assumption.
Scenario: Base
Status: synthetic internal planning assumption; replace with observed data before external reliance.</xltc:text>
  </xltc:threadedComment>
  <xltc:threadedComment ref="F17" dT="2026-07-17T21:48:44.345" personId="{63444FC3-52AF-4D12-8E6B-A50FB58781D5}" id="{AAF5A459-E772-F176-D06F-9B6D28E23B3D}">
    <xltc:text>Source: Internal conversion assumption.
Scenario: Upside
Status: synthetic internal planning assumption; replace with observed data before external reliance.</xltc:text>
  </xltc:threadedComment>
  <xltc:threadedComment ref="D18" dT="2026-07-17T21:48:44.37" personId="{9B9B53C8-B923-4EE7-B6B8-740E9449A7D0}" id="{8EE7607A-A607-B685-5474-BD48C5F9E7E2}">
    <xltc:text>Source: Internal conversion assumption.
Scenario: Conservative
Status: synthetic internal planning assumption; replace with observed data before external reliance.</xltc:text>
  </xltc:threadedComment>
  <xltc:threadedComment ref="E18" dT="2026-07-17T21:48:44.375" personId="{B6071E99-AEC1-47CD-B351-620E690DAA15}" id="{E19EFDBA-E5A6-6CE0-883C-88CF16768506}">
    <xltc:text>Source: Internal conversion assumption.
Scenario: Base
Status: synthetic internal planning assumption; replace with observed data before external reliance.</xltc:text>
  </xltc:threadedComment>
  <xltc:threadedComment ref="F18" dT="2026-07-17T21:48:44.38" personId="{F03E1FB0-2B69-42AA-A391-A5515A98770F}" id="{7F77407D-D201-9F1A-30D0-76C70AC62245}">
    <xltc:text>Source: Internal conversion assumption.
Scenario: Upside
Status: synthetic internal planning assumption; replace with observed data before external reliance.</xltc:text>
  </xltc:threadedComment>
  <xltc:threadedComment ref="D19" dT="2026-07-17T21:48:44.401" personId="{E6A723CB-F725-472D-8C20-3CDCD090875C}" id="{D1E05EB6-6B90-BDA5-D625-529BA2A90621}">
    <xltc:text>Source: Internal conversion assumption before proof-driven lift.
Scenario: Conservative
Status: synthetic internal planning assumption; replace with observed data before external reliance.</xltc:text>
  </xltc:threadedComment>
  <xltc:threadedComment ref="E19" dT="2026-07-17T21:48:44.406" personId="{0DAEF296-B85A-4A97-AC8E-8845ADC56892}" id="{70E91DD5-1B30-89D6-DE98-81FBFFB18C69}">
    <xltc:text>Source: Internal conversion assumption before proof-driven lift.
Scenario: Base
Status: synthetic internal planning assumption; replace with observed data before external reliance.</xltc:text>
  </xltc:threadedComment>
  <xltc:threadedComment ref="F19" dT="2026-07-17T21:48:44.41" personId="{29C7472D-8F30-4C99-998A-3E8579534823}" id="{82FB5213-8AED-1009-36DB-63FA079E5D0E}">
    <xltc:text>Source: Internal conversion assumption before proof-driven lift.
Scenario: Upside
Status: synthetic internal planning assumption; replace with observed data before external reliance.</xltc:text>
  </xltc:threadedComment>
  <xltc:threadedComment ref="D20" dT="2026-07-17T21:48:44.43" personId="{B1193593-8562-444F-82AB-716EE70F74C2}" id="{000715CF-C4BF-3979-78F2-E07DD9716E71}">
    <xltc:text>Source: Internal expansion assumption.
Scenario: Conservative
Status: synthetic internal planning assumption; replace with observed data before external reliance.</xltc:text>
  </xltc:threadedComment>
  <xltc:threadedComment ref="E20" dT="2026-07-17T21:48:44.436" personId="{4874E014-56CE-4BFB-BC9E-93DE5764A26B}" id="{5967C4FA-6F1E-72A4-274F-A84793A92015}">
    <xltc:text>Source: Internal expansion assumption.
Scenario: Base
Status: synthetic internal planning assumption; replace with observed data before external reliance.</xltc:text>
  </xltc:threadedComment>
  <xltc:threadedComment ref="F20" dT="2026-07-17T21:48:44.441" personId="{25AACC4B-28BD-443F-B54F-DD8E51BFD94A}" id="{A1BCC58D-55B3-CC87-34C7-C477C89A568F}">
    <xltc:text>Source: Internal expansion assumption.
Scenario: Upside
Status: synthetic internal planning assumption; replace with observed data before external reliance.</xltc:text>
  </xltc:threadedComment>
  <xltc:threadedComment ref="D21" dT="2026-07-17T21:48:44.458" personId="{3C1C3436-DF85-49D6-95E3-03AA55AC4F0F}" id="{F24787AF-582E-314C-EEF5-8673FA3040FB}">
    <xltc:text>Source: Internal expansion assumption.
Scenario: Conservative
Status: synthetic internal planning assumption; replace with observed data before external reliance.</xltc:text>
  </xltc:threadedComment>
  <xltc:threadedComment ref="E21" dT="2026-07-17T21:48:44.463" personId="{488E42B9-C4BC-4D5B-8EA6-B3F09BE54C7A}" id="{1A7808F8-0DF8-67B3-D82A-A3FDB80C2ADE}">
    <xltc:text>Source: Internal expansion assumption.
Scenario: Base
Status: synthetic internal planning assumption; replace with observed data before external reliance.</xltc:text>
  </xltc:threadedComment>
  <xltc:threadedComment ref="F21" dT="2026-07-17T21:48:44.468" personId="{AD48AAA2-E481-416D-9F73-1DC902C20A3A}" id="{E70694E1-7E47-5FA7-88FA-1BC72B209443}">
    <xltc:text>Source: Internal expansion assumption.
Scenario: Upside
Status: synthetic internal planning assumption; replace with observed data before external reliance.</xltc:text>
  </xltc:threadedComment>
  <xltc:threadedComment ref="D22" dT="2026-07-17T21:48:44.487" personId="{7FCF6234-5674-4774-BFE0-21D6881BE41B}" id="{6AB4204F-A4D7-7AD1-1F96-2A6A871301A6}">
    <xltc:text>Source: Core commercial proof assumption: customers commission a related second mission.
Scenario: Conservative
Status: synthetic internal planning assumption; replace with observed data before external reliance.</xltc:text>
  </xltc:threadedComment>
  <xltc:threadedComment ref="E22" dT="2026-07-17T21:48:44.493" personId="{1BA3D7DB-92C9-49AD-ABC0-F60B89C2AC0B}" id="{5BBDDCB0-0F04-E062-FC06-0A43D99F1786}">
    <xltc:text>Source: Core commercial proof assumption: customers commission a related second mission.
Scenario: Base
Status: synthetic internal planning assumption; replace with observed data before external reliance.</xltc:text>
  </xltc:threadedComment>
  <xltc:threadedComment ref="F22" dT="2026-07-17T21:48:44.5" personId="{B75728AA-305E-4333-9D6E-6650A1C2ACCE}" id="{9D213FD9-ABDF-C1CB-791A-A5F1A7FD2F81}">
    <xltc:text>Source: Core commercial proof assumption: customers commission a related second mission.
Scenario: Upside
Status: synthetic internal planning assumption; replace with observed data before external reliance.</xltc:text>
  </xltc:threadedComment>
  <xltc:threadedComment ref="D23" dT="2026-07-17T21:48:44.516" personId="{A939ED92-0EF1-415E-8920-32E8A5EBFA76}" id="{8C5A3D4A-8E71-1D53-77E8-C5C0A5948F13}">
    <xltc:text>Source: A valid mission may conclude proceed, narrow, repair, reject, quarantine, or stop.
Scenario: Conservative
Status: synthetic internal planning assumption; replace with observed data before external reliance.</xltc:text>
  </xltc:threadedComment>
  <xltc:threadedComment ref="E23" dT="2026-07-17T21:48:44.522" personId="{1A72EE8A-05D6-49B4-866A-96E9C85DC27B}" id="{9F78590A-D54C-9BB7-9B5A-868E9BA2E063}">
    <xltc:text>Source: A valid mission may conclude proceed, narrow, repair, reject, quarantine, or stop.
Scenario: Base
Status: synthetic internal planning assumption; replace with observed data before external reliance.</xltc:text>
  </xltc:threadedComment>
  <xltc:threadedComment ref="F23" dT="2026-07-17T21:48:44.527" personId="{A0423D27-78A8-4621-8F69-73844EC07AD0}" id="{7BB47CD0-03A6-194A-A9F2-481CEFEB0C89}">
    <xltc:text>Source: A valid mission may conclude proceed, narrow, repair, reject, quarantine, or stop.
Scenario: Upside
Status: synthetic internal planning assumption; replace with observed data before external reliance.</xltc:text>
  </xltc:threadedComment>
  <xltc:threadedComment ref="D24" dT="2026-07-17T21:48:44.545" personId="{712AA907-8F71-469C-8958-E2C6B8B32DC2}" id="{5AAC44D4-E0A3-26DD-706B-36C2AD0DA067}">
    <xltc:text>Source: Synthetic proof-driven conversion lift; applied only after validated customer outcomes.
Scenario: Conservative
Status: synthetic internal planning assumption; replace with observed data before external reliance.</xltc:text>
  </xltc:threadedComment>
  <xltc:threadedComment ref="E24" dT="2026-07-17T21:48:44.55" personId="{D23DF140-7E3C-42C7-8F55-65B031B72AF0}" id="{801A3F6C-F772-396A-3C33-6F91B80625C7}">
    <xltc:text>Source: Synthetic proof-driven conversion lift; applied only after validated customer outcomes.
Scenario: Base
Status: synthetic internal planning assumption; replace with observed data before external reliance.</xltc:text>
  </xltc:threadedComment>
  <xltc:threadedComment ref="F24" dT="2026-07-17T21:48:44.556" personId="{6C9D53C2-BF1E-4335-B39E-63A64624DA7D}" id="{054C08F6-03C9-4AD0-FDB1-883D37BB9A25}">
    <xltc:text>Source: Synthetic proof-driven conversion lift; applied only after validated customer outcomes.
Scenario: Upside
Status: synthetic internal planning assumption; replace with observed data before external reliance.</xltc:text>
  </xltc:threadedComment>
  <xltc:threadedComment ref="D25" dT="2026-07-17T21:48:44.575" personId="{8377E41E-80B2-4C31-92AE-C0A80DC2F0DE}" id="{40A294B3-74CB-51A4-F34B-156C44CA7621}">
    <xltc:text>Source: Caps compounding to prevent unrealistic conversion inflation.
Scenario: Conservative
Status: synthetic internal planning assumption; replace with observed data before external reliance.</xltc:text>
  </xltc:threadedComment>
  <xltc:threadedComment ref="E25" dT="2026-07-17T21:48:44.582" personId="{35B922C1-9577-4DE4-B0C9-0187B5C60629}" id="{763D369B-2AC2-B584-31A8-436ECE966EB8}">
    <xltc:text>Source: Caps compounding to prevent unrealistic conversion inflation.
Scenario: Base
Status: synthetic internal planning assumption; replace with observed data before external reliance.</xltc:text>
  </xltc:threadedComment>
  <xltc:threadedComment ref="F25" dT="2026-07-17T21:48:44.588" personId="{B5AE4633-B123-4AD6-BB41-10643CE93345}" id="{BED6E884-8E93-4166-D1F9-937143D33C5B}">
    <xltc:text>Source: Caps compounding to prevent unrealistic conversion inflation.
Scenario: Upside
Status: synthetic internal planning assumption; replace with observed data before external reliance.</xltc:text>
  </xltc:threadedComment>
  <xltc:threadedComment ref="D26" dT="2026-07-17T21:48:44.605" personId="{B95CB3A1-F05B-41A9-A0BC-BA50D92D5891}" id="{56B6E736-A642-C3FC-1880-B234A7AC35F7}">
    <xltc:text>Source: Synthetic referral effect from real, permissioned outcomes.
Scenario: Conservative
Status: synthetic internal planning assumption; replace with observed data before external reliance.</xltc:text>
  </xltc:threadedComment>
  <xltc:threadedComment ref="E26" dT="2026-07-17T21:48:44.61" personId="{589783C5-4B43-439E-8935-FBFAF37E7353}" id="{C899A836-8FCB-DCB3-78E9-C3707D43F4C9}">
    <xltc:text>Source: Synthetic referral effect from real, permissioned outcomes.
Scenario: Base
Status: synthetic internal planning assumption; replace with observed data before external reliance.</xltc:text>
  </xltc:threadedComment>
  <xltc:threadedComment ref="F26" dT="2026-07-17T21:48:44.616" personId="{F7BCFDA5-EFD5-4EAF-BE4F-B3497A72197C}" id="{025103CD-3DD3-813F-44E0-0E0B14D103CE}">
    <xltc:text>Source: Synthetic referral effect from real, permissioned outcomes.
Scenario: Upside
Status: synthetic internal planning assumption; replace with observed data before external reliance.</xltc:text>
  </xltc:threadedComment>
  <xltc:threadedComment ref="D28" dT="2026-07-17T21:48:44.652" personId="{CBD50117-74C6-464D-AFCF-1CF6F0637E37}" id="{0DD0480B-C6D4-58E6-BAE4-E7C24CBF85D7}">
    <xltc:text>Source: Within GoalOS commercialization price-test ranges; not yet validated by repeated market transactions.
Scenario: Conservative
Status: synthetic internal planning assumption; replace with observed data before external reliance.</xltc:text>
  </xltc:threadedComment>
  <xltc:threadedComment ref="E28" dT="2026-07-17T21:48:44.658" personId="{67BAAF09-2418-4523-B85D-177AA33AD284}" id="{9002A517-9100-1819-90BE-C97861192E92}">
    <xltc:text>Source: Within GoalOS commercialization price-test ranges; not yet validated by repeated market transactions.
Scenario: Base
Status: synthetic internal planning assumption; replace with observed data before external reliance.</xltc:text>
  </xltc:threadedComment>
  <xltc:threadedComment ref="F28" dT="2026-07-17T21:48:44.665" personId="{4ED7D93D-FEEE-4B0E-A667-192A479E7FA3}" id="{D4CF754E-13B5-FD17-CB40-E6B4442500FF}">
    <xltc:text>Source: Within GoalOS commercialization price-test ranges; not yet validated by repeated market transactions.
Scenario: Upside
Status: synthetic internal planning assumption; replace with observed data before external reliance.</xltc:text>
  </xltc:threadedComment>
  <xltc:threadedComment ref="D29" dT="2026-07-17T21:48:44.683" personId="{F5D6886D-D25A-412F-A8A0-ED9C2C3C13BD}" id="{D248A66A-35B4-7823-155F-AAE8F496E680}">
    <xltc:text>Source: Within GoalOS commercialization price-test ranges.
Scenario: Conservative
Status: synthetic internal planning assumption; replace with observed data before external reliance.</xltc:text>
  </xltc:threadedComment>
  <xltc:threadedComment ref="E29" dT="2026-07-17T21:48:44.689" personId="{D8A19798-62FF-43DC-9D27-CA5B944FEA05}" id="{DE6EAA85-D9F6-0895-4A95-A152FA3DCDC2}">
    <xltc:text>Source: Within GoalOS commercialization price-test ranges.
Scenario: Base
Status: synthetic internal planning assumption; replace with observed data before external reliance.</xltc:text>
  </xltc:threadedComment>
  <xltc:threadedComment ref="F29" dT="2026-07-17T21:48:44.697" personId="{36EF4B81-22CB-4DD7-9850-B12158A389E5}" id="{636FDD80-1724-B46B-62FB-AFB69CB9FFB1}">
    <xltc:text>Source: Within GoalOS commercialization price-test ranges.
Scenario: Upside
Status: synthetic internal planning assumption; replace with observed data before external reliance.</xltc:text>
  </xltc:threadedComment>
  <xltc:threadedComment ref="D30" dT="2026-07-17T21:48:44.716" personId="{CB2ECAC1-01EA-4638-8504-2E8CDE84F30E}" id="{6DBBACC8-68FF-25AC-9A6D-5F7E37300578}">
    <xltc:text>Source: Within GoalOS commercialization price-test ranges.
Scenario: Conservative
Status: synthetic internal planning assumption; replace with observed data before external reliance.</xltc:text>
  </xltc:threadedComment>
  <xltc:threadedComment ref="E30" dT="2026-07-17T21:48:44.721" personId="{8DB8A23D-E9C0-4518-9EF7-F70685D51AB4}" id="{2E1A4FC0-B102-26A1-7936-AD13624B22DE}">
    <xltc:text>Source: Within GoalOS commercialization price-test ranges.
Scenario: Base
Status: synthetic internal planning assumption; replace with observed data before external reliance.</xltc:text>
  </xltc:threadedComment>
  <xltc:threadedComment ref="F30" dT="2026-07-17T21:48:44.729" personId="{EB2103D2-CD85-40F1-8F55-F8C3FAEBBD3B}" id="{0B5299B5-28C5-2BB5-836F-1546D5634F4E}">
    <xltc:text>Source: Within GoalOS commercialization price-test ranges.
Scenario: Upside
Status: synthetic internal planning assumption; replace with observed data before external reliance.</xltc:text>
  </xltc:threadedComment>
  <xltc:threadedComment ref="D31" dT="2026-07-17T21:48:44.749" personId="{7B91B445-2EDD-45AC-B2B7-B4EB984DCBB1}" id="{B8424F62-A5FF-C0CA-163B-13601025DFEC}">
    <xltc:text>Source: Assumes a related follow-on mission at the core mission price.
Scenario: Conservative
Status: synthetic internal planning assumption; replace with observed data before external reliance.</xltc:text>
  </xltc:threadedComment>
  <xltc:threadedComment ref="E31" dT="2026-07-17T21:48:44.754" personId="{20B9456F-1CC1-4B7D-9360-3338CE44E71E}" id="{AC6932CA-0460-54DC-DDBF-E1784F8A961E}">
    <xltc:text>Source: Assumes a related follow-on mission at the core mission price.
Scenario: Base
Status: synthetic internal planning assumption; replace with observed data before external reliance.</xltc:text>
  </xltc:threadedComment>
  <xltc:threadedComment ref="F31" dT="2026-07-17T21:48:44.761" personId="{D8AE8E41-20DA-4BC4-96A8-603E330A8533}" id="{D1714E5D-F1C9-0E29-53F4-6AF40B06B5C1}">
    <xltc:text>Source: Assumes a related follow-on mission at the core mission price.
Scenario: Upside
Status: synthetic internal planning assumption; replace with observed data before external reliance.</xltc:text>
  </xltc:threadedComment>
  <xltc:threadedComment ref="D32" dT="2026-07-17T21:48:44.781" personId="{EAF383C0-9B1C-447D-8601-E06D7CD749D8}" id="{1D5EDC41-0828-8056-F1AF-0C4F27F5B88E}">
    <xltc:text>Source: Within GoalOS enterprise-pilot price-test ranges.
Scenario: Conservative
Status: synthetic internal planning assumption; replace with observed data before external reliance.</xltc:text>
  </xltc:threadedComment>
  <xltc:threadedComment ref="E32" dT="2026-07-17T21:48:44.787" personId="{4C1A8535-71D6-4CFE-9BD9-8A2D8D2134CB}" id="{868E65C8-8FFC-988E-7BA6-1100D68E7928}">
    <xltc:text>Source: Within GoalOS enterprise-pilot price-test ranges.
Scenario: Base
Status: synthetic internal planning assumption; replace with observed data before external reliance.</xltc:text>
  </xltc:threadedComment>
  <xltc:threadedComment ref="F32" dT="2026-07-17T21:48:44.793" personId="{E6551513-88B8-4E38-86D6-491874CB2570}" id="{5EA57A90-822B-A269-4059-B3C7D4AD4B12}">
    <xltc:text>Source: Within GoalOS enterprise-pilot price-test ranges.
Scenario: Upside
Status: synthetic internal planning assumption; replace with observed data before external reliance.</xltc:text>
  </xltc:threadedComment>
  <xltc:threadedComment ref="D33" dT="2026-07-17T21:48:44.813" personId="{38AA3ECE-1893-4971-9187-FD8382C9B1F1}" id="{65BB0A9E-4718-CC95-F033-0676BD0DAE0B}">
    <xltc:text>Source: Within GoalOS annual contract price-test ranges.
Scenario: Conservative
Status: synthetic internal planning assumption; replace with observed data before external reliance.</xltc:text>
  </xltc:threadedComment>
  <xltc:threadedComment ref="E33" dT="2026-07-17T21:48:44.819" personId="{0B8CDE5C-AB42-4762-AF34-67797799542C}" id="{0528D2C2-91D3-8810-03E5-F2F41BA85AB7}">
    <xltc:text>Source: Within GoalOS annual contract price-test ranges.
Scenario: Base
Status: synthetic internal planning assumption; replace with observed data before external reliance.</xltc:text>
  </xltc:threadedComment>
  <xltc:threadedComment ref="F33" dT="2026-07-17T21:48:44.825" personId="{4DAF3523-18CA-4DCB-A1FC-3A3249A179B7}" id="{05BC6949-8917-856C-F942-0954966D697E}">
    <xltc:text>Source: Within GoalOS annual contract price-test ranges.
Scenario: Upside
Status: synthetic internal planning assumption; replace with observed data before external reliance.</xltc:text>
  </xltc:threadedComment>
  <xltc:threadedComment ref="D34" dT="2026-07-17T21:48:44.843" personId="{62FB7953-B5A9-4958-8E93-6719487FC8AC}" id="{59AF24F0-704D-C1DE-CA7B-85151FA43C94}">
    <xltc:text>Source: Management planning assumption.
Scenario: Conservative
Status: synthetic internal planning assumption; replace with observed data before external reliance.</xltc:text>
  </xltc:threadedComment>
  <xltc:threadedComment ref="E34" dT="2026-07-17T21:48:44.849" personId="{E586F875-184A-4C2F-95E1-12DB09DE022D}" id="{AA15ADDF-CEA9-EC13-3999-BE99164FD2EB}">
    <xltc:text>Source: Management planning assumption.
Scenario: Base
Status: synthetic internal planning assumption; replace with observed data before external reliance.</xltc:text>
  </xltc:threadedComment>
  <xltc:threadedComment ref="F34" dT="2026-07-17T21:48:44.858" personId="{391047EE-4F8E-473F-8104-FC77491783BD}" id="{56288F27-3278-6D8C-0473-7965EC796070}">
    <xltc:text>Source: Management planning assumption.
Scenario: Upside
Status: synthetic internal planning assumption; replace with observed data before external reliance.</xltc:text>
  </xltc:threadedComment>
  <xltc:threadedComment ref="D35" dT="2026-07-17T21:48:44.878" personId="{8DB07882-B0E4-4E7B-9AB6-2C5BD4D88DC0}" id="{DFE953B7-6E62-13D8-C933-51128CDCF0EE}">
    <xltc:text>Source: Management planning assumption; replace with observed retention.
Scenario: Conservative
Status: synthetic internal planning assumption; replace with observed data before external reliance.</xltc:text>
  </xltc:threadedComment>
  <xltc:threadedComment ref="E35" dT="2026-07-17T21:48:44.883" personId="{D6F295AC-B31E-4A4C-ABA6-685C8A0228F7}" id="{E62DFEEE-D2BD-EB85-C4FC-07EFF7677428}">
    <xltc:text>Source: Management planning assumption; replace with observed retention.
Scenario: Base
Status: synthetic internal planning assumption; replace with observed data before external reliance.</xltc:text>
  </xltc:threadedComment>
  <xltc:threadedComment ref="F35" dT="2026-07-17T21:48:44.89" personId="{BA83438C-F3CC-4733-A5FF-A8E5FD994868}" id="{32BFA060-B806-E31B-A01C-C2B5E29FD0A2}">
    <xltc:text>Source: Management planning assumption; replace with observed retention.
Scenario: Upside
Status: synthetic internal planning assumption; replace with observed data before external reliance.</xltc:text>
  </xltc:threadedComment>
  <xltc:threadedComment ref="D37" dT="2026-07-17T21:48:44.919" personId="{9A1A0F27-0D2A-40B4-B1E3-E52871D2DD13}" id="{DF84CB0E-03F8-FAED-1B53-AEE438CA315B}">
    <xltc:text>Source: Internal delivery estimate.
Scenario: Conservative
Status: synthetic internal planning assumption; replace with observed data before external reliance.</xltc:text>
  </xltc:threadedComment>
  <xltc:threadedComment ref="E37" dT="2026-07-17T21:48:44.925" personId="{6C078093-7F68-44C6-B1B7-4F4A85AD0944}" id="{4196140F-C134-034E-BD54-4258B8EC8212}">
    <xltc:text>Source: Internal delivery estimate.
Scenario: Base
Status: synthetic internal planning assumption; replace with observed data before external reliance.</xltc:text>
  </xltc:threadedComment>
  <xltc:threadedComment ref="F37" dT="2026-07-17T21:48:44.941" personId="{549A1843-520F-49F4-B442-4F0CC2C81ED2}" id="{0BA7A8D8-0965-904E-8904-20A08F2399E0}">
    <xltc:text>Source: Internal delivery estimate.
Scenario: Upside
Status: synthetic internal planning assumption; replace with observed data before external reliance.</xltc:text>
  </xltc:threadedComment>
  <xltc:threadedComment ref="D38" dT="2026-07-17T21:48:44.963" personId="{49D254C1-CA4B-4AD3-AA29-0619BC65F8AD}" id="{DA8F3B84-C442-7579-D6A9-D02D7AD175C6}">
    <xltc:text>Source: Internal delivery estimate.
Scenario: Conservative
Status: synthetic internal planning assumption; replace with observed data before external reliance.</xltc:text>
  </xltc:threadedComment>
  <xltc:threadedComment ref="E38" dT="2026-07-17T21:48:44.969" personId="{7C382806-845F-4ECA-AC24-3775A1DEADDA}" id="{AB0ADBAB-2BD4-F1AE-50B5-06CE96FE3D7E}">
    <xltc:text>Source: Internal delivery estimate.
Scenario: Base
Status: synthetic internal planning assumption; replace with observed data before external reliance.</xltc:text>
  </xltc:threadedComment>
  <xltc:threadedComment ref="F38" dT="2026-07-17T21:48:44.975" personId="{1CC7A46A-BD2D-4EB6-AFE2-51AA1D9001D5}" id="{14557B0C-17B2-02EA-F225-635710E6F3EC}">
    <xltc:text>Source: Internal delivery estimate.
Scenario: Upside
Status: synthetic internal planning assumption; replace with observed data before external reliance.</xltc:text>
  </xltc:threadedComment>
  <xltc:threadedComment ref="D39" dT="2026-07-17T21:48:44.994" personId="{24A4023C-567A-404D-9457-01B2511340E1}" id="{F8641309-3FFE-57EB-977F-CC595B9B386C}">
    <xltc:text>Source: Internal delivery estimate.
Scenario: Conservative
Status: synthetic internal planning assumption; replace with observed data before external reliance.</xltc:text>
  </xltc:threadedComment>
  <xltc:threadedComment ref="E39" dT="2026-07-17T21:48:45" personId="{40883814-BD95-4871-B878-0452436A67E5}" id="{E70971B4-51D8-02B6-9022-AB7B78CF99F5}">
    <xltc:text>Source: Internal delivery estimate.
Scenario: Base
Status: synthetic internal planning assumption; replace with observed data before external reliance.</xltc:text>
  </xltc:threadedComment>
  <xltc:threadedComment ref="F39" dT="2026-07-17T21:48:45.006" personId="{F1DAE983-4832-4021-8651-2D01F4549FDE}" id="{51DF6953-EB5C-6A7B-2041-ECB7327B3A1E}">
    <xltc:text>Source: Internal delivery estimate.
Scenario: Upside
Status: synthetic internal planning assumption; replace with observed data before external reliance.</xltc:text>
  </xltc:threadedComment>
  <xltc:threadedComment ref="D40" dT="2026-07-17T21:48:45.026" personId="{663CBFD5-D7E2-493B-B4EC-CD48E02E170B}" id="{A9B8EB9E-846F-0E68-FB08-6096AD298D08}">
    <xltc:text>Source: Assumes validated capability reduces repeat-mission effort.
Scenario: Conservative
Status: synthetic internal planning assumption; replace with observed data before external reliance.</xltc:text>
  </xltc:threadedComment>
  <xltc:threadedComment ref="E40" dT="2026-07-17T21:48:45.032" personId="{49EC580A-1026-4967-B666-24D2899CCD45}" id="{EDF31D78-43B6-52A9-2B22-1921512C21AC}">
    <xltc:text>Source: Assumes validated capability reduces repeat-mission effort.
Scenario: Base
Status: synthetic internal planning assumption; replace with observed data before external reliance.</xltc:text>
  </xltc:threadedComment>
  <xltc:threadedComment ref="F40" dT="2026-07-17T21:48:45.039" personId="{745F5AA5-026B-4715-BD65-AE377278A4E8}" id="{07A1623C-CBC9-7F75-2035-A4B33397BD91}">
    <xltc:text>Source: Assumes validated capability reduces repeat-mission effort.
Scenario: Upside
Status: synthetic internal planning assumption; replace with observed data before external reliance.</xltc:text>
  </xltc:threadedComment>
  <xltc:threadedComment ref="D41" dT="2026-07-17T21:48:45.059" personId="{95A09EC6-5910-496A-9A62-A0F072F15442}" id="{07CCEF91-48E1-95C8-2ABF-8828B32C2219}">
    <xltc:text>Source: Internal delivery estimate.
Scenario: Conservative
Status: synthetic internal planning assumption; replace with observed data before external reliance.</xltc:text>
  </xltc:threadedComment>
  <xltc:threadedComment ref="E41" dT="2026-07-17T21:48:45.065" personId="{4BA25906-899F-4417-8F7A-1C0645065112}" id="{1E646DB9-2CF5-5815-0815-6C751277ECAE}">
    <xltc:text>Source: Internal delivery estimate.
Scenario: Base
Status: synthetic internal planning assumption; replace with observed data before external reliance.</xltc:text>
  </xltc:threadedComment>
  <xltc:threadedComment ref="F41" dT="2026-07-17T21:48:45.071" personId="{373366D4-7F57-4C7F-847C-4663332D0CDC}" id="{D49A5B00-AE45-93DA-3570-53A7FFF3A732}">
    <xltc:text>Source: Internal delivery estimate.
Scenario: Upside
Status: synthetic internal planning assumption; replace with observed data before external reliance.</xltc:text>
  </xltc:threadedComment>
  <xltc:threadedComment ref="D42" dT="2026-07-17T21:48:45.091" personId="{E6606AA1-B649-40E4-932B-465790363788}" id="{4B639F8D-BF25-3A2D-ABA1-307AF9BC03AE}">
    <xltc:text>Source: Internal customer-success and proof-operations estimate.
Scenario: Conservative
Status: synthetic internal planning assumption; replace with observed data before external reliance.</xltc:text>
  </xltc:threadedComment>
  <xltc:threadedComment ref="E42" dT="2026-07-17T21:48:45.097" personId="{7B913142-DC21-46A5-B6E4-3632601993C4}" id="{DD313B81-C0AB-5213-AB8E-0F4A0DFF95DC}">
    <xltc:text>Source: Internal customer-success and proof-operations estimate.
Scenario: Base
Status: synthetic internal planning assumption; replace with observed data before external reliance.</xltc:text>
  </xltc:threadedComment>
  <xltc:threadedComment ref="F42" dT="2026-07-17T21:48:45.103" personId="{2249F4A2-6E3D-469D-A102-4334A7906D95}" id="{C6D077BD-A037-1E9A-441F-5F2680B5562E}">
    <xltc:text>Source: Internal customer-success and proof-operations estimate.
Scenario: Upside
Status: synthetic internal planning assumption; replace with observed data before external reliance.</xltc:text>
  </xltc:threadedComment>
  <xltc:threadedComment ref="D43" dT="2026-07-17T21:48:45.123" personId="{6D2E3971-6C7A-4695-80D7-51B61A3DD6CF}" id="{F32755B3-49D9-75D4-83D4-441C31B4FE47}">
    <xltc:text>Source: Loaded capacity after non-delivery time.
Scenario: Conservative
Status: synthetic internal planning assumption; replace with observed data before external reliance.</xltc:text>
  </xltc:threadedComment>
  <xltc:threadedComment ref="E43" dT="2026-07-17T21:48:45.129" personId="{5F79D644-26A8-4A08-88AD-60EC013B4F3D}" id="{DE0BD5C1-908B-9647-95B4-E3CC50685EE2}">
    <xltc:text>Source: Loaded capacity after non-delivery time.
Scenario: Base
Status: synthetic internal planning assumption; replace with observed data before external reliance.</xltc:text>
  </xltc:threadedComment>
  <xltc:threadedComment ref="F43" dT="2026-07-17T21:48:45.135" personId="{87BB1A15-FE2B-4A92-B89D-3BA84C0395B4}" id="{395A0751-80AE-55C8-6ACA-B1963282C466}">
    <xltc:text>Source: Loaded capacity after non-delivery time.
Scenario: Upside
Status: synthetic internal planning assumption; replace with observed data before external reliance.</xltc:text>
  </xltc:threadedComment>
  <xltc:threadedComment ref="D44" dT="2026-07-17T21:48:45.155" personId="{18E7F988-A52A-436B-B902-66EB18B2689C}" id="{CAAACC7C-ACD5-2E1C-CF5C-1D18801F3B4E}">
    <xltc:text>Source: Management staffing assumption.
Scenario: Conservative
Status: synthetic internal planning assumption; replace with observed data before external reliance.</xltc:text>
  </xltc:threadedComment>
  <xltc:threadedComment ref="E44" dT="2026-07-17T21:48:45.163" personId="{3A78B63E-BA26-4530-A68E-788C5452EA65}" id="{CF12DFF5-E0E0-7A03-CC4B-9C18DA060C4E}">
    <xltc:text>Source: Management staffing assumption.
Scenario: Base
Status: synthetic internal planning assumption; replace with observed data before external reliance.</xltc:text>
  </xltc:threadedComment>
  <xltc:threadedComment ref="F44" dT="2026-07-17T21:48:45.17" personId="{B661678F-DF96-4D71-A17E-13C67F55BF1D}" id="{40428B7B-D88B-CB19-B9F0-9630171FEB50}">
    <xltc:text>Source: Management staffing assumption.
Scenario: Upside
Status: synthetic internal planning assumption; replace with observed data before external reliance.</xltc:text>
  </xltc:threadedComment>
  <xltc:threadedComment ref="D45" dT="2026-07-17T21:48:45.192" personId="{178A2855-0B78-4CEE-8CA8-77BD97324A05}" id="{7CEBFECC-DF9F-0417-0958-DB90AE8AAA1F}">
    <xltc:text>Source: Salary, benefits, payroll burden, and employer costs.
Scenario: Conservative
Status: synthetic internal planning assumption; replace with observed data before external reliance.</xltc:text>
  </xltc:threadedComment>
  <xltc:threadedComment ref="E45" dT="2026-07-17T21:48:45.202" personId="{4416B27B-6A8D-49C3-89F2-9ADF6ADF80B8}" id="{18CE4CF1-7401-725C-3CB9-CCEAAD488003}">
    <xltc:text>Source: Salary, benefits, payroll burden, and employer costs.
Scenario: Base
Status: synthetic internal planning assumption; replace with observed data before external reliance.</xltc:text>
  </xltc:threadedComment>
  <xltc:threadedComment ref="F45" dT="2026-07-17T21:48:45.209" personId="{B8AE586D-0A15-4391-943D-AE76F918E8E2}" id="{52E9C645-B056-4810-01AA-286D1DCCFEE5}">
    <xltc:text>Source: Salary, benefits, payroll burden, and employer costs.
Scenario: Upside
Status: synthetic internal planning assumption; replace with observed data before external reliance.</xltc:text>
  </xltc:threadedComment>
  <xltc:threadedComment ref="D46" dT="2026-07-17T21:48:45.229" personId="{DE7B5D5A-1A45-40A7-B039-723E8194F27B}" id="{3A3BEB30-6C4C-7465-99EB-2485B498E5D3}">
    <xltc:text>Source: Synthetic Chronicle-assisted improvement assumption.
Scenario: Conservative
Status: synthetic internal planning assumption; replace with observed data before external reliance.</xltc:text>
  </xltc:threadedComment>
  <xltc:threadedComment ref="E46" dT="2026-07-17T21:48:45.239" personId="{DF5DCACB-333C-47AE-9300-47C17E183333}" id="{EE1C058D-7EA0-DB7B-1D3A-3EF856A2075B}">
    <xltc:text>Source: Synthetic Chronicle-assisted improvement assumption.
Scenario: Base
Status: synthetic internal planning assumption; replace with observed data before external reliance.</xltc:text>
  </xltc:threadedComment>
  <xltc:threadedComment ref="F46" dT="2026-07-17T21:48:45.245" personId="{088007EB-FF53-413F-BA2F-2F9C106FC583}" id="{B700D16E-3401-510B-82C6-EE9331DD9A66}">
    <xltc:text>Source: Synthetic Chronicle-assisted improvement assumption.
Scenario: Upside
Status: synthetic internal planning assumption; replace with observed data before external reliance.</xltc:text>
  </xltc:threadedComment>
  <xltc:threadedComment ref="D47" dT="2026-07-17T21:48:45.266" personId="{29936F51-6BFF-4CFB-BBBD-5A03D75B81D8}" id="{1EBEE537-D910-9DFE-023F-6A5B5D84F63E}">
    <xltc:text>Source: Caps automation and reuse efficiency.
Scenario: Conservative
Status: synthetic internal planning assumption; replace with observed data before external reliance.</xltc:text>
  </xltc:threadedComment>
  <xltc:threadedComment ref="E47" dT="2026-07-17T21:48:45.273" personId="{7352DA1E-6A85-4F03-98C0-EC946934A8C1}" id="{BF30134C-6454-105B-4F10-32BA76CC42F6}">
    <xltc:text>Source: Caps automation and reuse efficiency.
Scenario: Base
Status: synthetic internal planning assumption; replace with observed data before external reliance.</xltc:text>
  </xltc:threadedComment>
  <xltc:threadedComment ref="F47" dT="2026-07-17T21:48:45.282" personId="{337D5C2C-55D8-42AC-BDA4-48C123CC6DAA}" id="{14B562DA-0DCA-FE68-D221-3E5B26466CAA}">
    <xltc:text>Source: Caps automation and reuse efficiency.
Scenario: Upside
Status: synthetic internal planning assumption; replace with observed data before external reliance.</xltc:text>
  </xltc:threadedComment>
  <xltc:threadedComment ref="D48" dT="2026-07-17T21:48:45.303" personId="{C0EBBC3E-61C5-4371-B8B3-34452C472B3E}" id="{F44B0983-4F8F-88A3-5153-3CA3AD289325}">
    <xltc:text>Source: Internal model, tooling, and review-cost estimate.
Scenario: Conservative
Status: synthetic internal planning assumption; replace with observed data before external reliance.</xltc:text>
  </xltc:threadedComment>
  <xltc:threadedComment ref="E48" dT="2026-07-17T21:48:45.31" personId="{9E74EA71-FCC6-4C5F-A3AB-B9EF59C4ECB3}" id="{63CEC0A5-7A65-273A-1B31-75B4B8907A66}">
    <xltc:text>Source: Internal model, tooling, and review-cost estimate.
Scenario: Base
Status: synthetic internal planning assumption; replace with observed data before external reliance.</xltc:text>
  </xltc:threadedComment>
  <xltc:threadedComment ref="F48" dT="2026-07-17T21:48:45.317" personId="{D2DA17F9-0CAC-44A8-9EF2-6C8D72317125}" id="{7E986B9A-3FBF-97D1-52C4-194517756605}">
    <xltc:text>Source: Internal model, tooling, and review-cost estimate.
Scenario: Upside
Status: synthetic internal planning assumption; replace with observed data before external reliance.</xltc:text>
  </xltc:threadedComment>
  <xltc:threadedComment ref="D49" dT="2026-07-17T21:48:45.339" personId="{C7FA6CD4-F8A2-41AE-9B2B-88844CCB4E7D}" id="{084751B8-8299-2E5E-62F8-1E796FDC14CE}">
    <xltc:text>Source: Internal model, tooling, and review-cost estimate.
Scenario: Conservative
Status: synthetic internal planning assumption; replace with observed data before external reliance.</xltc:text>
  </xltc:threadedComment>
  <xltc:threadedComment ref="E49" dT="2026-07-17T21:48:45.348" personId="{4A92DAC6-12A1-4697-AE6B-5981CA665CD2}" id="{831561AD-8825-42E1-F1A0-D7C1548B24CB}">
    <xltc:text>Source: Internal model, tooling, and review-cost estimate.
Scenario: Base
Status: synthetic internal planning assumption; replace with observed data before external reliance.</xltc:text>
  </xltc:threadedComment>
  <xltc:threadedComment ref="F49" dT="2026-07-17T21:48:45.354" personId="{8A3FBBAF-77EB-4363-BE72-0AC342ABEC34}" id="{0C0CFE2A-CFD8-FFEE-8B74-E610CBA19AF0}">
    <xltc:text>Source: Internal model, tooling, and review-cost estimate.
Scenario: Upside
Status: synthetic internal planning assumption; replace with observed data before external reliance.</xltc:text>
  </xltc:threadedComment>
  <xltc:threadedComment ref="D50" dT="2026-07-17T21:48:45.379" personId="{13CA51CE-C547-4716-8007-9050FEA56C5E}" id="{29AF4F07-18FE-4CB3-7E37-62B14FC72BCF}">
    <xltc:text>Source: Internal model, tooling, and review-cost estimate.
Scenario: Conservative
Status: synthetic internal planning assumption; replace with observed data before external reliance.</xltc:text>
  </xltc:threadedComment>
  <xltc:threadedComment ref="E50" dT="2026-07-17T21:48:45.386" personId="{101592D3-B5B4-48B4-8FA3-3826720D441F}" id="{CCD0DA05-308A-24C9-6003-6EC8499BA06A}">
    <xltc:text>Source: Internal model, tooling, and review-cost estimate.
Scenario: Base
Status: synthetic internal planning assumption; replace with observed data before external reliance.</xltc:text>
  </xltc:threadedComment>
  <xltc:threadedComment ref="F50" dT="2026-07-17T21:48:45.392" personId="{B6DEB208-DD19-4CBE-97D1-77CC62F43A57}" id="{39430F1D-93D0-9208-EC0A-9D23E39EE5CD}">
    <xltc:text>Source: Internal model, tooling, and review-cost estimate.
Scenario: Upside
Status: synthetic internal planning assumption; replace with observed data before external reliance.</xltc:text>
  </xltc:threadedComment>
  <xltc:threadedComment ref="D51" dT="2026-07-17T21:48:45.414" personId="{7E3EF99F-5234-42A3-AA36-331F397CE8C8}" id="{78BF531F-CA12-AD3E-40E0-9CCEC934B74C}">
    <xltc:text>Source: Internal model, tooling, and review-cost estimate.
Scenario: Conservative
Status: synthetic internal planning assumption; replace with observed data before external reliance.</xltc:text>
  </xltc:threadedComment>
  <xltc:threadedComment ref="E51" dT="2026-07-17T21:48:45.42" personId="{69F03361-334D-4A12-B5C8-57293C71512E}" id="{C1BF1008-FD14-8320-ECB8-443005B15D03}">
    <xltc:text>Source: Internal model, tooling, and review-cost estimate.
Scenario: Base
Status: synthetic internal planning assumption; replace with observed data before external reliance.</xltc:text>
  </xltc:threadedComment>
  <xltc:threadedComment ref="F51" dT="2026-07-17T21:48:45.426" personId="{C85A1BBC-9913-42C0-B1B5-8CFB3666474A}" id="{4E720391-33A8-5821-BFEB-FBDEF68DD66F}">
    <xltc:text>Source: Internal model, tooling, and review-cost estimate.
Scenario: Upside
Status: synthetic internal planning assumption; replace with observed data before external reliance.</xltc:text>
  </xltc:threadedComment>
  <xltc:threadedComment ref="D52" dT="2026-07-17T21:48:45.447" personId="{029484DD-1BB9-4EE8-8BB5-841F8E66B994}" id="{1CA26827-EEF7-B876-BFFB-FE007B84A0BE}">
    <xltc:text>Source: Internal model, tooling, and review-cost estimate.
Scenario: Conservative
Status: synthetic internal planning assumption; replace with observed data before external reliance.</xltc:text>
  </xltc:threadedComment>
  <xltc:threadedComment ref="E52" dT="2026-07-17T21:48:45.453" personId="{758CA7A5-2533-46C8-B821-0E73E61E2221}" id="{9B7CF64F-0742-77B9-4DB6-49E8F6CBBCA9}">
    <xltc:text>Source: Internal model, tooling, and review-cost estimate.
Scenario: Base
Status: synthetic internal planning assumption; replace with observed data before external reliance.</xltc:text>
  </xltc:threadedComment>
  <xltc:threadedComment ref="F52" dT="2026-07-17T21:48:45.463" personId="{98681D72-53E0-44ED-8985-B64238400FF5}" id="{889CD90F-0616-2287-AE7A-FA116EB1669E}">
    <xltc:text>Source: Internal model, tooling, and review-cost estimate.
Scenario: Upside
Status: synthetic internal planning assumption; replace with observed data before external reliance.</xltc:text>
  </xltc:threadedComment>
  <xltc:threadedComment ref="D53" dT="2026-07-17T21:48:45.483" personId="{151A5CFC-EDDC-4C0B-8243-317DF5D061EB}" id="{A8D115F3-46AA-23E0-2A37-A8327ECC3607}">
    <xltc:text>Source: Internal model, tooling, and review-cost estimate.
Scenario: Conservative
Status: synthetic internal planning assumption; replace with observed data before external reliance.</xltc:text>
  </xltc:threadedComment>
  <xltc:threadedComment ref="E53" dT="2026-07-17T21:48:45.489" personId="{FB68DDB7-EA86-4678-A05D-F1083F9E1125}" id="{93224F82-C9EE-3ED1-877F-78DF94693592}">
    <xltc:text>Source: Internal model, tooling, and review-cost estimate.
Scenario: Base
Status: synthetic internal planning assumption; replace with observed data before external reliance.</xltc:text>
  </xltc:threadedComment>
  <xltc:threadedComment ref="F53" dT="2026-07-17T21:48:45.496" personId="{4E180F1C-0097-45C1-84F6-9F04AD0E7733}" id="{DF93C689-BA21-0385-166D-BE33BDE33DE2}">
    <xltc:text>Source: Internal model, tooling, and review-cost estimate.
Scenario: Upside
Status: synthetic internal planning assumption; replace with observed data before external reliance.</xltc:text>
  </xltc:threadedComment>
  <xltc:threadedComment ref="D55" dT="2026-07-17T21:48:45.534" personId="{AD83AF7E-6900-45DF-9BFF-4152782ED157}" id="{A55643B2-E305-E548-5ED2-88F666034A65}">
    <xltc:text>Source: Management staffing assumption.
Scenario: Conservative
Status: synthetic internal planning assumption; replace with observed data before external reliance.</xltc:text>
  </xltc:threadedComment>
  <xltc:threadedComment ref="E55" dT="2026-07-17T21:48:45.54" personId="{A3DE51D2-8463-46C4-8937-D6C3A2DDAC2A}" id="{8251A03C-76E9-BE92-BC65-F2DAB4891852}">
    <xltc:text>Source: Management staffing assumption.
Scenario: Base
Status: synthetic internal planning assumption; replace with observed data before external reliance.</xltc:text>
  </xltc:threadedComment>
  <xltc:threadedComment ref="F55" dT="2026-07-17T21:48:45.548" personId="{D15C1E66-06DB-428C-AE29-471AE20A89B1}" id="{490580ED-B770-42EC-EA65-2EF76DB54C8E}">
    <xltc:text>Source: Management staffing assumption.
Scenario: Upside
Status: synthetic internal planning assumption; replace with observed data before external reliance.</xltc:text>
  </xltc:threadedComment>
  <xltc:threadedComment ref="D56" dT="2026-07-17T21:48:45.57" personId="{E17BE38C-A0F4-43F3-8DD5-A4343A29822A}" id="{2B9B8190-B5FA-5DAC-4F70-8915CEEDA6B2}">
    <xltc:text>Source: Management staffing assumption.
Scenario: Conservative
Status: synthetic internal planning assumption; replace with observed data before external reliance.</xltc:text>
  </xltc:threadedComment>
  <xltc:threadedComment ref="E56" dT="2026-07-17T21:48:45.578" personId="{E9A84DD8-7064-4EFC-ADED-BFBF4BD6D9E1}" id="{B0AFABA6-2FD7-9BD8-AB78-37A0799E298B}">
    <xltc:text>Source: Management staffing assumption.
Scenario: Base
Status: synthetic internal planning assumption; replace with observed data before external reliance.</xltc:text>
  </xltc:threadedComment>
  <xltc:threadedComment ref="F56" dT="2026-07-17T21:48:45.585" personId="{49853EE7-0BA4-4867-B7AD-B03940160196}" id="{62C3D179-FDC8-456D-F553-8C92696A6454}">
    <xltc:text>Source: Management staffing assumption.
Scenario: Upside
Status: synthetic internal planning assumption; replace with observed data before external reliance.</xltc:text>
  </xltc:threadedComment>
  <xltc:threadedComment ref="D57" dT="2026-07-17T21:48:45.606" personId="{9FE69232-B76B-4117-9ED8-40931A757860}" id="{17D523D7-8580-883B-F844-C3E3B179B68B}">
    <xltc:text>Source: Management staffing assumption.
Scenario: Conservative
Status: synthetic internal planning assumption; replace with observed data before external reliance.</xltc:text>
  </xltc:threadedComment>
  <xltc:threadedComment ref="E57" dT="2026-07-17T21:48:45.613" personId="{AF165E59-6F70-455C-B936-1358F5CD53A7}" id="{7E9BDFF9-F2CF-21B9-5A10-8523BDDC9870}">
    <xltc:text>Source: Management staffing assumption.
Scenario: Base
Status: synthetic internal planning assumption; replace with observed data before external reliance.</xltc:text>
  </xltc:threadedComment>
  <xltc:threadedComment ref="F57" dT="2026-07-17T21:48:45.619" personId="{65A94FFE-DF18-419C-B527-0D5A9CDCC4DE}" id="{C9E3707C-A951-ECD3-3312-1ED8CCAC1D6A}">
    <xltc:text>Source: Management staffing assumption.
Scenario: Upside
Status: synthetic internal planning assumption; replace with observed data before external reliance.</xltc:text>
  </xltc:threadedComment>
  <xltc:threadedComment ref="D58" dT="2026-07-17T21:48:45.64" personId="{00E2B4D5-7846-4C5C-A27D-8D6ACFEC2705}" id="{2A541355-F551-5D93-05FA-1A9EF673E5C0}">
    <xltc:text>Source: Management staffing assumption.
Scenario: Conservative
Status: synthetic internal planning assumption; replace with observed data before external reliance.</xltc:text>
  </xltc:threadedComment>
  <xltc:threadedComment ref="E58" dT="2026-07-17T21:48:45.648" personId="{59474EC6-C18B-4A67-A0AA-74A603A4BF4E}" id="{0FAD7FB8-EFA0-F1F8-4213-1B551172194D}">
    <xltc:text>Source: Management staffing assumption.
Scenario: Base
Status: synthetic internal planning assumption; replace with observed data before external reliance.</xltc:text>
  </xltc:threadedComment>
  <xltc:threadedComment ref="F58" dT="2026-07-17T21:48:45.655" personId="{A49850BA-602F-44A0-A1D0-19A216BB2A6C}" id="{84CB10FD-01EB-8461-56AE-4306CF55597B}">
    <xltc:text>Source: Management staffing assumption.
Scenario: Upside
Status: synthetic internal planning assumption; replace with observed data before external reliance.</xltc:text>
  </xltc:threadedComment>
  <xltc:threadedComment ref="D59" dT="2026-07-17T21:48:45.676" personId="{716FE688-F299-415C-97BB-C6FFEF1C56D2}" id="{9B81EEDA-0BB3-C6AE-BCE7-16B3C3826AC1}">
    <xltc:text>Source: Internal productivity assumption.
Scenario: Conservative
Status: synthetic internal planning assumption; replace with observed data before external reliance.</xltc:text>
  </xltc:threadedComment>
  <xltc:threadedComment ref="E59" dT="2026-07-17T21:48:45.693" personId="{F1816694-87C3-4483-8235-20027406B144}" id="{B930B2FA-6C1F-8C81-1139-EDC65141D4E8}">
    <xltc:text>Source: Internal productivity assumption.
Scenario: Base
Status: synthetic internal planning assumption; replace with observed data before external reliance.</xltc:text>
  </xltc:threadedComment>
  <xltc:threadedComment ref="F59" dT="2026-07-17T21:48:45.7" personId="{CDA64616-EAC1-4B36-B5AF-4E3FDAD05A4D}" id="{E9FF32B2-6177-AC57-AD94-3C2987404BBC}">
    <xltc:text>Source: Internal productivity assumption.
Scenario: Upside
Status: synthetic internal planning assumption; replace with observed data before external reliance.</xltc:text>
  </xltc:threadedComment>
  <xltc:threadedComment ref="D60" dT="2026-07-17T21:48:45.723" personId="{C87AFC87-F87B-4BE5-A35C-B07C6989399C}" id="{CA2DD854-A891-F0C3-8089-381254DE3B5C}">
    <xltc:text>Source: Management staffing assumption.
Scenario: Conservative
Status: synthetic internal planning assumption; replace with observed data before external reliance.</xltc:text>
  </xltc:threadedComment>
  <xltc:threadedComment ref="E60" dT="2026-07-17T21:48:45.73" personId="{0042CB04-EEC5-436A-BFD7-4445967E0E56}" id="{95E2FF5B-64AF-E393-20B0-22D5287A8631}">
    <xltc:text>Source: Management staffing assumption.
Scenario: Base
Status: synthetic internal planning assumption; replace with observed data before external reliance.</xltc:text>
  </xltc:threadedComment>
  <xltc:threadedComment ref="F60" dT="2026-07-17T21:48:45.738" personId="{56CD7F3A-F246-4EB4-901E-B53E8CFF7D1E}" id="{FBF0BDA8-553B-35AC-C53C-AA5C019375AE}">
    <xltc:text>Source: Management staffing assumption.
Scenario: Upside
Status: synthetic internal planning assumption; replace with observed data before external reliance.</xltc:text>
  </xltc:threadedComment>
  <xltc:threadedComment ref="D61" dT="2026-07-17T21:48:45.76" personId="{0B4684D3-4463-4523-BA98-56EC9CC12B74}" id="{1EDE18F9-50C2-B6CE-0961-43D86BA86E16}">
    <xltc:text>Source: Management staffing assumption.
Scenario: Conservative
Status: synthetic internal planning assumption; replace with observed data before external reliance.</xltc:text>
  </xltc:threadedComment>
  <xltc:threadedComment ref="E61" dT="2026-07-17T21:48:45.767" personId="{D04A9B5C-48F0-4B5E-BB53-AAD1CAF8AE59}" id="{6BAF2259-D8F5-D607-6077-5748309B4A5C}">
    <xltc:text>Source: Management staffing assumption.
Scenario: Base
Status: synthetic internal planning assumption; replace with observed data before external reliance.</xltc:text>
  </xltc:threadedComment>
  <xltc:threadedComment ref="F61" dT="2026-07-17T21:48:45.776" personId="{90613232-7CE9-4EC8-95AE-2CFBB62EC84F}" id="{CC4B8866-A77E-4CFA-FE48-0FA0A46693D0}">
    <xltc:text>Source: Management staffing assumption.
Scenario: Upside
Status: synthetic internal planning assumption; replace with observed data before external reliance.</xltc:text>
  </xltc:threadedComment>
  <xltc:threadedComment ref="D62" dT="2026-07-17T21:48:45.797" personId="{B3A5A94E-C219-4905-810C-27A0B4871AD1}" id="{1817FD5E-8D42-59AB-E1B2-558678B2B13B}">
    <xltc:text>Source: Management staffing assumption.
Scenario: Conservative
Status: synthetic internal planning assumption; replace with observed data before external reliance.</xltc:text>
  </xltc:threadedComment>
  <xltc:threadedComment ref="E62" dT="2026-07-17T21:48:45.804" personId="{28D65504-217B-4D89-9A25-B8A5F268927C}" id="{1D6AE764-6474-E1A9-D367-724F48F86708}">
    <xltc:text>Source: Management staffing assumption.
Scenario: Base
Status: synthetic internal planning assumption; replace with observed data before external reliance.</xltc:text>
  </xltc:threadedComment>
  <xltc:threadedComment ref="F62" dT="2026-07-17T21:48:45.81" personId="{B88FE084-BFF8-47F2-8CA2-BFCB7E6C05BA}" id="{120841A6-1A74-F34F-5C96-14483438523E}">
    <xltc:text>Source: Management staffing assumption.
Scenario: Upside
Status: synthetic internal planning assumption; replace with observed data before external reliance.</xltc:text>
  </xltc:threadedComment>
  <xltc:threadedComment ref="D63" dT="2026-07-17T21:48:45.831" personId="{96A01266-248A-4B2F-AB15-800A6C3459D7}" id="{0FE81D88-B83A-4517-06A3-07C14223E111}">
    <xltc:text>Source: Management staffing assumption.
Scenario: Conservative
Status: synthetic internal planning assumption; replace with observed data before external reliance.</xltc:text>
  </xltc:threadedComment>
  <xltc:threadedComment ref="E63" dT="2026-07-17T21:48:45.839" personId="{05630EE5-DBAB-40FC-88E1-7350412BEC20}" id="{70527F03-23FB-3308-51D4-B03D6A87E04C}">
    <xltc:text>Source: Management staffing assumption.
Scenario: Base
Status: synthetic internal planning assumption; replace with observed data before external reliance.</xltc:text>
  </xltc:threadedComment>
  <xltc:threadedComment ref="F63" dT="2026-07-17T21:48:45.846" personId="{35CF32D0-7A6F-47F3-BFDC-7861EC371AF3}" id="{E6073104-66F0-2123-8028-07DB75AC81CD}">
    <xltc:text>Source: Management staffing assumption.
Scenario: Upside
Status: synthetic internal planning assumption; replace with observed data before external reliance.</xltc:text>
  </xltc:threadedComment>
  <xltc:threadedComment ref="D64" dT="2026-07-17T21:48:45.866" personId="{42534BF8-4705-485D-956E-3AE542009936}" id="{4E524AA3-B322-E97D-720B-D8D27F80D2B1}">
    <xltc:text>Source: Management investment assumption.
Scenario: Conservative
Status: synthetic internal planning assumption; replace with observed data before external reliance.</xltc:text>
  </xltc:threadedComment>
  <xltc:threadedComment ref="E64" dT="2026-07-17T21:48:45.875" personId="{FB257AF2-30AE-4612-A258-EAF8416B3958}" id="{C0F925AB-763E-1751-D7FB-CA3A90D06E7E}">
    <xltc:text>Source: Management investment assumption.
Scenario: Base
Status: synthetic internal planning assumption; replace with observed data before external reliance.</xltc:text>
  </xltc:threadedComment>
  <xltc:threadedComment ref="F64" dT="2026-07-17T21:48:45.885" personId="{3F0D7870-A93F-4A5A-9B5F-1C10FDDB4D13}" id="{F554A384-21EC-A46B-4D29-D1996F1D83D7}">
    <xltc:text>Source: Management investment assumption.
Scenario: Upside
Status: synthetic internal planning assumption; replace with observed data before external reliance.</xltc:text>
  </xltc:threadedComment>
  <xltc:threadedComment ref="D65" dT="2026-07-17T21:48:45.908" personId="{2FD35287-F425-4D67-AAE4-3E468C9A2D7C}" id="{4CF1180C-C4E7-EF52-0B35-4AB160B64874}">
    <xltc:text>Source: Management investment assumption.
Scenario: Conservative
Status: synthetic internal planning assumption; replace with observed data before external reliance.</xltc:text>
  </xltc:threadedComment>
  <xltc:threadedComment ref="E65" dT="2026-07-17T21:48:45.915" personId="{3717DDBB-6D6D-4CCE-88D4-7CA30C8B35D0}" id="{76172F8D-8D78-A7B4-19DF-FD3BEFB6E14C}">
    <xltc:text>Source: Management investment assumption.
Scenario: Base
Status: synthetic internal planning assumption; replace with observed data before external reliance.</xltc:text>
  </xltc:threadedComment>
  <xltc:threadedComment ref="F65" dT="2026-07-17T21:48:45.923" personId="{6E27B918-4DEA-4AA1-8684-AB91E1392A8A}" id="{9F5D3AFE-D81F-C7CC-FCF7-167B765ED77F}">
    <xltc:text>Source: Management investment assumption.
Scenario: Upside
Status: synthetic internal planning assumption; replace with observed data before external reliance.</xltc:text>
  </xltc:threadedComment>
  <xltc:threadedComment ref="D66" dT="2026-07-17T21:48:45.948" personId="{8BDE5E7C-4EE5-4ACB-A8B9-CC787A3AF0EA}" id="{08BF6791-B43E-CD1A-3290-840D1B798170}">
    <xltc:text>Source: Cloud, models, tools, evaluation, data, and infrastructure.
Scenario: Conservative
Status: synthetic internal planning assumption; replace with observed data before external reliance.</xltc:text>
  </xltc:threadedComment>
  <xltc:threadedComment ref="E66" dT="2026-07-17T21:48:45.956" personId="{735A7FDA-6A49-41CC-8132-6A89C98FA052}" id="{C3D244D4-2F9C-ED85-B90B-E7AD7D8720E8}">
    <xltc:text>Source: Cloud, models, tools, evaluation, data, and infrastructure.
Scenario: Base
Status: synthetic internal planning assumption; replace with observed data before external reliance.</xltc:text>
  </xltc:threadedComment>
  <xltc:threadedComment ref="F66" dT="2026-07-17T21:48:45.963" personId="{C78C431C-6E4B-4075-B0F2-46385649427B}" id="{1C7AEA22-F582-9E4C-7832-CABD4F13C86B}">
    <xltc:text>Source: Cloud, models, tools, evaluation, data, and infrastructure.
Scenario: Upside
Status: synthetic internal planning assumption; replace with observed data before external reliance.</xltc:text>
  </xltc:threadedComment>
  <xltc:threadedComment ref="D67" dT="2026-07-17T21:48:45.988" personId="{6215972D-26E3-4C86-9503-C4BFCF37DFE0}" id="{DCBC98FA-C1F2-CAD9-6196-1CAE3A523821}">
    <xltc:text>Source: Legal, accounting, insurance, office, and administrative costs.
Scenario: Conservative
Status: synthetic internal planning assumption; replace with observed data before external reliance.</xltc:text>
  </xltc:threadedComment>
  <xltc:threadedComment ref="E67" dT="2026-07-17T21:48:45.996" personId="{2E296D80-2C77-4713-BD2B-A6AF6639CF00}" id="{A15B6D38-1114-CF73-8B40-9D26036A12DA}">
    <xltc:text>Source: Legal, accounting, insurance, office, and administrative costs.
Scenario: Base
Status: synthetic internal planning assumption; replace with observed data before external reliance.</xltc:text>
  </xltc:threadedComment>
  <xltc:threadedComment ref="F67" dT="2026-07-17T21:48:46.004" personId="{4AB33660-2DB7-497F-BEB2-81B94235E470}" id="{F8654403-A7E2-B1FA-E20E-D0A96E43C422}">
    <xltc:text>Source: Legal, accounting, insurance, office, and administrative costs.
Scenario: Upside
Status: synthetic internal planning assumption; replace with observed data before external reliance.</xltc:text>
  </xltc:threadedComment>
  <xltc:threadedComment ref="D68" dT="2026-07-17T21:48:46.025" personId="{4B35CDBC-4AD0-42AD-B1B7-BE882C89F4A7}" id="{42E4B247-79DD-5A86-70D0-1CFF22E017E0}">
    <xltc:text>Source: Management planning assumption.
Scenario: Conservative
Status: synthetic internal planning assumption; replace with observed data before external reliance.</xltc:text>
  </xltc:threadedComment>
  <xltc:threadedComment ref="E68" dT="2026-07-17T21:48:46.032" personId="{7BCDD655-7C27-4215-9860-181A016002A3}" id="{09FEFA90-8660-AB41-8CC8-BE5365694A23}">
    <xltc:text>Source: Management planning assumption.
Scenario: Base
Status: synthetic internal planning assumption; replace with observed data before external reliance.</xltc:text>
  </xltc:threadedComment>
  <xltc:threadedComment ref="F68" dT="2026-07-17T21:48:46.04" personId="{609D1914-09EF-4243-A27D-0203678F6084}" id="{1454ED3A-18BA-4272-8ADE-3CD4264A2C78}">
    <xltc:text>Source: Management planning assumption.
Scenario: Upside
Status: synthetic internal planning assumption; replace with observed data before external reliance.</xltc:text>
  </xltc:threadedComment>
  <xltc:threadedComment ref="D69" dT="2026-07-17T21:48:46.062" personId="{E0FCBE83-8B44-44EE-930E-B601E79BAD99}" id="{757372C2-9AAC-C077-465B-B7EEB2F06201}">
    <xltc:text>Source: Simplified capital-investment assumption.
Scenario: Conservative
Status: synthetic internal planning assumption; replace with observed data before external reliance.</xltc:text>
  </xltc:threadedComment>
  <xltc:threadedComment ref="E69" dT="2026-07-17T21:48:46.07" personId="{18CC897A-6573-4715-8135-9D3B852F4EE4}" id="{1881B8E6-216C-BDEE-6644-C8089BA64D22}">
    <xltc:text>Source: Simplified capital-investment assumption.
Scenario: Base
Status: synthetic internal planning assumption; replace with observed data before external reliance.</xltc:text>
  </xltc:threadedComment>
  <xltc:threadedComment ref="F69" dT="2026-07-17T21:48:46.077" personId="{6621D1F9-5DF0-4186-900E-25F05C665E2C}" id="{05306371-EE65-C9B0-DDFE-39393503CBBB}">
    <xltc:text>Source: Simplified capital-investment assumption.
Scenario: Upside
Status: synthetic internal planning assumption; replace with observed data before external reliance.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28" dT="2026-07-17T21:53:13.377" personId="{DA77312C-3D55-4F79-99B5-AB8B7F6CE834}" id="{6528C336-DA71-3386-A3FE-2B4DDF08C97E}">
    <xltc:text>Source: illustrative management assumption; replace with actual financing terms.</xltc:text>
  </xltc:threadedComment>
  <xltc:threadedComment ref="B29" dT="2026-07-17T21:53:13.388" personId="{9E59DCD2-1B99-41B4-9BD7-6DDA9C54F73D}" id="{3401AB08-B810-493C-B586-2FAA93AA637C}">
    <xltc:text>Source: illustrative management assumption; replace with actual financing terms.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0c39e624dd4b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322e7935fb744a7" /><Relationship Type="http://schemas.openxmlformats.org/officeDocument/2006/relationships/vmlDrawing" Target="/xl/drawings/vmldrawing.vml" Id="R2efa8b0955d04579" /><Relationship Type="http://schemas.microsoft.com/office/2017/10/relationships/threadedComment" Target="/xl/threadedcomments/threadedcomment.xml" Id="R1d4d177fb3a442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142076c1b4224c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38446c95c7954950" /><Relationship Type="http://schemas.openxmlformats.org/officeDocument/2006/relationships/vmlDrawing" Target="/xl/drawings/vmldrawing2.vml" Id="Rdba912e85dd74303" /><Relationship Type="http://schemas.microsoft.com/office/2017/10/relationships/threadedComment" Target="/xl/threadedcomments/threadedcomment2.xml" Id="Rfcc39792ca924c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8755517bd2854d3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72" t="str">
        <x:v>GoalOS Autonomous Money Machine Ω — Financial Projections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</x:row>
    <x:row r="2" ht="30" customHeight="1">
      <x:c r="A2" s="11" t="str">
        <x:v>Five-year scenario model for proof-to-revenue, recurring Proof OS, capability compounding, and cash scaling.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74" t="str">
        <x:v>Selected Scenario</x:v>
      </x:c>
      <x:c r="B3" s="78" t="str">
        <x:v>Base</x:v>
      </x:c>
      <x:c r="D3" t="str">
        <x:v>Model Start</x:v>
      </x:c>
      <x:c r="E3" s="84" t="n">
        <x:f>Assumptions!$G$6</x:f>
        <x:v>46235</x:v>
      </x:c>
      <x:c r="G3" t="str">
        <x:v>Units</x:v>
      </x:c>
      <x:c r="H3" s="86" t="str">
        <x:v>USD; scenario-based</x:v>
      </x:c>
    </x:row>
    <x:row r="5">
      <x:c r="A5" s="18" t="str">
        <x:v>Year 1 Revenue</x:v>
      </x:c>
      <x:c r="B5" s="18"/>
      <x:c r="C5" s="18"/>
      <x:c r="D5" s="18" t="str">
        <x:v>Year 3 Revenue</x:v>
      </x:c>
      <x:c r="E5" s="18"/>
      <x:c r="F5" s="18"/>
      <x:c r="G5" s="18" t="str">
        <x:v>Year 5 Revenue</x:v>
      </x:c>
      <x:c r="H5" s="18"/>
      <x:c r="I5" s="18"/>
      <x:c r="J5" s="18" t="str">
        <x:v>Year 5 ARR</x:v>
      </x:c>
      <x:c r="K5" s="18"/>
      <x:c r="L5" s="18"/>
      <x:c r="M5" s="18" t="str">
        <x:v>Year 5 EBITDA</x:v>
      </x:c>
      <x:c r="N5" s="18"/>
      <x:c r="O5" s="18"/>
    </x:row>
    <x:row r="6">
      <x:c r="A6" s="96" t="n">
        <x:f>'Annual Summary'!C12</x:f>
        <x:v>1803968.5787526076</x:v>
      </x:c>
      <x:c r="B6" s="91"/>
      <x:c r="C6" s="91"/>
      <x:c r="D6" s="96" t="n">
        <x:f>'Annual Summary'!E12</x:f>
        <x:v>12063826.763734316</x:v>
      </x:c>
      <x:c r="E6" s="91"/>
      <x:c r="F6" s="91"/>
      <x:c r="G6" s="96" t="n">
        <x:f>'Annual Summary'!G12</x:f>
        <x:v>40607346.07662292</x:v>
      </x:c>
      <x:c r="H6" s="91"/>
      <x:c r="I6" s="91"/>
      <x:c r="J6" s="96" t="n">
        <x:f>'Annual Summary'!G31</x:f>
        <x:v>13393864.366772616</x:v>
      </x:c>
      <x:c r="K6" s="91"/>
      <x:c r="L6" s="91"/>
      <x:c r="M6" s="156" t="n">
        <x:f>'Annual Summary'!G20</x:f>
        <x:v>25309723.48134595</x:v>
      </x:c>
      <x:c r="N6" s="155"/>
      <x:c r="O6" s="155"/>
    </x:row>
    <x:row r="7">
      <x:c r="A7" s="91"/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155"/>
      <x:c r="N7" s="155"/>
      <x:c r="O7" s="155"/>
    </x:row>
    <x:row r="8">
      <x:c r="A8" s="91"/>
      <x:c r="B8" s="91"/>
      <x:c r="C8" s="91"/>
      <x:c r="D8" s="91"/>
      <x:c r="E8" s="91"/>
      <x:c r="F8" s="91"/>
      <x:c r="G8" s="91"/>
      <x:c r="H8" s="91"/>
      <x:c r="I8" s="91"/>
      <x:c r="J8" s="91"/>
      <x:c r="K8" s="91"/>
      <x:c r="L8" s="91"/>
      <x:c r="M8" s="155"/>
      <x:c r="N8" s="155"/>
      <x:c r="O8" s="155"/>
    </x:row>
    <x:row r="9">
      <x:c r="B9" s="157"/>
      <x:c r="C9" s="157"/>
      <x:c r="D9" s="157"/>
      <x:c r="E9" s="157"/>
      <x:c r="F9" s="157"/>
      <x:c r="G9" s="157"/>
      <x:c r="H9" s="157"/>
      <x:c r="I9" s="157"/>
      <x:c r="J9" s="157"/>
      <x:c r="K9" s="157"/>
      <x:c r="L9" s="157"/>
      <x:c r="M9" s="157"/>
      <x:c r="N9" s="157"/>
      <x:c r="O9" s="157"/>
    </x:row>
    <x:row r="10">
      <x:c r="A10" s="18" t="str">
        <x:v>Year 5 Gross Margin</x:v>
      </x:c>
      <x:c r="B10" s="167"/>
      <x:c r="C10" s="167"/>
      <x:c r="D10" s="167" t="str">
        <x:v>Year 5 Ending Cash</x:v>
      </x:c>
      <x:c r="E10" s="167"/>
      <x:c r="F10" s="167"/>
      <x:c r="G10" s="167" t="str">
        <x:v>EBITDA Break-Even</x:v>
      </x:c>
      <x:c r="H10" s="167"/>
      <x:c r="I10" s="167"/>
      <x:c r="J10" s="167" t="str">
        <x:v>First 3 Core Engagements</x:v>
      </x:c>
      <x:c r="K10" s="167"/>
      <x:c r="L10" s="167"/>
      <x:c r="M10" s="167" t="str">
        <x:v>First Repeat Purchase</x:v>
      </x:c>
      <x:c r="N10" s="167"/>
      <x:c r="O10" s="167"/>
    </x:row>
    <x:row r="11">
      <x:c r="A11" s="98" t="n">
        <x:f>'Annual Summary'!G18</x:f>
        <x:v>0.7966875994428431</x:v>
      </x:c>
      <x:c r="B11" s="91"/>
      <x:c r="C11" s="91"/>
      <x:c r="D11" s="156" t="n">
        <x:f>'Annual Summary'!G27</x:f>
        <x:v>52866443.48747229</x:v>
      </x:c>
      <x:c r="E11" s="155"/>
      <x:c r="F11" s="155"/>
      <x:c r="G11" s="100" t="str">
        <x:f>"Month "&amp;MATCH(1,'Monthly Model'!C102:BJ102,0)</x:f>
        <x:v>Month 15</x:v>
      </x:c>
      <x:c r="H11" s="91"/>
      <x:c r="I11" s="91"/>
      <x:c r="J11" s="100" t="str">
        <x:f>"Month "&amp;MATCH(1,'Monthly Model'!C100:BJ100,0)</x:f>
        <x:v>Month 6</x:v>
      </x:c>
      <x:c r="K11" s="91"/>
      <x:c r="L11" s="91"/>
      <x:c r="M11" s="100" t="str">
        <x:f>"Month "&amp;MATCH(1,'Monthly Model'!C101:BJ101,0)</x:f>
        <x:v>Month 24</x:v>
      </x:c>
      <x:c r="N11" s="91"/>
      <x:c r="O11" s="91"/>
    </x:row>
    <x:row r="12">
      <x:c r="A12" s="91"/>
      <x:c r="B12" s="91"/>
      <x:c r="C12" s="91"/>
      <x:c r="D12" s="155"/>
      <x:c r="E12" s="155"/>
      <x:c r="F12" s="155"/>
      <x:c r="G12" s="91"/>
      <x:c r="H12" s="91"/>
      <x:c r="I12" s="91"/>
      <x:c r="J12" s="91"/>
      <x:c r="K12" s="91"/>
      <x:c r="L12" s="91"/>
      <x:c r="M12" s="91"/>
      <x:c r="N12" s="91"/>
      <x:c r="O12" s="91"/>
    </x:row>
    <x:row r="13">
      <x:c r="A13" s="91"/>
      <x:c r="B13" s="91"/>
      <x:c r="C13" s="91"/>
      <x:c r="D13" s="155"/>
      <x:c r="E13" s="155"/>
      <x:c r="F13" s="155"/>
      <x:c r="G13" s="91"/>
      <x:c r="H13" s="91"/>
      <x:c r="I13" s="91"/>
      <x:c r="J13" s="91"/>
      <x:c r="K13" s="91"/>
      <x:c r="L13" s="91"/>
      <x:c r="M13" s="91"/>
      <x:c r="N13" s="91"/>
      <x:c r="O13" s="91"/>
    </x:row>
    <x:row r="16">
      <x:c r="A16" s="102" t="str">
        <x:v>Selected Scenario Summary</x:v>
      </x:c>
      <x:c r="B16" s="102" t="str">
        <x:v>Year 1</x:v>
      </x:c>
      <x:c r="C16" s="102" t="str">
        <x:v>Year 2</x:v>
      </x:c>
      <x:c r="D16" s="102" t="str">
        <x:v>Year 3</x:v>
      </x:c>
      <x:c r="E16" s="102" t="str">
        <x:v>Year 4</x:v>
      </x:c>
      <x:c r="F16" s="102" t="str">
        <x:v>Year 5</x:v>
      </x:c>
      <x:c r="G16" s="102" t="str">
        <x:v>5-Year Metric</x:v>
      </x:c>
    </x:row>
    <x:row r="17">
      <x:c r="A17" s="104" t="str">
        <x:v>Revenue</x:v>
      </x:c>
      <x:c r="B17" s="123" t="n">
        <x:f>'Annual Summary'!C12</x:f>
        <x:v>1803968.5787526076</x:v>
      </x:c>
      <x:c r="C17" s="123" t="n">
        <x:f>'Annual Summary'!D12</x:f>
        <x:v>5483441.188793674</x:v>
      </x:c>
      <x:c r="D17" s="123" t="n">
        <x:f>'Annual Summary'!E12</x:f>
        <x:v>12063826.763734316</x:v>
      </x:c>
      <x:c r="E17" s="123" t="n">
        <x:f>'Annual Summary'!F12</x:f>
        <x:v>22673385.27082459</x:v>
      </x:c>
      <x:c r="F17" s="123" t="n">
        <x:f>'Annual Summary'!G12</x:f>
        <x:v>40607346.07662292</x:v>
      </x:c>
      <x:c r="G17" s="66" t="n">
        <x:f>(F17/B17)^(1/4)-1</x:f>
        <x:v>1.178180719478275</x:v>
      </x:c>
    </x:row>
    <x:row r="18">
      <x:c r="A18" s="104" t="str">
        <x:v>Ending ARR</x:v>
      </x:c>
      <x:c r="B18" s="123" t="n">
        <x:f>'Annual Summary'!C31</x:f>
        <x:v>202438.8198046058</x:v>
      </x:c>
      <x:c r="C18" s="123" t="n">
        <x:f>'Annual Summary'!D31</x:f>
        <x:v>1131694.990132093</x:v>
      </x:c>
      <x:c r="D18" s="123" t="n">
        <x:f>'Annual Summary'!E31</x:f>
        <x:v>3159980.4019373255</x:v>
      </x:c>
      <x:c r="E18" s="123" t="n">
        <x:f>'Annual Summary'!F31</x:f>
        <x:v>6858109.574543583</x:v>
      </x:c>
      <x:c r="F18" s="123" t="n">
        <x:f>'Annual Summary'!G31</x:f>
        <x:v>13393864.366772616</x:v>
      </x:c>
      <x:c r="G18" s="62" t="n">
        <x:f>F18</x:f>
        <x:v>13393864.366772616</x:v>
      </x:c>
    </x:row>
    <x:row r="19">
      <x:c r="A19" s="104" t="str">
        <x:v>Gross Margin</x:v>
      </x:c>
      <x:c r="B19" s="125" t="n">
        <x:f>'Annual Summary'!C18</x:f>
        <x:v>0.6401346161660108</x:v>
      </x:c>
      <x:c r="C19" s="125" t="n">
        <x:f>'Annual Summary'!D18</x:f>
        <x:v>0.7270974541075345</x:v>
      </x:c>
      <x:c r="D19" s="125" t="n">
        <x:f>'Annual Summary'!E18</x:f>
        <x:v>0.7746226921099348</x:v>
      </x:c>
      <x:c r="E19" s="125" t="n">
        <x:f>'Annual Summary'!F18</x:f>
        <x:v>0.7870421716968893</x:v>
      </x:c>
      <x:c r="F19" s="125" t="n">
        <x:f>'Annual Summary'!G18</x:f>
        <x:v>0.7966875994428431</x:v>
      </x:c>
      <x:c r="G19" s="104" t="str">
        <x:v>—</x:v>
      </x:c>
    </x:row>
    <x:row r="20">
      <x:c r="A20" s="104" t="str">
        <x:v>EBITDA</x:v>
      </x:c>
      <x:c r="B20" s="123" t="n">
        <x:f>'Annual Summary'!C20</x:f>
        <x:v>-1134686.337268177</x:v>
      </x:c>
      <x:c r="C20" s="123" t="n">
        <x:f>'Annual Summary'!D20</x:f>
        <x:v>1102188.3625271274</x:v>
      </x:c>
      <x:c r="D20" s="123" t="n">
        <x:f>'Annual Summary'!E20</x:f>
        <x:v>5789235.104549553</x:v>
      </x:c>
      <x:c r="E20" s="123" t="n">
        <x:f>'Annual Summary'!F20</x:f>
        <x:v>12994926.643770676</x:v>
      </x:c>
      <x:c r="F20" s="123" t="n">
        <x:f>'Annual Summary'!G20</x:f>
        <x:v>25309723.48134595</x:v>
      </x:c>
      <x:c r="G20" s="66" t="n">
        <x:f>F20/F17</x:f>
        <x:v>0.623279429135518</x:v>
      </x:c>
    </x:row>
    <x:row r="21">
      <x:c r="A21" s="104" t="str">
        <x:v>Ending Cash</x:v>
      </x:c>
      <x:c r="B21" s="123" t="n">
        <x:f>'Annual Summary'!C27</x:f>
        <x:v>6403839.175647943</x:v>
      </x:c>
      <x:c r="C21" s="123" t="n">
        <x:f>'Annual Summary'!D27</x:f>
        <x:v>7833289.265228289</x:v>
      </x:c>
      <x:c r="D21" s="123" t="n">
        <x:f>'Annual Summary'!E27</x:f>
        <x:v>14247231.232202943</x:v>
      </x:c>
      <x:c r="E21" s="123" t="n">
        <x:f>'Annual Summary'!F27</x:f>
        <x:v>27708999.6504142</x:v>
      </x:c>
      <x:c r="F21" s="123" t="n">
        <x:f>'Annual Summary'!G27</x:f>
        <x:v>52866443.48747229</x:v>
      </x:c>
      <x:c r="G21" s="104" t="str">
        <x:v>—</x:v>
      </x:c>
    </x:row>
    <x:row r="22">
      <x:c r="A22" s="104" t="str">
        <x:v>Active Proof OS customers</x:v>
      </x:c>
      <x:c r="B22" s="124" t="n">
        <x:f>'Annual Summary'!C32</x:f>
        <x:v>0.5783966280131594</x:v>
      </x:c>
      <x:c r="C22" s="124" t="n">
        <x:f>'Annual Summary'!D32</x:f>
        <x:v>3.1392371432235593</x:v>
      </x:c>
      <x:c r="D22" s="124" t="n">
        <x:f>'Annual Summary'!E32</x:f>
        <x:v>8.510241713739886</x:v>
      </x:c>
      <x:c r="E22" s="124" t="n">
        <x:f>'Annual Summary'!F32</x:f>
        <x:v>17.931833645924588</x:v>
      </x:c>
      <x:c r="F22" s="124" t="n">
        <x:f>'Annual Summary'!G32</x:f>
        <x:v>34.00078574690554</x:v>
      </x:c>
      <x:c r="G22" s="104" t="str">
        <x:v>—</x:v>
      </x:c>
    </x:row>
    <x:row r="23">
      <x:c r="A23" s="104" t="str">
        <x:v>Cumulative validated cases</x:v>
      </x:c>
      <x:c r="B23" s="124" t="n">
        <x:f>'Annual Summary'!C33</x:f>
        <x:v>13.9686863010164</x:v>
      </x:c>
      <x:c r="C23" s="124" t="n">
        <x:f>'Annual Summary'!D33</x:f>
        <x:v>53.99715589652437</x:v>
      </x:c>
      <x:c r="D23" s="124" t="n">
        <x:f>'Annual Summary'!E33</x:f>
        <x:v>136.20129280861016</x:v>
      </x:c>
      <x:c r="E23" s="124" t="n">
        <x:f>'Annual Summary'!F33</x:f>
        <x:v>282.0834984034959</x:v>
      </x:c>
      <x:c r="F23" s="124" t="n">
        <x:f>'Annual Summary'!G33</x:f>
        <x:v>529.1499380561775</x:v>
      </x:c>
      <x:c r="G23" s="104" t="str">
        <x:v>—</x:v>
      </x:c>
    </x:row>
    <x:row r="24">
      <x:c r="A24" s="104" t="str">
        <x:v>Total Company FTE</x:v>
      </x:c>
      <x:c r="B24" s="124" t="n">
        <x:f>'Annual Summary'!C34</x:f>
        <x:v>13</x:v>
      </x:c>
      <x:c r="C24" s="124" t="n">
        <x:f>'Annual Summary'!D34</x:f>
        <x:v>18</x:v>
      </x:c>
      <x:c r="D24" s="124" t="n">
        <x:f>'Annual Summary'!E34</x:f>
        <x:v>24</x:v>
      </x:c>
      <x:c r="E24" s="124" t="n">
        <x:f>'Annual Summary'!F34</x:f>
        <x:v>36</x:v>
      </x:c>
      <x:c r="F24" s="124" t="n">
        <x:f>'Annual Summary'!G34</x:f>
        <x:v>57</x:v>
      </x:c>
      <x:c r="G24" s="104" t="str">
        <x:v>—</x:v>
      </x:c>
    </x:row>
    <x:row r="28">
      <x:c r="A28" s="17" t="str">
        <x:v>Year</x:v>
      </x:c>
      <x:c r="B28" s="17" t="str">
        <x:v>Revenue</x:v>
      </x:c>
      <x:c r="C28" s="17" t="str">
        <x:v>EBITDA</x:v>
      </x:c>
      <x:c r="D28" s="17" t="str">
        <x:v>Ending ARR</x:v>
      </x:c>
      <x:c r="E28" s="17"/>
      <x:c r="F28" s="17"/>
    </x:row>
    <x:row r="29">
      <x:c r="A29" t="str">
        <x:v>Year 1</x:v>
      </x:c>
      <x:c r="B29" s="62" t="n">
        <x:f>'Annual Summary'!C12</x:f>
        <x:v>1803968.5787526076</x:v>
      </x:c>
      <x:c r="C29" s="62" t="n">
        <x:f>'Annual Summary'!C20</x:f>
        <x:v>-1134686.337268177</x:v>
      </x:c>
      <x:c r="D29" s="62" t="n">
        <x:f>'Annual Summary'!C31</x:f>
        <x:v>202438.8198046058</x:v>
      </x:c>
      <x:c r="E29" s="62"/>
      <x:c r="F29" s="62"/>
    </x:row>
    <x:row r="30">
      <x:c r="A30" t="str">
        <x:v>Year 2</x:v>
      </x:c>
      <x:c r="B30" s="62" t="n">
        <x:f>'Annual Summary'!D12</x:f>
        <x:v>5483441.188793674</x:v>
      </x:c>
      <x:c r="C30" s="62" t="n">
        <x:f>'Annual Summary'!D20</x:f>
        <x:v>1102188.3625271274</x:v>
      </x:c>
      <x:c r="D30" s="62" t="n">
        <x:f>'Annual Summary'!D31</x:f>
        <x:v>1131694.990132093</x:v>
      </x:c>
      <x:c r="E30" s="62"/>
      <x:c r="F30" s="62"/>
    </x:row>
    <x:row r="31">
      <x:c r="A31" t="str">
        <x:v>Year 3</x:v>
      </x:c>
      <x:c r="B31" s="62" t="n">
        <x:f>'Annual Summary'!E12</x:f>
        <x:v>12063826.763734316</x:v>
      </x:c>
      <x:c r="C31" s="62" t="n">
        <x:f>'Annual Summary'!E20</x:f>
        <x:v>5789235.104549553</x:v>
      </x:c>
      <x:c r="D31" s="62" t="n">
        <x:f>'Annual Summary'!E31</x:f>
        <x:v>3159980.4019373255</x:v>
      </x:c>
      <x:c r="E31" s="62"/>
      <x:c r="F31" s="62"/>
    </x:row>
    <x:row r="32">
      <x:c r="A32" t="str">
        <x:v>Year 4</x:v>
      </x:c>
      <x:c r="B32" s="62" t="n">
        <x:f>'Annual Summary'!F12</x:f>
        <x:v>22673385.27082459</x:v>
      </x:c>
      <x:c r="C32" s="62" t="n">
        <x:f>'Annual Summary'!F20</x:f>
        <x:v>12994926.643770676</x:v>
      </x:c>
      <x:c r="D32" s="62" t="n">
        <x:f>'Annual Summary'!F31</x:f>
        <x:v>6858109.574543583</x:v>
      </x:c>
    </x:row>
    <x:row r="33">
      <x:c r="A33" t="str">
        <x:v>Year 5</x:v>
      </x:c>
      <x:c r="B33" s="62" t="n">
        <x:f>'Annual Summary'!G12</x:f>
        <x:v>40607346.07662292</x:v>
      </x:c>
      <x:c r="C33" s="62" t="n">
        <x:f>'Annual Summary'!G20</x:f>
        <x:v>25309723.48134595</x:v>
      </x:c>
      <x:c r="D33" s="62" t="n">
        <x:f>'Annual Summary'!G31</x:f>
        <x:v>13393864.366772616</x:v>
      </x:c>
    </x:row>
    <x:row r="34">
      <x:c r="A34" s="3" t="str">
        <x:v>Decision-Useful Interpretation</x:v>
      </x:c>
      <x:c r="B34" s="3"/>
      <x:c r="C34" s="3"/>
      <x:c r="D34" s="3"/>
      <x:c r="E34" s="3"/>
      <x:c r="F34" s="3"/>
      <x:c r="G34" s="3"/>
    </x:row>
    <x:row r="35">
      <x:c r="A35" s="108" t="str">
        <x:f>IF(B3="Conservative","Conservative case: reach sustainable profitability through disciplined services-to-recurring expansion; external financing remains important in the early ramp.",IF(B3="Base","Base case: prove the three-customer wedge, become EBITDA-positive in Year 2, and scale to a mixed services + recurring Proof OS model by Year 5.","Upside case: category leadership, strong proof-driven referrals, rapid enterprise expansion, and a credible path toward nine-figure ARR—subject to real customer proof and execution."))</x:f>
        <x:v>Base case: prove the three-customer wedge, become EBITDA-positive in Year 2, and scale to a mixed services + recurring Proof OS model by Year 5.</x:v>
      </x:c>
      <x:c r="B35" s="108"/>
      <x:c r="C35" s="108"/>
      <x:c r="D35" s="108"/>
      <x:c r="E35" s="108"/>
      <x:c r="F35" s="108"/>
      <x:c r="G35" s="108"/>
    </x:row>
    <x:row r="36">
      <x:c r="A36" s="108"/>
      <x:c r="B36" s="108"/>
      <x:c r="C36" s="108"/>
      <x:c r="D36" s="108"/>
      <x:c r="E36" s="108"/>
      <x:c r="F36" s="108"/>
      <x:c r="G36" s="108"/>
    </x:row>
    <x:row r="37">
      <x:c r="A37" s="108"/>
      <x:c r="B37" s="108"/>
      <x:c r="C37" s="108"/>
      <x:c r="D37" s="108"/>
      <x:c r="E37" s="108"/>
      <x:c r="F37" s="108"/>
      <x:c r="G37" s="108"/>
    </x:row>
    <x:row r="38">
      <x:c r="A38" s="108"/>
      <x:c r="B38" s="108"/>
      <x:c r="C38" s="108"/>
      <x:c r="D38" s="108"/>
      <x:c r="E38" s="108"/>
      <x:c r="F38" s="108"/>
      <x:c r="G38" s="108"/>
    </x:row>
    <x:row r="39">
      <x:c r="A39" s="108"/>
      <x:c r="B39" s="108"/>
      <x:c r="C39" s="108"/>
      <x:c r="D39" s="108"/>
      <x:c r="E39" s="108"/>
      <x:c r="F39" s="108"/>
      <x:c r="G39" s="108"/>
    </x:row>
  </x:sheetData>
  <x:mergeCells>
    <x:mergeCell ref="A1:O1"/>
    <x:mergeCell ref="A2:O2"/>
    <x:mergeCell ref="A5:C5"/>
    <x:mergeCell ref="A6:C8"/>
    <x:mergeCell ref="D5:F5"/>
    <x:mergeCell ref="D6:F8"/>
    <x:mergeCell ref="G5:I5"/>
    <x:mergeCell ref="G6:I8"/>
    <x:mergeCell ref="J5:L5"/>
    <x:mergeCell ref="J6:L8"/>
    <x:mergeCell ref="M5:O5"/>
    <x:mergeCell ref="M6:O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M10:O10"/>
    <x:mergeCell ref="M11:O13"/>
    <x:mergeCell ref="A34:G34"/>
    <x:mergeCell ref="A35:G39"/>
  </x:mergeCells>
  <x:dataValidations count="1">
    <x:dataValidation type="list" sqref="B3">
      <x:formula1>"Conservative,Base,Upside"</x:formula1>
    </x:dataValidation>
  </x:dataValidations>
  <x:pageMargins left="0.7" right="0.7" top="0.75" bottom="0.75" header="0.3" footer="0.3"/>
  <x:drawing xmlns:r="http://schemas.openxmlformats.org/officeDocument/2006/relationships" r:id="Ra40c39e624dd4bfd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8" hidden="0" customWidth="1"/>
  </x:cols>
  <x:sheetData>
    <x:row r="1" ht="30" customHeight="1">
      <x:c r="A1" s="7" t="str">
        <x:v>GoalOS Autonomous Money Machine Ω — Financial Model Assumptions</x:v>
      </x:c>
      <x:c r="B1" s="7"/>
      <x:c r="C1" s="7"/>
      <x:c r="D1" s="7"/>
      <x:c r="E1" s="7"/>
      <x:c r="F1" s="7"/>
      <x:c r="G1" s="7"/>
      <x:c r="H1" s="7"/>
    </x:row>
    <x:row r="2" ht="32" customHeight="1">
      <x:c r="A2" s="12" t="str">
        <x:v>Blue cells are editable scenario inputs. Green cells are the active scenario selected on Dashboard.</x:v>
      </x:c>
      <x:c r="B2" s="12"/>
      <x:c r="C2" s="12"/>
      <x:c r="D2" s="12"/>
      <x:c r="E2" s="12"/>
      <x:c r="F2" s="12"/>
      <x:c r="G2" s="12"/>
      <x:c r="H2" s="12"/>
    </x:row>
    <x:row r="4" ht="28" customHeight="1">
      <x:c r="A4" s="19" t="str">
        <x:v>Category</x:v>
      </x:c>
      <x:c r="B4" s="19" t="str">
        <x:v>Assumption</x:v>
      </x:c>
      <x:c r="C4" s="19" t="str">
        <x:v>Unit</x:v>
      </x:c>
      <x:c r="D4" s="19" t="str">
        <x:v>Conservative</x:v>
      </x:c>
      <x:c r="E4" s="19" t="str">
        <x:v>Base</x:v>
      </x:c>
      <x:c r="F4" s="19" t="str">
        <x:v>Upside</x:v>
      </x:c>
      <x:c r="G4" s="19" t="str">
        <x:v>Active Value</x:v>
      </x:c>
      <x:c r="H4" s="19" t="str">
        <x:v>Source / Rationale</x:v>
      </x:c>
    </x:row>
    <x:row r="5">
      <x:c r="A5" s="3" t="str">
        <x:v>General</x:v>
      </x:c>
      <x:c r="B5" s="3"/>
      <x:c r="C5" s="3"/>
      <x:c r="D5" s="24"/>
      <x:c r="E5" s="24"/>
      <x:c r="F5" s="24"/>
      <x:c r="G5" s="32"/>
      <x:c r="H5" s="34"/>
    </x:row>
    <x:row r="6">
      <x:c r="A6" t="str">
        <x:v>General</x:v>
      </x:c>
      <x:c r="B6" t="str">
        <x:v>Model start date</x:v>
      </x:c>
      <x:c r="C6" t="str">
        <x:v>date</x:v>
      </x:c>
      <x:c r="D6" s="38" t="n">
        <x:v>46235</x:v>
      </x:c>
      <x:c r="E6" s="38" t="n">
        <x:v>46235</x:v>
      </x:c>
      <x:c r="F6" s="38" t="n">
        <x:v>46235</x:v>
      </x:c>
      <x:c r="G6" s="39" t="n">
        <x:f>IF(Dashboard!$B$3="Conservative",D6,IF(Dashboard!$B$3="Base",E6,F6))</x:f>
        <x:v>46235</x:v>
      </x:c>
      <x:c r="H6" s="35" t="str">
        <x:v>Management planning date; first full month after July 2026 release.</x:v>
      </x:c>
    </x:row>
    <x:row r="7">
      <x:c r="A7" t="str">
        <x:v>General</x:v>
      </x:c>
      <x:c r="B7" t="str">
        <x:v>Opening cash</x:v>
      </x:c>
      <x:c r="C7" t="str">
        <x:v>$</x:v>
      </x:c>
      <x:c r="D7" s="42" t="n">
        <x:v>1500000</x:v>
      </x:c>
      <x:c r="E7" s="42" t="n">
        <x:v>2500000</x:v>
      </x:c>
      <x:c r="F7" s="42" t="n">
        <x:v>4000000</x:v>
      </x:c>
      <x:c r="G7" s="43" t="n">
        <x:f>IF(Dashboard!$B$3="Conservative",D7,IF(Dashboard!$B$3="Base",E7,F7))</x:f>
        <x:v>2500000</x:v>
      </x:c>
      <x:c r="H7" s="35" t="str">
        <x:v>Management funding assumption; replace with actual cash balance.</x:v>
      </x:c>
    </x:row>
    <x:row r="8">
      <x:c r="A8" t="str">
        <x:v>General</x:v>
      </x:c>
      <x:c r="B8" t="str">
        <x:v>Equity raise month</x:v>
      </x:c>
      <x:c r="C8" t="str">
        <x:v>month #</x:v>
      </x:c>
      <x:c r="D8" s="46" t="n">
        <x:v>10</x:v>
      </x:c>
      <x:c r="E8" s="46" t="n">
        <x:v>10</x:v>
      </x:c>
      <x:c r="F8" s="46" t="n">
        <x:v>8</x:v>
      </x:c>
      <x:c r="G8" s="47" t="n">
        <x:f>IF(Dashboard!$B$3="Conservative",D8,IF(Dashboard!$B$3="Base",E8,F8))</x:f>
        <x:v>10</x:v>
      </x:c>
      <x:c r="H8" s="35" t="str">
        <x:v>Optional financing assumption; set amount to zero to model no financing.</x:v>
      </x:c>
    </x:row>
    <x:row r="9">
      <x:c r="A9" t="str">
        <x:v>General</x:v>
      </x:c>
      <x:c r="B9" t="str">
        <x:v>Equity raise amount</x:v>
      </x:c>
      <x:c r="C9" t="str">
        <x:v>$</x:v>
      </x:c>
      <x:c r="D9" s="42" t="n">
        <x:v>3000000</x:v>
      </x:c>
      <x:c r="E9" s="42" t="n">
        <x:v>5000000</x:v>
      </x:c>
      <x:c r="F9" s="42" t="n">
        <x:v>8000000</x:v>
      </x:c>
      <x:c r="G9" s="43" t="n">
        <x:f>IF(Dashboard!$B$3="Conservative",D9,IF(Dashboard!$B$3="Base",E9,F9))</x:f>
        <x:v>5000000</x:v>
      </x:c>
      <x:c r="H9" s="35" t="str">
        <x:v>Management financing assumption; not a commitment or forecast.</x:v>
      </x:c>
    </x:row>
    <x:row r="10">
      <x:c r="A10" t="str">
        <x:v>General</x:v>
      </x:c>
      <x:c r="B10" t="str">
        <x:v>Service cash collected in delivery month</x:v>
      </x:c>
      <x:c r="C10" t="str">
        <x:v>%</x:v>
      </x:c>
      <x:c r="D10" s="50" t="n">
        <x:v>0.6</x:v>
      </x:c>
      <x:c r="E10" s="50" t="n">
        <x:v>0.6</x:v>
      </x:c>
      <x:c r="F10" s="50" t="n">
        <x:v>0.6</x:v>
      </x:c>
      <x:c r="G10" s="51" t="n">
        <x:f>IF(Dashboard!$B$3="Conservative",D10,IF(Dashboard!$B$3="Base",E10,F10))</x:f>
        <x:v>0.6</x:v>
      </x:c>
      <x:c r="H10" s="35" t="str">
        <x:v>Assumes the balance is collected in the following month.</x:v>
      </x:c>
    </x:row>
    <x:row r="11">
      <x:c r="A11" s="3" t="str">
        <x:v>Demand &amp; Funnel</x:v>
      </x:c>
      <x:c r="B11" s="3"/>
      <x:c r="C11" s="3"/>
      <x:c r="D11" s="24"/>
      <x:c r="E11" s="24"/>
      <x:c r="F11" s="24"/>
      <x:c r="G11" s="32"/>
      <x:c r="H11" s="34"/>
    </x:row>
    <x:row r="12">
      <x:c r="A12" t="str">
        <x:v>Demand &amp; Funnel</x:v>
      </x:c>
      <x:c r="B12" t="str">
        <x:v>Initial qualified opportunities / month</x:v>
      </x:c>
      <x:c r="C12" t="str">
        <x:v>count</x:v>
      </x:c>
      <x:c r="D12" s="46" t="n">
        <x:v>20</x:v>
      </x:c>
      <x:c r="E12" s="46" t="n">
        <x:v>25</x:v>
      </x:c>
      <x:c r="F12" s="46" t="n">
        <x:v>35</x:v>
      </x:c>
      <x:c r="G12" s="47" t="n">
        <x:f>IF(Dashboard!$B$3="Conservative",D12,IF(Dashboard!$B$3="Base",E12,F12))</x:f>
        <x:v>25</x:v>
      </x:c>
      <x:c r="H12" s="35" t="str">
        <x:v>Internal planning assumption for qualified, permissioned opportunities—not scraped contacts.</x:v>
      </x:c>
    </x:row>
    <x:row r="13">
      <x:c r="A13" t="str">
        <x:v>Demand &amp; Funnel</x:v>
      </x:c>
      <x:c r="B13" t="str">
        <x:v>Monthly lead growth, months 1–24</x:v>
      </x:c>
      <x:c r="C13" t="str">
        <x:v>%</x:v>
      </x:c>
      <x:c r="D13" s="50" t="n">
        <x:v>0.055</x:v>
      </x:c>
      <x:c r="E13" s="50" t="n">
        <x:v>0.065</x:v>
      </x:c>
      <x:c r="F13" s="50" t="n">
        <x:v>0.07</x:v>
      </x:c>
      <x:c r="G13" s="51" t="n">
        <x:f>IF(Dashboard!$B$3="Conservative",D13,IF(Dashboard!$B$3="Base",E13,F13))</x:f>
        <x:v>0.065</x:v>
      </x:c>
      <x:c r="H13" s="35" t="str">
        <x:v>Synthetic growth assumption from content, MasterClasses, referrals, partners, and inbound demand.</x:v>
      </x:c>
    </x:row>
    <x:row r="14">
      <x:c r="A14" t="str">
        <x:v>Demand &amp; Funnel</x:v>
      </x:c>
      <x:c r="B14" t="str">
        <x:v>Monthly lead growth, months 25–60</x:v>
      </x:c>
      <x:c r="C14" t="str">
        <x:v>%</x:v>
      </x:c>
      <x:c r="D14" s="50" t="n">
        <x:v>0.035</x:v>
      </x:c>
      <x:c r="E14" s="50" t="n">
        <x:v>0.04</x:v>
      </x:c>
      <x:c r="F14" s="50" t="n">
        <x:v>0.045</x:v>
      </x:c>
      <x:c r="G14" s="51" t="n">
        <x:f>IF(Dashboard!$B$3="Conservative",D14,IF(Dashboard!$B$3="Base",E14,F14))</x:f>
        <x:v>0.04</x:v>
      </x:c>
      <x:c r="H14" s="35" t="str">
        <x:v>Synthetic mature growth assumption.</x:v>
      </x:c>
    </x:row>
    <x:row r="15">
      <x:c r="A15" t="str">
        <x:v>Demand &amp; Funnel</x:v>
      </x:c>
      <x:c r="B15" t="str">
        <x:v>Qualified opportunity → discovery</x:v>
      </x:c>
      <x:c r="C15" t="str">
        <x:v>%</x:v>
      </x:c>
      <x:c r="D15" s="50" t="n">
        <x:v>0.28</x:v>
      </x:c>
      <x:c r="E15" s="50" t="n">
        <x:v>0.32</x:v>
      </x:c>
      <x:c r="F15" s="50" t="n">
        <x:v>0.37</x:v>
      </x:c>
      <x:c r="G15" s="51" t="n">
        <x:f>IF(Dashboard!$B$3="Conservative",D15,IF(Dashboard!$B$3="Base",E15,F15))</x:f>
        <x:v>0.32</x:v>
      </x:c>
      <x:c r="H15" s="35" t="str">
        <x:v>Internal conversion assumption; replace with observed funnel data.</x:v>
      </x:c>
    </x:row>
    <x:row r="16">
      <x:c r="A16" t="str">
        <x:v>Demand &amp; Funnel</x:v>
      </x:c>
      <x:c r="B16" t="str">
        <x:v>Discovery → private MasterClass</x:v>
      </x:c>
      <x:c r="C16" t="str">
        <x:v>%</x:v>
      </x:c>
      <x:c r="D16" s="50" t="n">
        <x:v>0.12</x:v>
      </x:c>
      <x:c r="E16" s="50" t="n">
        <x:v>0.14</x:v>
      </x:c>
      <x:c r="F16" s="50" t="n">
        <x:v>0.16</x:v>
      </x:c>
      <x:c r="G16" s="51" t="n">
        <x:f>IF(Dashboard!$B$3="Conservative",D16,IF(Dashboard!$B$3="Base",E16,F16))</x:f>
        <x:v>0.14</x:v>
      </x:c>
      <x:c r="H16" s="35" t="str">
        <x:v>Internal conversion assumption.</x:v>
      </x:c>
    </x:row>
    <x:row r="17">
      <x:c r="A17" t="str">
        <x:v>Demand &amp; Funnel</x:v>
      </x:c>
      <x:c r="B17" t="str">
        <x:v>Private MasterClass → Proof Diagnostic</x:v>
      </x:c>
      <x:c r="C17" t="str">
        <x:v>%</x:v>
      </x:c>
      <x:c r="D17" s="50" t="n">
        <x:v>0.6</x:v>
      </x:c>
      <x:c r="E17" s="50" t="n">
        <x:v>0.65</x:v>
      </x:c>
      <x:c r="F17" s="50" t="n">
        <x:v>0.72</x:v>
      </x:c>
      <x:c r="G17" s="51" t="n">
        <x:f>IF(Dashboard!$B$3="Conservative",D17,IF(Dashboard!$B$3="Base",E17,F17))</x:f>
        <x:v>0.65</x:v>
      </x:c>
      <x:c r="H17" s="35" t="str">
        <x:v>Internal conversion assumption.</x:v>
      </x:c>
    </x:row>
    <x:row r="18">
      <x:c r="A18" t="str">
        <x:v>Demand &amp; Funnel</x:v>
      </x:c>
      <x:c r="B18" t="str">
        <x:v>Discovery → direct Proof Diagnostic</x:v>
      </x:c>
      <x:c r="C18" t="str">
        <x:v>%</x:v>
      </x:c>
      <x:c r="D18" s="50" t="n">
        <x:v>0.1</x:v>
      </x:c>
      <x:c r="E18" s="50" t="n">
        <x:v>0.12</x:v>
      </x:c>
      <x:c r="F18" s="50" t="n">
        <x:v>0.15</x:v>
      </x:c>
      <x:c r="G18" s="51" t="n">
        <x:f>IF(Dashboard!$B$3="Conservative",D18,IF(Dashboard!$B$3="Base",E18,F18))</x:f>
        <x:v>0.12</x:v>
      </x:c>
      <x:c r="H18" s="35" t="str">
        <x:v>Internal conversion assumption.</x:v>
      </x:c>
    </x:row>
    <x:row r="19">
      <x:c r="A19" t="str">
        <x:v>Demand &amp; Funnel</x:v>
      </x:c>
      <x:c r="B19" t="str">
        <x:v>Proof Diagnostic → Proof Mission Sprint</x:v>
      </x:c>
      <x:c r="C19" t="str">
        <x:v>%</x:v>
      </x:c>
      <x:c r="D19" s="50" t="n">
        <x:v>0.43</x:v>
      </x:c>
      <x:c r="E19" s="50" t="n">
        <x:v>0.5</x:v>
      </x:c>
      <x:c r="F19" s="50" t="n">
        <x:v>0.58</x:v>
      </x:c>
      <x:c r="G19" s="51" t="n">
        <x:f>IF(Dashboard!$B$3="Conservative",D19,IF(Dashboard!$B$3="Base",E19,F19))</x:f>
        <x:v>0.5</x:v>
      </x:c>
      <x:c r="H19" s="35" t="str">
        <x:v>Internal conversion assumption before proof-driven lift.</x:v>
      </x:c>
    </x:row>
    <x:row r="20">
      <x:c r="A20" t="str">
        <x:v>Demand &amp; Funnel</x:v>
      </x:c>
      <x:c r="B20" t="str">
        <x:v>Proof Mission Sprint → enterprise pilot</x:v>
      </x:c>
      <x:c r="C20" t="str">
        <x:v>%</x:v>
      </x:c>
      <x:c r="D20" s="50" t="n">
        <x:v>0.25</x:v>
      </x:c>
      <x:c r="E20" s="50" t="n">
        <x:v>0.3</x:v>
      </x:c>
      <x:c r="F20" s="50" t="n">
        <x:v>0.38</x:v>
      </x:c>
      <x:c r="G20" s="51" t="n">
        <x:f>IF(Dashboard!$B$3="Conservative",D20,IF(Dashboard!$B$3="Base",E20,F20))</x:f>
        <x:v>0.3</x:v>
      </x:c>
      <x:c r="H20" s="35" t="str">
        <x:v>Internal expansion assumption.</x:v>
      </x:c>
    </x:row>
    <x:row r="21">
      <x:c r="A21" t="str">
        <x:v>Demand &amp; Funnel</x:v>
      </x:c>
      <x:c r="B21" t="str">
        <x:v>Enterprise pilot → Proof OS subscription</x:v>
      </x:c>
      <x:c r="C21" t="str">
        <x:v>%</x:v>
      </x:c>
      <x:c r="D21" s="50" t="n">
        <x:v>0.4</x:v>
      </x:c>
      <x:c r="E21" s="50" t="n">
        <x:v>0.45</x:v>
      </x:c>
      <x:c r="F21" s="50" t="n">
        <x:v>0.55</x:v>
      </x:c>
      <x:c r="G21" s="51" t="n">
        <x:f>IF(Dashboard!$B$3="Conservative",D21,IF(Dashboard!$B$3="Base",E21,F21))</x:f>
        <x:v>0.45</x:v>
      </x:c>
      <x:c r="H21" s="35" t="str">
        <x:v>Internal expansion assumption.</x:v>
      </x:c>
    </x:row>
    <x:row r="22">
      <x:c r="A22" t="str">
        <x:v>Demand &amp; Funnel</x:v>
      </x:c>
      <x:c r="B22" t="str">
        <x:v>Completed mission → repeat mission</x:v>
      </x:c>
      <x:c r="C22" t="str">
        <x:v>%</x:v>
      </x:c>
      <x:c r="D22" s="50" t="n">
        <x:v>0.25</x:v>
      </x:c>
      <x:c r="E22" s="50" t="n">
        <x:v>0.32</x:v>
      </x:c>
      <x:c r="F22" s="50" t="n">
        <x:v>0.45</x:v>
      </x:c>
      <x:c r="G22" s="51" t="n">
        <x:f>IF(Dashboard!$B$3="Conservative",D22,IF(Dashboard!$B$3="Base",E22,F22))</x:f>
        <x:v>0.32</x:v>
      </x:c>
      <x:c r="H22" s="35" t="str">
        <x:v>Core commercial proof assumption: customers commission a related second mission.</x:v>
      </x:c>
    </x:row>
    <x:row r="23">
      <x:c r="A23" t="str">
        <x:v>Demand &amp; Funnel</x:v>
      </x:c>
      <x:c r="B23" t="str">
        <x:v>Mission validation pass rate</x:v>
      </x:c>
      <x:c r="C23" t="str">
        <x:v>%</x:v>
      </x:c>
      <x:c r="D23" s="50" t="n">
        <x:v>0.82</x:v>
      </x:c>
      <x:c r="E23" s="50" t="n">
        <x:v>0.9</x:v>
      </x:c>
      <x:c r="F23" s="50" t="n">
        <x:v>0.95</x:v>
      </x:c>
      <x:c r="G23" s="51" t="n">
        <x:f>IF(Dashboard!$B$3="Conservative",D23,IF(Dashboard!$B$3="Base",E23,F23))</x:f>
        <x:v>0.9</x:v>
      </x:c>
      <x:c r="H23" s="35" t="str">
        <x:v>A valid mission may conclude proceed, narrow, repair, reject, quarantine, or stop.</x:v>
      </x:c>
    </x:row>
    <x:row r="24">
      <x:c r="A24" t="str">
        <x:v>Demand &amp; Funnel</x:v>
      </x:c>
      <x:c r="B24" t="str">
        <x:v>Conversion lift per validated case</x:v>
      </x:c>
      <x:c r="C24" t="str">
        <x:v>percentage points</x:v>
      </x:c>
      <x:c r="D24" s="50" t="n">
        <x:v>0.00025</x:v>
      </x:c>
      <x:c r="E24" s="50" t="n">
        <x:v>0.0004</x:v>
      </x:c>
      <x:c r="F24" s="50" t="n">
        <x:v>0.0006</x:v>
      </x:c>
      <x:c r="G24" s="51" t="n">
        <x:f>IF(Dashboard!$B$3="Conservative",D24,IF(Dashboard!$B$3="Base",E24,F24))</x:f>
        <x:v>0.0004</x:v>
      </x:c>
      <x:c r="H24" s="35" t="str">
        <x:v>Synthetic proof-driven conversion lift; applied only after validated customer outcomes.</x:v>
      </x:c>
    </x:row>
    <x:row r="25">
      <x:c r="A25" t="str">
        <x:v>Demand &amp; Funnel</x:v>
      </x:c>
      <x:c r="B25" t="str">
        <x:v>Maximum conversion lift</x:v>
      </x:c>
      <x:c r="C25" t="str">
        <x:v>percentage points</x:v>
      </x:c>
      <x:c r="D25" s="50" t="n">
        <x:v>0.06</x:v>
      </x:c>
      <x:c r="E25" s="50" t="n">
        <x:v>0.1</x:v>
      </x:c>
      <x:c r="F25" s="50" t="n">
        <x:v>0.14</x:v>
      </x:c>
      <x:c r="G25" s="51" t="n">
        <x:f>IF(Dashboard!$B$3="Conservative",D25,IF(Dashboard!$B$3="Base",E25,F25))</x:f>
        <x:v>0.1</x:v>
      </x:c>
      <x:c r="H25" s="35" t="str">
        <x:v>Caps compounding to prevent unrealistic conversion inflation.</x:v>
      </x:c>
    </x:row>
    <x:row r="26">
      <x:c r="A26" t="str">
        <x:v>Demand &amp; Funnel</x:v>
      </x:c>
      <x:c r="B26" t="str">
        <x:v>Referral opportunities per validated case / month</x:v>
      </x:c>
      <x:c r="C26" t="str">
        <x:v>count</x:v>
      </x:c>
      <x:c r="D26" s="46" t="n">
        <x:v>0.05</x:v>
      </x:c>
      <x:c r="E26" s="46" t="n">
        <x:v>0.07</x:v>
      </x:c>
      <x:c r="F26" s="46" t="n">
        <x:v>0.1</x:v>
      </x:c>
      <x:c r="G26" s="47" t="n">
        <x:f>IF(Dashboard!$B$3="Conservative",D26,IF(Dashboard!$B$3="Base",E26,F26))</x:f>
        <x:v>0.07</x:v>
      </x:c>
      <x:c r="H26" s="35" t="str">
        <x:v>Synthetic referral effect from real, permissioned outcomes.</x:v>
      </x:c>
    </x:row>
    <x:row r="27">
      <x:c r="A27" s="3" t="str">
        <x:v>Pricing</x:v>
      </x:c>
      <x:c r="B27" s="3"/>
      <x:c r="C27" s="3"/>
      <x:c r="D27" s="24"/>
      <x:c r="E27" s="24"/>
      <x:c r="F27" s="24"/>
      <x:c r="G27" s="32"/>
      <x:c r="H27" s="34"/>
    </x:row>
    <x:row r="28">
      <x:c r="A28" t="str">
        <x:v>Pricing</x:v>
      </x:c>
      <x:c r="B28" t="str">
        <x:v>Private Frontier MasterClass price</x:v>
      </x:c>
      <x:c r="C28" t="str">
        <x:v>$</x:v>
      </x:c>
      <x:c r="D28" s="42" t="n">
        <x:v>18000</x:v>
      </x:c>
      <x:c r="E28" s="42" t="n">
        <x:v>25000</x:v>
      </x:c>
      <x:c r="F28" s="42" t="n">
        <x:v>30000</x:v>
      </x:c>
      <x:c r="G28" s="43" t="n">
        <x:f>IF(Dashboard!$B$3="Conservative",D28,IF(Dashboard!$B$3="Base",E28,F28))</x:f>
        <x:v>25000</x:v>
      </x:c>
      <x:c r="H28" s="35" t="str">
        <x:v>Within GoalOS commercialization price-test ranges; not yet validated by repeated market transactions.</x:v>
      </x:c>
    </x:row>
    <x:row r="29">
      <x:c r="A29" t="str">
        <x:v>Pricing</x:v>
      </x:c>
      <x:c r="B29" t="str">
        <x:v>Executive Proof Diagnostic price</x:v>
      </x:c>
      <x:c r="C29" t="str">
        <x:v>$</x:v>
      </x:c>
      <x:c r="D29" s="42" t="n">
        <x:v>10000</x:v>
      </x:c>
      <x:c r="E29" s="42" t="n">
        <x:v>12500</x:v>
      </x:c>
      <x:c r="F29" s="42" t="n">
        <x:v>15000</x:v>
      </x:c>
      <x:c r="G29" s="43" t="n">
        <x:f>IF(Dashboard!$B$3="Conservative",D29,IF(Dashboard!$B$3="Base",E29,F29))</x:f>
        <x:v>12500</x:v>
      </x:c>
      <x:c r="H29" s="35" t="str">
        <x:v>Within GoalOS commercialization price-test ranges.</x:v>
      </x:c>
    </x:row>
    <x:row r="30">
      <x:c r="A30" t="str">
        <x:v>Pricing</x:v>
      </x:c>
      <x:c r="B30" t="str">
        <x:v>Proof Mission Sprint price</x:v>
      </x:c>
      <x:c r="C30" t="str">
        <x:v>$</x:v>
      </x:c>
      <x:c r="D30" s="42" t="n">
        <x:v>40000</x:v>
      </x:c>
      <x:c r="E30" s="42" t="n">
        <x:v>50000</x:v>
      </x:c>
      <x:c r="F30" s="42" t="n">
        <x:v>70000</x:v>
      </x:c>
      <x:c r="G30" s="43" t="n">
        <x:f>IF(Dashboard!$B$3="Conservative",D30,IF(Dashboard!$B$3="Base",E30,F30))</x:f>
        <x:v>50000</x:v>
      </x:c>
      <x:c r="H30" s="35" t="str">
        <x:v>Within GoalOS commercialization price-test ranges.</x:v>
      </x:c>
    </x:row>
    <x:row r="31">
      <x:c r="A31" t="str">
        <x:v>Pricing</x:v>
      </x:c>
      <x:c r="B31" t="str">
        <x:v>Repeat Proof Mission price</x:v>
      </x:c>
      <x:c r="C31" t="str">
        <x:v>$</x:v>
      </x:c>
      <x:c r="D31" s="42" t="n">
        <x:v>40000</x:v>
      </x:c>
      <x:c r="E31" s="42" t="n">
        <x:v>50000</x:v>
      </x:c>
      <x:c r="F31" s="42" t="n">
        <x:v>70000</x:v>
      </x:c>
      <x:c r="G31" s="43" t="n">
        <x:f>IF(Dashboard!$B$3="Conservative",D31,IF(Dashboard!$B$3="Base",E31,F31))</x:f>
        <x:v>50000</x:v>
      </x:c>
      <x:c r="H31" s="35" t="str">
        <x:v>Assumes a related follow-on mission at the core mission price.</x:v>
      </x:c>
    </x:row>
    <x:row r="32">
      <x:c r="A32" t="str">
        <x:v>Pricing</x:v>
      </x:c>
      <x:c r="B32" t="str">
        <x:v>Enterprise pilot price</x:v>
      </x:c>
      <x:c r="C32" t="str">
        <x:v>$</x:v>
      </x:c>
      <x:c r="D32" s="42" t="n">
        <x:v>125000</x:v>
      </x:c>
      <x:c r="E32" s="42" t="n">
        <x:v>150000</x:v>
      </x:c>
      <x:c r="F32" s="42" t="n">
        <x:v>225000</x:v>
      </x:c>
      <x:c r="G32" s="43" t="n">
        <x:f>IF(Dashboard!$B$3="Conservative",D32,IF(Dashboard!$B$3="Base",E32,F32))</x:f>
        <x:v>150000</x:v>
      </x:c>
      <x:c r="H32" s="35" t="str">
        <x:v>Within GoalOS enterprise-pilot price-test ranges.</x:v>
      </x:c>
    </x:row>
    <x:row r="33">
      <x:c r="A33" t="str">
        <x:v>Pricing</x:v>
      </x:c>
      <x:c r="B33" t="str">
        <x:v>Enterprise Proof OS annual contract value</x:v>
      </x:c>
      <x:c r="C33" t="str">
        <x:v>$ / year</x:v>
      </x:c>
      <x:c r="D33" s="42" t="n">
        <x:v>300000</x:v>
      </x:c>
      <x:c r="E33" s="42" t="n">
        <x:v>350000</x:v>
      </x:c>
      <x:c r="F33" s="42" t="n">
        <x:v>450000</x:v>
      </x:c>
      <x:c r="G33" s="43" t="n">
        <x:f>IF(Dashboard!$B$3="Conservative",D33,IF(Dashboard!$B$3="Base",E33,F33))</x:f>
        <x:v>350000</x:v>
      </x:c>
      <x:c r="H33" s="35" t="str">
        <x:v>Within GoalOS annual contract price-test ranges.</x:v>
      </x:c>
    </x:row>
    <x:row r="34">
      <x:c r="A34" t="str">
        <x:v>Pricing</x:v>
      </x:c>
      <x:c r="B34" t="str">
        <x:v>Annual price increase</x:v>
      </x:c>
      <x:c r="C34" t="str">
        <x:v>%</x:v>
      </x:c>
      <x:c r="D34" s="50" t="n">
        <x:v>0</x:v>
      </x:c>
      <x:c r="E34" s="50" t="n">
        <x:v>0.03</x:v>
      </x:c>
      <x:c r="F34" s="50" t="n">
        <x:v>0.05</x:v>
      </x:c>
      <x:c r="G34" s="51" t="n">
        <x:f>IF(Dashboard!$B$3="Conservative",D34,IF(Dashboard!$B$3="Base",E34,F34))</x:f>
        <x:v>0.03</x:v>
      </x:c>
      <x:c r="H34" s="35" t="str">
        <x:v>Management planning assumption.</x:v>
      </x:c>
    </x:row>
    <x:row r="35">
      <x:c r="A35" t="str">
        <x:v>Pricing</x:v>
      </x:c>
      <x:c r="B35" t="str">
        <x:v>Annual Proof OS logo churn</x:v>
      </x:c>
      <x:c r="C35" t="str">
        <x:v>%</x:v>
      </x:c>
      <x:c r="D35" s="50" t="n">
        <x:v>0.15</x:v>
      </x:c>
      <x:c r="E35" s="50" t="n">
        <x:v>0.1</x:v>
      </x:c>
      <x:c r="F35" s="50" t="n">
        <x:v>0.06</x:v>
      </x:c>
      <x:c r="G35" s="51" t="n">
        <x:f>IF(Dashboard!$B$3="Conservative",D35,IF(Dashboard!$B$3="Base",E35,F35))</x:f>
        <x:v>0.1</x:v>
      </x:c>
      <x:c r="H35" s="35" t="str">
        <x:v>Management planning assumption; replace with observed retention.</x:v>
      </x:c>
    </x:row>
    <x:row r="36">
      <x:c r="A36" s="3" t="str">
        <x:v>Delivery &amp; COGS</x:v>
      </x:c>
      <x:c r="B36" s="3"/>
      <x:c r="C36" s="3"/>
      <x:c r="D36" s="24"/>
      <x:c r="E36" s="24"/>
      <x:c r="F36" s="24"/>
      <x:c r="G36" s="32"/>
      <x:c r="H36" s="34"/>
    </x:row>
    <x:row r="37">
      <x:c r="A37" t="str">
        <x:v>Delivery &amp; COGS</x:v>
      </x:c>
      <x:c r="B37" t="str">
        <x:v>Delivery hours — private MasterClass</x:v>
      </x:c>
      <x:c r="C37" t="str">
        <x:v>hours</x:v>
      </x:c>
      <x:c r="D37" s="46" t="n">
        <x:v>18</x:v>
      </x:c>
      <x:c r="E37" s="46" t="n">
        <x:v>18</x:v>
      </x:c>
      <x:c r="F37" s="46" t="n">
        <x:v>16</x:v>
      </x:c>
      <x:c r="G37" s="47" t="n">
        <x:f>IF(Dashboard!$B$3="Conservative",D37,IF(Dashboard!$B$3="Base",E37,F37))</x:f>
        <x:v>18</x:v>
      </x:c>
      <x:c r="H37" s="35" t="str">
        <x:v>Internal delivery estimate.</x:v>
      </x:c>
    </x:row>
    <x:row r="38">
      <x:c r="A38" t="str">
        <x:v>Delivery &amp; COGS</x:v>
      </x:c>
      <x:c r="B38" t="str">
        <x:v>Delivery hours — Proof Diagnostic</x:v>
      </x:c>
      <x:c r="C38" t="str">
        <x:v>hours</x:v>
      </x:c>
      <x:c r="D38" s="46" t="n">
        <x:v>30</x:v>
      </x:c>
      <x:c r="E38" s="46" t="n">
        <x:v>30</x:v>
      </x:c>
      <x:c r="F38" s="46" t="n">
        <x:v>26</x:v>
      </x:c>
      <x:c r="G38" s="47" t="n">
        <x:f>IF(Dashboard!$B$3="Conservative",D38,IF(Dashboard!$B$3="Base",E38,F38))</x:f>
        <x:v>30</x:v>
      </x:c>
      <x:c r="H38" s="35" t="str">
        <x:v>Internal delivery estimate.</x:v>
      </x:c>
    </x:row>
    <x:row r="39">
      <x:c r="A39" t="str">
        <x:v>Delivery &amp; COGS</x:v>
      </x:c>
      <x:c r="B39" t="str">
        <x:v>Delivery hours — Proof Mission Sprint</x:v>
      </x:c>
      <x:c r="C39" t="str">
        <x:v>hours</x:v>
      </x:c>
      <x:c r="D39" s="46" t="n">
        <x:v>110</x:v>
      </x:c>
      <x:c r="E39" s="46" t="n">
        <x:v>105</x:v>
      </x:c>
      <x:c r="F39" s="46" t="n">
        <x:v>90</x:v>
      </x:c>
      <x:c r="G39" s="47" t="n">
        <x:f>IF(Dashboard!$B$3="Conservative",D39,IF(Dashboard!$B$3="Base",E39,F39))</x:f>
        <x:v>105</x:v>
      </x:c>
      <x:c r="H39" s="35" t="str">
        <x:v>Internal delivery estimate.</x:v>
      </x:c>
    </x:row>
    <x:row r="40">
      <x:c r="A40" t="str">
        <x:v>Delivery &amp; COGS</x:v>
      </x:c>
      <x:c r="B40" t="str">
        <x:v>Delivery hours — repeat mission</x:v>
      </x:c>
      <x:c r="C40" t="str">
        <x:v>hours</x:v>
      </x:c>
      <x:c r="D40" s="46" t="n">
        <x:v>80</x:v>
      </x:c>
      <x:c r="E40" s="46" t="n">
        <x:v>75</x:v>
      </x:c>
      <x:c r="F40" s="46" t="n">
        <x:v>65</x:v>
      </x:c>
      <x:c r="G40" s="47" t="n">
        <x:f>IF(Dashboard!$B$3="Conservative",D40,IF(Dashboard!$B$3="Base",E40,F40))</x:f>
        <x:v>75</x:v>
      </x:c>
      <x:c r="H40" s="35" t="str">
        <x:v>Assumes validated capability reduces repeat-mission effort.</x:v>
      </x:c>
    </x:row>
    <x:row r="41">
      <x:c r="A41" t="str">
        <x:v>Delivery &amp; COGS</x:v>
      </x:c>
      <x:c r="B41" t="str">
        <x:v>Delivery hours — enterprise pilot</x:v>
      </x:c>
      <x:c r="C41" t="str">
        <x:v>hours</x:v>
      </x:c>
      <x:c r="D41" s="46" t="n">
        <x:v>400</x:v>
      </x:c>
      <x:c r="E41" s="46" t="n">
        <x:v>375</x:v>
      </x:c>
      <x:c r="F41" s="46" t="n">
        <x:v>325</x:v>
      </x:c>
      <x:c r="G41" s="47" t="n">
        <x:f>IF(Dashboard!$B$3="Conservative",D41,IF(Dashboard!$B$3="Base",E41,F41))</x:f>
        <x:v>375</x:v>
      </x:c>
      <x:c r="H41" s="35" t="str">
        <x:v>Internal delivery estimate.</x:v>
      </x:c>
    </x:row>
    <x:row r="42">
      <x:c r="A42" t="str">
        <x:v>Delivery &amp; COGS</x:v>
      </x:c>
      <x:c r="B42" t="str">
        <x:v>Monthly delivery hours / active Proof OS account</x:v>
      </x:c>
      <x:c r="C42" t="str">
        <x:v>hours</x:v>
      </x:c>
      <x:c r="D42" s="46" t="n">
        <x:v>22</x:v>
      </x:c>
      <x:c r="E42" s="46" t="n">
        <x:v>20</x:v>
      </x:c>
      <x:c r="F42" s="46" t="n">
        <x:v>18</x:v>
      </x:c>
      <x:c r="G42" s="47" t="n">
        <x:f>IF(Dashboard!$B$3="Conservative",D42,IF(Dashboard!$B$3="Base",E42,F42))</x:f>
        <x:v>20</x:v>
      </x:c>
      <x:c r="H42" s="35" t="str">
        <x:v>Internal customer-success and proof-operations estimate.</x:v>
      </x:c>
    </x:row>
    <x:row r="43">
      <x:c r="A43" t="str">
        <x:v>Delivery &amp; COGS</x:v>
      </x:c>
      <x:c r="B43" t="str">
        <x:v>Productive delivery hours / FTE / month</x:v>
      </x:c>
      <x:c r="C43" t="str">
        <x:v>hours</x:v>
      </x:c>
      <x:c r="D43" s="46" t="n">
        <x:v>125</x:v>
      </x:c>
      <x:c r="E43" s="46" t="n">
        <x:v>125</x:v>
      </x:c>
      <x:c r="F43" s="46" t="n">
        <x:v>130</x:v>
      </x:c>
      <x:c r="G43" s="47" t="n">
        <x:f>IF(Dashboard!$B$3="Conservative",D43,IF(Dashboard!$B$3="Base",E43,F43))</x:f>
        <x:v>125</x:v>
      </x:c>
      <x:c r="H43" s="35" t="str">
        <x:v>Loaded capacity after non-delivery time.</x:v>
      </x:c>
    </x:row>
    <x:row r="44">
      <x:c r="A44" t="str">
        <x:v>Delivery &amp; COGS</x:v>
      </x:c>
      <x:c r="B44" t="str">
        <x:v>Initial delivery FTE</x:v>
      </x:c>
      <x:c r="C44" t="str">
        <x:v>FTE</x:v>
      </x:c>
      <x:c r="D44" s="46" t="n">
        <x:v>1</x:v>
      </x:c>
      <x:c r="E44" s="46" t="n">
        <x:v>2</x:v>
      </x:c>
      <x:c r="F44" s="46" t="n">
        <x:v>2</x:v>
      </x:c>
      <x:c r="G44" s="47" t="n">
        <x:f>IF(Dashboard!$B$3="Conservative",D44,IF(Dashboard!$B$3="Base",E44,F44))</x:f>
        <x:v>2</x:v>
      </x:c>
      <x:c r="H44" s="35" t="str">
        <x:v>Management staffing assumption.</x:v>
      </x:c>
    </x:row>
    <x:row r="45">
      <x:c r="A45" t="str">
        <x:v>Delivery &amp; COGS</x:v>
      </x:c>
      <x:c r="B45" t="str">
        <x:v>Loaded annual delivery compensation / FTE</x:v>
      </x:c>
      <x:c r="C45" t="str">
        <x:v>$ / FTE</x:v>
      </x:c>
      <x:c r="D45" s="42" t="n">
        <x:v>140000</x:v>
      </x:c>
      <x:c r="E45" s="42" t="n">
        <x:v>155000</x:v>
      </x:c>
      <x:c r="F45" s="42" t="n">
        <x:v>170000</x:v>
      </x:c>
      <x:c r="G45" s="43" t="n">
        <x:f>IF(Dashboard!$B$3="Conservative",D45,IF(Dashboard!$B$3="Base",E45,F45))</x:f>
        <x:v>155000</x:v>
      </x:c>
      <x:c r="H45" s="35" t="str">
        <x:v>Salary, benefits, payroll burden, and employer costs.</x:v>
      </x:c>
    </x:row>
    <x:row r="46">
      <x:c r="A46" t="str">
        <x:v>Delivery &amp; COGS</x:v>
      </x:c>
      <x:c r="B46" t="str">
        <x:v>Delivery efficiency gain per validated case</x:v>
      </x:c>
      <x:c r="C46" t="str">
        <x:v>%</x:v>
      </x:c>
      <x:c r="D46" s="50" t="n">
        <x:v>0.003</x:v>
      </x:c>
      <x:c r="E46" s="50" t="n">
        <x:v>0.005</x:v>
      </x:c>
      <x:c r="F46" s="50" t="n">
        <x:v>0.007</x:v>
      </x:c>
      <x:c r="G46" s="51" t="n">
        <x:f>IF(Dashboard!$B$3="Conservative",D46,IF(Dashboard!$B$3="Base",E46,F46))</x:f>
        <x:v>0.005</x:v>
      </x:c>
      <x:c r="H46" s="35" t="str">
        <x:v>Synthetic Chronicle-assisted improvement assumption.</x:v>
      </x:c>
    </x:row>
    <x:row r="47">
      <x:c r="A47" t="str">
        <x:v>Delivery &amp; COGS</x:v>
      </x:c>
      <x:c r="B47" t="str">
        <x:v>Maximum delivery efficiency gain</x:v>
      </x:c>
      <x:c r="C47" t="str">
        <x:v>%</x:v>
      </x:c>
      <x:c r="D47" s="50" t="n">
        <x:v>0.2</x:v>
      </x:c>
      <x:c r="E47" s="50" t="n">
        <x:v>0.35</x:v>
      </x:c>
      <x:c r="F47" s="50" t="n">
        <x:v>0.45</x:v>
      </x:c>
      <x:c r="G47" s="51" t="n">
        <x:f>IF(Dashboard!$B$3="Conservative",D47,IF(Dashboard!$B$3="Base",E47,F47))</x:f>
        <x:v>0.35</x:v>
      </x:c>
      <x:c r="H47" s="35" t="str">
        <x:v>Caps automation and reuse efficiency.</x:v>
      </x:c>
    </x:row>
    <x:row r="48">
      <x:c r="A48" t="str">
        <x:v>Delivery &amp; COGS</x:v>
      </x:c>
      <x:c r="B48" t="str">
        <x:v>Compute + reviewer cost — MasterClass</x:v>
      </x:c>
      <x:c r="C48" t="str">
        <x:v>$ / unit</x:v>
      </x:c>
      <x:c r="D48" s="42" t="n">
        <x:v>400</x:v>
      </x:c>
      <x:c r="E48" s="42" t="n">
        <x:v>500</x:v>
      </x:c>
      <x:c r="F48" s="42" t="n">
        <x:v>500</x:v>
      </x:c>
      <x:c r="G48" s="43" t="n">
        <x:f>IF(Dashboard!$B$3="Conservative",D48,IF(Dashboard!$B$3="Base",E48,F48))</x:f>
        <x:v>500</x:v>
      </x:c>
      <x:c r="H48" s="35" t="str">
        <x:v>Internal model, tooling, and review-cost estimate.</x:v>
      </x:c>
    </x:row>
    <x:row r="49">
      <x:c r="A49" t="str">
        <x:v>Delivery &amp; COGS</x:v>
      </x:c>
      <x:c r="B49" t="str">
        <x:v>Compute + reviewer cost — Diagnostic</x:v>
      </x:c>
      <x:c r="C49" t="str">
        <x:v>$ / unit</x:v>
      </x:c>
      <x:c r="D49" s="42" t="n">
        <x:v>1200</x:v>
      </x:c>
      <x:c r="E49" s="42" t="n">
        <x:v>1500</x:v>
      </x:c>
      <x:c r="F49" s="42" t="n">
        <x:v>1500</x:v>
      </x:c>
      <x:c r="G49" s="43" t="n">
        <x:f>IF(Dashboard!$B$3="Conservative",D49,IF(Dashboard!$B$3="Base",E49,F49))</x:f>
        <x:v>1500</x:v>
      </x:c>
      <x:c r="H49" s="35" t="str">
        <x:v>Internal model, tooling, and review-cost estimate.</x:v>
      </x:c>
    </x:row>
    <x:row r="50">
      <x:c r="A50" t="str">
        <x:v>Delivery &amp; COGS</x:v>
      </x:c>
      <x:c r="B50" t="str">
        <x:v>Compute + reviewer cost — Sprint</x:v>
      </x:c>
      <x:c r="C50" t="str">
        <x:v>$ / unit</x:v>
      </x:c>
      <x:c r="D50" s="42" t="n">
        <x:v>7000</x:v>
      </x:c>
      <x:c r="E50" s="42" t="n">
        <x:v>7500</x:v>
      </x:c>
      <x:c r="F50" s="42" t="n">
        <x:v>8500</x:v>
      </x:c>
      <x:c r="G50" s="43" t="n">
        <x:f>IF(Dashboard!$B$3="Conservative",D50,IF(Dashboard!$B$3="Base",E50,F50))</x:f>
        <x:v>7500</x:v>
      </x:c>
      <x:c r="H50" s="35" t="str">
        <x:v>Internal model, tooling, and review-cost estimate.</x:v>
      </x:c>
    </x:row>
    <x:row r="51">
      <x:c r="A51" t="str">
        <x:v>Delivery &amp; COGS</x:v>
      </x:c>
      <x:c r="B51" t="str">
        <x:v>Compute + reviewer cost — repeat mission</x:v>
      </x:c>
      <x:c r="C51" t="str">
        <x:v>$ / unit</x:v>
      </x:c>
      <x:c r="D51" s="42" t="n">
        <x:v>4500</x:v>
      </x:c>
      <x:c r="E51" s="42" t="n">
        <x:v>5000</x:v>
      </x:c>
      <x:c r="F51" s="42" t="n">
        <x:v>5000</x:v>
      </x:c>
      <x:c r="G51" s="43" t="n">
        <x:f>IF(Dashboard!$B$3="Conservative",D51,IF(Dashboard!$B$3="Base",E51,F51))</x:f>
        <x:v>5000</x:v>
      </x:c>
      <x:c r="H51" s="35" t="str">
        <x:v>Internal model, tooling, and review-cost estimate.</x:v>
      </x:c>
    </x:row>
    <x:row r="52">
      <x:c r="A52" t="str">
        <x:v>Delivery &amp; COGS</x:v>
      </x:c>
      <x:c r="B52" t="str">
        <x:v>Compute + reviewer cost — pilot</x:v>
      </x:c>
      <x:c r="C52" t="str">
        <x:v>$ / unit</x:v>
      </x:c>
      <x:c r="D52" s="42" t="n">
        <x:v>25000</x:v>
      </x:c>
      <x:c r="E52" s="42" t="n">
        <x:v>28000</x:v>
      </x:c>
      <x:c r="F52" s="42" t="n">
        <x:v>32000</x:v>
      </x:c>
      <x:c r="G52" s="43" t="n">
        <x:f>IF(Dashboard!$B$3="Conservative",D52,IF(Dashboard!$B$3="Base",E52,F52))</x:f>
        <x:v>28000</x:v>
      </x:c>
      <x:c r="H52" s="35" t="str">
        <x:v>Internal model, tooling, and review-cost estimate.</x:v>
      </x:c>
    </x:row>
    <x:row r="53">
      <x:c r="A53" t="str">
        <x:v>Delivery &amp; COGS</x:v>
      </x:c>
      <x:c r="B53" t="str">
        <x:v>Compute + reviewer cost — active subscription / month</x:v>
      </x:c>
      <x:c r="C53" t="str">
        <x:v>$ / account / month</x:v>
      </x:c>
      <x:c r="D53" s="42" t="n">
        <x:v>2500</x:v>
      </x:c>
      <x:c r="E53" s="42" t="n">
        <x:v>2800</x:v>
      </x:c>
      <x:c r="F53" s="42" t="n">
        <x:v>3200</x:v>
      </x:c>
      <x:c r="G53" s="43" t="n">
        <x:f>IF(Dashboard!$B$3="Conservative",D53,IF(Dashboard!$B$3="Base",E53,F53))</x:f>
        <x:v>2800</x:v>
      </x:c>
      <x:c r="H53" s="35" t="str">
        <x:v>Internal model, tooling, and review-cost estimate.</x:v>
      </x:c>
    </x:row>
    <x:row r="54">
      <x:c r="A54" s="3" t="str">
        <x:v>Operating Team</x:v>
      </x:c>
      <x:c r="B54" s="3"/>
      <x:c r="C54" s="3"/>
      <x:c r="D54" s="24"/>
      <x:c r="E54" s="24"/>
      <x:c r="F54" s="24"/>
      <x:c r="G54" s="32"/>
      <x:c r="H54" s="34"/>
    </x:row>
    <x:row r="55">
      <x:c r="A55" t="str">
        <x:v>Operating Team</x:v>
      </x:c>
      <x:c r="B55" t="str">
        <x:v>Executive FTE</x:v>
      </x:c>
      <x:c r="C55" t="str">
        <x:v>FTE</x:v>
      </x:c>
      <x:c r="D55" s="46" t="n">
        <x:v>2</x:v>
      </x:c>
      <x:c r="E55" s="46" t="n">
        <x:v>2</x:v>
      </x:c>
      <x:c r="F55" s="46" t="n">
        <x:v>2</x:v>
      </x:c>
      <x:c r="G55" s="47" t="n">
        <x:f>IF(Dashboard!$B$3="Conservative",D55,IF(Dashboard!$B$3="Base",E55,F55))</x:f>
        <x:v>2</x:v>
      </x:c>
      <x:c r="H55" s="35" t="str">
        <x:v>Management staffing assumption.</x:v>
      </x:c>
    </x:row>
    <x:row r="56">
      <x:c r="A56" t="str">
        <x:v>Operating Team</x:v>
      </x:c>
      <x:c r="B56" t="str">
        <x:v>Loaded annual executive compensation / FTE</x:v>
      </x:c>
      <x:c r="C56" t="str">
        <x:v>$ / FTE</x:v>
      </x:c>
      <x:c r="D56" s="42" t="n">
        <x:v>150000</x:v>
      </x:c>
      <x:c r="E56" s="42" t="n">
        <x:v>170000</x:v>
      </x:c>
      <x:c r="F56" s="42" t="n">
        <x:v>190000</x:v>
      </x:c>
      <x:c r="G56" s="43" t="n">
        <x:f>IF(Dashboard!$B$3="Conservative",D56,IF(Dashboard!$B$3="Base",E56,F56))</x:f>
        <x:v>170000</x:v>
      </x:c>
      <x:c r="H56" s="35" t="str">
        <x:v>Management staffing assumption.</x:v>
      </x:c>
    </x:row>
    <x:row r="57">
      <x:c r="A57" t="str">
        <x:v>Operating Team</x:v>
      </x:c>
      <x:c r="B57" t="str">
        <x:v>Initial commercial FTE</x:v>
      </x:c>
      <x:c r="C57" t="str">
        <x:v>FTE</x:v>
      </x:c>
      <x:c r="D57" s="46" t="n">
        <x:v>1</x:v>
      </x:c>
      <x:c r="E57" s="46" t="n">
        <x:v>1</x:v>
      </x:c>
      <x:c r="F57" s="46" t="n">
        <x:v>2</x:v>
      </x:c>
      <x:c r="G57" s="47" t="n">
        <x:f>IF(Dashboard!$B$3="Conservative",D57,IF(Dashboard!$B$3="Base",E57,F57))</x:f>
        <x:v>1</x:v>
      </x:c>
      <x:c r="H57" s="35" t="str">
        <x:v>Management staffing assumption.</x:v>
      </x:c>
    </x:row>
    <x:row r="58">
      <x:c r="A58" t="str">
        <x:v>Operating Team</x:v>
      </x:c>
      <x:c r="B58" t="str">
        <x:v>Loaded annual commercial compensation / FTE</x:v>
      </x:c>
      <x:c r="C58" t="str">
        <x:v>$ / FTE</x:v>
      </x:c>
      <x:c r="D58" s="42" t="n">
        <x:v>140000</x:v>
      </x:c>
      <x:c r="E58" s="42" t="n">
        <x:v>150000</x:v>
      </x:c>
      <x:c r="F58" s="42" t="n">
        <x:v>160000</x:v>
      </x:c>
      <x:c r="G58" s="43" t="n">
        <x:f>IF(Dashboard!$B$3="Conservative",D58,IF(Dashboard!$B$3="Base",E58,F58))</x:f>
        <x:v>150000</x:v>
      </x:c>
      <x:c r="H58" s="35" t="str">
        <x:v>Management staffing assumption.</x:v>
      </x:c>
    </x:row>
    <x:row r="59">
      <x:c r="A59" t="str">
        <x:v>Operating Team</x:v>
      </x:c>
      <x:c r="B59" t="str">
        <x:v>Discovery calls / commercial FTE / month</x:v>
      </x:c>
      <x:c r="C59" t="str">
        <x:v>calls</x:v>
      </x:c>
      <x:c r="D59" s="46" t="n">
        <x:v>25</x:v>
      </x:c>
      <x:c r="E59" s="46" t="n">
        <x:v>25</x:v>
      </x:c>
      <x:c r="F59" s="46" t="n">
        <x:v>28</x:v>
      </x:c>
      <x:c r="G59" s="47" t="n">
        <x:f>IF(Dashboard!$B$3="Conservative",D59,IF(Dashboard!$B$3="Base",E59,F59))</x:f>
        <x:v>25</x:v>
      </x:c>
      <x:c r="H59" s="35" t="str">
        <x:v>Internal productivity assumption.</x:v>
      </x:c>
    </x:row>
    <x:row r="60">
      <x:c r="A60" t="str">
        <x:v>Operating Team</x:v>
      </x:c>
      <x:c r="B60" t="str">
        <x:v>Initial R&amp;D / product FTE</x:v>
      </x:c>
      <x:c r="C60" t="str">
        <x:v>FTE</x:v>
      </x:c>
      <x:c r="D60" s="46" t="n">
        <x:v>2</x:v>
      </x:c>
      <x:c r="E60" s="46" t="n">
        <x:v>3</x:v>
      </x:c>
      <x:c r="F60" s="46" t="n">
        <x:v>4</x:v>
      </x:c>
      <x:c r="G60" s="47" t="n">
        <x:f>IF(Dashboard!$B$3="Conservative",D60,IF(Dashboard!$B$3="Base",E60,F60))</x:f>
        <x:v>3</x:v>
      </x:c>
      <x:c r="H60" s="35" t="str">
        <x:v>Management staffing assumption.</x:v>
      </x:c>
    </x:row>
    <x:row r="61">
      <x:c r="A61" t="str">
        <x:v>Operating Team</x:v>
      </x:c>
      <x:c r="B61" t="str">
        <x:v>Loaded annual R&amp;D compensation / FTE</x:v>
      </x:c>
      <x:c r="C61" t="str">
        <x:v>$ / FTE</x:v>
      </x:c>
      <x:c r="D61" s="42" t="n">
        <x:v>175000</x:v>
      </x:c>
      <x:c r="E61" s="42" t="n">
        <x:v>190000</x:v>
      </x:c>
      <x:c r="F61" s="42" t="n">
        <x:v>210000</x:v>
      </x:c>
      <x:c r="G61" s="43" t="n">
        <x:f>IF(Dashboard!$B$3="Conservative",D61,IF(Dashboard!$B$3="Base",E61,F61))</x:f>
        <x:v>190000</x:v>
      </x:c>
      <x:c r="H61" s="35" t="str">
        <x:v>Management staffing assumption.</x:v>
      </x:c>
    </x:row>
    <x:row r="62">
      <x:c r="A62" t="str">
        <x:v>Operating Team</x:v>
      </x:c>
      <x:c r="B62" t="str">
        <x:v>Loaded annual customer-success compensation / FTE</x:v>
      </x:c>
      <x:c r="C62" t="str">
        <x:v>$ / FTE</x:v>
      </x:c>
      <x:c r="D62" s="42" t="n">
        <x:v>135000</x:v>
      </x:c>
      <x:c r="E62" s="42" t="n">
        <x:v>145000</x:v>
      </x:c>
      <x:c r="F62" s="42" t="n">
        <x:v>155000</x:v>
      </x:c>
      <x:c r="G62" s="43" t="n">
        <x:f>IF(Dashboard!$B$3="Conservative",D62,IF(Dashboard!$B$3="Base",E62,F62))</x:f>
        <x:v>145000</x:v>
      </x:c>
      <x:c r="H62" s="35" t="str">
        <x:v>Management staffing assumption.</x:v>
      </x:c>
    </x:row>
    <x:row r="63">
      <x:c r="A63" t="str">
        <x:v>Operating Team</x:v>
      </x:c>
      <x:c r="B63" t="str">
        <x:v>Loaded annual G&amp;A compensation / FTE</x:v>
      </x:c>
      <x:c r="C63" t="str">
        <x:v>$ / FTE</x:v>
      </x:c>
      <x:c r="D63" s="42" t="n">
        <x:v>110000</x:v>
      </x:c>
      <x:c r="E63" s="42" t="n">
        <x:v>120000</x:v>
      </x:c>
      <x:c r="F63" s="42" t="n">
        <x:v>130000</x:v>
      </x:c>
      <x:c r="G63" s="43" t="n">
        <x:f>IF(Dashboard!$B$3="Conservative",D63,IF(Dashboard!$B$3="Base",E63,F63))</x:f>
        <x:v>120000</x:v>
      </x:c>
      <x:c r="H63" s="35" t="str">
        <x:v>Management staffing assumption.</x:v>
      </x:c>
    </x:row>
    <x:row r="64">
      <x:c r="A64" t="str">
        <x:v>Operating Team</x:v>
      </x:c>
      <x:c r="B64" t="str">
        <x:v>Base marketing spend / month</x:v>
      </x:c>
      <x:c r="C64" t="str">
        <x:v>$ / month</x:v>
      </x:c>
      <x:c r="D64" s="42" t="n">
        <x:v>12000</x:v>
      </x:c>
      <x:c r="E64" s="42" t="n">
        <x:v>20000</x:v>
      </x:c>
      <x:c r="F64" s="42" t="n">
        <x:v>30000</x:v>
      </x:c>
      <x:c r="G64" s="43" t="n">
        <x:f>IF(Dashboard!$B$3="Conservative",D64,IF(Dashboard!$B$3="Base",E64,F64))</x:f>
        <x:v>20000</x:v>
      </x:c>
      <x:c r="H64" s="35" t="str">
        <x:v>Management investment assumption.</x:v>
      </x:c>
    </x:row>
    <x:row r="65">
      <x:c r="A65" t="str">
        <x:v>Operating Team</x:v>
      </x:c>
      <x:c r="B65" t="str">
        <x:v>Variable marketing spend as % revenue</x:v>
      </x:c>
      <x:c r="C65" t="str">
        <x:v>%</x:v>
      </x:c>
      <x:c r="D65" s="50" t="n">
        <x:v>0.04</x:v>
      </x:c>
      <x:c r="E65" s="50" t="n">
        <x:v>0.06</x:v>
      </x:c>
      <x:c r="F65" s="50" t="n">
        <x:v>0.075</x:v>
      </x:c>
      <x:c r="G65" s="51" t="n">
        <x:f>IF(Dashboard!$B$3="Conservative",D65,IF(Dashboard!$B$3="Base",E65,F65))</x:f>
        <x:v>0.06</x:v>
      </x:c>
      <x:c r="H65" s="35" t="str">
        <x:v>Management investment assumption.</x:v>
      </x:c>
    </x:row>
    <x:row r="66">
      <x:c r="A66" t="str">
        <x:v>Operating Team</x:v>
      </x:c>
      <x:c r="B66" t="str">
        <x:v>R&amp;D non-payroll spend / month</x:v>
      </x:c>
      <x:c r="C66" t="str">
        <x:v>$ / month</x:v>
      </x:c>
      <x:c r="D66" s="42" t="n">
        <x:v>20000</x:v>
      </x:c>
      <x:c r="E66" s="42" t="n">
        <x:v>35000</x:v>
      </x:c>
      <x:c r="F66" s="42" t="n">
        <x:v>55000</x:v>
      </x:c>
      <x:c r="G66" s="43" t="n">
        <x:f>IF(Dashboard!$B$3="Conservative",D66,IF(Dashboard!$B$3="Base",E66,F66))</x:f>
        <x:v>35000</x:v>
      </x:c>
      <x:c r="H66" s="35" t="str">
        <x:v>Cloud, models, tools, evaluation, data, and infrastructure.</x:v>
      </x:c>
    </x:row>
    <x:row r="67">
      <x:c r="A67" t="str">
        <x:v>Operating Team</x:v>
      </x:c>
      <x:c r="B67" t="str">
        <x:v>Base G&amp;A spend / month</x:v>
      </x:c>
      <x:c r="C67" t="str">
        <x:v>$ / month</x:v>
      </x:c>
      <x:c r="D67" s="42" t="n">
        <x:v>10000</x:v>
      </x:c>
      <x:c r="E67" s="42" t="n">
        <x:v>15000</x:v>
      </x:c>
      <x:c r="F67" s="42" t="n">
        <x:v>22000</x:v>
      </x:c>
      <x:c r="G67" s="43" t="n">
        <x:f>IF(Dashboard!$B$3="Conservative",D67,IF(Dashboard!$B$3="Base",E67,F67))</x:f>
        <x:v>15000</x:v>
      </x:c>
      <x:c r="H67" s="35" t="str">
        <x:v>Legal, accounting, insurance, office, and administrative costs.</x:v>
      </x:c>
    </x:row>
    <x:row r="68">
      <x:c r="A68" t="str">
        <x:v>Operating Team</x:v>
      </x:c>
      <x:c r="B68" t="str">
        <x:v>Variable G&amp;A as % revenue</x:v>
      </x:c>
      <x:c r="C68" t="str">
        <x:v>%</x:v>
      </x:c>
      <x:c r="D68" s="50" t="n">
        <x:v>0.01</x:v>
      </x:c>
      <x:c r="E68" s="50" t="n">
        <x:v>0.012</x:v>
      </x:c>
      <x:c r="F68" s="50" t="n">
        <x:v>0.015</x:v>
      </x:c>
      <x:c r="G68" s="51" t="n">
        <x:f>IF(Dashboard!$B$3="Conservative",D68,IF(Dashboard!$B$3="Base",E68,F68))</x:f>
        <x:v>0.012</x:v>
      </x:c>
      <x:c r="H68" s="35" t="str">
        <x:v>Management planning assumption.</x:v>
      </x:c>
    </x:row>
    <x:row r="69">
      <x:c r="A69" t="str">
        <x:v>Operating Team</x:v>
      </x:c>
      <x:c r="B69" t="str">
        <x:v>Capital expenditure as % revenue</x:v>
      </x:c>
      <x:c r="C69" t="str">
        <x:v>%</x:v>
      </x:c>
      <x:c r="D69" s="50" t="n">
        <x:v>0.01</x:v>
      </x:c>
      <x:c r="E69" s="50" t="n">
        <x:v>0.012</x:v>
      </x:c>
      <x:c r="F69" s="50" t="n">
        <x:v>0.015</x:v>
      </x:c>
      <x:c r="G69" s="51" t="n">
        <x:f>IF(Dashboard!$B$3="Conservative",D69,IF(Dashboard!$B$3="Base",E69,F69))</x:f>
        <x:v>0.012</x:v>
      </x:c>
      <x:c r="H69" s="35" t="str">
        <x:v>Simplified capital-investment assumption.</x:v>
      </x:c>
    </x:row>
  </x:sheetData>
  <x:mergeCells>
    <x:mergeCell ref="A1:H1"/>
    <x:mergeCell ref="A2:H2"/>
    <x:mergeCell ref="A5:H5"/>
    <x:mergeCell ref="A11:H11"/>
    <x:mergeCell ref="A27:H27"/>
    <x:mergeCell ref="A36:H36"/>
    <x:mergeCell ref="A54:H54"/>
  </x:mergeCells>
  <x:pageMargins left="0.7" right="0.7" top="0.75" bottom="0.75" header="0.3" footer="0.3"/>
  <x:legacyDrawing xmlns:r="http://schemas.openxmlformats.org/officeDocument/2006/relationships" r:id="R2efa8b0955d04579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</x:cols>
  <x:sheetData>
    <x:row r="1" ht="30" customHeight="1">
      <x:c r="A1" s="7" t="str">
        <x:v>GoalOS Autonomous Money Machine Ω — 60-Month Operating Model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  <x:c r="BE1" s="7"/>
      <x:c r="BF1" s="7"/>
      <x:c r="BG1" s="7"/>
      <x:c r="BH1" s="7"/>
      <x:c r="BI1" s="7"/>
      <x:c r="BJ1" s="7"/>
    </x:row>
    <x:row r="2" ht="30" customHeight="1">
      <x:c r="A2" s="11" t="str">
        <x:v>Selected scenario flows from Dashboard. All projections are synthetic planning scenarios—not guaranteed results.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  <x:c r="BB2" s="11"/>
      <x:c r="BC2" s="11"/>
      <x:c r="BD2" s="11"/>
      <x:c r="BE2" s="11"/>
      <x:c r="BF2" s="11"/>
      <x:c r="BG2" s="11"/>
      <x:c r="BH2" s="11"/>
      <x:c r="BI2" s="11"/>
      <x:c r="BJ2" s="11"/>
    </x:row>
    <x:row r="4">
      <x:c r="A4" s="19" t="str">
        <x:v>Metric</x:v>
      </x:c>
      <x:c r="B4" s="19" t="str">
        <x:v>Unit</x:v>
      </x:c>
      <x:c r="C4" s="54" t="n">
        <x:f>Assumptions!$G$6</x:f>
        <x:v>46235</x:v>
      </x:c>
      <x:c r="D4" s="54" t="n">
        <x:f>DATE(YEAR(C4),MONTH(C4)+1,1)</x:f>
        <x:v>46266</x:v>
      </x:c>
      <x:c r="E4" s="54" t="n">
        <x:f>DATE(YEAR(D4),MONTH(D4)+1,1)</x:f>
        <x:v>46296</x:v>
      </x:c>
      <x:c r="F4" s="54" t="n">
        <x:f>DATE(YEAR(E4),MONTH(E4)+1,1)</x:f>
        <x:v>46327</x:v>
      </x:c>
      <x:c r="G4" s="54" t="n">
        <x:f>DATE(YEAR(F4),MONTH(F4)+1,1)</x:f>
        <x:v>46357</x:v>
      </x:c>
      <x:c r="H4" s="54" t="n">
        <x:f>DATE(YEAR(G4),MONTH(G4)+1,1)</x:f>
        <x:v>46388</x:v>
      </x:c>
      <x:c r="I4" s="54" t="n">
        <x:f>DATE(YEAR(H4),MONTH(H4)+1,1)</x:f>
        <x:v>46419</x:v>
      </x:c>
      <x:c r="J4" s="54" t="n">
        <x:f>DATE(YEAR(I4),MONTH(I4)+1,1)</x:f>
        <x:v>46447</x:v>
      </x:c>
      <x:c r="K4" s="54" t="n">
        <x:f>DATE(YEAR(J4),MONTH(J4)+1,1)</x:f>
        <x:v>46478</x:v>
      </x:c>
      <x:c r="L4" s="54" t="n">
        <x:f>DATE(YEAR(K4),MONTH(K4)+1,1)</x:f>
        <x:v>46508</x:v>
      </x:c>
      <x:c r="M4" s="54" t="n">
        <x:f>DATE(YEAR(L4),MONTH(L4)+1,1)</x:f>
        <x:v>46539</x:v>
      </x:c>
      <x:c r="N4" s="54" t="n">
        <x:f>DATE(YEAR(M4),MONTH(M4)+1,1)</x:f>
        <x:v>46569</x:v>
      </x:c>
      <x:c r="O4" s="54" t="n">
        <x:f>DATE(YEAR(N4),MONTH(N4)+1,1)</x:f>
        <x:v>46600</x:v>
      </x:c>
      <x:c r="P4" s="54" t="n">
        <x:f>DATE(YEAR(O4),MONTH(O4)+1,1)</x:f>
        <x:v>46631</x:v>
      </x:c>
      <x:c r="Q4" s="54" t="n">
        <x:f>DATE(YEAR(P4),MONTH(P4)+1,1)</x:f>
        <x:v>46661</x:v>
      </x:c>
      <x:c r="R4" s="54" t="n">
        <x:f>DATE(YEAR(Q4),MONTH(Q4)+1,1)</x:f>
        <x:v>46692</x:v>
      </x:c>
      <x:c r="S4" s="54" t="n">
        <x:f>DATE(YEAR(R4),MONTH(R4)+1,1)</x:f>
        <x:v>46722</x:v>
      </x:c>
      <x:c r="T4" s="54" t="n">
        <x:f>DATE(YEAR(S4),MONTH(S4)+1,1)</x:f>
        <x:v>46753</x:v>
      </x:c>
      <x:c r="U4" s="54" t="n">
        <x:f>DATE(YEAR(T4),MONTH(T4)+1,1)</x:f>
        <x:v>46784</x:v>
      </x:c>
      <x:c r="V4" s="54" t="n">
        <x:f>DATE(YEAR(U4),MONTH(U4)+1,1)</x:f>
        <x:v>46813</x:v>
      </x:c>
      <x:c r="W4" s="54" t="n">
        <x:f>DATE(YEAR(V4),MONTH(V4)+1,1)</x:f>
        <x:v>46844</x:v>
      </x:c>
      <x:c r="X4" s="54" t="n">
        <x:f>DATE(YEAR(W4),MONTH(W4)+1,1)</x:f>
        <x:v>46874</x:v>
      </x:c>
      <x:c r="Y4" s="54" t="n">
        <x:f>DATE(YEAR(X4),MONTH(X4)+1,1)</x:f>
        <x:v>46905</x:v>
      </x:c>
      <x:c r="Z4" s="54" t="n">
        <x:f>DATE(YEAR(Y4),MONTH(Y4)+1,1)</x:f>
        <x:v>46935</x:v>
      </x:c>
      <x:c r="AA4" s="54" t="n">
        <x:f>DATE(YEAR(Z4),MONTH(Z4)+1,1)</x:f>
        <x:v>46966</x:v>
      </x:c>
      <x:c r="AB4" s="54" t="n">
        <x:f>DATE(YEAR(AA4),MONTH(AA4)+1,1)</x:f>
        <x:v>46997</x:v>
      </x:c>
      <x:c r="AC4" s="54" t="n">
        <x:f>DATE(YEAR(AB4),MONTH(AB4)+1,1)</x:f>
        <x:v>47027</x:v>
      </x:c>
      <x:c r="AD4" s="54" t="n">
        <x:f>DATE(YEAR(AC4),MONTH(AC4)+1,1)</x:f>
        <x:v>47058</x:v>
      </x:c>
      <x:c r="AE4" s="54" t="n">
        <x:f>DATE(YEAR(AD4),MONTH(AD4)+1,1)</x:f>
        <x:v>47088</x:v>
      </x:c>
      <x:c r="AF4" s="54" t="n">
        <x:f>DATE(YEAR(AE4),MONTH(AE4)+1,1)</x:f>
        <x:v>47119</x:v>
      </x:c>
      <x:c r="AG4" s="54" t="n">
        <x:f>DATE(YEAR(AF4),MONTH(AF4)+1,1)</x:f>
        <x:v>47150</x:v>
      </x:c>
      <x:c r="AH4" s="54" t="n">
        <x:f>DATE(YEAR(AG4),MONTH(AG4)+1,1)</x:f>
        <x:v>47178</x:v>
      </x:c>
      <x:c r="AI4" s="54" t="n">
        <x:f>DATE(YEAR(AH4),MONTH(AH4)+1,1)</x:f>
        <x:v>47209</x:v>
      </x:c>
      <x:c r="AJ4" s="54" t="n">
        <x:f>DATE(YEAR(AI4),MONTH(AI4)+1,1)</x:f>
        <x:v>47239</x:v>
      </x:c>
      <x:c r="AK4" s="54" t="n">
        <x:f>DATE(YEAR(AJ4),MONTH(AJ4)+1,1)</x:f>
        <x:v>47270</x:v>
      </x:c>
      <x:c r="AL4" s="54" t="n">
        <x:f>DATE(YEAR(AK4),MONTH(AK4)+1,1)</x:f>
        <x:v>47300</x:v>
      </x:c>
      <x:c r="AM4" s="54" t="n">
        <x:f>DATE(YEAR(AL4),MONTH(AL4)+1,1)</x:f>
        <x:v>47331</x:v>
      </x:c>
      <x:c r="AN4" s="54" t="n">
        <x:f>DATE(YEAR(AM4),MONTH(AM4)+1,1)</x:f>
        <x:v>47362</x:v>
      </x:c>
      <x:c r="AO4" s="54" t="n">
        <x:f>DATE(YEAR(AN4),MONTH(AN4)+1,1)</x:f>
        <x:v>47392</x:v>
      </x:c>
      <x:c r="AP4" s="54" t="n">
        <x:f>DATE(YEAR(AO4),MONTH(AO4)+1,1)</x:f>
        <x:v>47423</x:v>
      </x:c>
      <x:c r="AQ4" s="54" t="n">
        <x:f>DATE(YEAR(AP4),MONTH(AP4)+1,1)</x:f>
        <x:v>47453</x:v>
      </x:c>
      <x:c r="AR4" s="54" t="n">
        <x:f>DATE(YEAR(AQ4),MONTH(AQ4)+1,1)</x:f>
        <x:v>47484</x:v>
      </x:c>
      <x:c r="AS4" s="54" t="n">
        <x:f>DATE(YEAR(AR4),MONTH(AR4)+1,1)</x:f>
        <x:v>47515</x:v>
      </x:c>
      <x:c r="AT4" s="54" t="n">
        <x:f>DATE(YEAR(AS4),MONTH(AS4)+1,1)</x:f>
        <x:v>47543</x:v>
      </x:c>
      <x:c r="AU4" s="54" t="n">
        <x:f>DATE(YEAR(AT4),MONTH(AT4)+1,1)</x:f>
        <x:v>47574</x:v>
      </x:c>
      <x:c r="AV4" s="54" t="n">
        <x:f>DATE(YEAR(AU4),MONTH(AU4)+1,1)</x:f>
        <x:v>47604</x:v>
      </x:c>
      <x:c r="AW4" s="54" t="n">
        <x:f>DATE(YEAR(AV4),MONTH(AV4)+1,1)</x:f>
        <x:v>47635</x:v>
      </x:c>
      <x:c r="AX4" s="54" t="n">
        <x:f>DATE(YEAR(AW4),MONTH(AW4)+1,1)</x:f>
        <x:v>47665</x:v>
      </x:c>
      <x:c r="AY4" s="54" t="n">
        <x:f>DATE(YEAR(AX4),MONTH(AX4)+1,1)</x:f>
        <x:v>47696</x:v>
      </x:c>
      <x:c r="AZ4" s="54" t="n">
        <x:f>DATE(YEAR(AY4),MONTH(AY4)+1,1)</x:f>
        <x:v>47727</x:v>
      </x:c>
      <x:c r="BA4" s="54" t="n">
        <x:f>DATE(YEAR(AZ4),MONTH(AZ4)+1,1)</x:f>
        <x:v>47757</x:v>
      </x:c>
      <x:c r="BB4" s="54" t="n">
        <x:f>DATE(YEAR(BA4),MONTH(BA4)+1,1)</x:f>
        <x:v>47788</x:v>
      </x:c>
      <x:c r="BC4" s="54" t="n">
        <x:f>DATE(YEAR(BB4),MONTH(BB4)+1,1)</x:f>
        <x:v>47818</x:v>
      </x:c>
      <x:c r="BD4" s="54" t="n">
        <x:f>DATE(YEAR(BC4),MONTH(BC4)+1,1)</x:f>
        <x:v>47849</x:v>
      </x:c>
      <x:c r="BE4" s="54" t="n">
        <x:f>DATE(YEAR(BD4),MONTH(BD4)+1,1)</x:f>
        <x:v>47880</x:v>
      </x:c>
      <x:c r="BF4" s="54" t="n">
        <x:f>DATE(YEAR(BE4),MONTH(BE4)+1,1)</x:f>
        <x:v>47908</x:v>
      </x:c>
      <x:c r="BG4" s="54" t="n">
        <x:f>DATE(YEAR(BF4),MONTH(BF4)+1,1)</x:f>
        <x:v>47939</x:v>
      </x:c>
      <x:c r="BH4" s="54" t="n">
        <x:f>DATE(YEAR(BG4),MONTH(BG4)+1,1)</x:f>
        <x:v>47969</x:v>
      </x:c>
      <x:c r="BI4" s="54" t="n">
        <x:f>DATE(YEAR(BH4),MONTH(BH4)+1,1)</x:f>
        <x:v>48000</x:v>
      </x:c>
      <x:c r="BJ4" s="54" t="n">
        <x:f>DATE(YEAR(BI4),MONTH(BI4)+1,1)</x:f>
        <x:v>48030</x:v>
      </x:c>
    </x:row>
    <x:row r="5">
      <x:c r="A5" t="str">
        <x:v>Month #</x:v>
      </x:c>
      <x:c r="B5" t="str">
        <x:v>count</x:v>
      </x:c>
      <x:c r="C5" t="n">
        <x:v>1</x:v>
      </x:c>
      <x:c r="D5" t="n">
        <x:v>2</x:v>
      </x:c>
      <x:c r="E5" t="n">
        <x:v>3</x:v>
      </x:c>
      <x:c r="F5" t="n">
        <x:v>4</x:v>
      </x:c>
      <x:c r="G5" t="n">
        <x:v>5</x:v>
      </x:c>
      <x:c r="H5" t="n">
        <x:v>6</x:v>
      </x:c>
      <x:c r="I5" t="n">
        <x:v>7</x:v>
      </x:c>
      <x:c r="J5" t="n">
        <x:v>8</x:v>
      </x:c>
      <x:c r="K5" t="n">
        <x:v>9</x:v>
      </x:c>
      <x:c r="L5" t="n">
        <x:v>10</x:v>
      </x:c>
      <x:c r="M5" t="n">
        <x:v>11</x:v>
      </x:c>
      <x:c r="N5" t="n">
        <x:v>12</x:v>
      </x:c>
      <x:c r="O5" t="n">
        <x:v>13</x:v>
      </x:c>
      <x:c r="P5" t="n">
        <x:v>14</x:v>
      </x:c>
      <x:c r="Q5" t="n">
        <x:v>15</x:v>
      </x:c>
      <x:c r="R5" t="n">
        <x:v>16</x:v>
      </x:c>
      <x:c r="S5" t="n">
        <x:v>17</x:v>
      </x:c>
      <x:c r="T5" t="n">
        <x:v>18</x:v>
      </x:c>
      <x:c r="U5" t="n">
        <x:v>19</x:v>
      </x:c>
      <x:c r="V5" t="n">
        <x:v>20</x:v>
      </x:c>
      <x:c r="W5" t="n">
        <x:v>21</x:v>
      </x:c>
      <x:c r="X5" t="n">
        <x:v>22</x:v>
      </x:c>
      <x:c r="Y5" t="n">
        <x:v>23</x:v>
      </x:c>
      <x:c r="Z5" t="n">
        <x:v>24</x:v>
      </x:c>
      <x:c r="AA5" t="n">
        <x:v>25</x:v>
      </x:c>
      <x:c r="AB5" t="n">
        <x:v>26</x:v>
      </x:c>
      <x:c r="AC5" t="n">
        <x:v>27</x:v>
      </x:c>
      <x:c r="AD5" t="n">
        <x:v>28</x:v>
      </x:c>
      <x:c r="AE5" t="n">
        <x:v>29</x:v>
      </x:c>
      <x:c r="AF5" t="n">
        <x:v>30</x:v>
      </x:c>
      <x:c r="AG5" t="n">
        <x:v>31</x:v>
      </x:c>
      <x:c r="AH5" t="n">
        <x:v>32</x:v>
      </x:c>
      <x:c r="AI5" t="n">
        <x:v>33</x:v>
      </x:c>
      <x:c r="AJ5" t="n">
        <x:v>34</x:v>
      </x:c>
      <x:c r="AK5" t="n">
        <x:v>35</x:v>
      </x:c>
      <x:c r="AL5" t="n">
        <x:v>36</x:v>
      </x:c>
      <x:c r="AM5" t="n">
        <x:v>37</x:v>
      </x:c>
      <x:c r="AN5" t="n">
        <x:v>38</x:v>
      </x:c>
      <x:c r="AO5" t="n">
        <x:v>39</x:v>
      </x:c>
      <x:c r="AP5" t="n">
        <x:v>40</x:v>
      </x:c>
      <x:c r="AQ5" t="n">
        <x:v>41</x:v>
      </x:c>
      <x:c r="AR5" t="n">
        <x:v>42</x:v>
      </x:c>
      <x:c r="AS5" t="n">
        <x:v>43</x:v>
      </x:c>
      <x:c r="AT5" t="n">
        <x:v>44</x:v>
      </x:c>
      <x:c r="AU5" t="n">
        <x:v>45</x:v>
      </x:c>
      <x:c r="AV5" t="n">
        <x:v>46</x:v>
      </x:c>
      <x:c r="AW5" t="n">
        <x:v>47</x:v>
      </x:c>
      <x:c r="AX5" t="n">
        <x:v>48</x:v>
      </x:c>
      <x:c r="AY5" t="n">
        <x:v>49</x:v>
      </x:c>
      <x:c r="AZ5" t="n">
        <x:v>50</x:v>
      </x:c>
      <x:c r="BA5" t="n">
        <x:v>51</x:v>
      </x:c>
      <x:c r="BB5" t="n">
        <x:v>52</x:v>
      </x:c>
      <x:c r="BC5" t="n">
        <x:v>53</x:v>
      </x:c>
      <x:c r="BD5" t="n">
        <x:v>54</x:v>
      </x:c>
      <x:c r="BE5" t="n">
        <x:v>55</x:v>
      </x:c>
      <x:c r="BF5" t="n">
        <x:v>56</x:v>
      </x:c>
      <x:c r="BG5" t="n">
        <x:v>57</x:v>
      </x:c>
      <x:c r="BH5" t="n">
        <x:v>58</x:v>
      </x:c>
      <x:c r="BI5" t="n">
        <x:v>59</x:v>
      </x:c>
      <x:c r="BJ5" t="n">
        <x:v>60</x:v>
      </x:c>
    </x:row>
    <x:row r="6">
      <x:c r="A6" t="str">
        <x:v>Model Year</x:v>
      </x:c>
      <x:c r="B6" t="str">
        <x:v>year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2</x:v>
      </x:c>
      <x:c r="P6" t="n">
        <x:v>2</x:v>
      </x:c>
      <x:c r="Q6" t="n">
        <x:v>2</x:v>
      </x:c>
      <x:c r="R6" t="n">
        <x:v>2</x:v>
      </x:c>
      <x:c r="S6" t="n">
        <x:v>2</x:v>
      </x:c>
      <x:c r="T6" t="n">
        <x:v>2</x:v>
      </x:c>
      <x:c r="U6" t="n">
        <x:v>2</x:v>
      </x:c>
      <x:c r="V6" t="n">
        <x:v>2</x:v>
      </x:c>
      <x:c r="W6" t="n">
        <x:v>2</x:v>
      </x:c>
      <x:c r="X6" t="n">
        <x:v>2</x:v>
      </x:c>
      <x:c r="Y6" t="n">
        <x:v>2</x:v>
      </x:c>
      <x:c r="Z6" t="n">
        <x:v>2</x:v>
      </x:c>
      <x:c r="AA6" t="n">
        <x:v>3</x:v>
      </x:c>
      <x:c r="AB6" t="n">
        <x:v>3</x:v>
      </x:c>
      <x:c r="AC6" t="n">
        <x:v>3</x:v>
      </x:c>
      <x:c r="AD6" t="n">
        <x:v>3</x:v>
      </x:c>
      <x:c r="AE6" t="n">
        <x:v>3</x:v>
      </x:c>
      <x:c r="AF6" t="n">
        <x:v>3</x:v>
      </x:c>
      <x:c r="AG6" t="n">
        <x:v>3</x:v>
      </x:c>
      <x:c r="AH6" t="n">
        <x:v>3</x:v>
      </x:c>
      <x:c r="AI6" t="n">
        <x:v>3</x:v>
      </x:c>
      <x:c r="AJ6" t="n">
        <x:v>3</x:v>
      </x:c>
      <x:c r="AK6" t="n">
        <x:v>3</x:v>
      </x:c>
      <x:c r="AL6" t="n">
        <x:v>3</x:v>
      </x:c>
      <x:c r="AM6" t="n">
        <x:v>4</x:v>
      </x:c>
      <x:c r="AN6" t="n">
        <x:v>4</x:v>
      </x:c>
      <x:c r="AO6" t="n">
        <x:v>4</x:v>
      </x:c>
      <x:c r="AP6" t="n">
        <x:v>4</x:v>
      </x:c>
      <x:c r="AQ6" t="n">
        <x:v>4</x:v>
      </x:c>
      <x:c r="AR6" t="n">
        <x:v>4</x:v>
      </x:c>
      <x:c r="AS6" t="n">
        <x:v>4</x:v>
      </x:c>
      <x:c r="AT6" t="n">
        <x:v>4</x:v>
      </x:c>
      <x:c r="AU6" t="n">
        <x:v>4</x:v>
      </x:c>
      <x:c r="AV6" t="n">
        <x:v>4</x:v>
      </x:c>
      <x:c r="AW6" t="n">
        <x:v>4</x:v>
      </x:c>
      <x:c r="AX6" t="n">
        <x:v>4</x:v>
      </x:c>
      <x:c r="AY6" t="n">
        <x:v>5</x:v>
      </x:c>
      <x:c r="AZ6" t="n">
        <x:v>5</x:v>
      </x:c>
      <x:c r="BA6" t="n">
        <x:v>5</x:v>
      </x:c>
      <x:c r="BB6" t="n">
        <x:v>5</x:v>
      </x:c>
      <x:c r="BC6" t="n">
        <x:v>5</x:v>
      </x:c>
      <x:c r="BD6" t="n">
        <x:v>5</x:v>
      </x:c>
      <x:c r="BE6" t="n">
        <x:v>5</x:v>
      </x:c>
      <x:c r="BF6" t="n">
        <x:v>5</x:v>
      </x:c>
      <x:c r="BG6" t="n">
        <x:v>5</x:v>
      </x:c>
      <x:c r="BH6" t="n">
        <x:v>5</x:v>
      </x:c>
      <x:c r="BI6" t="n">
        <x:v>5</x:v>
      </x:c>
      <x:c r="BJ6" t="n">
        <x:v>5</x:v>
      </x:c>
    </x:row>
    <x:row r="8">
      <x:c r="A8" s="3" t="str">
        <x:v>Demand &amp; Funnel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</x:row>
    <x:row r="9">
      <x:c r="A9" t="str">
        <x:v>Base qualified opportunities</x:v>
      </x:c>
      <x:c r="B9" t="str">
        <x:v>count</x:v>
      </x:c>
      <x:c r="C9" s="68" t="n">
        <x:f>Assumptions!$G$12</x:f>
        <x:v>25</x:v>
      </x:c>
      <x:c r="D9" s="68" t="n">
        <x:f>C9*(1+IF(D$5&lt;=24,Assumptions!$G$13,Assumptions!$G$14))</x:f>
        <x:v>26.625</x:v>
      </x:c>
      <x:c r="E9" s="68" t="n">
        <x:f>D9*(1+IF(E$5&lt;=24,Assumptions!$G$13,Assumptions!$G$14))</x:f>
        <x:v>28.355625</x:v>
      </x:c>
      <x:c r="F9" s="68" t="n">
        <x:f>E9*(1+IF(F$5&lt;=24,Assumptions!$G$13,Assumptions!$G$14))</x:f>
        <x:v>30.198740625</x:v>
      </x:c>
      <x:c r="G9" s="68" t="n">
        <x:f>F9*(1+IF(G$5&lt;=24,Assumptions!$G$13,Assumptions!$G$14))</x:f>
        <x:v>32.161658765625</x:v>
      </x:c>
      <x:c r="H9" s="68" t="n">
        <x:f>G9*(1+IF(H$5&lt;=24,Assumptions!$G$13,Assumptions!$G$14))</x:f>
        <x:v>34.252166585390626</x:v>
      </x:c>
      <x:c r="I9" s="68" t="n">
        <x:f>H9*(1+IF(I$5&lt;=24,Assumptions!$G$13,Assumptions!$G$14))</x:f>
        <x:v>36.47855741344102</x:v>
      </x:c>
      <x:c r="J9" s="68" t="n">
        <x:f>I9*(1+IF(J$5&lt;=24,Assumptions!$G$13,Assumptions!$G$14))</x:f>
        <x:v>38.84966364531468</x:v>
      </x:c>
      <x:c r="K9" s="68" t="n">
        <x:f>J9*(1+IF(K$5&lt;=24,Assumptions!$G$13,Assumptions!$G$14))</x:f>
        <x:v>41.37489178226013</x:v>
      </x:c>
      <x:c r="L9" s="68" t="n">
        <x:f>K9*(1+IF(L$5&lt;=24,Assumptions!$G$13,Assumptions!$G$14))</x:f>
        <x:v>44.064259748107034</x:v>
      </x:c>
      <x:c r="M9" s="68" t="n">
        <x:f>L9*(1+IF(M$5&lt;=24,Assumptions!$G$13,Assumptions!$G$14))</x:f>
        <x:v>46.92843663173399</x:v>
      </x:c>
      <x:c r="N9" s="68" t="n">
        <x:f>M9*(1+IF(N$5&lt;=24,Assumptions!$G$13,Assumptions!$G$14))</x:f>
        <x:v>49.97878501279669</x:v>
      </x:c>
      <x:c r="O9" s="68" t="n">
        <x:f>N9*(1+IF(O$5&lt;=24,Assumptions!$G$13,Assumptions!$G$14))</x:f>
        <x:v>53.22740603862847</x:v>
      </x:c>
      <x:c r="P9" s="68" t="n">
        <x:f>O9*(1+IF(P$5&lt;=24,Assumptions!$G$13,Assumptions!$G$14))</x:f>
        <x:v>56.68718743113932</x:v>
      </x:c>
      <x:c r="Q9" s="68" t="n">
        <x:f>P9*(1+IF(Q$5&lt;=24,Assumptions!$G$13,Assumptions!$G$14))</x:f>
        <x:v>60.371854614163375</x:v>
      </x:c>
      <x:c r="R9" s="68" t="n">
        <x:f>Q9*(1+IF(R$5&lt;=24,Assumptions!$G$13,Assumptions!$G$14))</x:f>
        <x:v>64.29602516408399</x:v>
      </x:c>
      <x:c r="S9" s="68" t="n">
        <x:f>R9*(1+IF(S$5&lt;=24,Assumptions!$G$13,Assumptions!$G$14))</x:f>
        <x:v>68.47526679974945</x:v>
      </x:c>
      <x:c r="T9" s="68" t="n">
        <x:f>S9*(1+IF(T$5&lt;=24,Assumptions!$G$13,Assumptions!$G$14))</x:f>
        <x:v>72.92615914173317</x:v>
      </x:c>
      <x:c r="U9" s="68" t="n">
        <x:f>T9*(1+IF(U$5&lt;=24,Assumptions!$G$13,Assumptions!$G$14))</x:f>
        <x:v>77.66635948594582</x:v>
      </x:c>
      <x:c r="V9" s="68" t="n">
        <x:f>U9*(1+IF(V$5&lt;=24,Assumptions!$G$13,Assumptions!$G$14))</x:f>
        <x:v>82.71467285253229</x:v>
      </x:c>
      <x:c r="W9" s="68" t="n">
        <x:f>V9*(1+IF(W$5&lt;=24,Assumptions!$G$13,Assumptions!$G$14))</x:f>
        <x:v>88.09112658794689</x:v>
      </x:c>
      <x:c r="X9" s="68" t="n">
        <x:f>W9*(1+IF(X$5&lt;=24,Assumptions!$G$13,Assumptions!$G$14))</x:f>
        <x:v>93.81704981616343</x:v>
      </x:c>
      <x:c r="Y9" s="68" t="n">
        <x:f>X9*(1+IF(Y$5&lt;=24,Assumptions!$G$13,Assumptions!$G$14))</x:f>
        <x:v>99.91515805421405</x:v>
      </x:c>
      <x:c r="Z9" s="68" t="n">
        <x:f>Y9*(1+IF(Z$5&lt;=24,Assumptions!$G$13,Assumptions!$G$14))</x:f>
        <x:v>106.40964332773795</x:v>
      </x:c>
      <x:c r="AA9" s="68" t="n">
        <x:f>Z9*(1+IF(AA$5&lt;=24,Assumptions!$G$13,Assumptions!$G$14))</x:f>
        <x:v>110.66602906084748</x:v>
      </x:c>
      <x:c r="AB9" s="68" t="n">
        <x:f>AA9*(1+IF(AB$5&lt;=24,Assumptions!$G$13,Assumptions!$G$14))</x:f>
        <x:v>115.09267022328139</x:v>
      </x:c>
      <x:c r="AC9" s="68" t="n">
        <x:f>AB9*(1+IF(AC$5&lt;=24,Assumptions!$G$13,Assumptions!$G$14))</x:f>
        <x:v>119.69637703221265</x:v>
      </x:c>
      <x:c r="AD9" s="68" t="n">
        <x:f>AC9*(1+IF(AD$5&lt;=24,Assumptions!$G$13,Assumptions!$G$14))</x:f>
        <x:v>124.48423211350116</x:v>
      </x:c>
      <x:c r="AE9" s="68" t="n">
        <x:f>AD9*(1+IF(AE$5&lt;=24,Assumptions!$G$13,Assumptions!$G$14))</x:f>
        <x:v>129.46360139804122</x:v>
      </x:c>
      <x:c r="AF9" s="68" t="n">
        <x:f>AE9*(1+IF(AF$5&lt;=24,Assumptions!$G$13,Assumptions!$G$14))</x:f>
        <x:v>134.64214545396288</x:v>
      </x:c>
      <x:c r="AG9" s="68" t="n">
        <x:f>AF9*(1+IF(AG$5&lt;=24,Assumptions!$G$13,Assumptions!$G$14))</x:f>
        <x:v>140.0278312721214</x:v>
      </x:c>
      <x:c r="AH9" s="68" t="n">
        <x:f>AG9*(1+IF(AH$5&lt;=24,Assumptions!$G$13,Assumptions!$G$14))</x:f>
        <x:v>145.62894452300625</x:v>
      </x:c>
      <x:c r="AI9" s="68" t="n">
        <x:f>AH9*(1+IF(AI$5&lt;=24,Assumptions!$G$13,Assumptions!$G$14))</x:f>
        <x:v>151.4541023039265</x:v>
      </x:c>
      <x:c r="AJ9" s="68" t="n">
        <x:f>AI9*(1+IF(AJ$5&lt;=24,Assumptions!$G$13,Assumptions!$G$14))</x:f>
        <x:v>157.51226639608356</x:v>
      </x:c>
      <x:c r="AK9" s="68" t="n">
        <x:f>AJ9*(1+IF(AK$5&lt;=24,Assumptions!$G$13,Assumptions!$G$14))</x:f>
        <x:v>163.81275705192692</x:v>
      </x:c>
      <x:c r="AL9" s="68" t="n">
        <x:f>AK9*(1+IF(AL$5&lt;=24,Assumptions!$G$13,Assumptions!$G$14))</x:f>
        <x:v>170.36526733400402</x:v>
      </x:c>
      <x:c r="AM9" s="68" t="n">
        <x:f>AL9*(1+IF(AM$5&lt;=24,Assumptions!$G$13,Assumptions!$G$14))</x:f>
        <x:v>177.1798780273642</x:v>
      </x:c>
      <x:c r="AN9" s="68" t="n">
        <x:f>AM9*(1+IF(AN$5&lt;=24,Assumptions!$G$13,Assumptions!$G$14))</x:f>
        <x:v>184.26707314845876</x:v>
      </x:c>
      <x:c r="AO9" s="68" t="n">
        <x:f>AN9*(1+IF(AO$5&lt;=24,Assumptions!$G$13,Assumptions!$G$14))</x:f>
        <x:v>191.63775607439712</x:v>
      </x:c>
      <x:c r="AP9" s="68" t="n">
        <x:f>AO9*(1+IF(AP$5&lt;=24,Assumptions!$G$13,Assumptions!$G$14))</x:f>
        <x:v>199.30326631737302</x:v>
      </x:c>
      <x:c r="AQ9" s="68" t="n">
        <x:f>AP9*(1+IF(AQ$5&lt;=24,Assumptions!$G$13,Assumptions!$G$14))</x:f>
        <x:v>207.27539697006793</x:v>
      </x:c>
      <x:c r="AR9" s="68" t="n">
        <x:f>AQ9*(1+IF(AR$5&lt;=24,Assumptions!$G$13,Assumptions!$G$14))</x:f>
        <x:v>215.56641284887064</x:v>
      </x:c>
      <x:c r="AS9" s="68" t="n">
        <x:f>AR9*(1+IF(AS$5&lt;=24,Assumptions!$G$13,Assumptions!$G$14))</x:f>
        <x:v>224.18906936282548</x:v>
      </x:c>
      <x:c r="AT9" s="68" t="n">
        <x:f>AS9*(1+IF(AT$5&lt;=24,Assumptions!$G$13,Assumptions!$G$14))</x:f>
        <x:v>233.1566321373385</x:v>
      </x:c>
      <x:c r="AU9" s="68" t="n">
        <x:f>AT9*(1+IF(AU$5&lt;=24,Assumptions!$G$13,Assumptions!$G$14))</x:f>
        <x:v>242.48289742283205</x:v>
      </x:c>
      <x:c r="AV9" s="68" t="n">
        <x:f>AU9*(1+IF(AV$5&lt;=24,Assumptions!$G$13,Assumptions!$G$14))</x:f>
        <x:v>252.18221331974536</x:v>
      </x:c>
      <x:c r="AW9" s="68" t="n">
        <x:f>AV9*(1+IF(AW$5&lt;=24,Assumptions!$G$13,Assumptions!$G$14))</x:f>
        <x:v>262.2695018525352</x:v>
      </x:c>
      <x:c r="AX9" s="68" t="n">
        <x:f>AW9*(1+IF(AX$5&lt;=24,Assumptions!$G$13,Assumptions!$G$14))</x:f>
        <x:v>272.7602819266366</x:v>
      </x:c>
      <x:c r="AY9" s="68" t="n">
        <x:f>AX9*(1+IF(AY$5&lt;=24,Assumptions!$G$13,Assumptions!$G$14))</x:f>
        <x:v>283.67069320370206</x:v>
      </x:c>
      <x:c r="AZ9" s="68" t="n">
        <x:f>AY9*(1+IF(AZ$5&lt;=24,Assumptions!$G$13,Assumptions!$G$14))</x:f>
        <x:v>295.01752093185013</x:v>
      </x:c>
      <x:c r="BA9" s="68" t="n">
        <x:f>AZ9*(1+IF(BA$5&lt;=24,Assumptions!$G$13,Assumptions!$G$14))</x:f>
        <x:v>306.81822176912414</x:v>
      </x:c>
      <x:c r="BB9" s="68" t="n">
        <x:f>BA9*(1+IF(BB$5&lt;=24,Assumptions!$G$13,Assumptions!$G$14))</x:f>
        <x:v>319.0909506398891</x:v>
      </x:c>
      <x:c r="BC9" s="68" t="n">
        <x:f>BB9*(1+IF(BC$5&lt;=24,Assumptions!$G$13,Assumptions!$G$14))</x:f>
        <x:v>331.8545886654847</x:v>
      </x:c>
      <x:c r="BD9" s="68" t="n">
        <x:f>BC9*(1+IF(BD$5&lt;=24,Assumptions!$G$13,Assumptions!$G$14))</x:f>
        <x:v>345.1287722121041</x:v>
      </x:c>
      <x:c r="BE9" s="68" t="n">
        <x:f>BD9*(1+IF(BE$5&lt;=24,Assumptions!$G$13,Assumptions!$G$14))</x:f>
        <x:v>358.93392310058823</x:v>
      </x:c>
      <x:c r="BF9" s="68" t="n">
        <x:f>BE9*(1+IF(BF$5&lt;=24,Assumptions!$G$13,Assumptions!$G$14))</x:f>
        <x:v>373.29128002461175</x:v>
      </x:c>
      <x:c r="BG9" s="68" t="n">
        <x:f>BF9*(1+IF(BG$5&lt;=24,Assumptions!$G$13,Assumptions!$G$14))</x:f>
        <x:v>388.22293122559626</x:v>
      </x:c>
      <x:c r="BH9" s="68" t="n">
        <x:f>BG9*(1+IF(BH$5&lt;=24,Assumptions!$G$13,Assumptions!$G$14))</x:f>
        <x:v>403.75184847462015</x:v>
      </x:c>
      <x:c r="BI9" s="68" t="n">
        <x:f>BH9*(1+IF(BI$5&lt;=24,Assumptions!$G$13,Assumptions!$G$14))</x:f>
        <x:v>419.90192241360495</x:v>
      </x:c>
      <x:c r="BJ9" s="68" t="n">
        <x:f>BI9*(1+IF(BJ$5&lt;=24,Assumptions!$G$13,Assumptions!$G$14))</x:f>
        <x:v>436.69799931014916</x:v>
      </x:c>
    </x:row>
    <x:row r="10">
      <x:c r="A10" t="str">
        <x:v>Referral opportunities</x:v>
      </x:c>
      <x:c r="B10" t="str">
        <x:v>count</x:v>
      </x:c>
      <x:c r="C10" s="68" t="n">
        <x:f>0</x:f>
        <x:v>0</x:v>
      </x:c>
      <x:c r="D10" s="68" t="n">
        <x:f>C36*Assumptions!$G$26</x:f>
        <x:v>0</x:v>
      </x:c>
      <x:c r="E10" s="68" t="n">
        <x:f>D36*Assumptions!$G$26</x:f>
        <x:v>0</x:v>
      </x:c>
      <x:c r="F10" s="68" t="n">
        <x:f>E36*Assumptions!$G$26</x:f>
        <x:v>0.030240000000000003</x:v>
      </x:c>
      <x:c r="G10" s="68" t="n">
        <x:f>F36*Assumptions!$G$26</x:f>
        <x:v>0.08539665555456</x:v>
      </x:c>
      <x:c r="H10" s="68" t="n">
        <x:f>G36*Assumptions!$G$26</x:f>
        <x:v>0.15324750953703545</x:v>
      </x:c>
      <x:c r="I10" s="68" t="n">
        <x:f>H36*Assumptions!$G$26</x:f>
        <x:v>0.24215592276891754</x:v>
      </x:c>
      <x:c r="J10" s="68" t="n">
        <x:f>I36*Assumptions!$G$26</x:f>
        <x:v>0.3443588737434226</x:v>
      </x:c>
      <x:c r="K10" s="68" t="n">
        <x:f>J36*Assumptions!$G$26</x:f>
        <x:v>0.45345005531411686</x:v>
      </x:c>
      <x:c r="L10" s="68" t="n">
        <x:f>K36*Assumptions!$G$26</x:f>
        <x:v>0.5699553886020913</x:v>
      </x:c>
      <x:c r="M10" s="68" t="n">
        <x:f>L36*Assumptions!$G$26</x:f>
        <x:v>0.6944329728115939</x:v>
      </x:c>
      <x:c r="N10" s="68" t="n">
        <x:f>M36*Assumptions!$G$26</x:f>
        <x:v>0.8303539935038577</x:v>
      </x:c>
      <x:c r="O10" s="68" t="n">
        <x:f>N36*Assumptions!$G$26</x:f>
        <x:v>0.977808041071148</x:v>
      </x:c>
      <x:c r="P10" s="68" t="n">
        <x:f>O36*Assumptions!$G$26</x:f>
        <x:v>1.1353876142089296</x:v>
      </x:c>
      <x:c r="Q10" s="68" t="n">
        <x:f>P36*Assumptions!$G$26</x:f>
        <x:v>1.3037971642648412</x:v>
      </x:c>
      <x:c r="R10" s="68" t="n">
        <x:f>Q36*Assumptions!$G$26</x:f>
        <x:v>1.483795035432369</x:v>
      </x:c>
      <x:c r="S10" s="68" t="n">
        <x:f>R36*Assumptions!$G$26</x:f>
        <x:v>1.6761888539208205</x:v>
      </x:c>
      <x:c r="T10" s="68" t="n">
        <x:f>S36*Assumptions!$G$26</x:f>
        <x:v>1.8818433335846705</x:v>
      </x:c>
      <x:c r="U10" s="68" t="n">
        <x:f>T36*Assumptions!$G$26</x:f>
        <x:v>2.1016859633411316</x:v>
      </x:c>
      <x:c r="V10" s="68" t="n">
        <x:f>U36*Assumptions!$G$26</x:f>
        <x:v>2.3367095628608863</x:v>
      </x:c>
      <x:c r="W10" s="68" t="n">
        <x:f>V36*Assumptions!$G$26</x:f>
        <x:v>2.587980016599928</x:v>
      </x:c>
      <x:c r="X10" s="68" t="n">
        <x:f>W36*Assumptions!$G$26</x:f>
        <x:v>2.8566433474869783</x:v>
      </x:c>
      <x:c r="Y10" s="68" t="n">
        <x:f>X36*Assumptions!$G$26</x:f>
        <x:v>3.1439325956524895</x:v>
      </x:c>
      <x:c r="Z10" s="68" t="n">
        <x:f>Y36*Assumptions!$G$26</x:f>
        <x:v>3.4511752555271045</x:v>
      </x:c>
      <x:c r="AA10" s="68" t="n">
        <x:f>Z36*Assumptions!$G$26</x:f>
        <x:v>3.779800912756706</x:v>
      </x:c>
      <x:c r="AB10" s="68" t="n">
        <x:f>AA36*Assumptions!$G$26</x:f>
        <x:v>4.131350288887716</x:v>
      </x:c>
      <x:c r="AC10" s="68" t="n">
        <x:f>AB36*Assumptions!$G$26</x:f>
        <x:v>4.507485283564009</x:v>
      </x:c>
      <x:c r="AD10" s="68" t="n">
        <x:f>AC36*Assumptions!$G$26</x:f>
        <x:v>4.9066162667260995</x:v>
      </x:c>
      <x:c r="AE10" s="68" t="n">
        <x:f>AD36*Assumptions!$G$26</x:f>
        <x:v>5.327708105658912</x:v>
      </x:c>
      <x:c r="AF10" s="68" t="n">
        <x:f>AE36*Assumptions!$G$26</x:f>
        <x:v>5.771102329153488</x:v>
      </x:c>
      <x:c r="AG10" s="68" t="n">
        <x:f>AF36*Assumptions!$G$26</x:f>
        <x:v>6.23627176050304</x:v>
      </x:c>
      <x:c r="AH10" s="68" t="n">
        <x:f>AG36*Assumptions!$G$26</x:f>
        <x:v>6.72358385692727</x:v>
      </x:c>
      <x:c r="AI10" s="68" t="n">
        <x:f>AH36*Assumptions!$G$26</x:f>
        <x:v>7.234202576699334</x:v>
      </x:c>
      <x:c r="AJ10" s="68" t="n">
        <x:f>AI36*Assumptions!$G$26</x:f>
        <x:v>7.769354942240503</x:v>
      </x:c>
      <x:c r="AK10" s="68" t="n">
        <x:f>AJ36*Assumptions!$G$26</x:f>
        <x:v>8.330335577200112</x:v>
      </x:c>
      <x:c r="AL10" s="68" t="n">
        <x:f>AK36*Assumptions!$G$26</x:f>
        <x:v>8.918191102581963</x:v>
      </x:c>
      <x:c r="AM10" s="68" t="n">
        <x:f>AL36*Assumptions!$G$26</x:f>
        <x:v>9.534090496602712</x:v>
      </x:c>
      <x:c r="AN10" s="68" t="n">
        <x:f>AM36*Assumptions!$G$26</x:f>
        <x:v>10.179507168665946</x:v>
      </x:c>
      <x:c r="AO10" s="68" t="n">
        <x:f>AN36*Assumptions!$G$26</x:f>
        <x:v>10.856004384257691</x:v>
      </x:c>
      <x:c r="AP10" s="68" t="n">
        <x:f>AO36*Assumptions!$G$26</x:f>
        <x:v>11.565241002198114</x:v>
      </x:c>
      <x:c r="AQ10" s="68" t="n">
        <x:f>AP36*Assumptions!$G$26</x:f>
        <x:v>12.30897963462881</x:v>
      </x:c>
      <x:c r="AR10" s="68" t="n">
        <x:f>AQ36*Assumptions!$G$26</x:f>
        <x:v>13.089095077892502</x:v>
      </x:c>
      <x:c r="AS10" s="68" t="n">
        <x:f>AR36*Assumptions!$G$26</x:f>
        <x:v>13.907583002598395</x:v>
      </x:c>
      <x:c r="AT10" s="68" t="n">
        <x:f>AS36*Assumptions!$G$26</x:f>
        <x:v>14.766569749657007</x:v>
      </x:c>
      <x:c r="AU10" s="68" t="n">
        <x:f>AT36*Assumptions!$G$26</x:f>
        <x:v>15.668322676754475</x:v>
      </x:c>
      <x:c r="AV10" s="68" t="n">
        <x:f>AU36*Assumptions!$G$26</x:f>
        <x:v>16.61526144401344</x:v>
      </x:c>
      <x:c r="AW10" s="68" t="n">
        <x:f>AV36*Assumptions!$G$26</x:f>
        <x:v>17.609970397554967</x:v>
      </x:c>
      <x:c r="AX10" s="68" t="n">
        <x:f>AW36*Assumptions!$G$26</x:f>
        <x:v>18.654533804900453</x:v>
      </x:c>
      <x:c r="AY10" s="68" t="n">
        <x:f>AX36*Assumptions!$G$26</x:f>
        <x:v>19.745844888244715</x:v>
      </x:c>
      <x:c r="AZ10" s="68" t="n">
        <x:f>AY36*Assumptions!$G$26</x:f>
        <x:v>20.885952731406526</x:v>
      </x:c>
      <x:c r="BA10" s="68" t="n">
        <x:f>AZ36*Assumptions!$G$26</x:f>
        <x:v>22.075200101703864</x:v>
      </x:c>
      <x:c r="BB10" s="68" t="n">
        <x:f>BA36*Assumptions!$G$26</x:f>
        <x:v>23.3138781303992</x:v>
      </x:c>
      <x:c r="BC10" s="68" t="n">
        <x:f>BB36*Assumptions!$G$26</x:f>
        <x:v>24.60403275351216</x:v>
      </x:c>
      <x:c r="BD10" s="68" t="n">
        <x:f>BC36*Assumptions!$G$26</x:f>
        <x:v>25.947791659690203</x:v>
      </x:c>
      <x:c r="BE10" s="68" t="n">
        <x:f>BD36*Assumptions!$G$26</x:f>
        <x:v>27.347363786729225</x:v>
      </x:c>
      <x:c r="BF10" s="68" t="n">
        <x:f>BE36*Assumptions!$G$26</x:f>
        <x:v>28.804981914148343</x:v>
      </x:c>
      <x:c r="BG10" s="68" t="n">
        <x:f>BF36*Assumptions!$G$26</x:f>
        <x:v>30.32245727726151</x:v>
      </x:c>
      <x:c r="BH10" s="68" t="n">
        <x:f>BG36*Assumptions!$G$26</x:f>
        <x:v>31.9021952651178</x:v>
      </x:c>
      <x:c r="BI10" s="68" t="n">
        <x:f>BH36*Assumptions!$G$26</x:f>
        <x:v>33.54669715493721</x:v>
      </x:c>
      <x:c r="BJ10" s="68" t="n">
        <x:f>BI36*Assumptions!$G$26</x:f>
        <x:v>35.258562948625396</x:v>
      </x:c>
    </x:row>
    <x:row r="11">
      <x:c r="A11" t="str">
        <x:v>Total qualified opportunities</x:v>
      </x:c>
      <x:c r="B11" t="str">
        <x:v>count</x:v>
      </x:c>
      <x:c r="C11" s="68" t="n">
        <x:f>SUM(C9:C10)</x:f>
        <x:v>25</x:v>
      </x:c>
      <x:c r="D11" s="68" t="n">
        <x:f>SUM(D9:D10)</x:f>
        <x:v>26.625</x:v>
      </x:c>
      <x:c r="E11" s="68" t="n">
        <x:f>SUM(E9:E10)</x:f>
        <x:v>28.355625</x:v>
      </x:c>
      <x:c r="F11" s="68" t="n">
        <x:f>SUM(F9:F10)</x:f>
        <x:v>30.228980625</x:v>
      </x:c>
      <x:c r="G11" s="68" t="n">
        <x:f>SUM(G9:G10)</x:f>
        <x:v>32.24705542117956</x:v>
      </x:c>
      <x:c r="H11" s="68" t="n">
        <x:f>SUM(H9:H10)</x:f>
        <x:v>34.405414094927664</x:v>
      </x:c>
      <x:c r="I11" s="68" t="n">
        <x:f>SUM(I9:I10)</x:f>
        <x:v>36.72071333620993</x:v>
      </x:c>
      <x:c r="J11" s="68" t="n">
        <x:f>SUM(J9:J10)</x:f>
        <x:v>39.1940225190581</x:v>
      </x:c>
      <x:c r="K11" s="68" t="n">
        <x:f>SUM(K9:K10)</x:f>
        <x:v>41.82834183757424</x:v>
      </x:c>
      <x:c r="L11" s="68" t="n">
        <x:f>SUM(L9:L10)</x:f>
        <x:v>44.63421513670912</x:v>
      </x:c>
      <x:c r="M11" s="68" t="n">
        <x:f>SUM(M9:M10)</x:f>
        <x:v>47.622869604545585</x:v>
      </x:c>
      <x:c r="N11" s="68" t="n">
        <x:f>SUM(N9:N10)</x:f>
        <x:v>50.80913900630055</x:v>
      </x:c>
      <x:c r="O11" s="68" t="n">
        <x:f>SUM(O9:O10)</x:f>
        <x:v>54.20521407969962</x:v>
      </x:c>
      <x:c r="P11" s="68" t="n">
        <x:f>SUM(P9:P10)</x:f>
        <x:v>57.82257504534825</x:v>
      </x:c>
      <x:c r="Q11" s="68" t="n">
        <x:f>SUM(Q9:Q10)</x:f>
        <x:v>61.67565177842822</x:v>
      </x:c>
      <x:c r="R11" s="68" t="n">
        <x:f>SUM(R9:R10)</x:f>
        <x:v>65.77982019951635</x:v>
      </x:c>
      <x:c r="S11" s="68" t="n">
        <x:f>SUM(S9:S10)</x:f>
        <x:v>70.15145565367027</x:v>
      </x:c>
      <x:c r="T11" s="68" t="n">
        <x:f>SUM(T9:T10)</x:f>
        <x:v>74.80800247531783</x:v>
      </x:c>
      <x:c r="U11" s="68" t="n">
        <x:f>SUM(U9:U10)</x:f>
        <x:v>79.76804544928694</x:v>
      </x:c>
      <x:c r="V11" s="68" t="n">
        <x:f>SUM(V9:V10)</x:f>
        <x:v>85.05138241539318</x:v>
      </x:c>
      <x:c r="W11" s="68" t="n">
        <x:f>SUM(W9:W10)</x:f>
        <x:v>90.67910660454682</x:v>
      </x:c>
      <x:c r="X11" s="68" t="n">
        <x:f>SUM(X9:X10)</x:f>
        <x:v>96.67369316365041</x:v>
      </x:c>
      <x:c r="Y11" s="68" t="n">
        <x:f>SUM(Y9:Y10)</x:f>
        <x:v>103.05909064986653</x:v>
      </x:c>
      <x:c r="Z11" s="68" t="n">
        <x:f>SUM(Z9:Z10)</x:f>
        <x:v>109.86081858326506</x:v>
      </x:c>
      <x:c r="AA11" s="68" t="n">
        <x:f>SUM(AA9:AA10)</x:f>
        <x:v>114.44582997360419</x:v>
      </x:c>
      <x:c r="AB11" s="68" t="n">
        <x:f>SUM(AB9:AB10)</x:f>
        <x:v>119.2240205121691</x:v>
      </x:c>
      <x:c r="AC11" s="68" t="n">
        <x:f>SUM(AC9:AC10)</x:f>
        <x:v>124.20386231577666</x:v>
      </x:c>
      <x:c r="AD11" s="68" t="n">
        <x:f>SUM(AD9:AD10)</x:f>
        <x:v>129.39084838022725</x:v>
      </x:c>
      <x:c r="AE11" s="68" t="n">
        <x:f>SUM(AE9:AE10)</x:f>
        <x:v>134.79130950370012</x:v>
      </x:c>
      <x:c r="AF11" s="68" t="n">
        <x:f>SUM(AF9:AF10)</x:f>
        <x:v>140.41324778311636</x:v>
      </x:c>
      <x:c r="AG11" s="68" t="n">
        <x:f>SUM(AG9:AG10)</x:f>
        <x:v>146.26410303262443</x:v>
      </x:c>
      <x:c r="AH11" s="68" t="n">
        <x:f>SUM(AH9:AH10)</x:f>
        <x:v>152.35252837993352</x:v>
      </x:c>
      <x:c r="AI11" s="68" t="n">
        <x:f>SUM(AI9:AI10)</x:f>
        <x:v>158.68830488062585</x:v>
      </x:c>
      <x:c r="AJ11" s="68" t="n">
        <x:f>SUM(AJ9:AJ10)</x:f>
        <x:v>165.28162133832407</x:v>
      </x:c>
      <x:c r="AK11" s="68" t="n">
        <x:f>SUM(AK9:AK10)</x:f>
        <x:v>172.14309262912704</x:v>
      </x:c>
      <x:c r="AL11" s="68" t="n">
        <x:f>SUM(AL9:AL10)</x:f>
        <x:v>179.283458436586</x:v>
      </x:c>
      <x:c r="AM11" s="68" t="n">
        <x:f>SUM(AM9:AM10)</x:f>
        <x:v>186.7139685239669</x:v>
      </x:c>
      <x:c r="AN11" s="68" t="n">
        <x:f>SUM(AN9:AN10)</x:f>
        <x:v>194.4465803171247</x:v>
      </x:c>
      <x:c r="AO11" s="68" t="n">
        <x:f>SUM(AO9:AO10)</x:f>
        <x:v>202.4937604586548</x:v>
      </x:c>
      <x:c r="AP11" s="68" t="n">
        <x:f>SUM(AP9:AP10)</x:f>
        <x:v>210.86850731957114</x:v>
      </x:c>
      <x:c r="AQ11" s="68" t="n">
        <x:f>SUM(AQ9:AQ10)</x:f>
        <x:v>219.58437660469673</x:v>
      </x:c>
      <x:c r="AR11" s="68" t="n">
        <x:f>SUM(AR9:AR10)</x:f>
        <x:v>228.65550792676314</x:v>
      </x:c>
      <x:c r="AS11" s="68" t="n">
        <x:f>SUM(AS9:AS10)</x:f>
        <x:v>238.09665236542386</x:v>
      </x:c>
      <x:c r="AT11" s="68" t="n">
        <x:f>SUM(AT9:AT10)</x:f>
        <x:v>247.9232018869955</x:v>
      </x:c>
      <x:c r="AU11" s="68" t="n">
        <x:f>SUM(AU9:AU10)</x:f>
        <x:v>258.1512200995865</x:v>
      </x:c>
      <x:c r="AV11" s="68" t="n">
        <x:f>SUM(AV9:AV10)</x:f>
        <x:v>268.7974747637588</x:v>
      </x:c>
      <x:c r="AW11" s="68" t="n">
        <x:f>SUM(AW9:AW10)</x:f>
        <x:v>279.87947225009015</x:v>
      </x:c>
      <x:c r="AX11" s="68" t="n">
        <x:f>SUM(AX9:AX10)</x:f>
        <x:v>291.41481573153703</x:v>
      </x:c>
      <x:c r="AY11" s="68" t="n">
        <x:f>SUM(AY9:AY10)</x:f>
        <x:v>303.4165380919468</x:v>
      </x:c>
      <x:c r="AZ11" s="68" t="n">
        <x:f>SUM(AZ9:AZ10)</x:f>
        <x:v>315.90347366325665</x:v>
      </x:c>
      <x:c r="BA11" s="68" t="n">
        <x:f>SUM(BA9:BA10)</x:f>
        <x:v>328.893421870828</x:v>
      </x:c>
      <x:c r="BB11" s="68" t="n">
        <x:f>SUM(BB9:BB10)</x:f>
        <x:v>342.4048287702883</x:v>
      </x:c>
      <x:c r="BC11" s="68" t="n">
        <x:f>SUM(BC9:BC10)</x:f>
        <x:v>356.45862141899687</x:v>
      </x:c>
      <x:c r="BD11" s="68" t="n">
        <x:f>SUM(BD9:BD10)</x:f>
        <x:v>371.0765638717943</x:v>
      </x:c>
      <x:c r="BE11" s="68" t="n">
        <x:f>SUM(BE9:BE10)</x:f>
        <x:v>386.28128688731744</x:v>
      </x:c>
      <x:c r="BF11" s="68" t="n">
        <x:f>SUM(BF9:BF10)</x:f>
        <x:v>402.0962619387601</x:v>
      </x:c>
      <x:c r="BG11" s="68" t="n">
        <x:f>SUM(BG9:BG10)</x:f>
        <x:v>418.54538850285775</x:v>
      </x:c>
      <x:c r="BH11" s="68" t="n">
        <x:f>SUM(BH9:BH10)</x:f>
        <x:v>435.654043739738</x:v>
      </x:c>
      <x:c r="BI11" s="68" t="n">
        <x:f>SUM(BI9:BI10)</x:f>
        <x:v>453.44861956854214</x:v>
      </x:c>
      <x:c r="BJ11" s="68" t="n">
        <x:f>SUM(BJ9:BJ10)</x:f>
        <x:v>471.95656225877457</x:v>
      </x:c>
    </x:row>
    <x:row r="12">
      <x:c r="A12" t="str">
        <x:v>Discovery calls</x:v>
      </x:c>
      <x:c r="B12" t="str">
        <x:v>count</x:v>
      </x:c>
      <x:c r="C12" s="68" t="n">
        <x:f>C11*Assumptions!$G$15</x:f>
        <x:v>8</x:v>
      </x:c>
      <x:c r="D12" s="68" t="n">
        <x:f>D11*Assumptions!$G$15</x:f>
        <x:v>8.52</x:v>
      </x:c>
      <x:c r="E12" s="68" t="n">
        <x:f>E11*Assumptions!$G$15</x:f>
        <x:v>9.0738</x:v>
      </x:c>
      <x:c r="F12" s="68" t="n">
        <x:f>F11*Assumptions!$G$15</x:f>
        <x:v>9.6732738</x:v>
      </x:c>
      <x:c r="G12" s="68" t="n">
        <x:f>G11*Assumptions!$G$15</x:f>
        <x:v>10.31905773477746</x:v>
      </x:c>
      <x:c r="H12" s="68" t="n">
        <x:f>H11*Assumptions!$G$15</x:f>
        <x:v>11.009732510376853</x:v>
      </x:c>
      <x:c r="I12" s="68" t="n">
        <x:f>I11*Assumptions!$G$15</x:f>
        <x:v>11.750628267587178</x:v>
      </x:c>
      <x:c r="J12" s="68" t="n">
        <x:f>J11*Assumptions!$G$15</x:f>
        <x:v>12.542087206098593</x:v>
      </x:c>
      <x:c r="K12" s="68" t="n">
        <x:f>K11*Assumptions!$G$15</x:f>
        <x:v>13.385069388023759</x:v>
      </x:c>
      <x:c r="L12" s="68" t="n">
        <x:f>L11*Assumptions!$G$15</x:f>
        <x:v>14.28294884374692</x:v>
      </x:c>
      <x:c r="M12" s="68" t="n">
        <x:f>M11*Assumptions!$G$15</x:f>
        <x:v>15.239318273454588</x:v>
      </x:c>
      <x:c r="N12" s="68" t="n">
        <x:f>N11*Assumptions!$G$15</x:f>
        <x:v>16.258924482016177</x:v>
      </x:c>
      <x:c r="O12" s="68" t="n">
        <x:f>O11*Assumptions!$G$15</x:f>
        <x:v>17.34566850550388</x:v>
      </x:c>
      <x:c r="P12" s="68" t="n">
        <x:f>P11*Assumptions!$G$15</x:f>
        <x:v>18.503224014511442</x:v>
      </x:c>
      <x:c r="Q12" s="68" t="n">
        <x:f>Q11*Assumptions!$G$15</x:f>
        <x:v>19.73620856909703</x:v>
      </x:c>
      <x:c r="R12" s="68" t="n">
        <x:f>R11*Assumptions!$G$15</x:f>
        <x:v>21.04954246384523</x:v>
      </x:c>
      <x:c r="S12" s="68" t="n">
        <x:f>S11*Assumptions!$G$15</x:f>
        <x:v>22.448465809174486</x:v>
      </x:c>
      <x:c r="T12" s="68" t="n">
        <x:f>T11*Assumptions!$G$15</x:f>
        <x:v>23.938560792101708</x:v>
      </x:c>
      <x:c r="U12" s="68" t="n">
        <x:f>U11*Assumptions!$G$15</x:f>
        <x:v>25.525774543771824</x:v>
      </x:c>
      <x:c r="V12" s="68" t="n">
        <x:f>V11*Assumptions!$G$15</x:f>
        <x:v>27.21644237292582</x:v>
      </x:c>
      <x:c r="W12" s="68" t="n">
        <x:f>W11*Assumptions!$G$15</x:f>
        <x:v>29.017314113454983</x:v>
      </x:c>
      <x:c r="X12" s="68" t="n">
        <x:f>X11*Assumptions!$G$15</x:f>
        <x:v>30.93558181236813</x:v>
      </x:c>
      <x:c r="Y12" s="68" t="n">
        <x:f>Y11*Assumptions!$G$15</x:f>
        <x:v>32.97890900795729</x:v>
      </x:c>
      <x:c r="Z12" s="68" t="n">
        <x:f>Z11*Assumptions!$G$15</x:f>
        <x:v>35.15546194664482</x:v>
      </x:c>
      <x:c r="AA12" s="68" t="n">
        <x:f>AA11*Assumptions!$G$15</x:f>
        <x:v>36.62266559155334</x:v>
      </x:c>
      <x:c r="AB12" s="68" t="n">
        <x:f>AB11*Assumptions!$G$15</x:f>
        <x:v>38.15168656389412</x:v>
      </x:c>
      <x:c r="AC12" s="68" t="n">
        <x:f>AC11*Assumptions!$G$15</x:f>
        <x:v>39.745235941048534</x:v>
      </x:c>
      <x:c r="AD12" s="68" t="n">
        <x:f>AD11*Assumptions!$G$15</x:f>
        <x:v>41.40507148167272</x:v>
      </x:c>
      <x:c r="AE12" s="68" t="n">
        <x:f>AE11*Assumptions!$G$15</x:f>
        <x:v>43.13321904118404</x:v>
      </x:c>
      <x:c r="AF12" s="68" t="n">
        <x:f>AF11*Assumptions!$G$15</x:f>
        <x:v>44.93223929059724</x:v>
      </x:c>
      <x:c r="AG12" s="68" t="n">
        <x:f>AG11*Assumptions!$G$15</x:f>
        <x:v>46.804512970439816</x:v>
      </x:c>
      <x:c r="AH12" s="68" t="n">
        <x:f>AH11*Assumptions!$G$15</x:f>
        <x:v>48.752809081578725</x:v>
      </x:c>
      <x:c r="AI12" s="68" t="n">
        <x:f>AI11*Assumptions!$G$15</x:f>
        <x:v>50.780257561800276</x:v>
      </x:c>
      <x:c r="AJ12" s="68" t="n">
        <x:f>AJ11*Assumptions!$G$15</x:f>
        <x:v>52.8901188282637</x:v>
      </x:c>
      <x:c r="AK12" s="68" t="n">
        <x:f>AK11*Assumptions!$G$15</x:f>
        <x:v>55.08578964132065</x:v>
      </x:c>
      <x:c r="AL12" s="68" t="n">
        <x:f>AL11*Assumptions!$G$15</x:f>
        <x:v>57.37070669970752</x:v>
      </x:c>
      <x:c r="AM12" s="68" t="n">
        <x:f>AM11*Assumptions!$G$15</x:f>
        <x:v>59.74846992766941</x:v>
      </x:c>
      <x:c r="AN12" s="68" t="n">
        <x:f>AN11*Assumptions!$G$15</x:f>
        <x:v>62.2229057014799</x:v>
      </x:c>
      <x:c r="AO12" s="68" t="n">
        <x:f>AO11*Assumptions!$G$15</x:f>
        <x:v>64.79800334676953</x:v>
      </x:c>
      <x:c r="AP12" s="68" t="n">
        <x:f>AP11*Assumptions!$G$15</x:f>
        <x:v>67.47792234226276</x:v>
      </x:c>
      <x:c r="AQ12" s="68" t="n">
        <x:f>AQ11*Assumptions!$G$15</x:f>
        <x:v>70.26700051350295</x:v>
      </x:c>
      <x:c r="AR12" s="68" t="n">
        <x:f>AR11*Assumptions!$G$15</x:f>
        <x:v>73.1697625365642</x:v>
      </x:c>
      <x:c r="AS12" s="68" t="n">
        <x:f>AS11*Assumptions!$G$15</x:f>
        <x:v>76.19092875693563</x:v>
      </x:c>
      <x:c r="AT12" s="68" t="n">
        <x:f>AT11*Assumptions!$G$15</x:f>
        <x:v>79.33542460383856</x:v>
      </x:c>
      <x:c r="AU12" s="68" t="n">
        <x:f>AU11*Assumptions!$G$15</x:f>
        <x:v>82.60839043186769</x:v>
      </x:c>
      <x:c r="AV12" s="68" t="n">
        <x:f>AV11*Assumptions!$G$15</x:f>
        <x:v>86.01519192440283</x:v>
      </x:c>
      <x:c r="AW12" s="68" t="n">
        <x:f>AW11*Assumptions!$G$15</x:f>
        <x:v>89.56143112002884</x:v>
      </x:c>
      <x:c r="AX12" s="68" t="n">
        <x:f>AX11*Assumptions!$G$15</x:f>
        <x:v>93.25274103409185</x:v>
      </x:c>
      <x:c r="AY12" s="68" t="n">
        <x:f>AY11*Assumptions!$G$15</x:f>
        <x:v>97.09329218942298</x:v>
      </x:c>
      <x:c r="AZ12" s="68" t="n">
        <x:f>AZ11*Assumptions!$G$15</x:f>
        <x:v>101.08911157224213</x:v>
      </x:c>
      <x:c r="BA12" s="68" t="n">
        <x:f>BA11*Assumptions!$G$15</x:f>
        <x:v>105.24589499866495</x:v>
      </x:c>
      <x:c r="BB12" s="68" t="n">
        <x:f>BB11*Assumptions!$G$15</x:f>
        <x:v>109.56954520649226</x:v>
      </x:c>
      <x:c r="BC12" s="68" t="n">
        <x:f>BC11*Assumptions!$G$15</x:f>
        <x:v>114.066758854079</x:v>
      </x:c>
      <x:c r="BD12" s="68" t="n">
        <x:f>BD11*Assumptions!$G$15</x:f>
        <x:v>118.74450043897417</x:v>
      </x:c>
      <x:c r="BE12" s="68" t="n">
        <x:f>BE11*Assumptions!$G$15</x:f>
        <x:v>123.61001180394159</x:v>
      </x:c>
      <x:c r="BF12" s="68" t="n">
        <x:f>BF11*Assumptions!$G$15</x:f>
        <x:v>128.67080382040325</x:v>
      </x:c>
      <x:c r="BG12" s="68" t="n">
        <x:f>BG11*Assumptions!$G$15</x:f>
        <x:v>133.93452432091448</x:v>
      </x:c>
      <x:c r="BH12" s="68" t="n">
        <x:f>BH11*Assumptions!$G$15</x:f>
        <x:v>139.40929399671614</x:v>
      </x:c>
      <x:c r="BI12" s="68" t="n">
        <x:f>BI11*Assumptions!$G$15</x:f>
        <x:v>145.1035582619335</x:v>
      </x:c>
      <x:c r="BJ12" s="68" t="n">
        <x:f>BJ11*Assumptions!$G$15</x:f>
        <x:v>151.02609992280787</x:v>
      </x:c>
    </x:row>
    <x:row r="13">
      <x:c r="A13" t="str">
        <x:v>Private MasterClasses sold</x:v>
      </x:c>
      <x:c r="B13" t="str">
        <x:v>count</x:v>
      </x:c>
      <x:c r="C13" s="68" t="n">
        <x:f>0</x:f>
        <x:v>0</x:v>
      </x:c>
      <x:c r="D13" s="68" t="n">
        <x:f>C12*Assumptions!$G$16</x:f>
        <x:v>1.12</x:v>
      </x:c>
      <x:c r="E13" s="68" t="n">
        <x:f>D12*Assumptions!$G$16</x:f>
        <x:v>1.1928</x:v>
      </x:c>
      <x:c r="F13" s="68" t="n">
        <x:f>E12*Assumptions!$G$16</x:f>
        <x:v>1.2703320000000002</x:v>
      </x:c>
      <x:c r="G13" s="68" t="n">
        <x:f>F12*Assumptions!$G$16</x:f>
        <x:v>1.3542583320000001</x:v>
      </x:c>
      <x:c r="H13" s="68" t="n">
        <x:f>G12*Assumptions!$G$16</x:f>
        <x:v>1.4446680828688445</x:v>
      </x:c>
      <x:c r="I13" s="68" t="n">
        <x:f>H12*Assumptions!$G$16</x:f>
        <x:v>1.5413625514527596</x:v>
      </x:c>
      <x:c r="J13" s="68" t="n">
        <x:f>I12*Assumptions!$G$16</x:f>
        <x:v>1.645087957462205</x:v>
      </x:c>
      <x:c r="K13" s="68" t="n">
        <x:f>J12*Assumptions!$G$16</x:f>
        <x:v>1.7558922088538031</x:v>
      </x:c>
      <x:c r="L13" s="68" t="n">
        <x:f>K12*Assumptions!$G$16</x:f>
        <x:v>1.8739097143233263</x:v>
      </x:c>
      <x:c r="M13" s="68" t="n">
        <x:f>L12*Assumptions!$G$16</x:f>
        <x:v>1.999612838124569</x:v>
      </x:c>
      <x:c r="N13" s="68" t="n">
        <x:f>M12*Assumptions!$G$16</x:f>
        <x:v>2.1335045582836423</x:v>
      </x:c>
      <x:c r="O13" s="68" t="n">
        <x:f>N12*Assumptions!$G$16</x:f>
        <x:v>2.276249427482265</x:v>
      </x:c>
      <x:c r="P13" s="68" t="n">
        <x:f>O12*Assumptions!$G$16</x:f>
        <x:v>2.4283935907705434</x:v>
      </x:c>
      <x:c r="Q13" s="68" t="n">
        <x:f>P12*Assumptions!$G$16</x:f>
        <x:v>2.5904513620316023</x:v>
      </x:c>
      <x:c r="R13" s="68" t="n">
        <x:f>Q12*Assumptions!$G$16</x:f>
        <x:v>2.7630691996735846</x:v>
      </x:c>
      <x:c r="S13" s="68" t="n">
        <x:f>R12*Assumptions!$G$16</x:f>
        <x:v>2.9469359449383328</x:v>
      </x:c>
      <x:c r="T13" s="68" t="n">
        <x:f>S12*Assumptions!$G$16</x:f>
        <x:v>3.1427852132844283</x:v>
      </x:c>
      <x:c r="U13" s="68" t="n">
        <x:f>T12*Assumptions!$G$16</x:f>
        <x:v>3.3513985108942395</x:v>
      </x:c>
      <x:c r="V13" s="68" t="n">
        <x:f>U12*Assumptions!$G$16</x:f>
        <x:v>3.5736084361280556</x:v>
      </x:c>
      <x:c r="W13" s="68" t="n">
        <x:f>V12*Assumptions!$G$16</x:f>
        <x:v>3.810301932209615</x:v>
      </x:c>
      <x:c r="X13" s="68" t="n">
        <x:f>W12*Assumptions!$G$16</x:f>
        <x:v>4.062423975883698</x:v>
      </x:c>
      <x:c r="Y13" s="68" t="n">
        <x:f>X12*Assumptions!$G$16</x:f>
        <x:v>4.330981453731539</x:v>
      </x:c>
      <x:c r="Z13" s="68" t="n">
        <x:f>Y12*Assumptions!$G$16</x:f>
        <x:v>4.617047261114021</x:v>
      </x:c>
      <x:c r="AA13" s="68" t="n">
        <x:f>Z12*Assumptions!$G$16</x:f>
        <x:v>4.9217646725302755</x:v>
      </x:c>
      <x:c r="AB13" s="68" t="n">
        <x:f>AA12*Assumptions!$G$16</x:f>
        <x:v>5.127173182817469</x:v>
      </x:c>
      <x:c r="AC13" s="68" t="n">
        <x:f>AB12*Assumptions!$G$16</x:f>
        <x:v>5.341236118945177</x:v>
      </x:c>
      <x:c r="AD13" s="68" t="n">
        <x:f>AC12*Assumptions!$G$16</x:f>
        <x:v>5.564333031746795</x:v>
      </x:c>
      <x:c r="AE13" s="68" t="n">
        <x:f>AD12*Assumptions!$G$16</x:f>
        <x:v>5.796710007434181</x:v>
      </x:c>
      <x:c r="AF13" s="68" t="n">
        <x:f>AE12*Assumptions!$G$16</x:f>
        <x:v>6.038650665765767</x:v>
      </x:c>
      <x:c r="AG13" s="68" t="n">
        <x:f>AF12*Assumptions!$G$16</x:f>
        <x:v>6.2905135006836135</x:v>
      </x:c>
      <x:c r="AH13" s="68" t="n">
        <x:f>AG12*Assumptions!$G$16</x:f>
        <x:v>6.552631815861575</x:v>
      </x:c>
      <x:c r="AI13" s="68" t="n">
        <x:f>AH12*Assumptions!$G$16</x:f>
        <x:v>6.825393271421023</x:v>
      </x:c>
      <x:c r="AJ13" s="68" t="n">
        <x:f>AI12*Assumptions!$G$16</x:f>
        <x:v>7.10923605865204</x:v>
      </x:c>
      <x:c r="AK13" s="68" t="n">
        <x:f>AJ12*Assumptions!$G$16</x:f>
        <x:v>7.404616635956919</x:v>
      </x:c>
      <x:c r="AL13" s="68" t="n">
        <x:f>AK12*Assumptions!$G$16</x:f>
        <x:v>7.712010549784892</x:v>
      </x:c>
      <x:c r="AM13" s="68" t="n">
        <x:f>AL12*Assumptions!$G$16</x:f>
        <x:v>8.031898937959053</x:v>
      </x:c>
      <x:c r="AN13" s="68" t="n">
        <x:f>AM12*Assumptions!$G$16</x:f>
        <x:v>8.364785789873718</x:v>
      </x:c>
      <x:c r="AO13" s="68" t="n">
        <x:f>AN12*Assumptions!$G$16</x:f>
        <x:v>8.711206798207186</x:v>
      </x:c>
      <x:c r="AP13" s="68" t="n">
        <x:f>AO12*Assumptions!$G$16</x:f>
        <x:v>9.071720468547735</x:v>
      </x:c>
      <x:c r="AQ13" s="68" t="n">
        <x:f>AP12*Assumptions!$G$16</x:f>
        <x:v>9.446909127916786</x:v>
      </x:c>
      <x:c r="AR13" s="68" t="n">
        <x:f>AQ12*Assumptions!$G$16</x:f>
        <x:v>9.837380071890413</x:v>
      </x:c>
      <x:c r="AS13" s="68" t="n">
        <x:f>AR12*Assumptions!$G$16</x:f>
        <x:v>10.24376675511899</x:v>
      </x:c>
      <x:c r="AT13" s="68" t="n">
        <x:f>AS12*Assumptions!$G$16</x:f>
        <x:v>10.66673002597099</x:v>
      </x:c>
      <x:c r="AU13" s="68" t="n">
        <x:f>AT12*Assumptions!$G$16</x:f>
        <x:v>11.1069594445374</x:v>
      </x:c>
      <x:c r="AV13" s="68" t="n">
        <x:f>AU12*Assumptions!$G$16</x:f>
        <x:v>11.565174660461478</x:v>
      </x:c>
      <x:c r="AW13" s="68" t="n">
        <x:f>AV12*Assumptions!$G$16</x:f>
        <x:v>12.042126869416396</x:v>
      </x:c>
      <x:c r="AX13" s="68" t="n">
        <x:f>AW12*Assumptions!$G$16</x:f>
        <x:v>12.53860035680404</x:v>
      </x:c>
      <x:c r="AY13" s="68" t="n">
        <x:f>AX12*Assumptions!$G$16</x:f>
        <x:v>13.055383744772861</x:v>
      </x:c>
      <x:c r="AZ13" s="68" t="n">
        <x:f>AY12*Assumptions!$G$16</x:f>
        <x:v>13.593060906519218</x:v>
      </x:c>
      <x:c r="BA13" s="68" t="n">
        <x:f>AZ12*Assumptions!$G$16</x:f>
        <x:v>14.1524756201139</x:v>
      </x:c>
      <x:c r="BB13" s="68" t="n">
        <x:f>BA12*Assumptions!$G$16</x:f>
        <x:v>14.734425299813095</x:v>
      </x:c>
      <x:c r="BC13" s="68" t="n">
        <x:f>BB12*Assumptions!$G$16</x:f>
        <x:v>15.339736328908918</x:v>
      </x:c>
      <x:c r="BD13" s="68" t="n">
        <x:f>BC12*Assumptions!$G$16</x:f>
        <x:v>15.969346239571061</x:v>
      </x:c>
      <x:c r="BE13" s="68" t="n">
        <x:f>BD12*Assumptions!$G$16</x:f>
        <x:v>16.624230061456384</x:v>
      </x:c>
      <x:c r="BF13" s="68" t="n">
        <x:f>BE12*Assumptions!$G$16</x:f>
        <x:v>17.305401652551826</x:v>
      </x:c>
      <x:c r="BG13" s="68" t="n">
        <x:f>BF12*Assumptions!$G$16</x:f>
        <x:v>18.013912534856455</x:v>
      </x:c>
      <x:c r="BH13" s="68" t="n">
        <x:f>BG12*Assumptions!$G$16</x:f>
        <x:v>18.750833404928027</x:v>
      </x:c>
      <x:c r="BI13" s="68" t="n">
        <x:f>BH12*Assumptions!$G$16</x:f>
        <x:v>19.517301159540263</x:v>
      </x:c>
      <x:c r="BJ13" s="68" t="n">
        <x:f>BI12*Assumptions!$G$16</x:f>
        <x:v>20.31449815667069</x:v>
      </x:c>
    </x:row>
    <x:row r="14">
      <x:c r="A14" t="str">
        <x:v>Proof Diagnostics sold</x:v>
      </x:c>
      <x:c r="B14" t="str">
        <x:v>count</x:v>
      </x:c>
      <x:c r="C14" s="68" t="n">
        <x:f>0</x:f>
        <x:v>0</x:v>
      </x:c>
      <x:c r="D14" s="68" t="n">
        <x:f>C13*Assumptions!$G$17+C12*Assumptions!$G$18</x:f>
        <x:v>0.96</x:v>
      </x:c>
      <x:c r="E14" s="68" t="n">
        <x:f>D13*Assumptions!$G$17+D12*Assumptions!$G$18</x:f>
        <x:v>1.7504</x:v>
      </x:c>
      <x:c r="F14" s="68" t="n">
        <x:f>E13*Assumptions!$G$17+E12*Assumptions!$G$18</x:f>
        <x:v>1.864176</x:v>
      </x:c>
      <x:c r="G14" s="68" t="n">
        <x:f>F13*Assumptions!$G$17+F12*Assumptions!$G$18</x:f>
        <x:v>1.9865086560000003</x:v>
      </x:c>
      <x:c r="H14" s="68" t="n">
        <x:f>G13*Assumptions!$G$17+G12*Assumptions!$G$18</x:f>
        <x:v>2.1185548439732953</x:v>
      </x:c>
      <x:c r="I14" s="68" t="n">
        <x:f>H13*Assumptions!$G$17+H12*Assumptions!$G$18</x:f>
        <x:v>2.2602021551099716</x:v>
      </x:c>
      <x:c r="J14" s="68" t="n">
        <x:f>I13*Assumptions!$G$17+I12*Assumptions!$G$18</x:f>
        <x:v>2.411961050554755</x:v>
      </x:c>
      <x:c r="K14" s="68" t="n">
        <x:f>J13*Assumptions!$G$17+J12*Assumptions!$G$18</x:f>
        <x:v>2.5743576370822643</x:v>
      </x:c>
      <x:c r="L14" s="68" t="n">
        <x:f>K13*Assumptions!$G$17+K12*Assumptions!$G$18</x:f>
        <x:v>2.747538262317823</x:v>
      </x:c>
      <x:c r="M14" s="68" t="n">
        <x:f>L13*Assumptions!$G$17+L12*Assumptions!$G$18</x:f>
        <x:v>2.931995175559792</x:v>
      </x:c>
      <x:c r="N14" s="68" t="n">
        <x:f>M13*Assumptions!$G$17+M12*Assumptions!$G$18</x:f>
        <x:v>3.1284665375955205</x:v>
      </x:c>
      <x:c r="O14" s="68" t="n">
        <x:f>N13*Assumptions!$G$17+N12*Assumptions!$G$18</x:f>
        <x:v>3.337848900726309</x:v>
      </x:c>
      <x:c r="P14" s="68" t="n">
        <x:f>O13*Assumptions!$G$17+O12*Assumptions!$G$18</x:f>
        <x:v>3.5610423485239378</x:v>
      </x:c>
      <x:c r="Q14" s="68" t="n">
        <x:f>P13*Assumptions!$G$17+P12*Assumptions!$G$18</x:f>
        <x:v>3.798842715742226</x:v>
      </x:c>
      <x:c r="R14" s="68" t="n">
        <x:f>Q13*Assumptions!$G$17+Q12*Assumptions!$G$18</x:f>
        <x:v>4.052138413612185</x:v>
      </x:c>
      <x:c r="S14" s="68" t="n">
        <x:f>R13*Assumptions!$G$17+R12*Assumptions!$G$18</x:f>
        <x:v>4.321940075449258</x:v>
      </x:c>
      <x:c r="T14" s="68" t="n">
        <x:f>S13*Assumptions!$G$17+S12*Assumptions!$G$18</x:f>
        <x:v>4.609324261310855</x:v>
      </x:c>
      <x:c r="U14" s="68" t="n">
        <x:f>T13*Assumptions!$G$17+T12*Assumptions!$G$18</x:f>
        <x:v>4.915437683687083</x:v>
      </x:c>
      <x:c r="V14" s="68" t="n">
        <x:f>U13*Assumptions!$G$17+U12*Assumptions!$G$18</x:f>
        <x:v>5.241501977333875</x:v>
      </x:c>
      <x:c r="W14" s="68" t="n">
        <x:f>V13*Assumptions!$G$17+V12*Assumptions!$G$18</x:f>
        <x:v>5.588818568234334</x:v>
      </x:c>
      <x:c r="X14" s="68" t="n">
        <x:f>W13*Assumptions!$G$17+W12*Assumptions!$G$18</x:f>
        <x:v>5.958773949550848</x:v>
      </x:c>
      <x:c r="Y14" s="68" t="n">
        <x:f>X13*Assumptions!$G$17+X12*Assumptions!$G$18</x:f>
        <x:v>6.35284540180858</x:v>
      </x:c>
      <x:c r="Z14" s="68" t="n">
        <x:f>Y13*Assumptions!$G$17+Y12*Assumptions!$G$18</x:f>
        <x:v>6.772607025880376</x:v>
      </x:c>
      <x:c r="AA14" s="68" t="n">
        <x:f>Z13*Assumptions!$G$17+Z12*Assumptions!$G$18</x:f>
        <x:v>7.2197361533214925</x:v>
      </x:c>
      <x:c r="AB14" s="68" t="n">
        <x:f>AA13*Assumptions!$G$17+AA12*Assumptions!$G$18</x:f>
        <x:v>7.59386690813108</x:v>
      </x:c>
      <x:c r="AC14" s="68" t="n">
        <x:f>AB13*Assumptions!$G$17+AB12*Assumptions!$G$18</x:f>
        <x:v>7.910864956498649</x:v>
      </x:c>
      <x:c r="AD14" s="68" t="n">
        <x:f>AC13*Assumptions!$G$17+AC12*Assumptions!$G$18</x:f>
        <x:v>8.241231790240189</x:v>
      </x:c>
      <x:c r="AE14" s="68" t="n">
        <x:f>AD13*Assumptions!$G$17+AD12*Assumptions!$G$18</x:f>
        <x:v>8.585425048436143</x:v>
      </x:c>
      <x:c r="AF14" s="68" t="n">
        <x:f>AE13*Assumptions!$G$17+AE12*Assumptions!$G$18</x:f>
        <x:v>8.943847789774303</x:v>
      </x:c>
      <x:c r="AG14" s="68" t="n">
        <x:f>AF13*Assumptions!$G$17+AF12*Assumptions!$G$18</x:f>
        <x:v>9.316991647619417</x:v>
      </x:c>
      <x:c r="AH14" s="68" t="n">
        <x:f>AG13*Assumptions!$G$17+AG12*Assumptions!$G$18</x:f>
        <x:v>9.705375331897127</x:v>
      </x:c>
      <x:c r="AI14" s="68" t="n">
        <x:f>AH13*Assumptions!$G$17+AH12*Assumptions!$G$18</x:f>
        <x:v>10.109547770099471</x:v>
      </x:c>
      <x:c r="AJ14" s="68" t="n">
        <x:f>AI13*Assumptions!$G$17+AI12*Assumptions!$G$18</x:f>
        <x:v>10.530136533839698</x:v>
      </x:c>
      <x:c r="AK14" s="68" t="n">
        <x:f>AJ13*Assumptions!$G$17+AJ12*Assumptions!$G$18</x:f>
        <x:v>10.967817697515471</x:v>
      </x:c>
      <x:c r="AL14" s="68" t="n">
        <x:f>AK13*Assumptions!$G$17+AK12*Assumptions!$G$18</x:f>
        <x:v>11.423295570330476</x:v>
      </x:c>
      <x:c r="AM14" s="68" t="n">
        <x:f>AL13*Assumptions!$G$17+AL12*Assumptions!$G$18</x:f>
        <x:v>11.897291661325081</x:v>
      </x:c>
      <x:c r="AN14" s="68" t="n">
        <x:f>AM13*Assumptions!$G$17+AM12*Assumptions!$G$18</x:f>
        <x:v>12.390550700993714</x:v>
      </x:c>
      <x:c r="AO14" s="68" t="n">
        <x:f>AN13*Assumptions!$G$17+AN12*Assumptions!$G$18</x:f>
        <x:v>12.903859447595504</x:v>
      </x:c>
      <x:c r="AP14" s="68" t="n">
        <x:f>AO13*Assumptions!$G$17+AO12*Assumptions!$G$18</x:f>
        <x:v>13.438044820447015</x:v>
      </x:c>
      <x:c r="AQ14" s="68" t="n">
        <x:f>AP13*Assumptions!$G$17+AP12*Assumptions!$G$18</x:f>
        <x:v>13.993968985627557</x:v>
      </x:c>
      <x:c r="AR14" s="68" t="n">
        <x:f>AQ13*Assumptions!$G$17+AQ12*Assumptions!$G$18</x:f>
        <x:v>14.572530994766264</x:v>
      </x:c>
      <x:c r="AS14" s="68" t="n">
        <x:f>AR13*Assumptions!$G$17+AR12*Assumptions!$G$18</x:f>
        <x:v>15.174668551116472</x:v>
      </x:c>
      <x:c r="AT14" s="68" t="n">
        <x:f>AS13*Assumptions!$G$17+AS12*Assumptions!$G$18</x:f>
        <x:v>15.80135984165962</x:v>
      </x:c>
      <x:c r="AU14" s="68" t="n">
        <x:f>AT13*Assumptions!$G$17+AT12*Assumptions!$G$18</x:f>
        <x:v>16.45362546934177</x:v>
      </x:c>
      <x:c r="AV14" s="68" t="n">
        <x:f>AU13*Assumptions!$G$17+AU12*Assumptions!$G$18</x:f>
        <x:v>17.132530490773433</x:v>
      </x:c>
      <x:c r="AW14" s="68" t="n">
        <x:f>AV13*Assumptions!$G$17+AV12*Assumptions!$G$18</x:f>
        <x:v>17.8391865602283</x:v>
      </x:c>
      <x:c r="AX14" s="68" t="n">
        <x:f>AW13*Assumptions!$G$17+AW12*Assumptions!$G$18</x:f>
        <x:v>18.57475419952412</x:v>
      </x:c>
      <x:c r="AY14" s="68" t="n">
        <x:f>AX13*Assumptions!$G$17+AX12*Assumptions!$G$18</x:f>
        <x:v>19.340419156013645</x:v>
      </x:c>
      <x:c r="AZ14" s="68" t="n">
        <x:f>AY13*Assumptions!$G$17+AY12*Assumptions!$G$18</x:f>
        <x:v>20.137194496833118</x:v>
      </x:c>
      <x:c r="BA14" s="68" t="n">
        <x:f>AZ13*Assumptions!$G$17+AZ12*Assumptions!$G$18</x:f>
        <x:v>20.96618297790655</x:v>
      </x:c>
      <x:c r="BB14" s="68" t="n">
        <x:f>BA13*Assumptions!$G$17+BA12*Assumptions!$G$18</x:f>
        <x:v>21.82861655291383</x:v>
      </x:c>
      <x:c r="BC14" s="68" t="n">
        <x:f>BB13*Assumptions!$G$17+BB12*Assumptions!$G$18</x:f>
        <x:v>22.725721869657583</x:v>
      </x:c>
      <x:c r="BD14" s="68" t="n">
        <x:f>BC13*Assumptions!$G$17+BC12*Assumptions!$G$18</x:f>
        <x:v>23.658839676280277</x:v>
      </x:c>
      <x:c r="BE14" s="68" t="n">
        <x:f>BD13*Assumptions!$G$17+BD12*Assumptions!$G$18</x:f>
        <x:v>24.629415108398092</x:v>
      </x:c>
      <x:c r="BF14" s="68" t="n">
        <x:f>BE13*Assumptions!$G$17+BE12*Assumptions!$G$18</x:f>
        <x:v>25.63895095641964</x:v>
      </x:c>
      <x:c r="BG14" s="68" t="n">
        <x:f>BF13*Assumptions!$G$17+BF12*Assumptions!$G$18</x:f>
        <x:v>26.68900753260708</x:v>
      </x:c>
      <x:c r="BH14" s="68" t="n">
        <x:f>BG13*Assumptions!$G$17+BG12*Assumptions!$G$18</x:f>
        <x:v>27.781186066166434</x:v>
      </x:c>
      <x:c r="BI14" s="68" t="n">
        <x:f>BH13*Assumptions!$G$17+BH12*Assumptions!$G$18</x:f>
        <x:v>28.917156992809154</x:v>
      </x:c>
      <x:c r="BJ14" s="68" t="n">
        <x:f>BI13*Assumptions!$G$17+BI12*Assumptions!$G$18</x:f>
        <x:v>30.098672745133193</x:v>
      </x:c>
    </x:row>
    <x:row r="15">
      <x:c r="A15" t="str">
        <x:v>Effective Diagnostic → Sprint conversion</x:v>
      </x:c>
      <x:c r="B15" t="str">
        <x:v>%</x:v>
      </x:c>
      <x:c r="C15" s="66" t="n">
        <x:f>Assumptions!$G$19</x:f>
        <x:v>0.5</x:v>
      </x:c>
      <x:c r="D15" s="66" t="n">
        <x:f>MIN(0.85,Assumptions!$G$19+C37)</x:f>
        <x:v>0.5</x:v>
      </x:c>
      <x:c r="E15" s="66" t="n">
        <x:f>MIN(0.85,Assumptions!$G$19+D37)</x:f>
        <x:v>0.5</x:v>
      </x:c>
      <x:c r="F15" s="66" t="n">
        <x:f>MIN(0.85,Assumptions!$G$19+E37)</x:f>
        <x:v>0.5001728</x:v>
      </x:c>
      <x:c r="G15" s="66" t="n">
        <x:f>MIN(0.85,Assumptions!$G$19+F37)</x:f>
        <x:v>0.5004879808888832</x:v>
      </x:c>
      <x:c r="H15" s="66" t="n">
        <x:f>MIN(0.85,Assumptions!$G$19+G37)</x:f>
        <x:v>0.5008757000544973</x:v>
      </x:c>
      <x:c r="I15" s="66" t="n">
        <x:f>MIN(0.85,Assumptions!$G$19+H37)</x:f>
        <x:v>0.5013837481301081</x:v>
      </x:c>
      <x:c r="J15" s="66" t="n">
        <x:f>MIN(0.85,Assumptions!$G$19+I37)</x:f>
        <x:v>0.5019677649928196</x:v>
      </x:c>
      <x:c r="K15" s="66" t="n">
        <x:f>MIN(0.85,Assumptions!$G$19+J37)</x:f>
        <x:v>0.5025911431732235</x:v>
      </x:c>
      <x:c r="L15" s="66" t="n">
        <x:f>MIN(0.85,Assumptions!$G$19+K37)</x:f>
        <x:v>0.5032568879348691</x:v>
      </x:c>
      <x:c r="M15" s="66" t="n">
        <x:f>MIN(0.85,Assumptions!$G$19+L37)</x:f>
        <x:v>0.5039681884160663</x:v>
      </x:c>
      <x:c r="N15" s="66" t="n">
        <x:f>MIN(0.85,Assumptions!$G$19+M37)</x:f>
        <x:v>0.5047448799628792</x:v>
      </x:c>
      <x:c r="O15" s="66" t="n">
        <x:f>MIN(0.85,Assumptions!$G$19+N37)</x:f>
        <x:v>0.5055874745204065</x:v>
      </x:c>
      <x:c r="P15" s="66" t="n">
        <x:f>MIN(0.85,Assumptions!$G$19+O37)</x:f>
        <x:v>0.5064879292240511</x:v>
      </x:c>
      <x:c r="Q15" s="66" t="n">
        <x:f>MIN(0.85,Assumptions!$G$19+P37)</x:f>
        <x:v>0.5074502695100848</x:v>
      </x:c>
      <x:c r="R15" s="66" t="n">
        <x:f>MIN(0.85,Assumptions!$G$19+Q37)</x:f>
        <x:v>0.5084788287738993</x:v>
      </x:c>
      <x:c r="S15" s="66" t="n">
        <x:f>MIN(0.85,Assumptions!$G$19+R37)</x:f>
        <x:v>0.5095782220224047</x:v>
      </x:c>
      <x:c r="T15" s="66" t="n">
        <x:f>MIN(0.85,Assumptions!$G$19+S37)</x:f>
        <x:v>0.5107533904776267</x:v>
      </x:c>
      <x:c r="U15" s="66" t="n">
        <x:f>MIN(0.85,Assumptions!$G$19+T37)</x:f>
        <x:v>0.512009634076235</x:v>
      </x:c>
      <x:c r="V15" s="66" t="n">
        <x:f>MIN(0.85,Assumptions!$G$19+U37)</x:f>
        <x:v>0.5133526260734907</x:v>
      </x:c>
      <x:c r="W15" s="66" t="n">
        <x:f>MIN(0.85,Assumptions!$G$19+V37)</x:f>
        <x:v>0.5147884572377138</x:v>
      </x:c>
      <x:c r="X15" s="66" t="n">
        <x:f>MIN(0.85,Assumptions!$G$19+W37)</x:f>
        <x:v>0.5163236762713541</x:v>
      </x:c>
      <x:c r="Y15" s="66" t="n">
        <x:f>MIN(0.85,Assumptions!$G$19+X37)</x:f>
        <x:v>0.5179653291180142</x:v>
      </x:c>
      <x:c r="Z15" s="66" t="n">
        <x:f>MIN(0.85,Assumptions!$G$19+Y37)</x:f>
        <x:v>0.5197210014601549</x:v>
      </x:c>
      <x:c r="AA15" s="66" t="n">
        <x:f>MIN(0.85,Assumptions!$G$19+Z37)</x:f>
        <x:v>0.5215988623586097</x:v>
      </x:c>
      <x:c r="AB15" s="66" t="n">
        <x:f>MIN(0.85,Assumptions!$G$19+AA37)</x:f>
        <x:v>0.5236077159365012</x:v>
      </x:c>
      <x:c r="AC15" s="66" t="n">
        <x:f>MIN(0.85,Assumptions!$G$19+AB37)</x:f>
        <x:v>0.5257570587632229</x:v>
      </x:c>
      <x:c r="AD15" s="66" t="n">
        <x:f>MIN(0.85,Assumptions!$G$19+AC37)</x:f>
        <x:v>0.5280378072384349</x:v>
      </x:c>
      <x:c r="AE15" s="66" t="n">
        <x:f>MIN(0.85,Assumptions!$G$19+AD37)</x:f>
        <x:v>0.530444046318051</x:v>
      </x:c>
      <x:c r="AF15" s="66" t="n">
        <x:f>MIN(0.85,Assumptions!$G$19+AE37)</x:f>
        <x:v>0.5329777275951628</x:v>
      </x:c>
      <x:c r="AG15" s="66" t="n">
        <x:f>MIN(0.85,Assumptions!$G$19+AF37)</x:f>
        <x:v>0.5356358386314459</x:v>
      </x:c>
      <x:c r="AH15" s="66" t="n">
        <x:f>MIN(0.85,Assumptions!$G$19+AG37)</x:f>
        <x:v>0.5384204791824415</x:v>
      </x:c>
      <x:c r="AI15" s="66" t="n">
        <x:f>MIN(0.85,Assumptions!$G$19+AH37)</x:f>
        <x:v>0.5413383004382819</x:v>
      </x:c>
      <x:c r="AJ15" s="66" t="n">
        <x:f>MIN(0.85,Assumptions!$G$19+AI37)</x:f>
        <x:v>0.54439631395566</x:v>
      </x:c>
      <x:c r="AK15" s="66" t="n">
        <x:f>MIN(0.85,Assumptions!$G$19+AJ37)</x:f>
        <x:v>0.5476019175840007</x:v>
      </x:c>
      <x:c r="AL15" s="66" t="n">
        <x:f>MIN(0.85,Assumptions!$G$19+AK37)</x:f>
        <x:v>0.5509610920147541</x:v>
      </x:c>
      <x:c r="AM15" s="66" t="n">
        <x:f>MIN(0.85,Assumptions!$G$19+AL37)</x:f>
        <x:v>0.554480517123444</x:v>
      </x:c>
      <x:c r="AN15" s="66" t="n">
        <x:f>MIN(0.85,Assumptions!$G$19+AM37)</x:f>
        <x:v>0.5581686123923768</x:v>
      </x:c>
      <x:c r="AO15" s="66" t="n">
        <x:f>MIN(0.85,Assumptions!$G$19+AN37)</x:f>
        <x:v>0.5620343107671868</x:v>
      </x:c>
      <x:c r="AP15" s="66" t="n">
        <x:f>MIN(0.85,Assumptions!$G$19+AO37)</x:f>
        <x:v>0.5660870914411321</x:v>
      </x:c>
      <x:c r="AQ15" s="66" t="n">
        <x:f>MIN(0.85,Assumptions!$G$19+AP37)</x:f>
        <x:v>0.5703370264835932</x:v>
      </x:c>
      <x:c r="AR15" s="66" t="n">
        <x:f>MIN(0.85,Assumptions!$G$19+AQ37)</x:f>
        <x:v>0.5747948290165286</x:v>
      </x:c>
      <x:c r="AS15" s="66" t="n">
        <x:f>MIN(0.85,Assumptions!$G$19+AR37)</x:f>
        <x:v>0.5794719028719908</x:v>
      </x:c>
      <x:c r="AT15" s="66" t="n">
        <x:f>MIN(0.85,Assumptions!$G$19+AS37)</x:f>
        <x:v>0.5843803985694687</x:v>
      </x:c>
      <x:c r="AU15" s="66" t="n">
        <x:f>MIN(0.85,Assumptions!$G$19+AT37)</x:f>
        <x:v>0.589533272438597</x:v>
      </x:c>
      <x:c r="AV15" s="66" t="n">
        <x:f>MIN(0.85,Assumptions!$G$19+AU37)</x:f>
        <x:v>0.5949443511086483</x:v>
      </x:c>
      <x:c r="AW15" s="66" t="n">
        <x:f>MIN(0.85,Assumptions!$G$19+AV37)</x:f>
        <x:v>0.6</x:v>
      </x:c>
      <x:c r="AX15" s="66" t="n">
        <x:f>MIN(0.85,Assumptions!$G$19+AW37)</x:f>
        <x:v>0.6</x:v>
      </x:c>
      <x:c r="AY15" s="66" t="n">
        <x:f>MIN(0.85,Assumptions!$G$19+AX37)</x:f>
        <x:v>0.6</x:v>
      </x:c>
      <x:c r="AZ15" s="66" t="n">
        <x:f>MIN(0.85,Assumptions!$G$19+AY37)</x:f>
        <x:v>0.6</x:v>
      </x:c>
      <x:c r="BA15" s="66" t="n">
        <x:f>MIN(0.85,Assumptions!$G$19+AZ37)</x:f>
        <x:v>0.6</x:v>
      </x:c>
      <x:c r="BB15" s="66" t="n">
        <x:f>MIN(0.85,Assumptions!$G$19+BA37)</x:f>
        <x:v>0.6</x:v>
      </x:c>
      <x:c r="BC15" s="66" t="n">
        <x:f>MIN(0.85,Assumptions!$G$19+BB37)</x:f>
        <x:v>0.6</x:v>
      </x:c>
      <x:c r="BD15" s="66" t="n">
        <x:f>MIN(0.85,Assumptions!$G$19+BC37)</x:f>
        <x:v>0.6</x:v>
      </x:c>
      <x:c r="BE15" s="66" t="n">
        <x:f>MIN(0.85,Assumptions!$G$19+BD37)</x:f>
        <x:v>0.6</x:v>
      </x:c>
      <x:c r="BF15" s="66" t="n">
        <x:f>MIN(0.85,Assumptions!$G$19+BE37)</x:f>
        <x:v>0.6</x:v>
      </x:c>
      <x:c r="BG15" s="66" t="n">
        <x:f>MIN(0.85,Assumptions!$G$19+BF37)</x:f>
        <x:v>0.6</x:v>
      </x:c>
      <x:c r="BH15" s="66" t="n">
        <x:f>MIN(0.85,Assumptions!$G$19+BG37)</x:f>
        <x:v>0.6</x:v>
      </x:c>
      <x:c r="BI15" s="66" t="n">
        <x:f>MIN(0.85,Assumptions!$G$19+BH37)</x:f>
        <x:v>0.6</x:v>
      </x:c>
      <x:c r="BJ15" s="66" t="n">
        <x:f>MIN(0.85,Assumptions!$G$19+BI37)</x:f>
        <x:v>0.6</x:v>
      </x:c>
    </x:row>
    <x:row r="16">
      <x:c r="A16" t="str">
        <x:v>Proof Mission Sprints sold</x:v>
      </x:c>
      <x:c r="B16" t="str">
        <x:v>count</x:v>
      </x:c>
      <x:c r="C16" s="68" t="n">
        <x:f>0</x:f>
        <x:v>0</x:v>
      </x:c>
      <x:c r="D16" s="68" t="n">
        <x:f>C14*D15</x:f>
        <x:v>0</x:v>
      </x:c>
      <x:c r="E16" s="68" t="n">
        <x:f>D14*E15</x:f>
        <x:v>0.48</x:v>
      </x:c>
      <x:c r="F16" s="68" t="n">
        <x:f>E14*F15</x:f>
        <x:v>0.87550246912</x:v>
      </x:c>
      <x:c r="G16" s="68" t="n">
        <x:f>F14*G15</x:f>
        <x:v>0.9329976822615148</x:v>
      </x:c>
      <x:c r="H16" s="68" t="n">
        <x:f>G14*H15</x:f>
        <x:v>0.9949939137383188</x:v>
      </x:c>
      <x:c r="I16" s="68" t="n">
        <x:f>H14*I15</x:f>
        <x:v>1.0622089682905271</x:v>
      </x:c>
      <x:c r="J16" s="68" t="n">
        <x:f>I14*J15</x:f>
        <x:v>1.1345486242325067</x:v>
      </x:c>
      <x:c r="K16" s="68" t="n">
        <x:f>J14*K15</x:f>
        <x:v>1.2122302616876033</x:v>
      </x:c>
      <x:c r="L16" s="68" t="n">
        <x:f>K14*L15</x:f>
        <x:v>1.2955632128693835</x:v>
      </x:c>
      <x:c r="M16" s="68" t="n">
        <x:f>L14*M15</x:f>
        <x:v>1.38467188066414</x:v>
      </x:c>
      <x:c r="N16" s="68" t="n">
        <x:f>M14*N15</x:f>
        <x:v>1.4799095529396682</x:v>
      </x:c>
      <x:c r="O16" s="68" t="n">
        <x:f>N14*O15</x:f>
        <x:v>1.5817134958645196</x:v>
      </x:c>
      <x:c r="P16" s="68" t="n">
        <x:f>O14*P15</x:f>
        <x:v>1.6905801777916434</x:v>
      </x:c>
      <x:c r="Q16" s="68" t="n">
        <x:f>P14*Q15</x:f>
        <x:v>1.8070518994952973</x:v>
      </x:c>
      <x:c r="R16" s="68" t="n">
        <x:f>Q14*R15</x:f>
        <x:v>1.9316310947968658</x:v>
      </x:c>
      <x:c r="S16" s="68" t="n">
        <x:f>R14*S15</x:f>
        <x:v>2.0648814881971846</x:v>
      </x:c>
      <x:c r="T16" s="68" t="n">
        <x:f>S14*T15</x:f>
        <x:v>2.2074455469768384</x:v>
      </x:c>
      <x:c r="U16" s="68" t="n">
        <x:f>T14*U15</x:f>
        <x:v>2.360018428372483</x:v>
      </x:c>
      <x:c r="V16" s="68" t="n">
        <x:f>U14*V15</x:f>
        <x:v>2.5233528432213603</x:v>
      </x:c>
      <x:c r="W16" s="68" t="n">
        <x:f>V14*W15</x:f>
        <x:v>2.6982647165201317</x:v>
      </x:c>
      <x:c r="X16" s="68" t="n">
        <x:f>W14*X15</x:f>
        <x:v>2.8856393491643573</x:v>
      </x:c>
      <x:c r="Y16" s="68" t="n">
        <x:f>X14*Y15</x:f>
        <x:v>3.086438309918954</x:v>
      </x:c>
      <x:c r="Z16" s="68" t="n">
        <x:f>Y14*Z15</x:f>
        <x:v>3.301707174349495</x:v>
      </x:c>
      <x:c r="AA16" s="68" t="n">
        <x:f>Z14*AA15</x:f>
        <x:v>3.5325841199011316</x:v>
      </x:c>
      <x:c r="AB16" s="68" t="n">
        <x:f>AA14*AB15</x:f>
        <x:v>3.7803095569048484</x:v>
      </x:c>
      <x:c r="AC16" s="68" t="n">
        <x:f>AB14*AC15</x:f>
        <x:v>3.9925291302583656</x:v>
      </x:c>
      <x:c r="AD16" s="68" t="n">
        <x:f>AC14*AD15</x:f>
        <x:v>4.177235784988923</x:v>
      </x:c>
      <x:c r="AE16" s="68" t="n">
        <x:f>AD14*AE15</x:f>
        <x:v>4.3715123374599605</x:v>
      </x:c>
      <x:c r="AF16" s="68" t="n">
        <x:f>AE14*AF15</x:f>
        <x:v>4.575840332754086</x:v>
      </x:c>
      <x:c r="AG16" s="68" t="n">
        <x:f>AF14*AG15</x:f>
        <x:v>4.790645411467763</x:v>
      </x:c>
      <x:c r="AH16" s="68" t="n">
        <x:f>AG14*AH15</x:f>
        <x:v>5.016459107450052</x:v>
      </x:c>
      <x:c r="AI16" s="68" t="n">
        <x:f>AH14*AI15</x:f>
        <x:v>5.253891387284817</x:v>
      </x:c>
      <x:c r="AJ16" s="68" t="n">
        <x:f>AI14*AJ15</x:f>
        <x:v>5.5036005418008145</x:v>
      </x:c>
      <x:c r="AK16" s="68" t="n">
        <x:f>AJ14*AK15</x:f>
        <x:v>5.766322958351961</x:v>
      </x:c>
      <x:c r="AL16" s="68" t="n">
        <x:f>AK14*AL15</x:f>
        <x:v>6.04284081564187</x:v>
      </x:c>
      <x:c r="AM16" s="68" t="n">
        <x:f>AL14*AM15</x:f>
        <x:v>6.33399483509079</x:v>
      </x:c>
      <x:c r="AN16" s="68" t="n">
        <x:f>AM14*AN15</x:f>
        <x:v>6.640694777829216</x:v>
      </x:c>
      <x:c r="AO16" s="68" t="n">
        <x:f>AN14*AO15</x:f>
        <x:v>6.963914623258885</x:v>
      </x:c>
      <x:c r="AP16" s="68" t="n">
        <x:f>AO14*AP15</x:f>
        <x:v>7.304708263054513</x:v>
      </x:c>
      <x:c r="AQ16" s="68" t="n">
        <x:f>AP14*AQ15</x:f>
        <x:v>7.664214524647002</x:v>
      </x:c>
      <x:c r="AR16" s="68" t="n">
        <x:f>AQ14*AR15</x:f>
        <x:v>8.043661010356395</x:v>
      </x:c>
      <x:c r="AS16" s="68" t="n">
        <x:f>AR14*AS15</x:f>
        <x:v>8.444372265198272</x:v>
      </x:c>
      <x:c r="AT16" s="68" t="n">
        <x:f>AS14*AT15</x:f>
        <x:v>8.867778856061026</x:v>
      </x:c>
      <x:c r="AU16" s="68" t="n">
        <x:f>AT14*AU15</x:f>
        <x:v>9.315427376433426</x:v>
      </x:c>
      <x:c r="AV16" s="68" t="n">
        <x:f>AU14*AV15</x:f>
        <x:v>9.788991528242267</x:v>
      </x:c>
      <x:c r="AW16" s="68" t="n">
        <x:f>AV14*AW15</x:f>
        <x:v>10.27951829446406</x:v>
      </x:c>
      <x:c r="AX16" s="68" t="n">
        <x:f>AW14*AX15</x:f>
        <x:v>10.703511936136978</x:v>
      </x:c>
      <x:c r="AY16" s="68" t="n">
        <x:f>AX14*AY15</x:f>
        <x:v>11.14485251971447</x:v>
      </x:c>
      <x:c r="AZ16" s="68" t="n">
        <x:f>AY14*AZ15</x:f>
        <x:v>11.604251493608187</x:v>
      </x:c>
      <x:c r="BA16" s="68" t="n">
        <x:f>AZ14*BA15</x:f>
        <x:v>12.08231669809987</x:v>
      </x:c>
      <x:c r="BB16" s="68" t="n">
        <x:f>BA14*BB15</x:f>
        <x:v>12.579709786743928</x:v>
      </x:c>
      <x:c r="BC16" s="68" t="n">
        <x:f>BB14*BC15</x:f>
        <x:v>13.097169931748297</x:v>
      </x:c>
      <x:c r="BD16" s="68" t="n">
        <x:f>BC14*BD15</x:f>
        <x:v>13.63543312179455</x:v>
      </x:c>
      <x:c r="BE16" s="68" t="n">
        <x:f>BD14*BE15</x:f>
        <x:v>14.195303805768166</x:v>
      </x:c>
      <x:c r="BF16" s="68" t="n">
        <x:f>BE14*BF15</x:f>
        <x:v>14.777649065038855</x:v>
      </x:c>
      <x:c r="BG16" s="68" t="n">
        <x:f>BF14*BG15</x:f>
        <x:v>15.383370573851785</x:v>
      </x:c>
      <x:c r="BH16" s="68" t="n">
        <x:f>BG14*BH15</x:f>
        <x:v>16.013404519564247</x:v>
      </x:c>
      <x:c r="BI16" s="68" t="n">
        <x:f>BH14*BI15</x:f>
        <x:v>16.66871163969986</x:v>
      </x:c>
      <x:c r="BJ16" s="68" t="n">
        <x:f>BI14*BJ15</x:f>
        <x:v>17.350294195685493</x:v>
      </x:c>
    </x:row>
    <x:row r="17">
      <x:c r="A17" t="str">
        <x:v>Repeat missions sold</x:v>
      </x:c>
      <x:c r="B17" t="str">
        <x:v>count</x:v>
      </x:c>
      <x:c r="C17" s="68" t="n">
        <x:f>0</x:f>
        <x:v>0</x:v>
      </x:c>
      <x:c r="D17" s="68" t="n">
        <x:f>0</x:f>
        <x:v>0</x:v>
      </x:c>
      <x:c r="E17" s="68" t="n">
        <x:f>0</x:f>
        <x:v>0</x:v>
      </x:c>
      <x:c r="F17" s="68" t="n">
        <x:f>C16*Assumptions!$G$22</x:f>
        <x:v>0</x:v>
      </x:c>
      <x:c r="G17" s="68" t="n">
        <x:f>D16*Assumptions!$G$22</x:f>
        <x:v>0</x:v>
      </x:c>
      <x:c r="H17" s="68" t="n">
        <x:f>E16*Assumptions!$G$22</x:f>
        <x:v>0.1536</x:v>
      </x:c>
      <x:c r="I17" s="68" t="n">
        <x:f>F16*Assumptions!$G$22+C18*Assumptions!$G$22</x:f>
        <x:v>0.2801607901184</x:v>
      </x:c>
      <x:c r="J17" s="68" t="n">
        <x:f>G16*Assumptions!$G$22+D18*Assumptions!$G$22</x:f>
        <x:v>0.29855925832368474</x:v>
      </x:c>
      <x:c r="K17" s="68" t="n">
        <x:f>H16*Assumptions!$G$22+E18*Assumptions!$G$22</x:f>
        <x:v>0.318398052396262</x:v>
      </x:c>
      <x:c r="L17" s="68" t="n">
        <x:f>I16*Assumptions!$G$22+F18*Assumptions!$G$22</x:f>
        <x:v>0.3399068698529687</x:v>
      </x:c>
      <x:c r="M17" s="68" t="n">
        <x:f>J16*Assumptions!$G$22+G18*Assumptions!$G$22</x:f>
        <x:v>0.40913555975440213</x:v>
      </x:c>
      <x:c r="N17" s="68" t="n">
        <x:f>K16*Assumptions!$G$22+H18*Assumptions!$G$22</x:f>
        <x:v>0.47196192077555305</x:v>
      </x:c>
      <x:c r="O17" s="68" t="n">
        <x:f>L16*Assumptions!$G$22+I18*Assumptions!$G$22</x:f>
        <x:v>0.5041480056153081</x:v>
      </x:c>
      <x:c r="P17" s="68" t="n">
        <x:f>M16*Assumptions!$G$22+J18*Assumptions!$G$22</x:f>
        <x:v>0.5386144175314034</x:v>
      </x:c>
      <x:c r="Q17" s="68" t="n">
        <x:f>N16*Assumptions!$G$22+K18*Assumptions!$G$22</x:f>
        <x:v>0.5755431178965844</x:v>
      </x:c>
      <x:c r="R17" s="68" t="n">
        <x:f>O16*Assumptions!$G$22+L18*Assumptions!$G$22</x:f>
        <x:v>0.6150649866029668</x:v>
      </x:c>
      <x:c r="S17" s="68" t="n">
        <x:f>P16*Assumptions!$G$22+M18*Assumptions!$G$22</x:f>
        <x:v>0.6573597620153359</x:v>
      </x:c>
      <x:c r="T17" s="68" t="n">
        <x:f>Q16*Assumptions!$G$22+N18*Assumptions!$G$22</x:f>
        <x:v>0.702630676273956</x:v>
      </x:c>
      <x:c r="U17" s="68" t="n">
        <x:f>R16*Assumptions!$G$22+O18*Assumptions!$G$22</x:f>
        <x:v>0.7510504508787545</x:v>
      </x:c>
      <x:c r="V17" s="68" t="n">
        <x:f>S16*Assumptions!$G$22+P18*Assumptions!$G$22</x:f>
        <x:v>0.8028333933053072</x:v>
      </x:c>
      <x:c r="W17" s="68" t="n">
        <x:f>T16*Assumptions!$G$22+Q18*Assumptions!$G$22</x:f>
        <x:v>0.8582270706355821</x:v>
      </x:c>
      <x:c r="X17" s="68" t="n">
        <x:f>U16*Assumptions!$G$22+R18*Assumptions!$G$22</x:f>
        <x:v>0.9175015941471923</x:v>
      </x:c>
      <x:c r="Y17" s="68" t="n">
        <x:f>V16*Assumptions!$G$22+S18*Assumptions!$G$22</x:f>
        <x:v>0.9809498921823838</x:v>
      </x:c>
      <x:c r="Z17" s="68" t="n">
        <x:f>W16*Assumptions!$G$22+T18*Assumptions!$G$22</x:f>
        <x:v>1.0488812943869412</x:v>
      </x:c>
      <x:c r="AA17" s="68" t="n">
        <x:f>X16*Assumptions!$G$22+U18*Assumptions!$G$22</x:f>
        <x:v>1.121633214599524</x:v>
      </x:c>
      <x:c r="AB17" s="68" t="n">
        <x:f>Y16*Assumptions!$G$22+V18*Assumptions!$G$22</x:f>
        <x:v>1.1995750316838418</x:v>
      </x:c>
      <x:c r="AC17" s="68" t="n">
        <x:f>Z16*Assumptions!$G$22+W18*Assumptions!$G$22</x:f>
        <x:v>1.2831080649155968</x:v>
      </x:c>
      <x:c r="AD17" s="68" t="n">
        <x:f>AA16*Assumptions!$G$22+X18*Assumptions!$G$22</x:f>
        <x:v>1.3726687913176128</x:v>
      </x:c>
      <x:c r="AE17" s="68" t="n">
        <x:f>AB16*Assumptions!$G$22+Y18*Assumptions!$G$22</x:f>
        <x:v>1.468732470995484</x:v>
      </x:c>
      <x:c r="AF17" s="68" t="n">
        <x:f>AC16*Assumptions!$G$22+Z18*Assumptions!$G$22</x:f>
        <x:v>1.5546306992024552</x:v>
      </x:c>
      <x:c r="AG17" s="68" t="n">
        <x:f>AD16*Assumptions!$G$22+AA18*Assumptions!$G$22</x:f>
        <x:v>1.633013528948675</x:v>
      </x:c>
      <x:c r="AH17" s="68" t="n">
        <x:f>AE16*Assumptions!$G$22+AB18*Assumptions!$G$22</x:f>
        <x:v>1.7158478367247387</x:v>
      </x:c>
      <x:c r="AI17" s="68" t="n">
        <x:f>AF16*Assumptions!$G$22+AC18*Assumptions!$G$22</x:f>
        <x:v>1.803396981991816</x:v>
      </x:c>
      <x:c r="AJ17" s="68" t="n">
        <x:f>AG16*Assumptions!$G$22+AD18*Assumptions!$G$22</x:f>
        <x:v>1.8959162491325496</x:v>
      </x:c>
      <x:c r="AK17" s="68" t="n">
        <x:f>AH16*Assumptions!$G$22+AE18*Assumptions!$G$22</x:f>
        <x:v>1.9885497108888197</x:v>
      </x:c>
      <x:c r="AL17" s="68" t="n">
        <x:f>AI16*Assumptions!$G$22+AF18*Assumptions!$G$22</x:f>
        <x:v>2.082259879290078</x:v>
      </x:c>
      <x:c r="AM17" s="68" t="n">
        <x:f>AJ16*Assumptions!$G$22+AG18*Assumptions!$G$22</x:f>
        <x:v>2.180817357772417</x:v>
      </x:c>
      <x:c r="AN17" s="68" t="n">
        <x:f>AK16*Assumptions!$G$22+AH18*Assumptions!$G$22</x:f>
        <x:v>2.28450401861702</x:v>
      </x:c>
      <x:c r="AO17" s="68" t="n">
        <x:f>AL16*Assumptions!$G$22+AI18*Assumptions!$G$22</x:f>
        <x:v>2.3936110205063037</x:v>
      </x:c>
      <x:c r="AP17" s="68" t="n">
        <x:f>AM16*Assumptions!$G$22+AJ18*Assumptions!$G$22</x:f>
        <x:v>2.508458421544258</x:v>
      </x:c>
      <x:c r="AQ17" s="68" t="n">
        <x:f>AN16*Assumptions!$G$22+AK18*Assumptions!$G$22</x:f>
        <x:v>2.6293959020846915</x:v>
      </x:c>
      <x:c r="AR17" s="68" t="n">
        <x:f>AO16*Assumptions!$G$22+AL18*Assumptions!$G$22</x:f>
        <x:v>2.7567983314557214</x:v>
      </x:c>
      <x:c r="AS17" s="68" t="n">
        <x:f>AP16*Assumptions!$G$22+AM18*Assumptions!$G$22</x:f>
        <x:v>2.8910736481792325</x:v>
      </x:c>
      <x:c r="AT17" s="68" t="n">
        <x:f>AQ16*Assumptions!$G$22+AN18*Assumptions!$G$22</x:f>
        <x:v>3.03266136618866</x:v>
      </x:c>
      <x:c r="AU17" s="68" t="n">
        <x:f>AR16*Assumptions!$G$22+AO18*Assumptions!$G$22</x:f>
        <x:v>3.1820350274827622</x:v>
      </x:c>
      <x:c r="AV17" s="68" t="n">
        <x:f>AS16*Assumptions!$G$22+AP18*Assumptions!$G$22</x:f>
        <x:v>3.3397058235350516</x:v>
      </x:c>
      <x:c r="AW17" s="68" t="n">
        <x:f>AT16*Assumptions!$G$22+AQ18*Assumptions!$G$22</x:f>
        <x:v>3.5062250377723814</x:v>
      </x:c>
      <x:c r="AX17" s="68" t="n">
        <x:f>AU16*Assumptions!$G$22+AR18*Assumptions!$G$22</x:f>
        <x:v>3.6821887537119293</x:v>
      </x:c>
      <x:c r="AY17" s="68" t="n">
        <x:f>AV16*Assumptions!$G$22+AS18*Assumptions!$G$22</x:f>
        <x:v>3.8682418834036376</x:v>
      </x:c>
      <x:c r="AZ17" s="68" t="n">
        <x:f>AW16*Assumptions!$G$22+AT18*Assumptions!$G$22</x:f>
        <x:v>4.061637311222713</x:v>
      </x:c>
      <x:c r="BA17" s="68" t="n">
        <x:f>AX16*Assumptions!$G$22+AU18*Assumptions!$G$22</x:f>
        <x:v>4.235783557022867</x:v>
      </x:c>
      <x:c r="BB17" s="68" t="n">
        <x:f>AY16*Assumptions!$G$22+AV18*Assumptions!$G$22</x:f>
        <x:v>4.41765957649049</x:v>
      </x:c>
      <x:c r="BC17" s="68" t="n">
        <x:f>AZ16*Assumptions!$G$22+AW18*Assumptions!$G$22</x:f>
        <x:v>4.607641506092229</x:v>
      </x:c>
      <x:c r="BD17" s="68" t="n">
        <x:f>BA16*Assumptions!$G$22+AX18*Assumptions!$G$22</x:f>
        <x:v>4.806084530103217</x:v>
      </x:c>
      <x:c r="BE17" s="68" t="n">
        <x:f>BB16*Assumptions!$G$22+AY18*Assumptions!$G$22</x:f>
        <x:v>5.012340888026607</x:v>
      </x:c>
      <x:c r="BF17" s="68" t="n">
        <x:f>BC16*Assumptions!$G$22+AZ18*Assumptions!$G$22</x:f>
        <x:v>5.218631524028606</x:v>
      </x:c>
      <x:c r="BG17" s="68" t="n">
        <x:f>BD16*Assumptions!$G$22+BA18*Assumptions!$G$22</x:f>
        <x:v>5.433244440866845</x:v>
      </x:c>
      <x:c r="BH17" s="68" t="n">
        <x:f>BE16*Assumptions!$G$22+BB18*Assumptions!$G$22</x:f>
        <x:v>5.656505361232199</x:v>
      </x:c>
      <x:c r="BI17" s="68" t="n">
        <x:f>BF16*Assumptions!$G$22+BC18*Assumptions!$G$22</x:f>
        <x:v>5.888750103830022</x:v>
      </x:c>
      <x:c r="BJ17" s="68" t="n">
        <x:f>BG16*Assumptions!$G$22+BD18*Assumptions!$G$22</x:f>
        <x:v>6.130330723159988</x:v>
      </x:c>
    </x:row>
    <x:row r="18">
      <x:c r="A18" t="str">
        <x:v>Enterprise pilots sold</x:v>
      </x:c>
      <x:c r="B18" t="str">
        <x:v>count</x:v>
      </x:c>
      <x:c r="C18" s="68" t="n">
        <x:f>0</x:f>
        <x:v>0</x:v>
      </x:c>
      <x:c r="D18" s="68" t="n">
        <x:f>0</x:f>
        <x:v>0</x:v>
      </x:c>
      <x:c r="E18" s="68" t="n">
        <x:f>C16*Assumptions!$G$20</x:f>
        <x:v>0</x:v>
      </x:c>
      <x:c r="F18" s="68" t="n">
        <x:f>D16*Assumptions!$G$20</x:f>
        <x:v>0</x:v>
      </x:c>
      <x:c r="G18" s="68" t="n">
        <x:f>E16*Assumptions!$G$20</x:f>
        <x:v>0.144</x:v>
      </x:c>
      <x:c r="H18" s="68" t="n">
        <x:f>F16*Assumptions!$G$20</x:f>
        <x:v>0.262650740736</x:v>
      </x:c>
      <x:c r="I18" s="68" t="n">
        <x:f>G16*Assumptions!$G$20</x:f>
        <x:v>0.2798993046784544</x:v>
      </x:c>
      <x:c r="J18" s="68" t="n">
        <x:f>H16*Assumptions!$G$20</x:f>
        <x:v>0.29849817412149565</x:v>
      </x:c>
      <x:c r="K18" s="68" t="n">
        <x:f>I16*Assumptions!$G$20</x:f>
        <x:v>0.3186626904871581</x:v>
      </x:c>
      <x:c r="L18" s="68" t="n">
        <x:f>J16*Assumptions!$G$20</x:f>
        <x:v>0.340364587269752</x:v>
      </x:c>
      <x:c r="M18" s="68" t="n">
        <x:f>K16*Assumptions!$G$20</x:f>
        <x:v>0.363669078506281</x:v>
      </x:c>
      <x:c r="N18" s="68" t="n">
        <x:f>L16*Assumptions!$G$20</x:f>
        <x:v>0.388668963860815</x:v>
      </x:c>
      <x:c r="O18" s="68" t="n">
        <x:f>M16*Assumptions!$G$20</x:f>
        <x:v>0.415401564199242</x:v>
      </x:c>
      <x:c r="P18" s="68" t="n">
        <x:f>N16*Assumptions!$G$20</x:f>
        <x:v>0.44397286588190044</x:v>
      </x:c>
      <x:c r="Q18" s="68" t="n">
        <x:f>O16*Assumptions!$G$20</x:f>
        <x:v>0.4745140487593559</x:v>
      </x:c>
      <x:c r="R18" s="68" t="n">
        <x:f>P16*Assumptions!$G$20</x:f>
        <x:v>0.507174053337493</x:v>
      </x:c>
      <x:c r="S18" s="68" t="n">
        <x:f>Q16*Assumptions!$G$20</x:f>
        <x:v>0.5421155698485892</x:v>
      </x:c>
      <x:c r="T18" s="68" t="n">
        <x:f>R16*Assumptions!$G$20</x:f>
        <x:v>0.5794893284390598</x:v>
      </x:c>
      <x:c r="U18" s="68" t="n">
        <x:f>S16*Assumptions!$G$20</x:f>
        <x:v>0.6194644464591553</x:v>
      </x:c>
      <x:c r="V18" s="68" t="n">
        <x:f>T16*Assumptions!$G$20</x:f>
        <x:v>0.6622336640930515</x:v>
      </x:c>
      <x:c r="W18" s="68" t="n">
        <x:f>U16*Assumptions!$G$20</x:f>
        <x:v>0.7080055285117449</x:v>
      </x:c>
      <x:c r="X18" s="68" t="n">
        <x:f>V16*Assumptions!$G$20</x:f>
        <x:v>0.7570058529664081</x:v>
      </x:c>
      <x:c r="Y18" s="68" t="n">
        <x:f>W16*Assumptions!$G$20</x:f>
        <x:v>0.8094794149560395</x:v>
      </x:c>
      <x:c r="Z18" s="68" t="n">
        <x:f>X16*Assumptions!$G$20</x:f>
        <x:v>0.8656918047493072</x:v>
      </x:c>
      <x:c r="AA18" s="68" t="n">
        <x:f>Y16*Assumptions!$G$20</x:f>
        <x:v>0.9259314929756861</x:v>
      </x:c>
      <x:c r="AB18" s="68" t="n">
        <x:f>Z16*Assumptions!$G$20</x:f>
        <x:v>0.9905121523048483</x:v>
      </x:c>
      <x:c r="AC18" s="68" t="n">
        <x:f>AA16*Assumptions!$G$20</x:f>
        <x:v>1.0597752359703394</x:v>
      </x:c>
      <x:c r="AD18" s="68" t="n">
        <x:f>AB16*Assumptions!$G$20</x:f>
        <x:v>1.1340928670714545</x:v>
      </x:c>
      <x:c r="AE18" s="68" t="n">
        <x:f>AC16*Assumptions!$G$20</x:f>
        <x:v>1.1977587390775097</x:v>
      </x:c>
      <x:c r="AF18" s="68" t="n">
        <x:f>AD16*Assumptions!$G$20</x:f>
        <x:v>1.253170735496677</x:v>
      </x:c>
      <x:c r="AG18" s="68" t="n">
        <x:f>AE16*Assumptions!$G$20</x:f>
        <x:v>1.311453701237988</x:v>
      </x:c>
      <x:c r="AH18" s="68" t="n">
        <x:f>AF16*Assumptions!$G$20</x:f>
        <x:v>1.3727520998262257</x:v>
      </x:c>
      <x:c r="AI18" s="68" t="n">
        <x:f>AG16*Assumptions!$G$20</x:f>
        <x:v>1.4371936234403286</x:v>
      </x:c>
      <x:c r="AJ18" s="68" t="n">
        <x:f>AH16*Assumptions!$G$20</x:f>
        <x:v>1.5049377322350155</x:v>
      </x:c>
      <x:c r="AK18" s="68" t="n">
        <x:f>AI16*Assumptions!$G$20</x:f>
        <x:v>1.576167416185445</x:v>
      </x:c>
      <x:c r="AL18" s="68" t="n">
        <x:f>AJ16*Assumptions!$G$20</x:f>
        <x:v>1.6510801625402443</x:v>
      </x:c>
      <x:c r="AM18" s="68" t="n">
        <x:f>AK16*Assumptions!$G$20</x:f>
        <x:v>1.7298968875055882</x:v>
      </x:c>
      <x:c r="AN18" s="68" t="n">
        <x:f>AL16*Assumptions!$G$20</x:f>
        <x:v>1.8128522446925608</x:v>
      </x:c>
      <x:c r="AO18" s="68" t="n">
        <x:f>AM16*Assumptions!$G$20</x:f>
        <x:v>1.900198450527237</x:v>
      </x:c>
      <x:c r="AP18" s="68" t="n">
        <x:f>AN16*Assumptions!$G$20</x:f>
        <x:v>1.9922084333487646</x:v>
      </x:c>
      <x:c r="AQ18" s="68" t="n">
        <x:f>AO16*Assumptions!$G$20</x:f>
        <x:v>2.0891743869776653</x:v>
      </x:c>
      <x:c r="AR18" s="68" t="n">
        <x:f>AP16*Assumptions!$G$20</x:f>
        <x:v>2.191412478916354</x:v>
      </x:c>
      <x:c r="AS18" s="68" t="n">
        <x:f>AQ16*Assumptions!$G$20</x:f>
        <x:v>2.2992643573941005</x:v>
      </x:c>
      <x:c r="AT18" s="68" t="n">
        <x:f>AR16*Assumptions!$G$20</x:f>
        <x:v>2.4130983031069184</x:v>
      </x:c>
      <x:c r="AU18" s="68" t="n">
        <x:f>AS16*Assumptions!$G$20</x:f>
        <x:v>2.5333116795594814</x:v>
      </x:c>
      <x:c r="AV18" s="68" t="n">
        <x:f>AT16*Assumptions!$G$20</x:f>
        <x:v>2.660333656818308</x:v>
      </x:c>
      <x:c r="AW18" s="68" t="n">
        <x:f>AU16*Assumptions!$G$20</x:f>
        <x:v>2.7946282129300277</x:v>
      </x:c>
      <x:c r="AX18" s="68" t="n">
        <x:f>AV16*Assumptions!$G$20</x:f>
        <x:v>2.93669745847268</x:v>
      </x:c>
      <x:c r="AY18" s="68" t="n">
        <x:f>AW16*Assumptions!$G$20</x:f>
        <x:v>3.0838554883392177</x:v>
      </x:c>
      <x:c r="AZ18" s="68" t="n">
        <x:f>AX16*Assumptions!$G$20</x:f>
        <x:v>3.2110535808410936</x:v>
      </x:c>
      <x:c r="BA18" s="68" t="n">
        <x:f>AY16*Assumptions!$G$20</x:f>
        <x:v>3.343455755914341</x:v>
      </x:c>
      <x:c r="BB18" s="68" t="n">
        <x:f>AZ16*Assumptions!$G$20</x:f>
        <x:v>3.481275448082456</x:v>
      </x:c>
      <x:c r="BC18" s="68" t="n">
        <x:f>BA16*Assumptions!$G$20</x:f>
        <x:v>3.624695009429961</x:v>
      </x:c>
      <x:c r="BD18" s="68" t="n">
        <x:f>BB16*Assumptions!$G$20</x:f>
        <x:v>3.7739129360231782</x:v>
      </x:c>
      <x:c r="BE18" s="68" t="n">
        <x:f>BC16*Assumptions!$G$20</x:f>
        <x:v>3.929150979524489</x:v>
      </x:c>
      <x:c r="BF18" s="68" t="n">
        <x:f>BD16*Assumptions!$G$20</x:f>
        <x:v>4.090629936538365</x:v>
      </x:c>
      <x:c r="BG18" s="68" t="n">
        <x:f>BE16*Assumptions!$G$20</x:f>
        <x:v>4.25859114173045</x:v>
      </x:c>
      <x:c r="BH18" s="68" t="n">
        <x:f>BF16*Assumptions!$G$20</x:f>
        <x:v>4.4332947195116565</x:v>
      </x:c>
      <x:c r="BI18" s="68" t="n">
        <x:f>BG16*Assumptions!$G$20</x:f>
        <x:v>4.615011172155535</x:v>
      </x:c>
      <x:c r="BJ18" s="68" t="n">
        <x:f>BH16*Assumptions!$G$20</x:f>
        <x:v>4.804021355869274</x:v>
      </x:c>
    </x:row>
    <x:row r="19">
      <x:c r="A19" t="str">
        <x:v>New Proof OS customers</x:v>
      </x:c>
      <x:c r="B19" t="str">
        <x:v>count</x:v>
      </x:c>
      <x:c r="C19" s="68" t="n">
        <x:f>0</x:f>
        <x:v>0</x:v>
      </x:c>
      <x:c r="D19" s="68" t="n">
        <x:f>0</x:f>
        <x:v>0</x:v>
      </x:c>
      <x:c r="E19" s="68" t="n">
        <x:f>0</x:f>
        <x:v>0</x:v>
      </x:c>
      <x:c r="F19" s="68" t="n">
        <x:f>C18*Assumptions!$G$21</x:f>
        <x:v>0</x:v>
      </x:c>
      <x:c r="G19" s="68" t="n">
        <x:f>D18*Assumptions!$G$21</x:f>
        <x:v>0</x:v>
      </x:c>
      <x:c r="H19" s="68" t="n">
        <x:f>E18*Assumptions!$G$21</x:f>
        <x:v>0</x:v>
      </x:c>
      <x:c r="I19" s="68" t="n">
        <x:f>F18*Assumptions!$G$21</x:f>
        <x:v>0</x:v>
      </x:c>
      <x:c r="J19" s="68" t="n">
        <x:f>G18*Assumptions!$G$21</x:f>
        <x:v>0.0648</x:v>
      </x:c>
      <x:c r="K19" s="68" t="n">
        <x:f>H18*Assumptions!$G$21</x:f>
        <x:v>0.1181928333312</x:v>
      </x:c>
      <x:c r="L19" s="68" t="n">
        <x:f>I18*Assumptions!$G$21</x:f>
        <x:v>0.1259546871053045</x:v>
      </x:c>
      <x:c r="M19" s="68" t="n">
        <x:f>J18*Assumptions!$G$21</x:f>
        <x:v>0.13432417835467306</x:v>
      </x:c>
      <x:c r="N19" s="68" t="n">
        <x:f>K18*Assumptions!$G$21</x:f>
        <x:v>0.14339821071922115</x:v>
      </x:c>
      <x:c r="O19" s="68" t="n">
        <x:f>L18*Assumptions!$G$21</x:f>
        <x:v>0.1531640642713884</x:v>
      </x:c>
      <x:c r="P19" s="68" t="n">
        <x:f>M18*Assumptions!$G$21</x:f>
        <x:v>0.16365108532782646</x:v>
      </x:c>
      <x:c r="Q19" s="68" t="n">
        <x:f>N18*Assumptions!$G$21</x:f>
        <x:v>0.17490103373736676</x:v>
      </x:c>
      <x:c r="R19" s="68" t="n">
        <x:f>O18*Assumptions!$G$21</x:f>
        <x:v>0.1869307038896589</x:v>
      </x:c>
      <x:c r="S19" s="68" t="n">
        <x:f>P18*Assumptions!$G$21</x:f>
        <x:v>0.1997877896468552</x:v>
      </x:c>
      <x:c r="T19" s="68" t="n">
        <x:f>Q18*Assumptions!$G$21</x:f>
        <x:v>0.21353132194171015</x:v>
      </x:c>
      <x:c r="U19" s="68" t="n">
        <x:f>R18*Assumptions!$G$21</x:f>
        <x:v>0.22822832400187185</x:v>
      </x:c>
      <x:c r="V19" s="68" t="n">
        <x:f>S18*Assumptions!$G$21</x:f>
        <x:v>0.24395200643186515</x:v>
      </x:c>
      <x:c r="W19" s="68" t="n">
        <x:f>T18*Assumptions!$G$21</x:f>
        <x:v>0.2607701977975769</x:v>
      </x:c>
      <x:c r="X19" s="68" t="n">
        <x:f>U18*Assumptions!$G$21</x:f>
        <x:v>0.2787590009066199</x:v>
      </x:c>
      <x:c r="Y19" s="68" t="n">
        <x:f>V18*Assumptions!$G$21</x:f>
        <x:v>0.2980051488418732</x:v>
      </x:c>
      <x:c r="Z19" s="68" t="n">
        <x:f>W18*Assumptions!$G$21</x:f>
        <x:v>0.3186024878302852</x:v>
      </x:c>
      <x:c r="AA19" s="68" t="n">
        <x:f>X18*Assumptions!$G$21</x:f>
        <x:v>0.34065263383488364</x:v>
      </x:c>
      <x:c r="AB19" s="68" t="n">
        <x:f>Y18*Assumptions!$G$21</x:f>
        <x:v>0.3642657367302178</x:v>
      </x:c>
      <x:c r="AC19" s="68" t="n">
        <x:f>Z18*Assumptions!$G$21</x:f>
        <x:v>0.38956131213718825</x:v>
      </x:c>
      <x:c r="AD19" s="68" t="n">
        <x:f>AA18*Assumptions!$G$21</x:f>
        <x:v>0.41666917183905877</x:v>
      </x:c>
      <x:c r="AE19" s="68" t="n">
        <x:f>AB18*Assumptions!$G$21</x:f>
        <x:v>0.4457304685371818</x:v>
      </x:c>
      <x:c r="AF19" s="68" t="n">
        <x:f>AC18*Assumptions!$G$21</x:f>
        <x:v>0.47689885618665273</x:v>
      </x:c>
      <x:c r="AG19" s="68" t="n">
        <x:f>AD18*Assumptions!$G$21</x:f>
        <x:v>0.5103417901821545</x:v>
      </x:c>
      <x:c r="AH19" s="68" t="n">
        <x:f>AE18*Assumptions!$G$21</x:f>
        <x:v>0.5389914325848794</x:v>
      </x:c>
      <x:c r="AI19" s="68" t="n">
        <x:f>AF18*Assumptions!$G$21</x:f>
        <x:v>0.5639268309735047</x:v>
      </x:c>
      <x:c r="AJ19" s="68" t="n">
        <x:f>AG18*Assumptions!$G$21</x:f>
        <x:v>0.5901541655570947</x:v>
      </x:c>
      <x:c r="AK19" s="68" t="n">
        <x:f>AH18*Assumptions!$G$21</x:f>
        <x:v>0.6177384449218016</x:v>
      </x:c>
      <x:c r="AL19" s="68" t="n">
        <x:f>AI18*Assumptions!$G$21</x:f>
        <x:v>0.6467371305481479</x:v>
      </x:c>
      <x:c r="AM19" s="68" t="n">
        <x:f>AJ18*Assumptions!$G$21</x:f>
        <x:v>0.677221979505757</x:v>
      </x:c>
      <x:c r="AN19" s="68" t="n">
        <x:f>AK18*Assumptions!$G$21</x:f>
        <x:v>0.7092753372834503</x:v>
      </x:c>
      <x:c r="AO19" s="68" t="n">
        <x:f>AL18*Assumptions!$G$21</x:f>
        <x:v>0.7429860731431099</x:v>
      </x:c>
      <x:c r="AP19" s="68" t="n">
        <x:f>AM18*Assumptions!$G$21</x:f>
        <x:v>0.7784535993775147</x:v>
      </x:c>
      <x:c r="AQ19" s="68" t="n">
        <x:f>AN18*Assumptions!$G$21</x:f>
        <x:v>0.8157835101116524</x:v>
      </x:c>
      <x:c r="AR19" s="68" t="n">
        <x:f>AO18*Assumptions!$G$21</x:f>
        <x:v>0.8550893027372566</x:v>
      </x:c>
      <x:c r="AS19" s="68" t="n">
        <x:f>AP18*Assumptions!$G$21</x:f>
        <x:v>0.8964937950069441</x:v>
      </x:c>
      <x:c r="AT19" s="68" t="n">
        <x:f>AQ18*Assumptions!$G$21</x:f>
        <x:v>0.9401284741399494</x:v>
      </x:c>
      <x:c r="AU19" s="68" t="n">
        <x:f>AR18*Assumptions!$G$21</x:f>
        <x:v>0.9861356155123593</x:v>
      </x:c>
      <x:c r="AV19" s="68" t="n">
        <x:f>AS18*Assumptions!$G$21</x:f>
        <x:v>1.0346689608273452</x:v>
      </x:c>
      <x:c r="AW19" s="68" t="n">
        <x:f>AT18*Assumptions!$G$21</x:f>
        <x:v>1.0858942363981132</x:v>
      </x:c>
      <x:c r="AX19" s="68" t="n">
        <x:f>AU18*Assumptions!$G$21</x:f>
        <x:v>1.1399902558017667</x:v>
      </x:c>
      <x:c r="AY19" s="68" t="n">
        <x:f>AV18*Assumptions!$G$21</x:f>
        <x:v>1.1971501455682385</x:v>
      </x:c>
      <x:c r="AZ19" s="68" t="n">
        <x:f>AW18*Assumptions!$G$21</x:f>
        <x:v>1.2575826958185126</x:v>
      </x:c>
      <x:c r="BA19" s="68" t="n">
        <x:f>AX18*Assumptions!$G$21</x:f>
        <x:v>1.321513856312706</x:v>
      </x:c>
      <x:c r="BB19" s="68" t="n">
        <x:f>AY18*Assumptions!$G$21</x:f>
        <x:v>1.387734969752648</x:v>
      </x:c>
      <x:c r="BC19" s="68" t="n">
        <x:f>AZ18*Assumptions!$G$21</x:f>
        <x:v>1.4449741113784922</x:v>
      </x:c>
      <x:c r="BD19" s="68" t="n">
        <x:f>BA18*Assumptions!$G$21</x:f>
        <x:v>1.5045550901614535</x:v>
      </x:c>
      <x:c r="BE19" s="68" t="n">
        <x:f>BB18*Assumptions!$G$21</x:f>
        <x:v>1.5665739516371053</x:v>
      </x:c>
      <x:c r="BF19" s="68" t="n">
        <x:f>BC18*Assumptions!$G$21</x:f>
        <x:v>1.6311127542434825</x:v>
      </x:c>
      <x:c r="BG19" s="68" t="n">
        <x:f>BD18*Assumptions!$G$21</x:f>
        <x:v>1.6982608212104302</x:v>
      </x:c>
      <x:c r="BH19" s="68" t="n">
        <x:f>BE18*Assumptions!$G$21</x:f>
        <x:v>1.7681179407860201</x:v>
      </x:c>
      <x:c r="BI19" s="68" t="n">
        <x:f>BF18*Assumptions!$G$21</x:f>
        <x:v>1.8407834714422642</x:v>
      </x:c>
      <x:c r="BJ19" s="68" t="n">
        <x:f>BG18*Assumptions!$G$21</x:f>
        <x:v>1.9163660137787024</x:v>
      </x:c>
    </x:row>
    <x:row r="20">
      <x:c r="A20" t="str">
        <x:v>Churned Proof OS customers</x:v>
      </x:c>
      <x:c r="B20" t="str">
        <x:v>count</x:v>
      </x:c>
      <x:c r="C20" s="68" t="n">
        <x:f>0</x:f>
        <x:v>0</x:v>
      </x:c>
      <x:c r="D20" s="68" t="n">
        <x:f>C21*Assumptions!$G$35/12</x:f>
        <x:v>0</x:v>
      </x:c>
      <x:c r="E20" s="68" t="n">
        <x:f>D21*Assumptions!$G$35/12</x:f>
        <x:v>0</x:v>
      </x:c>
      <x:c r="F20" s="68" t="n">
        <x:f>E21*Assumptions!$G$35/12</x:f>
        <x:v>0</x:v>
      </x:c>
      <x:c r="G20" s="68" t="n">
        <x:f>F21*Assumptions!$G$35/12</x:f>
        <x:v>0</x:v>
      </x:c>
      <x:c r="H20" s="68" t="n">
        <x:f>G21*Assumptions!$G$35/12</x:f>
        <x:v>0</x:v>
      </x:c>
      <x:c r="I20" s="68" t="n">
        <x:f>H21*Assumptions!$G$35/12</x:f>
        <x:v>0</x:v>
      </x:c>
      <x:c r="J20" s="68" t="n">
        <x:f>I21*Assumptions!$G$35/12</x:f>
        <x:v>0</x:v>
      </x:c>
      <x:c r="K20" s="68" t="n">
        <x:f>J21*Assumptions!$G$35/12</x:f>
        <x:v>0.00054</x:v>
      </x:c>
      <x:c r="L20" s="68" t="n">
        <x:f>K21*Assumptions!$G$35/12</x:f>
        <x:v>0.0015204402777599998</x:v>
      </x:c>
      <x:c r="M20" s="68" t="n">
        <x:f>L21*Assumptions!$G$35/12</x:f>
        <x:v>0.0025573923346562037</x:v>
      </x:c>
      <x:c r="N20" s="68" t="n">
        <x:f>M21*Assumptions!$G$35/12</x:f>
        <x:v>0.003655448884823011</x:v>
      </x:c>
      <x:c r="O20" s="68" t="n">
        <x:f>N21*Assumptions!$G$35/12</x:f>
        <x:v>0.004819971900109662</x:v>
      </x:c>
      <x:c r="P20" s="68" t="n">
        <x:f>O21*Assumptions!$G$35/12</x:f>
        <x:v>0.006056172669870318</x:v>
      </x:c>
      <x:c r="Q20" s="68" t="n">
        <x:f>P21*Assumptions!$G$35/12</x:f>
        <x:v>0.007369463608686619</x:v>
      </x:c>
      <x:c r="R20" s="68" t="n">
        <x:f>Q21*Assumptions!$G$35/12</x:f>
        <x:v>0.008765560026425622</x:v>
      </x:c>
      <x:c r="S20" s="68" t="n">
        <x:f>R21*Assumptions!$G$35/12</x:f>
        <x:v>0.010250269558619232</x:v>
      </x:c>
      <x:c r="T20" s="68" t="n">
        <x:f>S21*Assumptions!$G$35/12</x:f>
        <x:v>0.011829748892687864</x:v>
      </x:c>
      <x:c r="U20" s="68" t="n">
        <x:f>T21*Assumptions!$G$35/12</x:f>
        <x:v>0.013510595334763049</x:v>
      </x:c>
      <x:c r="V20" s="68" t="n">
        <x:f>U21*Assumptions!$G$35/12</x:f>
        <x:v>0.01529990974032229</x:v>
      </x:c>
      <x:c r="W20" s="68" t="n">
        <x:f>V21*Assumptions!$G$35/12</x:f>
        <x:v>0.017205343879418477</x:v>
      </x:c>
      <x:c r="X20" s="68" t="n">
        <x:f>W21*Assumptions!$G$35/12</x:f>
        <x:v>0.019235050995403135</x:v>
      </x:c>
      <x:c r="Y20" s="68" t="n">
        <x:f>X21*Assumptions!$G$35/12</x:f>
        <x:v>0.021397750577996606</x:v>
      </x:c>
      <x:c r="Z20" s="68" t="n">
        <x:f>Y21*Assumptions!$G$35/12</x:f>
        <x:v>0.023702812230195578</x:v>
      </x:c>
      <x:c r="AA20" s="68" t="n">
        <x:f>Z21*Assumptions!$G$35/12</x:f>
        <x:v>0.026160309526862994</x:v>
      </x:c>
      <x:c r="AB20" s="68" t="n">
        <x:f>AA21*Assumptions!$G$35/12</x:f>
        <x:v>0.0287810788960965</x:v>
      </x:c>
      <x:c r="AC20" s="68" t="n">
        <x:f>AB21*Assumptions!$G$35/12</x:f>
        <x:v>0.03157678437804751</x:v>
      </x:c>
      <x:c r="AD20" s="68" t="n">
        <x:f>AC21*Assumptions!$G$35/12</x:f>
        <x:v>0.03455998877604035</x:v>
      </x:c>
      <x:c r="AE20" s="68" t="n">
        <x:f>AD21*Assumptions!$G$35/12</x:f>
        <x:v>0.03774423196823217</x:v>
      </x:c>
      <x:c r="AF20" s="68" t="n">
        <x:f>AE21*Assumptions!$G$35/12</x:f>
        <x:v>0.04114411727297342</x:v>
      </x:c>
      <x:c r="AG20" s="68" t="n">
        <x:f>AF21*Assumptions!$G$35/12</x:f>
        <x:v>0.04477540676392074</x:v>
      </x:c>
      <x:c r="AH20" s="68" t="n">
        <x:f>AG21*Assumptions!$G$35/12</x:f>
        <x:v>0.04865512662573936</x:v>
      </x:c>
      <x:c r="AI20" s="68" t="n">
        <x:f>AH21*Assumptions!$G$35/12</x:f>
        <x:v>0.0527412625087322</x:v>
      </x:c>
      <x:c r="AJ20" s="68" t="n">
        <x:f>AI21*Assumptions!$G$35/12</x:f>
        <x:v>0.05700114224593863</x:v>
      </x:c>
      <x:c r="AK20" s="68" t="n">
        <x:f>AJ21*Assumptions!$G$35/12</x:f>
        <x:v>0.06144408410686494</x:v>
      </x:c>
      <x:c r="AL20" s="68" t="n">
        <x:f>AK21*Assumptions!$G$35/12</x:f>
        <x:v>0.0660798704469894</x:v>
      </x:c>
      <x:c r="AM20" s="68" t="n">
        <x:f>AL21*Assumptions!$G$35/12</x:f>
        <x:v>0.07091868094783238</x:v>
      </x:c>
      <x:c r="AN20" s="68" t="n">
        <x:f>AM21*Assumptions!$G$35/12</x:f>
        <x:v>0.0759712084358151</x:v>
      </x:c>
      <x:c r="AO20" s="68" t="n">
        <x:f>AN21*Assumptions!$G$35/12</x:f>
        <x:v>0.08124874284287872</x:v>
      </x:c>
      <x:c r="AP20" s="68" t="n">
        <x:f>AO21*Assumptions!$G$35/12</x:f>
        <x:v>0.08676322059538065</x:v>
      </x:c>
      <x:c r="AQ20" s="68" t="n">
        <x:f>AP21*Assumptions!$G$35/12</x:f>
        <x:v>0.09252730708523177</x:v>
      </x:c>
      <x:c r="AR20" s="68" t="n">
        <x:f>AQ21*Assumptions!$G$35/12</x:f>
        <x:v>0.09855444211045193</x:v>
      </x:c>
      <x:c r="AS20" s="68" t="n">
        <x:f>AR21*Assumptions!$G$35/12</x:f>
        <x:v>0.10485889928234197</x:v>
      </x:c>
      <x:c r="AT20" s="68" t="n">
        <x:f>AS21*Assumptions!$G$35/12</x:f>
        <x:v>0.11145585674671366</x:v>
      </x:c>
      <x:c r="AU20" s="68" t="n">
        <x:f>AT21*Assumptions!$G$35/12</x:f>
        <x:v>0.1183614618916573</x:v>
      </x:c>
      <x:c r="AV20" s="68" t="n">
        <x:f>AU21*Assumptions!$G$35/12</x:f>
        <x:v>0.12559291317182983</x:v>
      </x:c>
      <x:c r="AW20" s="68" t="n">
        <x:f>AV21*Assumptions!$G$35/12</x:f>
        <x:v>0.13316854690229243</x:v>
      </x:c>
      <x:c r="AX20" s="68" t="n">
        <x:f>AW21*Assumptions!$G$35/12</x:f>
        <x:v>0.14110792764809094</x:v>
      </x:c>
      <x:c r="AY20" s="68" t="n">
        <x:f>AX21*Assumptions!$G$35/12</x:f>
        <x:v>0.14943194704937157</x:v>
      </x:c>
      <x:c r="AZ20" s="68" t="n">
        <x:f>AY21*Assumptions!$G$35/12</x:f>
        <x:v>0.15816293203702878</x:v>
      </x:c>
      <x:c r="BA20" s="68" t="n">
        <x:f>AZ21*Assumptions!$G$35/12</x:f>
        <x:v>0.1673247634018745</x:v>
      </x:c>
      <x:c r="BB20" s="68" t="n">
        <x:f>BA21*Assumptions!$G$35/12</x:f>
        <x:v>0.17694300584279807</x:v>
      </x:c>
      <x:c r="BC20" s="68" t="n">
        <x:f>BB21*Assumptions!$G$35/12</x:f>
        <x:v>0.18703293887538017</x:v>
      </x:c>
      <x:c r="BD20" s="68" t="n">
        <x:f>BC21*Assumptions!$G$35/12</x:f>
        <x:v>0.19751578197957276</x:v>
      </x:c>
      <x:c r="BE20" s="68" t="n">
        <x:f>BD21*Assumptions!$G$35/12</x:f>
        <x:v>0.20840777621442177</x:v>
      </x:c>
      <x:c r="BF20" s="68" t="n">
        <x:f>BE21*Assumptions!$G$35/12</x:f>
        <x:v>0.2197258276762775</x:v>
      </x:c>
      <x:c r="BG20" s="68" t="n">
        <x:f>BF21*Assumptions!$G$35/12</x:f>
        <x:v>0.23148738539767086</x:v>
      </x:c>
      <x:c r="BH20" s="68" t="n">
        <x:f>BG21*Assumptions!$G$35/12</x:f>
        <x:v>0.24371049736277717</x:v>
      </x:c>
      <x:c r="BI20" s="68" t="n">
        <x:f>BH21*Assumptions!$G$35/12</x:f>
        <x:v>0.25641389272463755</x:v>
      </x:c>
      <x:c r="BJ20" s="68" t="n">
        <x:f>BI21*Assumptions!$G$35/12</x:f>
        <x:v>0.2696169725472844</x:v>
      </x:c>
    </x:row>
    <x:row r="21">
      <x:c r="A21" t="str">
        <x:v>Active Proof OS customers</x:v>
      </x:c>
      <x:c r="B21" t="str">
        <x:v>count</x:v>
      </x:c>
      <x:c r="C21" s="68" t="n">
        <x:f>MAX(0,C19-C20)</x:f>
        <x:v>0</x:v>
      </x:c>
      <x:c r="D21" s="68" t="n">
        <x:f>MAX(0,C21+D19-D20)</x:f>
        <x:v>0</x:v>
      </x:c>
      <x:c r="E21" s="68" t="n">
        <x:f>MAX(0,D21+E19-E20)</x:f>
        <x:v>0</x:v>
      </x:c>
      <x:c r="F21" s="68" t="n">
        <x:f>MAX(0,E21+F19-F20)</x:f>
        <x:v>0</x:v>
      </x:c>
      <x:c r="G21" s="68" t="n">
        <x:f>MAX(0,F21+G19-G20)</x:f>
        <x:v>0</x:v>
      </x:c>
      <x:c r="H21" s="68" t="n">
        <x:f>MAX(0,G21+H19-H20)</x:f>
        <x:v>0</x:v>
      </x:c>
      <x:c r="I21" s="68" t="n">
        <x:f>MAX(0,H21+I19-I20)</x:f>
        <x:v>0</x:v>
      </x:c>
      <x:c r="J21" s="68" t="n">
        <x:f>MAX(0,I21+J19-J20)</x:f>
        <x:v>0.0648</x:v>
      </x:c>
      <x:c r="K21" s="68" t="n">
        <x:f>MAX(0,J21+K19-K20)</x:f>
        <x:v>0.18245283333119997</x:v>
      </x:c>
      <x:c r="L21" s="68" t="n">
        <x:f>MAX(0,K21+L19-L20)</x:f>
        <x:v>0.30688708015874444</x:v>
      </x:c>
      <x:c r="M21" s="68" t="n">
        <x:f>MAX(0,L21+M19-M20)</x:f>
        <x:v>0.4386538661787613</x:v>
      </x:c>
      <x:c r="N21" s="68" t="n">
        <x:f>MAX(0,M21+N19-N20)</x:f>
        <x:v>0.5783966280131594</x:v>
      </x:c>
      <x:c r="O21" s="68" t="n">
        <x:f>MAX(0,N21+O19-O20)</x:f>
        <x:v>0.7267407203844382</x:v>
      </x:c>
      <x:c r="P21" s="68" t="n">
        <x:f>MAX(0,O21+P19-P20)</x:f>
        <x:v>0.8843356330423943</x:v>
      </x:c>
      <x:c r="Q21" s="68" t="n">
        <x:f>MAX(0,P21+Q19-Q20)</x:f>
        <x:v>1.0518672031710745</x:v>
      </x:c>
      <x:c r="R21" s="68" t="n">
        <x:f>MAX(0,Q21+R19-R20)</x:f>
        <x:v>1.2300323470343077</x:v>
      </x:c>
      <x:c r="S21" s="68" t="n">
        <x:f>MAX(0,R21+S19-S20)</x:f>
        <x:v>1.4195698671225436</x:v>
      </x:c>
      <x:c r="T21" s="68" t="n">
        <x:f>MAX(0,S21+T19-T20)</x:f>
        <x:v>1.6212714401715658</x:v>
      </x:c>
      <x:c r="U21" s="68" t="n">
        <x:f>MAX(0,T21+U19-U20)</x:f>
        <x:v>1.8359891688386747</x:v>
      </x:c>
      <x:c r="V21" s="68" t="n">
        <x:f>MAX(0,U21+V19-V20)</x:f>
        <x:v>2.0646412655302173</x:v>
      </x:c>
      <x:c r="W21" s="68" t="n">
        <x:f>MAX(0,V21+W19-W20)</x:f>
        <x:v>2.308206119448376</x:v>
      </x:c>
      <x:c r="X21" s="68" t="n">
        <x:f>MAX(0,W21+X19-X20)</x:f>
        <x:v>2.567730069359593</x:v>
      </x:c>
      <x:c r="Y21" s="68" t="n">
        <x:f>MAX(0,X21+Y19-Y20)</x:f>
        <x:v>2.8443374676234696</x:v>
      </x:c>
      <x:c r="Z21" s="68" t="n">
        <x:f>MAX(0,Y21+Z19-Z20)</x:f>
        <x:v>3.1392371432235593</x:v>
      </x:c>
      <x:c r="AA21" s="68" t="n">
        <x:f>MAX(0,Z21+AA19-AA20)</x:f>
        <x:v>3.4537294675315797</x:v>
      </x:c>
      <x:c r="AB21" s="68" t="n">
        <x:f>MAX(0,AA21+AB19-AB20)</x:f>
        <x:v>3.789214125365701</x:v>
      </x:c>
      <x:c r="AC21" s="68" t="n">
        <x:f>MAX(0,AB21+AC19-AC20)</x:f>
        <x:v>4.147198653124842</x:v>
      </x:c>
      <x:c r="AD21" s="68" t="n">
        <x:f>MAX(0,AC21+AD19-AD20)</x:f>
        <x:v>4.5293078361878605</x:v>
      </x:c>
      <x:c r="AE21" s="68" t="n">
        <x:f>MAX(0,AD21+AE19-AE20)</x:f>
        <x:v>4.93729407275681</x:v>
      </x:c>
      <x:c r="AF21" s="68" t="n">
        <x:f>MAX(0,AE21+AF19-AF20)</x:f>
        <x:v>5.373048811670489</x:v>
      </x:c>
      <x:c r="AG21" s="68" t="n">
        <x:f>MAX(0,AF21+AG19-AG20)</x:f>
        <x:v>5.838615195088723</x:v>
      </x:c>
      <x:c r="AH21" s="68" t="n">
        <x:f>MAX(0,AG21+AH19-AH20)</x:f>
        <x:v>6.328951501047863</x:v>
      </x:c>
      <x:c r="AI21" s="68" t="n">
        <x:f>MAX(0,AH21+AI19-AI20)</x:f>
        <x:v>6.840137069512635</x:v>
      </x:c>
      <x:c r="AJ21" s="68" t="n">
        <x:f>MAX(0,AI21+AJ19-AJ20)</x:f>
        <x:v>7.373290092823791</x:v>
      </x:c>
      <x:c r="AK21" s="68" t="n">
        <x:f>MAX(0,AJ21+AK19-AK20)</x:f>
        <x:v>7.929584453638728</x:v>
      </x:c>
      <x:c r="AL21" s="68" t="n">
        <x:f>MAX(0,AK21+AL19-AL20)</x:f>
        <x:v>8.510241713739886</x:v>
      </x:c>
      <x:c r="AM21" s="68" t="n">
        <x:f>MAX(0,AL21+AM19-AM20)</x:f>
        <x:v>9.116545012297811</x:v>
      </x:c>
      <x:c r="AN21" s="68" t="n">
        <x:f>MAX(0,AM21+AN19-AN20)</x:f>
        <x:v>9.749849141145447</x:v>
      </x:c>
      <x:c r="AO21" s="68" t="n">
        <x:f>MAX(0,AN21+AO19-AO20)</x:f>
        <x:v>10.411586471445677</x:v>
      </x:c>
      <x:c r="AP21" s="68" t="n">
        <x:f>MAX(0,AO21+AP19-AP20)</x:f>
        <x:v>11.103276850227811</x:v>
      </x:c>
      <x:c r="AQ21" s="68" t="n">
        <x:f>MAX(0,AP21+AQ19-AQ20)</x:f>
        <x:v>11.82653305325423</x:v>
      </x:c>
      <x:c r="AR21" s="68" t="n">
        <x:f>MAX(0,AQ21+AR19-AR20)</x:f>
        <x:v>12.583067913881036</x:v>
      </x:c>
      <x:c r="AS21" s="68" t="n">
        <x:f>MAX(0,AR21+AS19-AS20)</x:f>
        <x:v>13.374702809605639</x:v>
      </x:c>
      <x:c r="AT21" s="68" t="n">
        <x:f>MAX(0,AS21+AT19-AT20)</x:f>
        <x:v>14.203375426998875</x:v>
      </x:c>
      <x:c r="AU21" s="68" t="n">
        <x:f>MAX(0,AT21+AU19-AU20)</x:f>
        <x:v>15.071149580619577</x:v>
      </x:c>
      <x:c r="AV21" s="68" t="n">
        <x:f>MAX(0,AU21+AV19-AV20)</x:f>
        <x:v>15.980225628275093</x:v>
      </x:c>
      <x:c r="AW21" s="68" t="n">
        <x:f>MAX(0,AV21+AW19-AW20)</x:f>
        <x:v>16.93295131777091</x:v>
      </x:c>
      <x:c r="AX21" s="68" t="n">
        <x:f>MAX(0,AW21+AX19-AX20)</x:f>
        <x:v>17.931833645924588</x:v>
      </x:c>
      <x:c r="AY21" s="68" t="n">
        <x:f>MAX(0,AX21+AY19-AY20)</x:f>
        <x:v>18.979551844443453</x:v>
      </x:c>
      <x:c r="AZ21" s="68" t="n">
        <x:f>MAX(0,AY21+AZ19-AZ20)</x:f>
        <x:v>20.078971608224936</x:v>
      </x:c>
      <x:c r="BA21" s="68" t="n">
        <x:f>MAX(0,AZ21+BA19-BA20)</x:f>
        <x:v>21.233160701135766</x:v>
      </x:c>
      <x:c r="BB21" s="68" t="n">
        <x:f>MAX(0,BA21+BB19-BB20)</x:f>
        <x:v>22.443952665045618</x:v>
      </x:c>
      <x:c r="BC21" s="68" t="n">
        <x:f>MAX(0,BB21+BC19-BC20)</x:f>
        <x:v>23.70189383754873</x:v>
      </x:c>
      <x:c r="BD21" s="68" t="n">
        <x:f>MAX(0,BC21+BD19-BD20)</x:f>
        <x:v>25.008933145730612</x:v>
      </x:c>
      <x:c r="BE21" s="68" t="n">
        <x:f>MAX(0,BD21+BE19-BE20)</x:f>
        <x:v>26.367099321153297</x:v>
      </x:c>
      <x:c r="BF21" s="68" t="n">
        <x:f>MAX(0,BE21+BF19-BF20)</x:f>
        <x:v>27.7784862477205</x:v>
      </x:c>
      <x:c r="BG21" s="68" t="n">
        <x:f>MAX(0,BF21+BG19-BG20)</x:f>
        <x:v>29.24525968353326</x:v>
      </x:c>
      <x:c r="BH21" s="68" t="n">
        <x:f>MAX(0,BG21+BH19-BH20)</x:f>
        <x:v>30.769667126956502</x:v>
      </x:c>
      <x:c r="BI21" s="68" t="n">
        <x:f>MAX(0,BH21+BI19-BI20)</x:f>
        <x:v>32.354036705674126</x:v>
      </x:c>
      <x:c r="BJ21" s="68" t="n">
        <x:f>MAX(0,BI21+BJ19-BJ20)</x:f>
        <x:v>34.00078574690554</x:v>
      </x:c>
    </x:row>
    <x:row r="23">
      <x:c r="A23" s="3" t="str">
        <x:v>Revenue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  <x:c r="BG23" s="3"/>
      <x:c r="BH23" s="3"/>
      <x:c r="BI23" s="3"/>
      <x:c r="BJ23" s="3"/>
    </x:row>
    <x:row r="24">
      <x:c r="A24" t="str">
        <x:v>Private MasterClass revenue</x:v>
      </x:c>
      <x:c r="B24" t="str">
        <x:v>$</x:v>
      </x:c>
      <x:c r="C24" s="62" t="n">
        <x:f>C13*Assumptions!$G$28*C98</x:f>
        <x:v>0</x:v>
      </x:c>
      <x:c r="D24" s="62" t="n">
        <x:f>D13*Assumptions!$G$28*D98</x:f>
        <x:v>28000.000000000004</x:v>
      </x:c>
      <x:c r="E24" s="62" t="n">
        <x:f>E13*Assumptions!$G$28*E98</x:f>
        <x:v>29820.000000000004</x:v>
      </x:c>
      <x:c r="F24" s="62" t="n">
        <x:f>F13*Assumptions!$G$28*F98</x:f>
        <x:v>31758.300000000007</x:v>
      </x:c>
      <x:c r="G24" s="62" t="n">
        <x:f>G13*Assumptions!$G$28*G98</x:f>
        <x:v>33856.458300000006</x:v>
      </x:c>
      <x:c r="H24" s="62" t="n">
        <x:f>H13*Assumptions!$G$28*H98</x:f>
        <x:v>36116.70207172111</x:v>
      </x:c>
      <x:c r="I24" s="62" t="n">
        <x:f>I13*Assumptions!$G$28*I98</x:f>
        <x:v>38534.06378631899</x:v>
      </x:c>
      <x:c r="J24" s="62" t="n">
        <x:f>J13*Assumptions!$G$28*J98</x:f>
        <x:v>41127.19893655513</x:v>
      </x:c>
      <x:c r="K24" s="62" t="n">
        <x:f>K13*Assumptions!$G$28*K98</x:f>
        <x:v>43897.30522134508</x:v>
      </x:c>
      <x:c r="L24" s="62" t="n">
        <x:f>L13*Assumptions!$G$28*L98</x:f>
        <x:v>46847.742858083155</x:v>
      </x:c>
      <x:c r="M24" s="62" t="n">
        <x:f>M13*Assumptions!$G$28*M98</x:f>
        <x:v>49990.32095311423</x:v>
      </x:c>
      <x:c r="N24" s="62" t="n">
        <x:f>N13*Assumptions!$G$28*N98</x:f>
        <x:v>53337.61395709106</x:v>
      </x:c>
      <x:c r="O24" s="62" t="n">
        <x:f>O13*Assumptions!$G$28*O98</x:f>
        <x:v>58613.422757668326</x:v>
      </x:c>
      <x:c r="P24" s="62" t="n">
        <x:f>P13*Assumptions!$G$28*P98</x:f>
        <x:v>62531.13496234149</x:v>
      </x:c>
      <x:c r="Q24" s="62" t="n">
        <x:f>Q13*Assumptions!$G$28*Q98</x:f>
        <x:v>66704.12257231376</x:v>
      </x:c>
      <x:c r="R24" s="62" t="n">
        <x:f>R13*Assumptions!$G$28*R98</x:f>
        <x:v>71149.0318915948</x:v>
      </x:c>
      <x:c r="S24" s="62" t="n">
        <x:f>S13*Assumptions!$G$28*S98</x:f>
        <x:v>75883.60058216206</x:v>
      </x:c>
      <x:c r="T24" s="62" t="n">
        <x:f>T13*Assumptions!$G$28*T98</x:f>
        <x:v>80926.71924207403</x:v>
      </x:c>
      <x:c r="U24" s="62" t="n">
        <x:f>U13*Assumptions!$G$28*U98</x:f>
        <x:v>86298.51165552666</x:v>
      </x:c>
      <x:c r="V24" s="62" t="n">
        <x:f>V13*Assumptions!$G$28*V98</x:f>
        <x:v>92020.41723029743</x:v>
      </x:c>
      <x:c r="W24" s="62" t="n">
        <x:f>W13*Assumptions!$G$28*W98</x:f>
        <x:v>98115.2747543976</x:v>
      </x:c>
      <x:c r="X24" s="62" t="n">
        <x:f>X13*Assumptions!$G$28*X98</x:f>
        <x:v>104607.41737900524</x:v>
      </x:c>
      <x:c r="Y24" s="62" t="n">
        <x:f>Y13*Assumptions!$G$28*Y98</x:f>
        <x:v>111522.77243358713</x:v>
      </x:c>
      <x:c r="Z24" s="62" t="n">
        <x:f>Z13*Assumptions!$G$28*Z98</x:f>
        <x:v>118888.96697368605</x:v>
      </x:c>
      <x:c r="AA24" s="62" t="n">
        <x:f>AA13*Assumptions!$G$28*AA98</x:f>
        <x:v>130537.50352718422</x:v>
      </x:c>
      <x:c r="AB24" s="62" t="n">
        <x:f>AB13*Assumptions!$G$28*AB98</x:f>
        <x:v>135985.45074127632</x:v>
      </x:c>
      <x:c r="AC24" s="62" t="n">
        <x:f>AC13*Assumptions!$G$28*AC98</x:f>
        <x:v>141662.93496472345</x:v>
      </x:c>
      <x:c r="AD24" s="62" t="n">
        <x:f>AD13*Assumptions!$G$28*AD98</x:f>
        <x:v>147580.02283450437</x:v>
      </x:c>
      <x:c r="AE24" s="62" t="n">
        <x:f>AE13*Assumptions!$G$28*AE98</x:f>
        <x:v>153743.24117217306</x:v>
      </x:c>
      <x:c r="AF24" s="62" t="n">
        <x:f>AF13*Assumptions!$G$28*AF98</x:f>
        <x:v>160160.11228277255</x:v>
      </x:c>
      <x:c r="AG24" s="62" t="n">
        <x:f>AG13*Assumptions!$G$28*AG98</x:f>
        <x:v>166840.14432188115</x:v>
      </x:c>
      <x:c r="AH24" s="62" t="n">
        <x:f>AH13*Assumptions!$G$28*AH98</x:f>
        <x:v>173792.1773361886</x:v>
      </x:c>
      <x:c r="AI24" s="62" t="n">
        <x:f>AI13*Assumptions!$G$28*AI98</x:f>
        <x:v>181026.49304126407</x:v>
      </x:c>
      <x:c r="AJ24" s="62" t="n">
        <x:f>AJ13*Assumptions!$G$28*AJ98</x:f>
        <x:v>188554.71336559873</x:v>
      </x:c>
      <x:c r="AK24" s="62" t="n">
        <x:f>AK13*Assumptions!$G$28*AK98</x:f>
        <x:v>196388.94472716737</x:v>
      </x:c>
      <x:c r="AL24" s="62" t="n">
        <x:f>AL13*Assumptions!$G$28*AL98</x:f>
        <x:v>204541.7998066698</x:v>
      </x:c>
      <x:c r="AM24" s="62" t="n">
        <x:f>AM13*Assumptions!$G$28*AM98</x:f>
        <x:v>219416.82076947956</x:v>
      </x:c>
      <x:c r="AN24" s="62" t="n">
        <x:f>AN13*Assumptions!$G$28*AN98</x:f>
        <x:v>228510.68204528344</x:v>
      </x:c>
      <x:c r="AO24" s="62" t="n">
        <x:f>AO13*Assumptions!$G$28*AO98</x:f>
        <x:v>237974.2717746136</x:v>
      </x:c>
      <x:c r="AP24" s="62" t="n">
        <x:f>AP13*Assumptions!$G$28*AP98</x:f>
        <x:v>247822.84731086902</x:v>
      </x:c>
      <x:c r="AQ24" s="62" t="n">
        <x:f>AQ13*Assumptions!$G$28*AQ98</x:f>
        <x:v>258072.31676552817</x:v>
      </x:c>
      <x:c r="AR24" s="62" t="n">
        <x:f>AR13*Assumptions!$G$28*AR98</x:f>
        <x:v>268739.2703454149</x:v>
      </x:c>
      <x:c r="AS24" s="62" t="n">
        <x:f>AS13*Assumptions!$G$28*AS98</x:f>
        <x:v>279841.0128755227</x:v>
      </x:c>
      <x:c r="AT24" s="62" t="n">
        <x:f>AT13*Assumptions!$G$28*AT98</x:f>
        <x:v>291395.59752723004</x:v>
      </x:c>
      <x:c r="AU24" s="62" t="n">
        <x:f>AU13*Assumptions!$G$28*AU98</x:f>
        <x:v>303421.8618237755</x:v>
      </x:c>
      <x:c r="AV24" s="62" t="n">
        <x:f>AV13*Assumptions!$G$28*AV98</x:f>
        <x:v>315939.4652800522</x:v>
      </x:c>
      <x:c r="AW24" s="62" t="n">
        <x:f>AW13*Assumptions!$G$28*AW98</x:f>
        <x:v>328968.9291909192</x:v>
      </x:c>
      <x:c r="AX24" s="62" t="n">
        <x:f>AX13*Assumptions!$G$28*AX98</x:f>
        <x:v>342531.67880223517</x:v>
      </x:c>
      <x:c r="AY24" s="62" t="n">
        <x:f>AY13*Assumptions!$G$28*AY98</x:f>
        <x:v>367348.7355668161</x:v>
      </x:c>
      <x:c r="AZ24" s="62" t="n">
        <x:f>AZ13*Assumptions!$G$28*AZ98</x:f>
        <x:v>382477.7451288492</x:v>
      </x:c>
      <x:c r="BA24" s="62" t="n">
        <x:f>BA13*Assumptions!$G$28*BA98</x:f>
        <x:v>398218.3998437102</x:v>
      </x:c>
      <x:c r="BB24" s="62" t="n">
        <x:f>BB13*Assumptions!$G$28*BB98</x:f>
        <x:v>414593.1371306632</x:v>
      </x:c>
      <x:c r="BC24" s="62" t="n">
        <x:f>BC13*Assumptions!$G$28*BC98</x:f>
        <x:v>431625.20953160105</x:v>
      </x:c>
      <x:c r="BD24" s="62" t="n">
        <x:f>BD13*Assumptions!$G$28*BD98</x:f>
        <x:v>449340.99706444</x:v>
      </x:c>
      <x:c r="BE24" s="62" t="n">
        <x:f>BE13*Assumptions!$G$28*BE98</x:f>
        <x:v>467767.9348409</x:v>
      </x:c>
      <x:c r="BF24" s="62" t="n">
        <x:f>BF13*Assumptions!$G$28*BF98</x:f>
        <x:v>486934.550513391</x:v>
      </x:c>
      <x:c r="BG24" s="62" t="n">
        <x:f>BG13*Assumptions!$G$28*BG98</x:f>
        <x:v>506870.4315137593</x:v>
      </x:c>
      <x:c r="BH24" s="62" t="n">
        <x:f>BH13*Assumptions!$G$28*BH98</x:f>
        <x:v>527605.7048022198</x:v>
      </x:c>
      <x:c r="BI24" s="62" t="n">
        <x:f>BI13*Assumptions!$G$28*BI98</x:f>
        <x:v>549172.3600621445</x:v>
      </x:c>
      <x:c r="BJ24" s="62" t="n">
        <x:f>BJ13*Assumptions!$G$28*BJ98</x:f>
        <x:v>571603.6661515405</x:v>
      </x:c>
    </x:row>
    <x:row r="25">
      <x:c r="A25" t="str">
        <x:v>Proof Diagnostic revenue</x:v>
      </x:c>
      <x:c r="B25" t="str">
        <x:v>$</x:v>
      </x:c>
      <x:c r="C25" s="62" t="n">
        <x:f>C14*Assumptions!$G$29*C98</x:f>
        <x:v>0</x:v>
      </x:c>
      <x:c r="D25" s="62" t="n">
        <x:f>D14*Assumptions!$G$29*D98</x:f>
        <x:v>12000</x:v>
      </x:c>
      <x:c r="E25" s="62" t="n">
        <x:f>E14*Assumptions!$G$29*E98</x:f>
        <x:v>21880</x:v>
      </x:c>
      <x:c r="F25" s="62" t="n">
        <x:f>F14*Assumptions!$G$29*F98</x:f>
        <x:v>23302.2</x:v>
      </x:c>
      <x:c r="G25" s="62" t="n">
        <x:f>G14*Assumptions!$G$29*G98</x:f>
        <x:v>24831.358200000002</x:v>
      </x:c>
      <x:c r="H25" s="62" t="n">
        <x:f>H14*Assumptions!$G$29*H98</x:f>
        <x:v>26481.935549666192</x:v>
      </x:c>
      <x:c r="I25" s="62" t="n">
        <x:f>I14*Assumptions!$G$29*I98</x:f>
        <x:v>28252.526938874646</x:v>
      </x:c>
      <x:c r="J25" s="62" t="n">
        <x:f>J14*Assumptions!$G$29*J98</x:f>
        <x:v>30149.513131934436</x:v>
      </x:c>
      <x:c r="K25" s="62" t="n">
        <x:f>K14*Assumptions!$G$29*K98</x:f>
        <x:v>32179.470463528305</x:v>
      </x:c>
      <x:c r="L25" s="62" t="n">
        <x:f>L14*Assumptions!$G$29*L98</x:f>
        <x:v>34344.22827897279</x:v>
      </x:c>
      <x:c r="M25" s="62" t="n">
        <x:f>M14*Assumptions!$G$29*M98</x:f>
        <x:v>36649.9396944974</x:v>
      </x:c>
      <x:c r="N25" s="62" t="n">
        <x:f>N14*Assumptions!$G$29*N98</x:f>
        <x:v>39105.831719944006</x:v>
      </x:c>
      <x:c r="O25" s="62" t="n">
        <x:f>O14*Assumptions!$G$29*O98</x:f>
        <x:v>42974.80459685123</x:v>
      </x:c>
      <x:c r="P25" s="62" t="n">
        <x:f>P14*Assumptions!$G$29*P98</x:f>
        <x:v>45848.4202372457</x:v>
      </x:c>
      <x:c r="Q25" s="62" t="n">
        <x:f>Q14*Assumptions!$G$29*Q98</x:f>
        <x:v>48910.09996518116</x:v>
      </x:c>
      <x:c r="R25" s="62" t="n">
        <x:f>R14*Assumptions!$G$29*R98</x:f>
        <x:v>52171.28207525688</x:v>
      </x:c>
      <x:c r="S25" s="62" t="n">
        <x:f>S14*Assumptions!$G$29*S98</x:f>
        <x:v>55644.978471409195</x:v>
      </x:c>
      <x:c r="T25" s="62" t="n">
        <x:f>T14*Assumptions!$G$29*T98</x:f>
        <x:v>59345.04986437726</x:v>
      </x:c>
      <x:c r="U25" s="62" t="n">
        <x:f>U14*Assumptions!$G$29*U98</x:f>
        <x:v>63286.26017747119</x:v>
      </x:c>
      <x:c r="V25" s="62" t="n">
        <x:f>V14*Assumptions!$G$29*V98</x:f>
        <x:v>67484.33795817364</x:v>
      </x:c>
      <x:c r="W25" s="62" t="n">
        <x:f>W14*Assumptions!$G$29*W98</x:f>
        <x:v>71956.03906601705</x:v>
      </x:c>
      <x:c r="X25" s="62" t="n">
        <x:f>X14*Assumptions!$G$29*X98</x:f>
        <x:v>76719.21460046717</x:v>
      </x:c>
      <x:c r="Y25" s="62" t="n">
        <x:f>Y14*Assumptions!$G$29*Y98</x:f>
        <x:v>81792.88454828547</x:v>
      </x:c>
      <x:c r="Z25" s="62" t="n">
        <x:f>Z14*Assumptions!$G$29*Z98</x:f>
        <x:v>87197.31545820984</x:v>
      </x:c>
      <x:c r="AA25" s="62" t="n">
        <x:f>AA14*Assumptions!$G$29*AA98</x:f>
        <x:v>95742.72606323463</x:v>
      </x:c>
      <x:c r="AB25" s="62" t="n">
        <x:f>AB14*Assumptions!$G$29*AB98</x:f>
        <x:v>100704.16753545328</x:v>
      </x:c>
      <x:c r="AC25" s="62" t="n">
        <x:f>AC14*Assumptions!$G$29*AC98</x:f>
        <x:v>104907.95790436771</x:v>
      </x:c>
      <x:c r="AD25" s="62" t="n">
        <x:f>AD14*Assumptions!$G$29*AD98</x:f>
        <x:v>109289.0350783227</x:v>
      </x:c>
      <x:c r="AE25" s="62" t="n">
        <x:f>AE14*Assumptions!$G$29*AE98</x:f>
        <x:v>113853.4679235738</x:v>
      </x:c>
      <x:c r="AF25" s="62" t="n">
        <x:f>AF14*Assumptions!$G$29*AF98</x:f>
        <x:v>118606.60150214448</x:v>
      </x:c>
      <x:c r="AG25" s="62" t="n">
        <x:f>AG14*Assumptions!$G$29*AG98</x:f>
        <x:v>123554.955486993</x:v>
      </x:c>
      <x:c r="AH25" s="62" t="n">
        <x:f>AH14*Assumptions!$G$29*AH98</x:f>
        <x:v>128705.40862012077</x:v>
      </x:c>
      <x:c r="AI25" s="62" t="n">
        <x:f>AI14*Assumptions!$G$29*AI98</x:f>
        <x:v>134065.2403662316</x:v>
      </x:c>
      <x:c r="AJ25" s="62" t="n">
        <x:f>AJ14*Assumptions!$G$29*AJ98</x:f>
        <x:v>139642.7731093817</x:v>
      </x:c>
      <x:c r="AK25" s="62" t="n">
        <x:f>AK14*Assumptions!$G$29*AK98</x:f>
        <x:v>145446.97244117703</x:v>
      </x:c>
      <x:c r="AL25" s="62" t="n">
        <x:f>AL14*Assumptions!$G$29*AL98</x:f>
        <x:v>151487.178382045</x:v>
      </x:c>
      <x:c r="AM25" s="62" t="n">
        <x:f>AM14*Assumptions!$G$29*AM98</x:f>
        <x:v>162506.14781505964</x:v>
      </x:c>
      <x:c r="AN25" s="62" t="n">
        <x:f>AN14*Assumptions!$G$29*AN98</x:f>
        <x:v>169243.6161980595</x:v>
      </x:c>
      <x:c r="AO25" s="62" t="n">
        <x:f>AO14*Assumptions!$G$29*AO98</x:f>
        <x:v>176254.94528240868</x:v>
      </x:c>
      <x:c r="AP25" s="62" t="n">
        <x:f>AP14*Assumptions!$G$29*AP98</x:f>
        <x:v>183551.43003140757</x:v>
      </x:c>
      <x:c r="AQ25" s="62" t="n">
        <x:f>AQ14*Assumptions!$G$29*AQ98</x:f>
        <x:v>191144.84684697303</x:v>
      </x:c>
      <x:c r="AR25" s="62" t="n">
        <x:f>AR14*Assumptions!$G$29*AR98</x:f>
        <x:v>199047.47595397444</x:v>
      </x:c>
      <x:c r="AS25" s="62" t="n">
        <x:f>AS14*Assumptions!$G$29*AS98</x:f>
        <x:v>207272.1255231981</x:v>
      </x:c>
      <x:c r="AT25" s="62" t="n">
        <x:f>AT14*Assumptions!$G$29*AT98</x:f>
        <x:v>215832.1566962149</x:v>
      </x:c>
      <x:c r="AU25" s="62" t="n">
        <x:f>AU14*Assumptions!$G$29*AU98</x:f>
        <x:v>224741.5099779678</x:v>
      </x:c>
      <x:c r="AV25" s="62" t="n">
        <x:f>AV14*Assumptions!$G$29*AV98</x:f>
        <x:v>234014.73306989227</x:v>
      </x:c>
      <x:c r="AW25" s="62" t="n">
        <x:f>AW14*Assumptions!$G$29*AW98</x:f>
        <x:v>243667.01015498236</x:v>
      </x:c>
      <x:c r="AX25" s="62" t="n">
        <x:f>AX14*Assumptions!$G$29*AX98</x:f>
        <x:v>253714.1929022924</x:v>
      </x:c>
      <x:c r="AY25" s="62" t="n">
        <x:f>AY14*Assumptions!$G$29*AY98</x:f>
        <x:v>272097.6518648265</x:v>
      </x:c>
      <x:c r="AZ25" s="62" t="n">
        <x:f>AZ14*Assumptions!$G$29*AZ98</x:f>
        <x:v>283307.37268586486</x:v>
      </x:c>
      <x:c r="BA25" s="62" t="n">
        <x:f>BA14*Assumptions!$G$29*BA98</x:f>
        <x:v>294970.2956713232</x:v>
      </x:c>
      <x:c r="BB25" s="62" t="n">
        <x:f>BB14*Assumptions!$G$29*BB98</x:f>
        <x:v>307103.75300520426</x:v>
      </x:c>
      <x:c r="BC25" s="62" t="n">
        <x:f>BC14*Assumptions!$G$29*BC98</x:f>
        <x:v>319725.002223866</x:v>
      </x:c>
      <x:c r="BD25" s="62" t="n">
        <x:f>BD14*Assumptions!$G$29*BD98</x:f>
        <x:v>332852.90612538747</x:v>
      </x:c>
      <x:c r="BE25" s="62" t="n">
        <x:f>BE14*Assumptions!$G$29*BE98</x:f>
        <x:v>346507.79612061445</x:v>
      </x:c>
      <x:c r="BF25" s="62" t="n">
        <x:f>BF14*Assumptions!$G$29*BF98</x:f>
        <x:v>360710.8147576029</x:v>
      </x:c>
      <x:c r="BG25" s="62" t="n">
        <x:f>BG14*Assumptions!$G$29*BG98</x:f>
        <x:v>375483.91385132034</x:v>
      </x:c>
      <x:c r="BH25" s="62" t="n">
        <x:f>BH14*Assumptions!$G$29*BH98</x:f>
        <x:v>390849.6208714945</x:v>
      </x:c>
      <x:c r="BI25" s="62" t="n">
        <x:f>BI14*Assumptions!$G$29*BI98</x:f>
        <x:v>406831.4369444976</x:v>
      </x:c>
      <x:c r="BJ25" s="62" t="n">
        <x:f>BJ14*Assumptions!$G$29*BJ98</x:f>
        <x:v>423454.0167994286</x:v>
      </x:c>
    </x:row>
    <x:row r="26">
      <x:c r="A26" t="str">
        <x:v>Proof Mission Sprint revenue</x:v>
      </x:c>
      <x:c r="B26" t="str">
        <x:v>$</x:v>
      </x:c>
      <x:c r="C26" s="62" t="n">
        <x:f>C16*Assumptions!$G$30*C98</x:f>
        <x:v>0</x:v>
      </x:c>
      <x:c r="D26" s="62" t="n">
        <x:f>D16*Assumptions!$G$30*D98</x:f>
        <x:v>0</x:v>
      </x:c>
      <x:c r="E26" s="62" t="n">
        <x:f>E16*Assumptions!$G$30*E98</x:f>
        <x:v>24000</x:v>
      </x:c>
      <x:c r="F26" s="62" t="n">
        <x:f>F16*Assumptions!$G$30*F98</x:f>
        <x:v>43775.123456</x:v>
      </x:c>
      <x:c r="G26" s="62" t="n">
        <x:f>G16*Assumptions!$G$30*G98</x:f>
        <x:v>46649.88411307574</x:v>
      </x:c>
      <x:c r="H26" s="62" t="n">
        <x:f>H16*Assumptions!$G$30*H98</x:f>
        <x:v>49749.69568691594</x:v>
      </x:c>
      <x:c r="I26" s="62" t="n">
        <x:f>I16*Assumptions!$G$30*I98</x:f>
        <x:v>53110.448414526356</x:v>
      </x:c>
      <x:c r="J26" s="62" t="n">
        <x:f>J16*Assumptions!$G$30*J98</x:f>
        <x:v>56727.431211625335</x:v>
      </x:c>
      <x:c r="K26" s="62" t="n">
        <x:f>K16*Assumptions!$G$30*K98</x:f>
        <x:v>60611.51308438017</x:v>
      </x:c>
      <x:c r="L26" s="62" t="n">
        <x:f>L16*Assumptions!$G$30*L98</x:f>
        <x:v>64778.16064346917</x:v>
      </x:c>
      <x:c r="M26" s="62" t="n">
        <x:f>M16*Assumptions!$G$30*M98</x:f>
        <x:v>69233.594033207</x:v>
      </x:c>
      <x:c r="N26" s="62" t="n">
        <x:f>N16*Assumptions!$G$30*N98</x:f>
        <x:v>73995.4776469834</x:v>
      </x:c>
      <x:c r="O26" s="62" t="n">
        <x:f>O16*Assumptions!$G$30*O98</x:f>
        <x:v>81458.24503702276</x:v>
      </x:c>
      <x:c r="P26" s="62" t="n">
        <x:f>P16*Assumptions!$G$30*P98</x:f>
        <x:v>87064.87915626964</x:v>
      </x:c>
      <x:c r="Q26" s="62" t="n">
        <x:f>Q16*Assumptions!$G$30*Q98</x:f>
        <x:v>93063.17282400782</x:v>
      </x:c>
      <x:c r="R26" s="62" t="n">
        <x:f>R16*Assumptions!$G$30*R98</x:f>
        <x:v>99479.00138203858</x:v>
      </x:c>
      <x:c r="S26" s="62" t="n">
        <x:f>S16*Assumptions!$G$30*S98</x:f>
        <x:v>106341.396642155</x:v>
      </x:c>
      <x:c r="T26" s="62" t="n">
        <x:f>T16*Assumptions!$G$30*T98</x:f>
        <x:v>113683.44566930718</x:v>
      </x:c>
      <x:c r="U26" s="62" t="n">
        <x:f>U16*Assumptions!$G$30*U98</x:f>
        <x:v>121540.94906118287</x:v>
      </x:c>
      <x:c r="V26" s="62" t="n">
        <x:f>V16*Assumptions!$G$30*V98</x:f>
        <x:v>129952.67142590006</x:v>
      </x:c>
      <x:c r="W26" s="62" t="n">
        <x:f>W16*Assumptions!$G$30*W98</x:f>
        <x:v>138960.6329007868</x:v>
      </x:c>
      <x:c r="X26" s="62" t="n">
        <x:f>X16*Assumptions!$G$30*X98</x:f>
        <x:v>148610.42648196442</x:v>
      </x:c>
      <x:c r="Y26" s="62" t="n">
        <x:f>Y16*Assumptions!$G$30*Y98</x:f>
        <x:v>158951.57296082613</x:v>
      </x:c>
      <x:c r="Z26" s="62" t="n">
        <x:f>Z16*Assumptions!$G$30*Z98</x:f>
        <x:v>170037.91947899899</x:v>
      </x:c>
      <x:c r="AA26" s="62" t="n">
        <x:f>AA16*Assumptions!$G$30*AA98</x:f>
        <x:v>187385.9246401555</x:v>
      </x:c>
      <x:c r="AB26" s="62" t="n">
        <x:f>AB16*Assumptions!$G$30*AB98</x:f>
        <x:v>200526.52044601768</x:v>
      </x:c>
      <x:c r="AC26" s="62" t="n">
        <x:f>AC16*Assumptions!$G$30*AC98</x:f>
        <x:v>211783.707714555</x:v>
      </x:c>
      <x:c r="AD26" s="62" t="n">
        <x:f>AD16*Assumptions!$G$30*AD98</x:f>
        <x:v>221581.4722147374</x:v>
      </x:c>
      <x:c r="AE26" s="62" t="n">
        <x:f>AE16*Assumptions!$G$30*AE98</x:f>
        <x:v>231886.87194056358</x:v>
      </x:c>
      <x:c r="AF26" s="62" t="n">
        <x:f>AF16*Assumptions!$G$30*AF98</x:f>
        <x:v>242725.4504509405</x:v>
      </x:c>
      <x:c r="AG26" s="62" t="n">
        <x:f>AG16*Assumptions!$G$30*AG98</x:f>
        <x:v>254119.78585130745</x:v>
      </x:c>
      <x:c r="AH26" s="62" t="n">
        <x:f>AH16*Assumptions!$G$30*AH98</x:f>
        <x:v>266098.073354688</x:v>
      </x:c>
      <x:c r="AI26" s="62" t="n">
        <x:f>AI16*Assumptions!$G$30*AI98</x:f>
        <x:v>278692.6686385231</x:v>
      </x:c>
      <x:c r="AJ26" s="62" t="n">
        <x:f>AJ16*Assumptions!$G$30*AJ98</x:f>
        <x:v>291938.4907398242</x:v>
      </x:c>
      <x:c r="AK26" s="62" t="n">
        <x:f>AK16*Assumptions!$G$30*AK98</x:f>
        <x:v>305874.6013257798</x:v>
      </x:c>
      <x:c r="AL26" s="62" t="n">
        <x:f>AL16*Assumptions!$G$30*AL98</x:f>
        <x:v>320542.49106572295</x:v>
      </x:c>
      <x:c r="AM26" s="62" t="n">
        <x:f>AM16*Assumptions!$G$30*AM98</x:f>
        <x:v>346066.3587082127</x:v>
      </x:c>
      <x:c r="AN26" s="62" t="n">
        <x:f>AN16*Assumptions!$G$30*AN98</x:f>
        <x:v>362823.3241246493</x:v>
      </x:c>
      <x:c r="AO26" s="62" t="n">
        <x:f>AO16*Assumptions!$G$30*AO98</x:f>
        <x:v>380482.8767264906</x:v>
      </x:c>
      <x:c r="AP26" s="62" t="n">
        <x:f>AP16*Assumptions!$G$30*AP98</x:f>
        <x:v>399102.59730813844</x:v>
      </x:c>
      <x:c r="AQ26" s="62" t="n">
        <x:f>AQ16*Assumptions!$G$30*AQ98</x:f>
        <x:v>418744.70724369725</x:v>
      </x:c>
      <x:c r="AR26" s="62" t="n">
        <x:f>AR16*Assumptions!$G$30*AR98</x:f>
        <x:v>439476.27824318566</x:v>
      </x:c>
      <x:c r="AS26" s="62" t="n">
        <x:f>AS16*Assumptions!$G$30*AS98</x:f>
        <x:v>461369.67861166556</x:v>
      </x:c>
      <x:c r="AT26" s="62" t="n">
        <x:f>AT16*Assumptions!$G$30*AT98</x:f>
        <x:v>484503.0693023499</x:v>
      </x:c>
      <x:c r="AU26" s="62" t="n">
        <x:f>AU16*Assumptions!$G$30*AU98</x:f>
        <x:v>508960.9505383984</x:v>
      </x:c>
      <x:c r="AV26" s="62" t="n">
        <x:f>AV16*Assumptions!$G$30*AV98</x:f>
        <x:v>534834.7672840793</x:v>
      </x:c>
      <x:c r="AW26" s="62" t="n">
        <x:f>AW16*Assumptions!$G$30*AW98</x:f>
        <x:v>561635.3593677414</x:v>
      </x:c>
      <x:c r="AX26" s="62" t="n">
        <x:f>AX16*Assumptions!$G$30*AX98</x:f>
        <x:v>584800.8243719576</x:v>
      </x:c>
      <x:c r="AY26" s="62" t="n">
        <x:f>AY16*Assumptions!$G$30*AY98</x:f>
        <x:v>627181.4848544667</x:v>
      </x:c>
      <x:c r="AZ26" s="62" t="n">
        <x:f>AZ16*Assumptions!$G$30*AZ98</x:f>
        <x:v>653034.3644755837</x:v>
      </x:c>
      <x:c r="BA26" s="62" t="n">
        <x:f>BA16*Assumptions!$G$30*BA98</x:f>
        <x:v>679937.6944460757</x:v>
      </x:c>
      <x:c r="BB26" s="62" t="n">
        <x:f>BB16*Assumptions!$G$30*BB98</x:f>
        <x:v>707928.7096111756</x:v>
      </x:c>
      <x:c r="BC26" s="62" t="n">
        <x:f>BC16*Assumptions!$G$30*BC98</x:f>
        <x:v>737049.0072124903</x:v>
      </x:c>
      <x:c r="BD26" s="62" t="n">
        <x:f>BD16*Assumptions!$G$30*BD98</x:f>
        <x:v>767340.0053372785</x:v>
      </x:c>
      <x:c r="BE26" s="62" t="n">
        <x:f>BE16*Assumptions!$G$30*BE98</x:f>
        <x:v>798846.97470093</x:v>
      </x:c>
      <x:c r="BF26" s="62" t="n">
        <x:f>BF16*Assumptions!$G$30*BF98</x:f>
        <x:v>831618.7106894747</x:v>
      </x:c>
      <x:c r="BG26" s="62" t="n">
        <x:f>BG16*Assumptions!$G$30*BG98</x:f>
        <x:v>865705.9554182469</x:v>
      </x:c>
      <x:c r="BH26" s="62" t="n">
        <x:f>BH16*Assumptions!$G$30*BH98</x:f>
        <x:v>901161.3932431687</x:v>
      </x:c>
      <x:c r="BI26" s="62" t="n">
        <x:f>BI16*Assumptions!$G$30*BI98</x:f>
        <x:v>938039.0900915869</x:v>
      </x:c>
      <x:c r="BJ26" s="62" t="n">
        <x:f>BJ16*Assumptions!$G$30*BJ98</x:f>
        <x:v>976395.4486667941</x:v>
      </x:c>
    </x:row>
    <x:row r="27">
      <x:c r="A27" t="str">
        <x:v>Repeat mission revenue</x:v>
      </x:c>
      <x:c r="B27" t="str">
        <x:v>$</x:v>
      </x:c>
      <x:c r="C27" s="62" t="n">
        <x:f>C17*Assumptions!$G$31*C98</x:f>
        <x:v>0</x:v>
      </x:c>
      <x:c r="D27" s="62" t="n">
        <x:f>D17*Assumptions!$G$31*D98</x:f>
        <x:v>0</x:v>
      </x:c>
      <x:c r="E27" s="62" t="n">
        <x:f>E17*Assumptions!$G$31*E98</x:f>
        <x:v>0</x:v>
      </x:c>
      <x:c r="F27" s="62" t="n">
        <x:f>F17*Assumptions!$G$31*F98</x:f>
        <x:v>0</x:v>
      </x:c>
      <x:c r="G27" s="62" t="n">
        <x:f>G17*Assumptions!$G$31*G98</x:f>
        <x:v>0</x:v>
      </x:c>
      <x:c r="H27" s="62" t="n">
        <x:f>H17*Assumptions!$G$31*H98</x:f>
        <x:v>7679.999999999999</x:v>
      </x:c>
      <x:c r="I27" s="62" t="n">
        <x:f>I17*Assumptions!$G$31*I98</x:f>
        <x:v>14008.03950592</x:v>
      </x:c>
      <x:c r="J27" s="62" t="n">
        <x:f>J17*Assumptions!$G$31*J98</x:f>
        <x:v>14927.962916184237</x:v>
      </x:c>
      <x:c r="K27" s="62" t="n">
        <x:f>K17*Assumptions!$G$31*K98</x:f>
        <x:v>15919.902619813101</x:v>
      </x:c>
      <x:c r="L27" s="62" t="n">
        <x:f>L17*Assumptions!$G$31*L98</x:f>
        <x:v>16995.343492648433</x:v>
      </x:c>
      <x:c r="M27" s="62" t="n">
        <x:f>M17*Assumptions!$G$31*M98</x:f>
        <x:v>20456.777987720106</x:v>
      </x:c>
      <x:c r="N27" s="62" t="n">
        <x:f>N17*Assumptions!$G$31*N98</x:f>
        <x:v>23598.096038777654</x:v>
      </x:c>
      <x:c r="O27" s="62" t="n">
        <x:f>O17*Assumptions!$G$31*O98</x:f>
        <x:v>25963.62228918837</x:v>
      </x:c>
      <x:c r="P27" s="62" t="n">
        <x:f>P17*Assumptions!$G$31*P98</x:f>
        <x:v>27738.642502867275</x:v>
      </x:c>
      <x:c r="Q27" s="62" t="n">
        <x:f>Q17*Assumptions!$G$31*Q98</x:f>
        <x:v>29640.4705716741</x:v>
      </x:c>
      <x:c r="R27" s="62" t="n">
        <x:f>R17*Assumptions!$G$31*R98</x:f>
        <x:v>31675.846810052793</x:v>
      </x:c>
      <x:c r="S27" s="62" t="n">
        <x:f>S17*Assumptions!$G$31*S98</x:f>
        <x:v>33854.0277437898</x:v>
      </x:c>
      <x:c r="T27" s="62" t="n">
        <x:f>T17*Assumptions!$G$31*T98</x:f>
        <x:v>36185.479828108735</x:v>
      </x:c>
      <x:c r="U27" s="62" t="n">
        <x:f>U17*Assumptions!$G$31*U98</x:f>
        <x:v>38679.09822025586</x:v>
      </x:c>
      <x:c r="V27" s="62" t="n">
        <x:f>V17*Assumptions!$G$31*V98</x:f>
        <x:v>41345.91975522332</x:v>
      </x:c>
      <x:c r="W27" s="62" t="n">
        <x:f>W17*Assumptions!$G$31*W98</x:f>
        <x:v>44198.69413773248</x:v>
      </x:c>
      <x:c r="X27" s="62" t="n">
        <x:f>X17*Assumptions!$G$31*X98</x:f>
        <x:v>47251.33209858041</x:v>
      </x:c>
      <x:c r="Y27" s="62" t="n">
        <x:f>Y17*Assumptions!$G$31*Y98</x:f>
        <x:v>50518.919447392764</x:v>
      </x:c>
      <x:c r="Z27" s="62" t="n">
        <x:f>Z17*Assumptions!$G$31*Z98</x:f>
        <x:v>54017.38666092747</x:v>
      </x:c>
      <x:c r="AA27" s="62" t="n">
        <x:f>AA17*Assumptions!$G$31*AA98</x:f>
        <x:v>59497.033868431754</x:v>
      </x:c>
      <x:c r="AB27" s="62" t="n">
        <x:f>AB17*Assumptions!$G$31*AB98</x:f>
        <x:v>63631.45755566939</x:v>
      </x:c>
      <x:c r="AC27" s="62" t="n">
        <x:f>AC17*Assumptions!$G$31*AC98</x:f>
        <x:v>68062.46730344783</x:v>
      </x:c>
      <x:c r="AD27" s="62" t="n">
        <x:f>AD17*Assumptions!$G$31*AD98</x:f>
        <x:v>72813.21603544276</x:v>
      </x:c>
      <x:c r="AE27" s="62" t="n">
        <x:f>AE17*Assumptions!$G$31*AE98</x:f>
        <x:v>77908.91392395545</x:v>
      </x:c>
      <x:c r="AF27" s="62" t="n">
        <x:f>AF17*Assumptions!$G$31*AF98</x:f>
        <x:v>82465.38543919424</x:v>
      </x:c>
      <x:c r="AG27" s="62" t="n">
        <x:f>AG17*Assumptions!$G$31*AG98</x:f>
        <x:v>86623.20264308245</x:v>
      </x:c>
      <x:c r="AH27" s="62" t="n">
        <x:f>AH17*Assumptions!$G$31*AH98</x:f>
        <x:v>91017.14849906375</x:v>
      </x:c>
      <x:c r="AI27" s="62" t="n">
        <x:f>AI17*Assumptions!$G$31*AI98</x:f>
        <x:v>95661.19290975589</x:v>
      </x:c>
      <x:c r="AJ27" s="62" t="n">
        <x:f>AJ17*Assumptions!$G$31*AJ98</x:f>
        <x:v>100568.87743523609</x:v>
      </x:c>
      <x:c r="AK27" s="62" t="n">
        <x:f>AK17*Assumptions!$G$31*AK98</x:f>
        <x:v>105482.61941409744</x:v>
      </x:c>
      <x:c r="AL27" s="62" t="n">
        <x:f>AL17*Assumptions!$G$31*AL98</x:f>
        <x:v>110453.4752969422</x:v>
      </x:c>
      <x:c r="AM27" s="62" t="n">
        <x:f>AM17*Assumptions!$G$31*AM98</x:f>
        <x:v>119151.90044532898</x:v>
      </x:c>
      <x:c r="AN27" s="62" t="n">
        <x:f>AN17*Assumptions!$G$31*AN98</x:f>
        <x:v>124816.96113756602</x:v>
      </x:c>
      <x:c r="AO27" s="62" t="n">
        <x:f>AO17*Assumptions!$G$31*AO98</x:f>
        <x:v>130778.1694802396</x:v>
      </x:c>
      <x:c r="AP27" s="62" t="n">
        <x:f>AP17*Assumptions!$G$31*AP98</x:f>
        <x:v>137053.0122799396</x:v>
      </x:c>
      <x:c r="AQ27" s="62" t="n">
        <x:f>AQ17*Assumptions!$G$31*AQ98</x:f>
        <x:v>143660.5947948649</x:v>
      </x:c>
      <x:c r="AR27" s="62" t="n">
        <x:f>AR17*Assumptions!$G$31*AR98</x:f>
        <x:v>150621.3985168308</x:v>
      </x:c>
      <x:c r="AS27" s="62" t="n">
        <x:f>AS17*Assumptions!$G$31*AS98</x:f>
        <x:v>157957.71171769738</x:v>
      </x:c>
      <x:c r="AT27" s="62" t="n">
        <x:f>AT17*Assumptions!$G$31*AT98</x:f>
        <x:v>165693.5478345618</x:v>
      </x:c>
      <x:c r="AU27" s="62" t="n">
        <x:f>AU17*Assumptions!$G$31*AU98</x:f>
        <x:v>173854.7794738078</x:v>
      </x:c>
      <x:c r="AV27" s="62" t="n">
        <x:f>AV17*Assumptions!$G$31*AV98</x:f>
        <x:v>182469.33627169934</x:v>
      </x:c>
      <x:c r="AW27" s="62" t="n">
        <x:f>AW17*Assumptions!$G$31*AW98</x:f>
        <x:v>191567.33834249506</x:v>
      </x:c>
      <x:c r="AX27" s="62" t="n">
        <x:f>AX17*Assumptions!$G$31*AX98</x:f>
        <x:v>201181.35351386876</x:v>
      </x:c>
      <x:c r="AY27" s="62" t="n">
        <x:f>AY17*Assumptions!$G$31*AY98</x:f>
        <x:v>217687.0159490893</x:v>
      </x:c>
      <x:c r="AZ27" s="62" t="n">
        <x:f>AZ17*Assumptions!$G$31*AZ98</x:f>
        <x:v>228570.42884029372</x:v>
      </x:c>
      <x:c r="BA27" s="62" t="n">
        <x:f>BA17*Assumptions!$G$31*BA98</x:f>
        <x:v>238370.58553411867</x:v>
      </x:c>
      <x:c r="BB27" s="62" t="n">
        <x:f>BB17*Assumptions!$G$31*BB98</x:f>
        <x:v>248605.7386460457</x:v>
      </x:c>
      <x:c r="BC27" s="62" t="n">
        <x:f>BC17*Assumptions!$G$31*BC98</x:f>
        <x:v>259297.0554214236</x:v>
      </x:c>
      <x:c r="BD27" s="62" t="n">
        <x:f>BD17*Assumptions!$G$31*BD98</x:f>
        <x:v>270464.524011794</x:v>
      </x:c>
      <x:c r="BE27" s="62" t="n">
        <x:f>BE17*Assumptions!$G$31*BE98</x:f>
        <x:v>282071.69140985847</x:v>
      </x:c>
      <x:c r="BF27" s="62" t="n">
        <x:f>BF17*Assumptions!$G$31*BF98</x:f>
        <x:v>293680.7878218961</x:v>
      </x:c>
      <x:c r="BG27" s="62" t="n">
        <x:f>BG17*Assumptions!$G$31*BG98</x:f>
        <x:v>305758.22425395786</x:v>
      </x:c>
      <x:c r="BH27" s="62" t="n">
        <x:f>BH17*Assumptions!$G$31*BH98</x:f>
        <x:v>318322.33089395356</x:v>
      </x:c>
      <x:c r="BI27" s="62" t="n">
        <x:f>BI17*Assumptions!$G$31*BI98</x:f>
        <x:v>331392.0060874552</x:v>
      </x:c>
      <x:c r="BJ27" s="62" t="n">
        <x:f>BJ17*Assumptions!$G$31*BJ98</x:f>
        <x:v>344987.0618565118</x:v>
      </x:c>
    </x:row>
    <x:row r="28">
      <x:c r="A28" t="str">
        <x:v>Enterprise pilot revenue</x:v>
      </x:c>
      <x:c r="B28" t="str">
        <x:v>$</x:v>
      </x:c>
      <x:c r="C28" s="62" t="n">
        <x:f>C18*Assumptions!$G$32*C98</x:f>
        <x:v>0</x:v>
      </x:c>
      <x:c r="D28" s="62" t="n">
        <x:f>D18*Assumptions!$G$32*D98</x:f>
        <x:v>0</x:v>
      </x:c>
      <x:c r="E28" s="62" t="n">
        <x:f>E18*Assumptions!$G$32*E98</x:f>
        <x:v>0</x:v>
      </x:c>
      <x:c r="F28" s="62" t="n">
        <x:f>F18*Assumptions!$G$32*F98</x:f>
        <x:v>0</x:v>
      </x:c>
      <x:c r="G28" s="62" t="n">
        <x:f>G18*Assumptions!$G$32*G98</x:f>
        <x:v>21600</x:v>
      </x:c>
      <x:c r="H28" s="62" t="n">
        <x:f>H18*Assumptions!$G$32*H98</x:f>
        <x:v>39397.611110399994</x:v>
      </x:c>
      <x:c r="I28" s="62" t="n">
        <x:f>I18*Assumptions!$G$32*I98</x:f>
        <x:v>41984.89570176816</x:v>
      </x:c>
      <x:c r="J28" s="62" t="n">
        <x:f>J18*Assumptions!$G$32*J98</x:f>
        <x:v>44774.726118224346</x:v>
      </x:c>
      <x:c r="K28" s="62" t="n">
        <x:f>K18*Assumptions!$G$32*K98</x:f>
        <x:v>47799.403573073716</x:v>
      </x:c>
      <x:c r="L28" s="62" t="n">
        <x:f>L18*Assumptions!$G$32*L98</x:f>
        <x:v>51054.6880904628</x:v>
      </x:c>
      <x:c r="M28" s="62" t="n">
        <x:f>M18*Assumptions!$G$32*M98</x:f>
        <x:v>54550.36177594215</x:v>
      </x:c>
      <x:c r="N28" s="62" t="n">
        <x:f>N18*Assumptions!$G$32*N98</x:f>
        <x:v>58300.344579122255</x:v>
      </x:c>
      <x:c r="O28" s="62" t="n">
        <x:f>O18*Assumptions!$G$32*O98</x:f>
        <x:v>64179.5416687829</x:v>
      </x:c>
      <x:c r="P28" s="62" t="n">
        <x:f>P18*Assumptions!$G$32*P98</x:f>
        <x:v>68593.80777875362</x:v>
      </x:c>
      <x:c r="Q28" s="62" t="n">
        <x:f>Q18*Assumptions!$G$32*Q98</x:f>
        <x:v>73312.42053332049</x:v>
      </x:c>
      <x:c r="R28" s="62" t="n">
        <x:f>R18*Assumptions!$G$32*R98</x:f>
        <x:v>78358.39124064267</x:v>
      </x:c>
      <x:c r="S28" s="62" t="n">
        <x:f>S18*Assumptions!$G$32*S98</x:f>
        <x:v>83756.85554160703</x:v>
      </x:c>
      <x:c r="T28" s="62" t="n">
        <x:f>T18*Assumptions!$G$32*T98</x:f>
        <x:v>89531.10124383474</x:v>
      </x:c>
      <x:c r="U28" s="62" t="n">
        <x:f>U18*Assumptions!$G$32*U98</x:f>
        <x:v>95707.2569779395</x:v>
      </x:c>
      <x:c r="V28" s="62" t="n">
        <x:f>V18*Assumptions!$G$32*V98</x:f>
        <x:v>102315.10110237646</x:v>
      </x:c>
      <x:c r="W28" s="62" t="n">
        <x:f>W18*Assumptions!$G$32*W98</x:f>
        <x:v>109386.85415506459</x:v>
      </x:c>
      <x:c r="X28" s="62" t="n">
        <x:f>X18*Assumptions!$G$32*X98</x:f>
        <x:v>116957.40428331005</x:v>
      </x:c>
      <x:c r="Y28" s="62" t="n">
        <x:f>Y18*Assumptions!$G$32*Y98</x:f>
        <x:v>125064.5696107081</x:v>
      </x:c>
      <x:c r="Z28" s="62" t="n">
        <x:f>Z18*Assumptions!$G$32*Z98</x:f>
        <x:v>133749.38383376796</x:v>
      </x:c>
      <x:c r="AA28" s="62" t="n">
        <x:f>AA18*Assumptions!$G$32*AA98</x:f>
        <x:v>147348.1081346858</x:v>
      </x:c>
      <x:c r="AB28" s="62" t="n">
        <x:f>AB18*Assumptions!$G$32*AB98</x:f>
        <x:v>157625.15135703204</x:v>
      </x:c>
      <x:c r="AC28" s="62" t="n">
        <x:f>AC18*Assumptions!$G$32*AC98</x:f>
        <x:v>168647.33217613996</x:v>
      </x:c>
      <x:c r="AD28" s="62" t="n">
        <x:f>AD18*Assumptions!$G$32*AD98</x:f>
        <x:v>180473.8684014159</x:v>
      </x:c>
      <x:c r="AE28" s="62" t="n">
        <x:f>AE18*Assumptions!$G$32*AE98</x:f>
        <x:v>190605.3369430995</x:v>
      </x:c>
      <x:c r="AF28" s="62" t="n">
        <x:f>AF18*Assumptions!$G$32*AF98</x:f>
        <x:v>199423.3249932637</x:v>
      </x:c>
      <x:c r="AG28" s="62" t="n">
        <x:f>AG18*Assumptions!$G$32*AG98</x:f>
        <x:v>208698.1847465072</x:v>
      </x:c>
      <x:c r="AH28" s="62" t="n">
        <x:f>AH18*Assumptions!$G$32*AH98</x:f>
        <x:v>218452.90540584642</x:v>
      </x:c>
      <x:c r="AI28" s="62" t="n">
        <x:f>AI18*Assumptions!$G$32*AI98</x:f>
        <x:v>228707.8072661767</x:v>
      </x:c>
      <x:c r="AJ28" s="62" t="n">
        <x:f>AJ18*Assumptions!$G$32*AJ98</x:f>
        <x:v>239488.26601921918</x:v>
      </x:c>
      <x:c r="AK28" s="62" t="n">
        <x:f>AK18*Assumptions!$G$32*AK98</x:f>
        <x:v>250823.40177467078</x:v>
      </x:c>
      <x:c r="AL28" s="62" t="n">
        <x:f>AL18*Assumptions!$G$32*AL98</x:f>
        <x:v>262744.64166584174</x:v>
      </x:c>
      <x:c r="AM28" s="62" t="n">
        <x:f>AM18*Assumptions!$G$32*AM98</x:f>
        <x:v>283545.75542899786</x:v>
      </x:c>
      <x:c r="AN28" s="62" t="n">
        <x:f>AN18*Assumptions!$G$32*AN98</x:f>
        <x:v>297142.8892179252</x:v>
      </x:c>
      <x:c r="AO28" s="62" t="n">
        <x:f>AO18*Assumptions!$G$32*AO98</x:f>
        <x:v>311459.7228373914</x:v>
      </x:c>
      <x:c r="AP28" s="62" t="n">
        <x:f>AP18*Assumptions!$G$32*AP98</x:f>
        <x:v>326540.99171218433</x:v>
      </x:c>
      <x:c r="AQ28" s="62" t="n">
        <x:f>AQ18*Assumptions!$G$32*AQ98</x:f>
        <x:v>342434.58905384154</x:v>
      </x:c>
      <x:c r="AR28" s="62" t="n">
        <x:f>AR18*Assumptions!$G$32*AR98</x:f>
        <x:v>359192.3375773246</x:v>
      </x:c>
      <x:c r="AS28" s="62" t="n">
        <x:f>AS18*Assumptions!$G$32*AS98</x:f>
        <x:v>376870.23651932745</x:v>
      </x:c>
      <x:c r="AT28" s="62" t="n">
        <x:f>AT18*Assumptions!$G$32*AT98</x:f>
        <x:v>395528.65041886707</x:v>
      </x:c>
      <x:c r="AU28" s="62" t="n">
        <x:f>AU18*Assumptions!$G$32*AU98</x:f>
        <x:v>415232.71075049904</x:v>
      </x:c>
      <x:c r="AV28" s="62" t="n">
        <x:f>AV18*Assumptions!$G$32*AV98</x:f>
        <x:v>436052.76237211487</x:v>
      </x:c>
      <x:c r="AW28" s="62" t="n">
        <x:f>AW18*Assumptions!$G$32*AW98</x:f>
        <x:v>458064.85548455856</x:v>
      </x:c>
      <x:c r="AX28" s="62" t="n">
        <x:f>AX18*Assumptions!$G$32*AX98</x:f>
        <x:v>481351.29055567144</x:v>
      </x:c>
      <x:c r="AY28" s="62" t="n">
        <x:f>AY18*Assumptions!$G$32*AY98</x:f>
        <x:v>520635.97813389625</x:v>
      </x:c>
      <x:c r="AZ28" s="62" t="n">
        <x:f>AZ18*Assumptions!$G$32*AZ98</x:f>
        <x:v>542110.3641928047</x:v>
      </x:c>
      <x:c r="BA28" s="62" t="n">
        <x:f>BA18*Assumptions!$G$32*BA98</x:f>
        <x:v>564463.33636902</x:v>
      </x:c>
      <x:c r="BB28" s="62" t="n">
        <x:f>BB18*Assumptions!$G$32*BB98</x:f>
        <x:v>587730.9280280252</x:v>
      </x:c>
      <x:c r="BC28" s="62" t="n">
        <x:f>BC18*Assumptions!$G$32*BC98</x:f>
        <x:v>611943.925001468</x:v>
      </x:c>
      <x:c r="BD28" s="62" t="n">
        <x:f>BD18*Assumptions!$G$32*BD98</x:f>
        <x:v>637135.8386500579</x:v>
      </x:c>
      <x:c r="BE28" s="62" t="n">
        <x:f>BE18*Assumptions!$G$32*BE98</x:f>
        <x:v>663344.1064912413</x:v>
      </x:c>
      <x:c r="BF28" s="62" t="n">
        <x:f>BF18*Assumptions!$G$32*BF98</x:f>
        <x:v>690606.0048035505</x:v>
      </x:c>
      <x:c r="BG28" s="62" t="n">
        <x:f>BG18*Assumptions!$G$32*BG98</x:f>
        <x:v>718962.2772308369</x:v>
      </x:c>
      <x:c r="BH28" s="62" t="n">
        <x:f>BH18*Assumptions!$G$32*BH98</x:f>
        <x:v>748456.8396205271</x:v>
      </x:c>
      <x:c r="BI28" s="62" t="n">
        <x:f>BI18*Assumptions!$G$32*BI98</x:f>
        <x:v>779135.3598764222</x:v>
      </x:c>
      <x:c r="BJ28" s="62" t="n">
        <x:f>BJ18*Assumptions!$G$32*BJ98</x:f>
        <x:v>811045.253918852</x:v>
      </x:c>
    </x:row>
    <x:row r="29">
      <x:c r="A29" t="str">
        <x:v>Proof OS recurring revenue</x:v>
      </x:c>
      <x:c r="B29" t="str">
        <x:v>$</x:v>
      </x:c>
      <x:c r="C29" s="62" t="n">
        <x:f>C21*Assumptions!$G$33*C98/12</x:f>
        <x:v>0</x:v>
      </x:c>
      <x:c r="D29" s="62" t="n">
        <x:f>D21*Assumptions!$G$33*D98/12</x:f>
        <x:v>0</x:v>
      </x:c>
      <x:c r="E29" s="62" t="n">
        <x:f>E21*Assumptions!$G$33*E98/12</x:f>
        <x:v>0</x:v>
      </x:c>
      <x:c r="F29" s="62" t="n">
        <x:f>F21*Assumptions!$G$33*F98/12</x:f>
        <x:v>0</x:v>
      </x:c>
      <x:c r="G29" s="62" t="n">
        <x:f>G21*Assumptions!$G$33*G98/12</x:f>
        <x:v>0</x:v>
      </x:c>
      <x:c r="H29" s="62" t="n">
        <x:f>H21*Assumptions!$G$33*H98/12</x:f>
        <x:v>0</x:v>
      </x:c>
      <x:c r="I29" s="62" t="n">
        <x:f>I21*Assumptions!$G$33*I98/12</x:f>
        <x:v>0</x:v>
      </x:c>
      <x:c r="J29" s="62" t="n">
        <x:f>J21*Assumptions!$G$33*J98/12</x:f>
        <x:v>1890</x:v>
      </x:c>
      <x:c r="K29" s="62" t="n">
        <x:f>K21*Assumptions!$G$33*K98/12</x:f>
        <x:v>5321.540972159999</x:v>
      </x:c>
      <x:c r="L29" s="62" t="n">
        <x:f>L21*Assumptions!$G$33*L98/12</x:f>
        <x:v>8950.873171296713</x:v>
      </x:c>
      <x:c r="M29" s="62" t="n">
        <x:f>M21*Assumptions!$G$33*M98/12</x:f>
        <x:v>12794.071096880538</x:v>
      </x:c>
      <x:c r="N29" s="62" t="n">
        <x:f>N21*Assumptions!$G$33*N98/12</x:f>
        <x:v>16869.901650383817</x:v>
      </x:c>
      <x:c r="O29" s="62" t="n">
        <x:f>O21*Assumptions!$G$33*O98/12</x:f>
        <x:v>21832.502474882498</x:v>
      </x:c>
      <x:c r="P29" s="62" t="n">
        <x:f>P21*Assumptions!$G$33*P98/12</x:f>
        <x:v>26566.91630931526</x:v>
      </x:c>
      <x:c r="Q29" s="62" t="n">
        <x:f>Q21*Assumptions!$G$33*Q98/12</x:f>
        <x:v>31599.843895264366</x:v>
      </x:c>
      <x:c r="R29" s="62" t="n">
        <x:f>R21*Assumptions!$G$33*R98/12</x:f>
        <x:v>36952.22175882233</x:v>
      </x:c>
      <x:c r="S29" s="62" t="n">
        <x:f>S21*Assumptions!$G$33*S98/12</x:f>
        <x:v>42646.24475813975</x:v>
      </x:c>
      <x:c r="T29" s="62" t="n">
        <x:f>T21*Assumptions!$G$33*T98/12</x:f>
        <x:v>48705.69618182079</x:v>
      </x:c>
      <x:c r="U29" s="62" t="n">
        <x:f>U21*Assumptions!$G$33*U98/12</x:f>
        <x:v>55156.174613861855</x:v>
      </x:c>
      <x:c r="V29" s="62" t="n">
        <x:f>V21*Assumptions!$G$33*V98/12</x:f>
        <x:v>62025.26468530361</x:v>
      </x:c>
      <x:c r="W29" s="62" t="n">
        <x:f>W21*Assumptions!$G$33*W98/12</x:f>
        <x:v>69342.35883842829</x:v>
      </x:c>
      <x:c r="X29" s="62" t="n">
        <x:f>X21*Assumptions!$G$33*X98/12</x:f>
        <x:v>77138.89083367777</x:v>
      </x:c>
      <x:c r="Y29" s="62" t="n">
        <x:f>Y21*Assumptions!$G$33*Y98/12</x:f>
        <x:v>85448.63808985507</x:v>
      </x:c>
      <x:c r="Z29" s="62" t="n">
        <x:f>Z21*Assumptions!$G$33*Z98/12</x:f>
        <x:v>94307.91584434109</x:v>
      </x:c>
      <x:c r="AA29" s="62" t="n">
        <x:f>AA21*Assumptions!$G$33*AA98/12</x:f>
        <x:v>106868.4631030407</x:v>
      </x:c>
      <x:c r="AB29" s="62" t="n">
        <x:f>AB21*Assumptions!$G$33*AB98/12</x:f>
        <x:v>117249.33691334708</x:v>
      </x:c>
      <x:c r="AC29" s="62" t="n">
        <x:f>AC21*Assumptions!$G$33*AC98/12</x:f>
        <x:v>128326.42232375422</x:v>
      </x:c>
      <x:c r="AD29" s="62" t="n">
        <x:f>AD21*Assumptions!$G$33*AD98/12</x:f>
        <x:v>140149.99493284128</x:v>
      </x:c>
      <x:c r="AE29" s="62" t="n">
        <x:f>AE21*Assumptions!$G$33*AE98/12</x:f>
        <x:v>152774.27905214124</x:v>
      </x:c>
      <x:c r="AF29" s="62" t="n">
        <x:f>AF21*Assumptions!$G$33*AF98/12</x:f>
        <x:v>166257.80162545227</x:v>
      </x:c>
      <x:c r="AG29" s="62" t="n">
        <x:f>AG21*Assumptions!$G$33*AG98/12</x:f>
        <x:v>180663.7834303641</x:v>
      </x:c>
      <x:c r="AH29" s="62" t="n">
        <x:f>AH21*Assumptions!$G$33*AH98/12</x:f>
        <x:v>195836.21888429893</x:v>
      </x:c>
      <x:c r="AI29" s="62" t="n">
        <x:f>AI21*Assumptions!$G$33*AI98/12</x:f>
        <x:v>211653.791330507</x:v>
      </x:c>
      <x:c r="AJ29" s="62" t="n">
        <x:f>AJ21*Assumptions!$G$33*AJ98/12</x:f>
        <x:v>228151.10090140547</x:v>
      </x:c>
      <x:c r="AK29" s="62" t="n">
        <x:f>AK21*Assumptions!$G$33*AK98/12</x:f>
        <x:v>245364.47095023867</x:v>
      </x:c>
      <x:c r="AL29" s="62" t="n">
        <x:f>AL21*Assumptions!$G$33*AL98/12</x:f>
        <x:v>263331.7001614438</x:v>
      </x:c>
      <x:c r="AM29" s="62" t="n">
        <x:f>AM21*Assumptions!$G$33*AM98/12</x:f>
        <x:v>290555.2673815502</x:v>
      </x:c>
      <x:c r="AN29" s="62" t="n">
        <x:f>AN21*Assumptions!$G$33*AN98/12</x:f>
        <x:v>310739.4325716462</x:v>
      </x:c>
      <x:c r="AO29" s="62" t="n">
        <x:f>AO21*Assumptions!$G$33*AO98/12</x:f>
        <x:v>331829.7981303498</x:v>
      </x:c>
      <x:c r="AP29" s="62" t="n">
        <x:f>AP21*Assumptions!$G$33*AP98/12</x:f>
        <x:v>353874.8034126342</x:v>
      </x:c>
      <x:c r="AQ29" s="62" t="n">
        <x:f>AQ21*Assumptions!$G$33*AQ98/12</x:f>
        <x:v>376925.8495240973</x:v>
      </x:c>
      <x:c r="AR29" s="62" t="n">
        <x:f>AR21*Assumptions!$G$33*AR98/12</x:f>
        <x:v>401037.5265263349</x:v>
      </x:c>
      <x:c r="AS29" s="62" t="n">
        <x:f>AS21*Assumptions!$G$33*AS98/12</x:f>
        <x:v>426267.8839134316</x:v>
      </x:c>
      <x:c r="AT29" s="62" t="n">
        <x:f>AT21*Assumptions!$G$33*AT98/12</x:f>
        <x:v>452678.67808969755</x:v>
      </x:c>
      <x:c r="AU29" s="62" t="n">
        <x:f>AU21*Assumptions!$G$33*AU98/12</x:f>
        <x:v>480335.6853102993</x:v>
      </x:c>
      <x:c r="AV29" s="62" t="n">
        <x:f>AV21*Assumptions!$G$33*AV98/12</x:f>
        <x:v>509309.0336281546</x:v>
      </x:c>
      <x:c r="AW29" s="62" t="n">
        <x:f>AW21*Assumptions!$G$33*AW98/12</x:f>
        <x:v>539673.5485929041</x:v>
      </x:c>
      <x:c r="AX29" s="62" t="n">
        <x:f>AX21*Assumptions!$G$33*AX98/12</x:f>
        <x:v>571509.1312119652</x:v>
      </x:c>
      <x:c r="AY29" s="62" t="n">
        <x:f>AY21*Assumptions!$G$33*AY98/12</x:f>
        <x:v>623048.2069808749</x:v>
      </x:c>
      <x:c r="AZ29" s="62" t="n">
        <x:f>AZ21*Assumptions!$G$33*AZ98/12</x:f>
        <x:v>659139.2336899134</x:v>
      </x:c>
      <x:c r="BA29" s="62" t="n">
        <x:f>BA21*Assumptions!$G$33*BA98/12</x:f>
        <x:v>697028.1918038273</x:v>
      </x:c>
      <x:c r="BB29" s="62" t="n">
        <x:f>BB21*Assumptions!$G$33*BB98/12</x:f>
        <x:v>736775.2716255113</x:v>
      </x:c>
      <x:c r="BC29" s="62" t="n">
        <x:f>BC21*Assumptions!$G$33*BC98/12</x:f>
        <x:v>778070.1345621692</x:v>
      </x:c>
      <x:c r="BD29" s="62" t="n">
        <x:f>BD21*Assumptions!$G$33*BD98/12</x:f>
        <x:v>820976.7587064406</x:v>
      </x:c>
      <x:c r="BE29" s="62" t="n">
        <x:f>BE21*Assumptions!$G$33*BE98/12</x:f>
        <x:v>865561.7419196725</x:v>
      </x:c>
      <x:c r="BF29" s="62" t="n">
        <x:f>BF21*Assumptions!$G$33*BF98/12</x:f>
        <x:v>911893.8208413036</x:v>
      </x:c>
      <x:c r="BG29" s="62" t="n">
        <x:f>BG21*Assumptions!$G$33*BG98/12</x:f>
        <x:v>960044.091549506</x:v>
      </x:c>
      <x:c r="BH29" s="62" t="n">
        <x:f>BH21*Assumptions!$G$33*BH98/12</x:f>
        <x:v>1010086.3334379104</x:v>
      </x:c>
      <x:c r="BI29" s="62" t="n">
        <x:f>BI21*Assumptions!$G$33*BI98/12</x:f>
        <x:v>1062096.9727462383</x:v>
      </x:c>
      <x:c r="BJ29" s="62" t="n">
        <x:f>BJ21*Assumptions!$G$33*BJ98/12</x:f>
        <x:v>1116155.363897718</x:v>
      </x:c>
    </x:row>
    <x:row r="30">
      <x:c r="A30" t="str">
        <x:v>Total Revenue</x:v>
      </x:c>
      <x:c r="B30" t="str">
        <x:v>$</x:v>
      </x:c>
      <x:c r="C30" s="62" t="n">
        <x:f>SUM(C24:C29)</x:f>
        <x:v>0</x:v>
      </x:c>
      <x:c r="D30" s="62" t="n">
        <x:f>SUM(D24:D29)</x:f>
        <x:v>40000</x:v>
      </x:c>
      <x:c r="E30" s="62" t="n">
        <x:f>SUM(E24:E29)</x:f>
        <x:v>75700</x:v>
      </x:c>
      <x:c r="F30" s="62" t="n">
        <x:f>SUM(F24:F29)</x:f>
        <x:v>98835.623456</x:v>
      </x:c>
      <x:c r="G30" s="62" t="n">
        <x:f>SUM(G24:G29)</x:f>
        <x:v>126937.70061307575</x:v>
      </x:c>
      <x:c r="H30" s="62" t="n">
        <x:f>SUM(H24:H29)</x:f>
        <x:v>159425.94441870323</x:v>
      </x:c>
      <x:c r="I30" s="62" t="n">
        <x:f>SUM(I24:I29)</x:f>
        <x:v>175889.97434740816</x:v>
      </x:c>
      <x:c r="J30" s="62" t="n">
        <x:f>SUM(J24:J29)</x:f>
        <x:v>189596.8323145235</x:v>
      </x:c>
      <x:c r="K30" s="62" t="n">
        <x:f>SUM(K24:K29)</x:f>
        <x:v>205729.13593430037</x:v>
      </x:c>
      <x:c r="L30" s="62" t="n">
        <x:f>SUM(L24:L29)</x:f>
        <x:v>222971.03653493302</x:v>
      </x:c>
      <x:c r="M30" s="62" t="n">
        <x:f>SUM(M24:M29)</x:f>
        <x:v>243675.0655413614</x:v>
      </x:c>
      <x:c r="N30" s="62" t="n">
        <x:f>SUM(N24:N29)</x:f>
        <x:v>265207.2655923022</x:v>
      </x:c>
      <x:c r="O30" s="62" t="n">
        <x:f>SUM(O24:O29)</x:f>
        <x:v>295022.1388243961</x:v>
      </x:c>
      <x:c r="P30" s="62" t="n">
        <x:f>SUM(P24:P29)</x:f>
        <x:v>318343.800946793</x:v>
      </x:c>
      <x:c r="Q30" s="62" t="n">
        <x:f>SUM(Q24:Q29)</x:f>
        <x:v>343230.1303617617</x:v>
      </x:c>
      <x:c r="R30" s="62" t="n">
        <x:f>SUM(R24:R29)</x:f>
        <x:v>369785.77515840804</x:v>
      </x:c>
      <x:c r="S30" s="62" t="n">
        <x:f>SUM(S24:S29)</x:f>
        <x:v>398127.10373926285</x:v>
      </x:c>
      <x:c r="T30" s="62" t="n">
        <x:f>SUM(T24:T29)</x:f>
        <x:v>428377.4920295228</x:v>
      </x:c>
      <x:c r="U30" s="62" t="n">
        <x:f>SUM(U24:U29)</x:f>
        <x:v>460668.2507062379</x:v>
      </x:c>
      <x:c r="V30" s="62" t="n">
        <x:f>SUM(V24:V29)</x:f>
        <x:v>495143.71215727454</x:v>
      </x:c>
      <x:c r="W30" s="62" t="n">
        <x:f>SUM(W24:W29)</x:f>
        <x:v>531959.8538524267</x:v>
      </x:c>
      <x:c r="X30" s="62" t="n">
        <x:f>SUM(X24:X29)</x:f>
        <x:v>571284.6856770051</x:v>
      </x:c>
      <x:c r="Y30" s="62" t="n">
        <x:f>SUM(Y24:Y29)</x:f>
        <x:v>613299.3570906547</x:v>
      </x:c>
      <x:c r="Z30" s="62" t="n">
        <x:f>SUM(Z24:Z29)</x:f>
        <x:v>658198.8882499314</x:v>
      </x:c>
      <x:c r="AA30" s="62" t="n">
        <x:f>SUM(AA24:AA29)</x:f>
        <x:v>727379.7593367327</x:v>
      </x:c>
      <x:c r="AB30" s="62" t="n">
        <x:f>SUM(AB24:AB29)</x:f>
        <x:v>775722.0845487958</x:v>
      </x:c>
      <x:c r="AC30" s="62" t="n">
        <x:f>SUM(AC24:AC29)</x:f>
        <x:v>823390.8223869881</x:v>
      </x:c>
      <x:c r="AD30" s="62" t="n">
        <x:f>SUM(AD24:AD29)</x:f>
        <x:v>871887.6094972644</x:v>
      </x:c>
      <x:c r="AE30" s="62" t="n">
        <x:f>SUM(AE24:AE29)</x:f>
        <x:v>920772.1109555066</x:v>
      </x:c>
      <x:c r="AF30" s="62" t="n">
        <x:f>SUM(AF24:AF29)</x:f>
        <x:v>969638.6762937678</x:v>
      </x:c>
      <x:c r="AG30" s="62" t="n">
        <x:f>SUM(AG24:AG29)</x:f>
        <x:v>1020500.0564801353</x:v>
      </x:c>
      <x:c r="AH30" s="62" t="n">
        <x:f>SUM(AH24:AH29)</x:f>
        <x:v>1073901.9321002066</x:v>
      </x:c>
      <x:c r="AI30" s="62" t="n">
        <x:f>SUM(AI24:AI29)</x:f>
        <x:v>1129807.1935524582</x:v>
      </x:c>
      <x:c r="AJ30" s="62" t="n">
        <x:f>SUM(AJ24:AJ29)</x:f>
        <x:v>1188344.2215706655</x:v>
      </x:c>
      <x:c r="AK30" s="62" t="n">
        <x:f>SUM(AK24:AK29)</x:f>
        <x:v>1249381.010633131</x:v>
      </x:c>
      <x:c r="AL30" s="62" t="n">
        <x:f>SUM(AL24:AL29)</x:f>
        <x:v>1313101.2863786656</x:v>
      </x:c>
      <x:c r="AM30" s="62" t="n">
        <x:f>SUM(AM24:AM29)</x:f>
        <x:v>1421242.250548629</x:v>
      </x:c>
      <x:c r="AN30" s="62" t="n">
        <x:f>SUM(AN24:AN29)</x:f>
        <x:v>1493276.9052951294</x:v>
      </x:c>
      <x:c r="AO30" s="62" t="n">
        <x:f>SUM(AO24:AO29)</x:f>
        <x:v>1568779.7842314937</x:v>
      </x:c>
      <x:c r="AP30" s="62" t="n">
        <x:f>SUM(AP24:AP29)</x:f>
        <x:v>1647945.6820551732</x:v>
      </x:c>
      <x:c r="AQ30" s="62" t="n">
        <x:f>SUM(AQ24:AQ29)</x:f>
        <x:v>1730982.9042290023</x:v>
      </x:c>
      <x:c r="AR30" s="62" t="n">
        <x:f>SUM(AR24:AR29)</x:f>
        <x:v>1818114.2871630653</x:v>
      </x:c>
      <x:c r="AS30" s="62" t="n">
        <x:f>SUM(AS24:AS29)</x:f>
        <x:v>1909578.6491608426</x:v>
      </x:c>
      <x:c r="AT30" s="62" t="n">
        <x:f>SUM(AT24:AT29)</x:f>
        <x:v>2005631.6998689212</x:v>
      </x:c>
      <x:c r="AU30" s="62" t="n">
        <x:f>SUM(AU24:AU29)</x:f>
        <x:v>2106547.497874748</x:v>
      </x:c>
      <x:c r="AV30" s="62" t="n">
        <x:f>SUM(AV24:AV29)</x:f>
        <x:v>2212620.0979059925</x:v>
      </x:c>
      <x:c r="AW30" s="62" t="n">
        <x:f>SUM(AW24:AW29)</x:f>
        <x:v>2323577.0411336008</x:v>
      </x:c>
      <x:c r="AX30" s="62" t="n">
        <x:f>SUM(AX24:AX29)</x:f>
        <x:v>2435088.4713579905</x:v>
      </x:c>
      <x:c r="AY30" s="62" t="n">
        <x:f>SUM(AY24:AY29)</x:f>
        <x:v>2627999.0733499695</x:v>
      </x:c>
      <x:c r="AZ30" s="62" t="n">
        <x:f>SUM(AZ24:AZ29)</x:f>
        <x:v>2748639.5090133096</x:v>
      </x:c>
      <x:c r="BA30" s="62" t="n">
        <x:f>SUM(BA24:BA29)</x:f>
        <x:v>2872988.503668075</x:v>
      </x:c>
      <x:c r="BB30" s="62" t="n">
        <x:f>SUM(BB24:BB29)</x:f>
        <x:v>3002737.5380466254</x:v>
      </x:c>
      <x:c r="BC30" s="62" t="n">
        <x:f>SUM(BC24:BC29)</x:f>
        <x:v>3137710.3339530183</x:v>
      </x:c>
      <x:c r="BD30" s="62" t="n">
        <x:f>SUM(BD24:BD29)</x:f>
        <x:v>3278111.0298953988</x:v>
      </x:c>
      <x:c r="BE30" s="62" t="n">
        <x:f>SUM(BE24:BE29)</x:f>
        <x:v>3424100.2454832164</x:v>
      </x:c>
      <x:c r="BF30" s="62" t="n">
        <x:f>SUM(BF24:BF29)</x:f>
        <x:v>3575444.689427219</x:v>
      </x:c>
      <x:c r="BG30" s="62" t="n">
        <x:f>SUM(BG24:BG29)</x:f>
        <x:v>3732824.8938176273</x:v>
      </x:c>
      <x:c r="BH30" s="62" t="n">
        <x:f>SUM(BH24:BH29)</x:f>
        <x:v>3896482.222869274</x:v>
      </x:c>
      <x:c r="BI30" s="62" t="n">
        <x:f>SUM(BI24:BI29)</x:f>
        <x:v>4066667.225808345</x:v>
      </x:c>
      <x:c r="BJ30" s="62" t="n">
        <x:f>SUM(BJ24:BJ29)</x:f>
        <x:v>4243640.811290845</x:v>
      </x:c>
    </x:row>
    <x:row r="31">
      <x:c r="A31" t="str">
        <x:v>Monthly revenue growth</x:v>
      </x:c>
      <x:c r="B31" t="str">
        <x:v>%</x:v>
      </x:c>
      <x:c r="C31" s="66" t="n">
        <x:f>0</x:f>
        <x:v>0</x:v>
      </x:c>
      <x:c r="D31" s="66" t="n">
        <x:f>IF(C30=0,0,D30/C30-1)</x:f>
        <x:v>0</x:v>
      </x:c>
      <x:c r="E31" s="66" t="n">
        <x:f>IF(D30=0,0,E30/D30-1)</x:f>
        <x:v>0.8925000000000001</x:v>
      </x:c>
      <x:c r="F31" s="66" t="n">
        <x:f>IF(E30=0,0,F30/E30-1)</x:f>
        <x:v>0.30562250272126823</x:v>
      </x:c>
      <x:c r="G31" s="66" t="n">
        <x:f>IF(F30=0,0,G30/F30-1)</x:f>
        <x:v>0.28433146040290147</x:v>
      </x:c>
      <x:c r="H31" s="66" t="n">
        <x:f>IF(G30=0,0,H30/G30-1)</x:f>
        <x:v>0.2559384930459414</x:v>
      </x:c>
      <x:c r="I31" s="66" t="n">
        <x:f>IF(H30=0,0,I30/H30-1)</x:f>
        <x:v>0.10327070658879167</x:v>
      </x:c>
      <x:c r="J31" s="66" t="n">
        <x:f>IF(I30=0,0,J30/I30-1)</x:f>
        <x:v>0.07792859154122289</x:v>
      </x:c>
      <x:c r="K31" s="66" t="n">
        <x:f>IF(J30=0,0,K30/J30-1)</x:f>
        <x:v>0.0850874111283404</x:v>
      </x:c>
      <x:c r="L31" s="66" t="n">
        <x:f>IF(K30=0,0,L30/K30-1)</x:f>
        <x:v>0.08380874455302645</x:v>
      </x:c>
      <x:c r="M31" s="66" t="n">
        <x:f>IF(L30=0,0,M30/L30-1)</x:f>
        <x:v>0.0928552395332507</x:v>
      </x:c>
      <x:c r="N31" s="66" t="n">
        <x:f>IF(M30=0,0,N30/M30-1)</x:f>
        <x:v>0.08836439626312909</x:v>
      </x:c>
      <x:c r="O31" s="66" t="n">
        <x:f>IF(N30=0,0,O30/N30-1)</x:f>
        <x:v>0.1124210272501649</x:v>
      </x:c>
      <x:c r="P31" s="66" t="n">
        <x:f>IF(O30=0,0,P30/O30-1)</x:f>
        <x:v>0.07905054927514588</x:v>
      </x:c>
      <x:c r="Q31" s="66" t="n">
        <x:f>IF(P30=0,0,Q30/P30-1)</x:f>
        <x:v>0.07817438046839231</x:v>
      </x:c>
      <x:c r="R31" s="66" t="n">
        <x:f>IF(Q30=0,0,R30/Q30-1)</x:f>
        <x:v>0.07736979492055918</x:v>
      </x:c>
      <x:c r="S31" s="66" t="n">
        <x:f>IF(R30=0,0,S30/R30-1)</x:f>
        <x:v>0.076642560327568</x:v>
      </x:c>
      <x:c r="T31" s="66" t="n">
        <x:f>IF(S30=0,0,T30/S30-1)</x:f>
        <x:v>0.07598173549638854</x:v>
      </x:c>
      <x:c r="U31" s="66" t="n">
        <x:f>IF(T30=0,0,U30/T30-1)</x:f>
        <x:v>0.07537921407525716</x:v>
      </x:c>
      <x:c r="V31" s="66" t="n">
        <x:f>IF(U30=0,0,V30/U30-1)</x:f>
        <x:v>0.07483793684106343</x:v>
      </x:c>
      <x:c r="W31" s="66" t="n">
        <x:f>IF(V30=0,0,W30/V30-1)</x:f>
        <x:v>0.0743544566783434</x:v>
      </x:c>
      <x:c r="X31" s="66" t="n">
        <x:f>IF(W30=0,0,X30/W30-1)</x:f>
        <x:v>0.0739244353493782</x:v>
      </x:c>
      <x:c r="Y31" s="66" t="n">
        <x:f>IF(X30=0,0,Y30/X30-1)</x:f>
        <x:v>0.07354419340658458</x:v>
      </x:c>
      <x:c r="Z31" s="66" t="n">
        <x:f>IF(Y30=0,0,Z30/Y30-1)</x:f>
        <x:v>0.07320981285920358</x:v>
      </x:c>
      <x:c r="AA31" s="66" t="n">
        <x:f>IF(Z30=0,0,AA30/Z30-1)</x:f>
        <x:v>0.10510633232873512</x:v>
      </x:c>
      <x:c r="AB31" s="66" t="n">
        <x:f>IF(AA30=0,0,AB30/AA30-1)</x:f>
        <x:v>0.06646091617416539</x:v>
      </x:c>
      <x:c r="AC31" s="66" t="n">
        <x:f>IF(AB30=0,0,AC30/AB30-1)</x:f>
        <x:v>0.061450793767099166</x:v>
      </x:c>
      <x:c r="AD31" s="66" t="n">
        <x:f>IF(AC30=0,0,AD30/AC30-1)</x:f>
        <x:v>0.05889886769649122</x:v>
      </x:c>
      <x:c r="AE31" s="66" t="n">
        <x:f>IF(AD30=0,0,AE30/AD30-1)</x:f>
        <x:v>0.05606743452453622</x:v>
      </x:c>
      <x:c r="AF31" s="66" t="n">
        <x:f>IF(AE30=0,0,AF30/AE30-1)</x:f>
        <x:v>0.05307129175269143</x:v>
      </x:c>
      <x:c r="AG31" s="66" t="n">
        <x:f>IF(AF30=0,0,AG30/AF30-1)</x:f>
        <x:v>0.052453951590270886</x:v>
      </x:c>
      <x:c r="AH31" s="66" t="n">
        <x:f>IF(AG30=0,0,AH30/AG30-1)</x:f>
        <x:v>0.052329125589921865</x:v>
      </x:c>
      <x:c r="AI31" s="66" t="n">
        <x:f>IF(AH30=0,0,AI30/AH30-1)</x:f>
        <x:v>0.05205806953240022</x:v>
      </x:c>
      <x:c r="AJ31" s="66" t="n">
        <x:f>IF(AI30=0,0,AJ30/AI30-1)</x:f>
        <x:v>0.0518115200117899</x:v>
      </x:c>
      <x:c r="AK31" s="66" t="n">
        <x:f>IF(AJ30=0,0,AK30/AJ30-1)</x:f>
        <x:v>0.051362886236608896</x:v>
      </x:c>
      <x:c r="AL31" s="66" t="n">
        <x:f>IF(AK30=0,0,AL30/AK30-1)</x:f>
        <x:v>0.051001476093544884</x:v>
      </x:c>
      <x:c r="AM31" s="66" t="n">
        <x:f>IF(AL30=0,0,AM30/AL30-1)</x:f>
        <x:v>0.08235538666495401</x:v>
      </x:c>
      <x:c r="AN31" s="66" t="n">
        <x:f>IF(AM30=0,0,AN30/AM30-1)</x:f>
        <x:v>0.050684290252906106</x:v>
      </x:c>
      <x:c r="AO31" s="66" t="n">
        <x:f>IF(AN30=0,0,AO30/AN30-1)</x:f>
        <x:v>0.05056187413642621</x:v>
      </x:c>
      <x:c r="AP31" s="66" t="n">
        <x:f>IF(AO30=0,0,AP30/AO30-1)</x:f>
        <x:v>0.05046335924226675</x:v>
      </x:c>
      <x:c r="AQ31" s="66" t="n">
        <x:f>IF(AP30=0,0,AQ30/AP30-1)</x:f>
        <x:v>0.050388324735480605</x:v>
      </x:c>
      <x:c r="AR31" s="66" t="n">
        <x:f>IF(AQ30=0,0,AR30/AQ30-1)</x:f>
        <x:v>0.05033636249161688</x:v>
      </x:c>
      <x:c r="AS31" s="66" t="n">
        <x:f>IF(AR30=0,0,AS30/AR30-1)</x:f>
        <x:v>0.05030726761434545</x:v>
      </x:c>
      <x:c r="AT31" s="66" t="n">
        <x:f>IF(AS30=0,0,AT30/AS30-1)</x:f>
        <x:v>0.050300651795771145</x:v>
      </x:c>
      <x:c r="AU31" s="66" t="n">
        <x:f>IF(AT30=0,0,AU30/AT30-1)</x:f>
        <x:v>0.05031621608913639</x:v>
      </x:c>
      <x:c r="AV31" s="66" t="n">
        <x:f>IF(AU30=0,0,AV30/AU30-1)</x:f>
        <x:v>0.05035376612122877</x:v>
      </x:c>
      <x:c r="AW31" s="66" t="n">
        <x:f>IF(AV30=0,0,AW30/AV30-1)</x:f>
        <x:v>0.05014730876421902</x:v>
      </x:c>
      <x:c r="AX31" s="66" t="n">
        <x:f>IF(AW30=0,0,AX30/AW30-1)</x:f>
        <x:v>0.04799127734967934</x:v>
      </x:c>
      <x:c r="AY31" s="66" t="n">
        <x:f>IF(AX30=0,0,AY30/AX30-1)</x:f>
        <x:v>0.079221188166686</x:v>
      </x:c>
      <x:c r="AZ31" s="66" t="n">
        <x:f>IF(AY30=0,0,AZ30/AY30-1)</x:f>
        <x:v>0.04590581362327395</x:v>
      </x:c>
      <x:c r="BA31" s="66" t="n">
        <x:f>IF(AZ30=0,0,BA30/AZ30-1)</x:f>
        <x:v>0.045240197649419445</x:v>
      </x:c>
      <x:c r="BB31" s="66" t="n">
        <x:f>IF(BA30=0,0,BB30/BA30-1)</x:f>
        <x:v>0.04516169633567757</x:v>
      </x:c>
      <x:c r="BC31" s="66" t="n">
        <x:f>IF(BB30=0,0,BC30/BB30-1)</x:f>
        <x:v>0.044949914601659424</x:v>
      </x:c>
      <x:c r="BD31" s="66" t="n">
        <x:f>IF(BC30=0,0,BD30/BC30-1)</x:f>
        <x:v>0.04474622606908962</x:v>
      </x:c>
      <x:c r="BE31" s="66" t="n">
        <x:f>IF(BD30=0,0,BE30/BD30-1)</x:f>
        <x:v>0.04453455488738456</x:v>
      </x:c>
      <x:c r="BF31" s="66" t="n">
        <x:f>IF(BE30=0,0,BF30/BE30-1)</x:f>
        <x:v>0.044199770185946896</x:v>
      </x:c>
      <x:c r="BG31" s="66" t="n">
        <x:f>IF(BF30=0,0,BG30/BF30-1)</x:f>
        <x:v>0.04401695958429741</x:v>
      </x:c>
      <x:c r="BH31" s="66" t="n">
        <x:f>IF(BG30=0,0,BH30/BG30-1)</x:f>
        <x:v>0.04384275547527006</x:v>
      </x:c>
      <x:c r="BI31" s="66" t="n">
        <x:f>IF(BH30=0,0,BI30/BH30-1)</x:f>
        <x:v>0.043676576256454824</x:v>
      </x:c>
      <x:c r="BJ31" s="66" t="n">
        <x:f>IF(BI30=0,0,BJ30/BI30-1)</x:f>
        <x:v>0.04351808880730901</x:v>
      </x:c>
    </x:row>
    <x:row r="32">
      <x:c r="A32" t="str">
        <x:v>Ending ARR</x:v>
      </x:c>
      <x:c r="B32" t="str">
        <x:v>$</x:v>
      </x:c>
      <x:c r="C32" s="62" t="n">
        <x:f>C21*Assumptions!$G$33*C98</x:f>
        <x:v>0</x:v>
      </x:c>
      <x:c r="D32" s="62" t="n">
        <x:f>D21*Assumptions!$G$33*D98</x:f>
        <x:v>0</x:v>
      </x:c>
      <x:c r="E32" s="62" t="n">
        <x:f>E21*Assumptions!$G$33*E98</x:f>
        <x:v>0</x:v>
      </x:c>
      <x:c r="F32" s="62" t="n">
        <x:f>F21*Assumptions!$G$33*F98</x:f>
        <x:v>0</x:v>
      </x:c>
      <x:c r="G32" s="62" t="n">
        <x:f>G21*Assumptions!$G$33*G98</x:f>
        <x:v>0</x:v>
      </x:c>
      <x:c r="H32" s="62" t="n">
        <x:f>H21*Assumptions!$G$33*H98</x:f>
        <x:v>0</x:v>
      </x:c>
      <x:c r="I32" s="62" t="n">
        <x:f>I21*Assumptions!$G$33*I98</x:f>
        <x:v>0</x:v>
      </x:c>
      <x:c r="J32" s="62" t="n">
        <x:f>J21*Assumptions!$G$33*J98</x:f>
        <x:v>22680</x:v>
      </x:c>
      <x:c r="K32" s="62" t="n">
        <x:f>K21*Assumptions!$G$33*K98</x:f>
        <x:v>63858.49166591999</x:v>
      </x:c>
      <x:c r="L32" s="62" t="n">
        <x:f>L21*Assumptions!$G$33*L98</x:f>
        <x:v>107410.47805556055</x:v>
      </x:c>
      <x:c r="M32" s="62" t="n">
        <x:f>M21*Assumptions!$G$33*M98</x:f>
        <x:v>153528.85316256646</x:v>
      </x:c>
      <x:c r="N32" s="62" t="n">
        <x:f>N21*Assumptions!$G$33*N98</x:f>
        <x:v>202438.8198046058</x:v>
      </x:c>
      <x:c r="O32" s="62" t="n">
        <x:f>O21*Assumptions!$G$33*O98</x:f>
        <x:v>261990.02969858996</x:v>
      </x:c>
      <x:c r="P32" s="62" t="n">
        <x:f>P21*Assumptions!$G$33*P98</x:f>
        <x:v>318802.9957117831</x:v>
      </x:c>
      <x:c r="Q32" s="62" t="n">
        <x:f>Q21*Assumptions!$G$33*Q98</x:f>
        <x:v>379198.1267431724</x:v>
      </x:c>
      <x:c r="R32" s="62" t="n">
        <x:f>R21*Assumptions!$G$33*R98</x:f>
        <x:v>443426.66110586794</x:v>
      </x:c>
      <x:c r="S32" s="62" t="n">
        <x:f>S21*Assumptions!$G$33*S98</x:f>
        <x:v>511754.93709767703</x:v>
      </x:c>
      <x:c r="T32" s="62" t="n">
        <x:f>T21*Assumptions!$G$33*T98</x:f>
        <x:v>584468.3541818495</x:v>
      </x:c>
      <x:c r="U32" s="62" t="n">
        <x:f>U21*Assumptions!$G$33*U98</x:f>
        <x:v>661874.0953663422</x:v>
      </x:c>
      <x:c r="V32" s="62" t="n">
        <x:f>V21*Assumptions!$G$33*V98</x:f>
        <x:v>744303.1762236434</x:v>
      </x:c>
      <x:c r="W32" s="62" t="n">
        <x:f>W21*Assumptions!$G$33*W98</x:f>
        <x:v>832108.3060611396</x:v>
      </x:c>
      <x:c r="X32" s="62" t="n">
        <x:f>X21*Assumptions!$G$33*X98</x:f>
        <x:v>925666.6900041333</x:v>
      </x:c>
      <x:c r="Y32" s="62" t="n">
        <x:f>Y21*Assumptions!$G$33*Y98</x:f>
        <x:v>1025383.6570782609</x:v>
      </x:c>
      <x:c r="Z32" s="62" t="n">
        <x:f>Z21*Assumptions!$G$33*Z98</x:f>
        <x:v>1131694.990132093</x:v>
      </x:c>
      <x:c r="AA32" s="62" t="n">
        <x:f>AA21*Assumptions!$G$33*AA98</x:f>
        <x:v>1282421.5572364884</x:v>
      </x:c>
      <x:c r="AB32" s="62" t="n">
        <x:f>AB21*Assumptions!$G$33*AB98</x:f>
        <x:v>1406992.042960165</x:v>
      </x:c>
      <x:c r="AC32" s="62" t="n">
        <x:f>AC21*Assumptions!$G$33*AC98</x:f>
        <x:v>1539917.0678850506</x:v>
      </x:c>
      <x:c r="AD32" s="62" t="n">
        <x:f>AD21*Assumptions!$G$33*AD98</x:f>
        <x:v>1681799.9391940953</x:v>
      </x:c>
      <x:c r="AE32" s="62" t="n">
        <x:f>AE21*Assumptions!$G$33*AE98</x:f>
        <x:v>1833291.3486256949</x:v>
      </x:c>
      <x:c r="AF32" s="62" t="n">
        <x:f>AF21*Assumptions!$G$33*AF98</x:f>
        <x:v>1995093.6195054273</x:v>
      </x:c>
      <x:c r="AG32" s="62" t="n">
        <x:f>AG21*Assumptions!$G$33*AG98</x:f>
        <x:v>2167965.401164369</x:v>
      </x:c>
      <x:c r="AH32" s="62" t="n">
        <x:f>AH21*Assumptions!$G$33*AH98</x:f>
        <x:v>2350034.626611587</x:v>
      </x:c>
      <x:c r="AI32" s="62" t="n">
        <x:f>AI21*Assumptions!$G$33*AI98</x:f>
        <x:v>2539845.495966084</x:v>
      </x:c>
      <x:c r="AJ32" s="62" t="n">
        <x:f>AJ21*Assumptions!$G$33*AJ98</x:f>
        <x:v>2737813.210816866</x:v>
      </x:c>
      <x:c r="AK32" s="62" t="n">
        <x:f>AK21*Assumptions!$G$33*AK98</x:f>
        <x:v>2944373.651402864</x:v>
      </x:c>
      <x:c r="AL32" s="62" t="n">
        <x:f>AL21*Assumptions!$G$33*AL98</x:f>
        <x:v>3159980.4019373255</x:v>
      </x:c>
      <x:c r="AM32" s="62" t="n">
        <x:f>AM21*Assumptions!$G$33*AM98</x:f>
        <x:v>3486663.208578603</x:v>
      </x:c>
      <x:c r="AN32" s="62" t="n">
        <x:f>AN21*Assumptions!$G$33*AN98</x:f>
        <x:v>3728873.190859754</x:v>
      </x:c>
      <x:c r="AO32" s="62" t="n">
        <x:f>AO21*Assumptions!$G$33*AO98</x:f>
        <x:v>3981957.577564197</x:v>
      </x:c>
      <x:c r="AP32" s="62" t="n">
        <x:f>AP21*Assumptions!$G$33*AP98</x:f>
        <x:v>4246497.64095161</x:v>
      </x:c>
      <x:c r="AQ32" s="62" t="n">
        <x:f>AQ21*Assumptions!$G$33*AQ98</x:f>
        <x:v>4523110.194289167</x:v>
      </x:c>
      <x:c r="AR32" s="62" t="n">
        <x:f>AR21*Assumptions!$G$33*AR98</x:f>
        <x:v>4812450.318316019</x:v>
      </x:c>
      <x:c r="AS32" s="62" t="n">
        <x:f>AS21*Assumptions!$G$33*AS98</x:f>
        <x:v>5115214.6069611795</x:v>
      </x:c>
      <x:c r="AT32" s="62" t="n">
        <x:f>AT21*Assumptions!$G$33*AT98</x:f>
        <x:v>5432144.13707637</x:v>
      </x:c>
      <x:c r="AU32" s="62" t="n">
        <x:f>AU21*Assumptions!$G$33*AU98</x:f>
        <x:v>5764028.223723591</x:v>
      </x:c>
      <x:c r="AV32" s="62" t="n">
        <x:f>AV21*Assumptions!$G$33*AV98</x:f>
        <x:v>6111708.4035378555</x:v>
      </x:c>
      <x:c r="AW32" s="62" t="n">
        <x:f>AW21*Assumptions!$G$33*AW98</x:f>
        <x:v>6476082.583114849</x:v>
      </x:c>
      <x:c r="AX32" s="62" t="n">
        <x:f>AX21*Assumptions!$G$33*AX98</x:f>
        <x:v>6858109.574543583</x:v>
      </x:c>
      <x:c r="AY32" s="62" t="n">
        <x:f>AY21*Assumptions!$G$33*AY98</x:f>
        <x:v>7476578.483770499</x:v>
      </x:c>
      <x:c r="AZ32" s="62" t="n">
        <x:f>AZ21*Assumptions!$G$33*AZ98</x:f>
        <x:v>7909670.804278961</x:v>
      </x:c>
      <x:c r="BA32" s="62" t="n">
        <x:f>BA21*Assumptions!$G$33*BA98</x:f>
        <x:v>8364338.301645928</x:v>
      </x:c>
      <x:c r="BB32" s="62" t="n">
        <x:f>BB21*Assumptions!$G$33*BB98</x:f>
        <x:v>8841303.259506136</x:v>
      </x:c>
      <x:c r="BC32" s="62" t="n">
        <x:f>BC21*Assumptions!$G$33*BC98</x:f>
        <x:v>9336841.61474603</x:v>
      </x:c>
      <x:c r="BD32" s="62" t="n">
        <x:f>BD21*Assumptions!$G$33*BD98</x:f>
        <x:v>9851721.104477286</x:v>
      </x:c>
      <x:c r="BE32" s="62" t="n">
        <x:f>BE21*Assumptions!$G$33*BE98</x:f>
        <x:v>10386740.90303607</x:v>
      </x:c>
      <x:c r="BF32" s="62" t="n">
        <x:f>BF21*Assumptions!$G$33*BF98</x:f>
        <x:v>10942725.850095643</x:v>
      </x:c>
      <x:c r="BG32" s="62" t="n">
        <x:f>BG21*Assumptions!$G$33*BG98</x:f>
        <x:v>11520529.098594071</x:v>
      </x:c>
      <x:c r="BH32" s="62" t="n">
        <x:f>BH21*Assumptions!$G$33*BH98</x:f>
        <x:v>12121036.001254926</x:v>
      </x:c>
      <x:c r="BI32" s="62" t="n">
        <x:f>BI21*Assumptions!$G$33*BI98</x:f>
        <x:v>12745163.672954861</x:v>
      </x:c>
      <x:c r="BJ32" s="62" t="n">
        <x:f>BJ21*Assumptions!$G$33*BJ98</x:f>
        <x:v>13393864.366772616</x:v>
      </x:c>
    </x:row>
    <x:row r="34">
      <x:c r="A34" s="3" t="str">
        <x:v>Proof &amp; Capability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  <x:c r="BG34" s="3"/>
      <x:c r="BH34" s="3"/>
      <x:c r="BI34" s="3"/>
      <x:c r="BJ34" s="3"/>
    </x:row>
    <x:row r="35">
      <x:c r="A35" t="str">
        <x:v>Validated missions</x:v>
      </x:c>
      <x:c r="B35" t="str">
        <x:v>count</x:v>
      </x:c>
      <x:c r="C35" s="68" t="n">
        <x:f>(C16+C17+C18)*Assumptions!$G$23</x:f>
        <x:v>0</x:v>
      </x:c>
      <x:c r="D35" s="68" t="n">
        <x:f>(D16+D17+D18)*Assumptions!$G$23</x:f>
        <x:v>0</x:v>
      </x:c>
      <x:c r="E35" s="68" t="n">
        <x:f>(E16+E17+E18)*Assumptions!$G$23</x:f>
        <x:v>0.432</x:v>
      </x:c>
      <x:c r="F35" s="68" t="n">
        <x:f>(F16+F17+F18)*Assumptions!$G$23</x:f>
        <x:v>0.787952222208</x:v>
      </x:c>
      <x:c r="G35" s="68" t="n">
        <x:f>(G16+G17+G18)*Assumptions!$G$23</x:f>
        <x:v>0.9692979140353634</x:v>
      </x:c>
      <x:c r="H35" s="68" t="n">
        <x:f>(H16+H17+H18)*Assumptions!$G$23</x:f>
        <x:v>1.270120189026887</x:v>
      </x:c>
      <x:c r="I35" s="68" t="n">
        <x:f>(I16+I17+I18)*Assumptions!$G$23</x:f>
        <x:v>1.4600421567786435</x:v>
      </x:c>
      <x:c r="J35" s="68" t="n">
        <x:f>(J16+J17+J18)*Assumptions!$G$23</x:f>
        <x:v>1.5584454510099184</x:v>
      </x:c>
      <x:c r="K35" s="68" t="n">
        <x:f>(K16+K17+K18)*Assumptions!$G$23</x:f>
        <x:v>1.664361904113921</x:v>
      </x:c>
      <x:c r="L35" s="68" t="n">
        <x:f>(L16+L17+L18)*Assumptions!$G$23</x:f>
        <x:v>1.7782512029928939</x:v>
      </x:c>
      <x:c r="M35" s="68" t="n">
        <x:f>(M16+M17+M18)*Assumptions!$G$23</x:f>
        <x:v>1.9417288670323407</x:v>
      </x:c>
      <x:c r="N35" s="68" t="n">
        <x:f>(N16+N17+N18)*Assumptions!$G$23</x:f>
        <x:v>2.1064863938184324</x:v>
      </x:c>
      <x:c r="O35" s="68" t="n">
        <x:f>(O16+O17+O18)*Assumptions!$G$23</x:f>
        <x:v>2.251136759111163</x:v>
      </x:c>
      <x:c r="P35" s="68" t="n">
        <x:f>(P16+P17+P18)*Assumptions!$G$23</x:f>
        <x:v>2.405850715084452</x:v>
      </x:c>
      <x:c r="Q35" s="68" t="n">
        <x:f>(Q16+Q17+Q18)*Assumptions!$G$23</x:f>
        <x:v>2.571398159536114</x:v>
      </x:c>
      <x:c r="R35" s="68" t="n">
        <x:f>(R16+R17+R18)*Assumptions!$G$23</x:f>
        <x:v>2.748483121263593</x:v>
      </x:c>
      <x:c r="S35" s="68" t="n">
        <x:f>(S16+S17+S18)*Assumptions!$G$23</x:f>
        <x:v>2.9379211380549988</x:v>
      </x:c>
      <x:c r="T35" s="68" t="n">
        <x:f>(T16+T17+T18)*Assumptions!$G$23</x:f>
        <x:v>3.140608996520869</x:v>
      </x:c>
      <x:c r="U35" s="68" t="n">
        <x:f>(U16+U17+U18)*Assumptions!$G$23</x:f>
        <x:v>3.3574799931393535</x:v>
      </x:c>
      <x:c r="V35" s="68" t="n">
        <x:f>(V16+V17+V18)*Assumptions!$G$23</x:f>
        <x:v>3.5895779105577468</x:v>
      </x:c>
      <x:c r="W35" s="68" t="n">
        <x:f>(W16+W17+W18)*Assumptions!$G$23</x:f>
        <x:v>3.838047584100713</x:v>
      </x:c>
      <x:c r="X35" s="68" t="n">
        <x:f>(X16+X17+X18)*Assumptions!$G$23</x:f>
        <x:v>4.104132116650162</x:v>
      </x:c>
      <x:c r="Y35" s="68" t="n">
        <x:f>(Y16+Y17+Y18)*Assumptions!$G$23</x:f>
        <x:v>4.38918085535164</x:v>
      </x:c>
      <x:c r="Z35" s="68" t="n">
        <x:f>(Z16+Z17+Z18)*Assumptions!$G$23</x:f>
        <x:v>4.69465224613717</x:v>
      </x:c>
      <x:c r="AA35" s="68" t="n">
        <x:f>(AA16+AA17+AA18)*Assumptions!$G$23</x:f>
        <x:v>5.022133944728708</x:v>
      </x:c>
      <x:c r="AB35" s="68" t="n">
        <x:f>(AB16+AB17+AB18)*Assumptions!$G$23</x:f>
        <x:v>5.373357066804185</x:v>
      </x:c>
      <x:c r="AC35" s="68" t="n">
        <x:f>(AC16+AC17+AC18)*Assumptions!$G$23</x:f>
        <x:v>5.701871188029871</x:v>
      </x:c>
      <x:c r="AD35" s="68" t="n">
        <x:f>(AD16+AD17+AD18)*Assumptions!$G$23</x:f>
        <x:v>6.015597699040192</x:v>
      </x:c>
      <x:c r="AE35" s="68" t="n">
        <x:f>(AE16+AE17+AE18)*Assumptions!$G$23</x:f>
        <x:v>6.334203192779659</x:v>
      </x:c>
      <x:c r="AF35" s="68" t="n">
        <x:f>(AF16+AF17+AF18)*Assumptions!$G$23</x:f>
        <x:v>6.645277590707897</x:v>
      </x:c>
      <x:c r="AG35" s="68" t="n">
        <x:f>(AG16+AG17+AG18)*Assumptions!$G$23</x:f>
        <x:v>6.961601377488983</x:v>
      </x:c>
      <x:c r="AH35" s="68" t="n">
        <x:f>(AH16+AH17+AH18)*Assumptions!$G$23</x:f>
        <x:v>7.294553139600915</x:v>
      </x:c>
      <x:c r="AI35" s="68" t="n">
        <x:f>(AI16+AI17+AI18)*Assumptions!$G$23</x:f>
        <x:v>7.645033793445266</x:v>
      </x:c>
      <x:c r="AJ35" s="68" t="n">
        <x:f>(AJ16+AJ17+AJ18)*Assumptions!$G$23</x:f>
        <x:v>8.014009070851541</x:v>
      </x:c>
      <x:c r="AK35" s="68" t="n">
        <x:f>(AK16+AK17+AK18)*Assumptions!$G$23</x:f>
        <x:v>8.397936076883603</x:v>
      </x:c>
      <x:c r="AL35" s="68" t="n">
        <x:f>(AL16+AL17+AL18)*Assumptions!$G$23</x:f>
        <x:v>8.798562771724974</x:v>
      </x:c>
      <x:c r="AM35" s="68" t="n">
        <x:f>(AM16+AM17+AM18)*Assumptions!$G$23</x:f>
        <x:v>9.220238172331918</x:v>
      </x:c>
      <x:c r="AN35" s="68" t="n">
        <x:f>(AN16+AN17+AN18)*Assumptions!$G$23</x:f>
        <x:v>9.664245937024917</x:v>
      </x:c>
      <x:c r="AO35" s="68" t="n">
        <x:f>(AO16+AO17+AO18)*Assumptions!$G$23</x:f>
        <x:v>10.131951684863184</x:v>
      </x:c>
      <x:c r="AP35" s="68" t="n">
        <x:f>(AP16+AP17+AP18)*Assumptions!$G$23</x:f>
        <x:v>10.624837606152782</x:v>
      </x:c>
      <x:c r="AQ35" s="68" t="n">
        <x:f>(AQ16+AQ17+AQ18)*Assumptions!$G$23</x:f>
        <x:v>11.144506332338423</x:v>
      </x:c>
      <x:c r="AR35" s="68" t="n">
        <x:f>(AR16+AR17+AR18)*Assumptions!$G$23</x:f>
        <x:v>11.692684638655622</x:v>
      </x:c>
      <x:c r="AS35" s="68" t="n">
        <x:f>(AS16+AS17+AS18)*Assumptions!$G$23</x:f>
        <x:v>12.271239243694446</x:v>
      </x:c>
      <x:c r="AT35" s="68" t="n">
        <x:f>(AT16+AT17+AT18)*Assumptions!$G$23</x:f>
        <x:v>12.882184672820944</x:v>
      </x:c>
      <x:c r="AU35" s="68" t="n">
        <x:f>(AU16+AU17+AU18)*Assumptions!$G$23</x:f>
        <x:v>13.527696675128103</x:v>
      </x:c>
      <x:c r="AV35" s="68" t="n">
        <x:f>(AV16+AV17+AV18)*Assumptions!$G$23</x:f>
        <x:v>14.210127907736064</x:v>
      </x:c>
      <x:c r="AW35" s="68" t="n">
        <x:f>(AW16+AW17+AW18)*Assumptions!$G$23</x:f>
        <x:v>14.922334390649821</x:v>
      </x:c>
      <x:c r="AX35" s="68" t="n">
        <x:f>(AX16+AX17+AX18)*Assumptions!$G$23</x:f>
        <x:v>15.590158333489427</x:v>
      </x:c>
      <x:c r="AY35" s="68" t="n">
        <x:f>(AY16+AY17+AY18)*Assumptions!$G$23</x:f>
        <x:v>16.287254902311595</x:v>
      </x:c>
      <x:c r="AZ35" s="68" t="n">
        <x:f>(AZ16+AZ17+AZ18)*Assumptions!$G$23</x:f>
        <x:v>16.989248147104792</x:v>
      </x:c>
      <x:c r="BA35" s="68" t="n">
        <x:f>(BA16+BA17+BA18)*Assumptions!$G$23</x:f>
        <x:v>17.69540040993337</x:v>
      </x:c>
      <x:c r="BB35" s="68" t="n">
        <x:f>(BB16+BB17+BB18)*Assumptions!$G$23</x:f>
        <x:v>18.43078033018519</x:v>
      </x:c>
      <x:c r="BC35" s="68" t="n">
        <x:f>(BC16+BC17+BC18)*Assumptions!$G$23</x:f>
        <x:v>19.196555802543436</x:v>
      </x:c>
      <x:c r="BD35" s="68" t="n">
        <x:f>(BD16+BD17+BD18)*Assumptions!$G$23</x:f>
        <x:v>19.993887529128855</x:v>
      </x:c>
      <x:c r="BE35" s="68" t="n">
        <x:f>(BE16+BE17+BE18)*Assumptions!$G$23</x:f>
        <x:v>20.82311610598734</x:v>
      </x:c>
      <x:c r="BF35" s="68" t="n">
        <x:f>(BF16+BF17+BF18)*Assumptions!$G$23</x:f>
        <x:v>21.678219473045242</x:v>
      </x:c>
      <x:c r="BG35" s="68" t="n">
        <x:f>(BG16+BG17+BG18)*Assumptions!$G$23</x:f>
        <x:v>22.56768554080417</x:v>
      </x:c>
      <x:c r="BH35" s="68" t="n">
        <x:f>(BH16+BH17+BH18)*Assumptions!$G$23</x:f>
        <x:v>23.492884140277294</x:v>
      </x:c>
      <x:c r="BI35" s="68" t="n">
        <x:f>(BI16+BI17+BI18)*Assumptions!$G$23</x:f>
        <x:v>24.455225624116878</x:v>
      </x:c>
      <x:c r="BJ35" s="68" t="n">
        <x:f>(BJ16+BJ17+BJ18)*Assumptions!$G$23</x:f>
        <x:v>25.456181647243277</x:v>
      </x:c>
    </x:row>
    <x:row r="36">
      <x:c r="A36" t="str">
        <x:v>Cumulative validated cases</x:v>
      </x:c>
      <x:c r="B36" t="str">
        <x:v>count</x:v>
      </x:c>
      <x:c r="C36" s="68" t="n">
        <x:f>C35</x:f>
        <x:v>0</x:v>
      </x:c>
      <x:c r="D36" s="68" t="n">
        <x:f>C36+D35</x:f>
        <x:v>0</x:v>
      </x:c>
      <x:c r="E36" s="68" t="n">
        <x:f>D36+E35</x:f>
        <x:v>0.432</x:v>
      </x:c>
      <x:c r="F36" s="68" t="n">
        <x:f>E36+F35</x:f>
        <x:v>1.219952222208</x:v>
      </x:c>
      <x:c r="G36" s="68" t="n">
        <x:f>F36+G35</x:f>
        <x:v>2.189250136243363</x:v>
      </x:c>
      <x:c r="H36" s="68" t="n">
        <x:f>G36+H35</x:f>
        <x:v>3.45937032527025</x:v>
      </x:c>
      <x:c r="I36" s="68" t="n">
        <x:f>H36+I35</x:f>
        <x:v>4.919412482048894</x:v>
      </x:c>
      <x:c r="J36" s="68" t="n">
        <x:f>I36+J35</x:f>
        <x:v>6.477857933058812</x:v>
      </x:c>
      <x:c r="K36" s="68" t="n">
        <x:f>J36+K35</x:f>
        <x:v>8.142219837172732</x:v>
      </x:c>
      <x:c r="L36" s="68" t="n">
        <x:f>K36+L35</x:f>
        <x:v>9.920471040165626</x:v>
      </x:c>
      <x:c r="M36" s="68" t="n">
        <x:f>L36+M35</x:f>
        <x:v>11.862199907197967</x:v>
      </x:c>
      <x:c r="N36" s="68" t="n">
        <x:f>M36+N35</x:f>
        <x:v>13.9686863010164</x:v>
      </x:c>
      <x:c r="O36" s="68" t="n">
        <x:f>N36+O35</x:f>
        <x:v>16.219823060127563</x:v>
      </x:c>
      <x:c r="P36" s="68" t="n">
        <x:f>O36+P35</x:f>
        <x:v>18.625673775212015</x:v>
      </x:c>
      <x:c r="Q36" s="68" t="n">
        <x:f>P36+Q35</x:f>
        <x:v>21.197071934748127</x:v>
      </x:c>
      <x:c r="R36" s="68" t="n">
        <x:f>Q36+R35</x:f>
        <x:v>23.94555505601172</x:v>
      </x:c>
      <x:c r="S36" s="68" t="n">
        <x:f>R36+S35</x:f>
        <x:v>26.88347619406672</x:v>
      </x:c>
      <x:c r="T36" s="68" t="n">
        <x:f>S36+T35</x:f>
        <x:v>30.024085190587588</x:v>
      </x:c>
      <x:c r="U36" s="68" t="n">
        <x:f>T36+U35</x:f>
        <x:v>33.38156518372694</x:v>
      </x:c>
      <x:c r="V36" s="68" t="n">
        <x:f>U36+V35</x:f>
        <x:v>36.971143094284685</x:v>
      </x:c>
      <x:c r="W36" s="68" t="n">
        <x:f>V36+W35</x:f>
        <x:v>40.8091906783854</x:v>
      </x:c>
      <x:c r="X36" s="68" t="n">
        <x:f>W36+X35</x:f>
        <x:v>44.91332279503556</x:v>
      </x:c>
      <x:c r="Y36" s="68" t="n">
        <x:f>X36+Y35</x:f>
        <x:v>49.3025036503872</x:v>
      </x:c>
      <x:c r="Z36" s="68" t="n">
        <x:f>Y36+Z35</x:f>
        <x:v>53.99715589652437</x:v>
      </x:c>
      <x:c r="AA36" s="68" t="n">
        <x:f>Z36+AA35</x:f>
        <x:v>59.01928984125308</x:v>
      </x:c>
      <x:c r="AB36" s="68" t="n">
        <x:f>AA36+AB35</x:f>
        <x:v>64.39264690805726</x:v>
      </x:c>
      <x:c r="AC36" s="68" t="n">
        <x:f>AB36+AC35</x:f>
        <x:v>70.09451809608713</x:v>
      </x:c>
      <x:c r="AD36" s="68" t="n">
        <x:f>AC36+AD35</x:f>
        <x:v>76.11011579512731</x:v>
      </x:c>
      <x:c r="AE36" s="68" t="n">
        <x:f>AD36+AE35</x:f>
        <x:v>82.44431898790697</x:v>
      </x:c>
      <x:c r="AF36" s="68" t="n">
        <x:f>AE36+AF35</x:f>
        <x:v>89.08959657861486</x:v>
      </x:c>
      <x:c r="AG36" s="68" t="n">
        <x:f>AF36+AG35</x:f>
        <x:v>96.05119795610385</x:v>
      </x:c>
      <x:c r="AH36" s="68" t="n">
        <x:f>AG36+AH35</x:f>
        <x:v>103.34575109570477</x:v>
      </x:c>
      <x:c r="AI36" s="68" t="n">
        <x:f>AH36+AI35</x:f>
        <x:v>110.99078488915004</x:v>
      </x:c>
      <x:c r="AJ36" s="68" t="n">
        <x:f>AI36+AJ35</x:f>
        <x:v>119.00479396000158</x:v>
      </x:c>
      <x:c r="AK36" s="68" t="n">
        <x:f>AJ36+AK35</x:f>
        <x:v>127.40273003688517</x:v>
      </x:c>
      <x:c r="AL36" s="68" t="n">
        <x:f>AK36+AL35</x:f>
        <x:v>136.20129280861016</x:v>
      </x:c>
      <x:c r="AM36" s="68" t="n">
        <x:f>AL36+AM35</x:f>
        <x:v>145.42153098094207</x:v>
      </x:c>
      <x:c r="AN36" s="68" t="n">
        <x:f>AM36+AN35</x:f>
        <x:v>155.085776917967</x:v>
      </x:c>
      <x:c r="AO36" s="68" t="n">
        <x:f>AN36+AO35</x:f>
        <x:v>165.2177286028302</x:v>
      </x:c>
      <x:c r="AP36" s="68" t="n">
        <x:f>AO36+AP35</x:f>
        <x:v>175.842566208983</x:v>
      </x:c>
      <x:c r="AQ36" s="68" t="n">
        <x:f>AP36+AQ35</x:f>
        <x:v>186.98707254132142</x:v>
      </x:c>
      <x:c r="AR36" s="68" t="n">
        <x:f>AQ36+AR35</x:f>
        <x:v>198.67975717997706</x:v>
      </x:c>
      <x:c r="AS36" s="68" t="n">
        <x:f>AR36+AS35</x:f>
        <x:v>210.9509964236715</x:v>
      </x:c>
      <x:c r="AT36" s="68" t="n">
        <x:f>AS36+AT35</x:f>
        <x:v>223.83318109649247</x:v>
      </x:c>
      <x:c r="AU36" s="68" t="n">
        <x:f>AT36+AU35</x:f>
        <x:v>237.36087777162058</x:v>
      </x:c>
      <x:c r="AV36" s="68" t="n">
        <x:f>AU36+AV35</x:f>
        <x:v>251.57100567935663</x:v>
      </x:c>
      <x:c r="AW36" s="68" t="n">
        <x:f>AV36+AW35</x:f>
        <x:v>266.49334007000647</x:v>
      </x:c>
      <x:c r="AX36" s="68" t="n">
        <x:f>AW36+AX35</x:f>
        <x:v>282.0834984034959</x:v>
      </x:c>
      <x:c r="AY36" s="68" t="n">
        <x:f>AX36+AY35</x:f>
        <x:v>298.3707533058075</x:v>
      </x:c>
      <x:c r="AZ36" s="68" t="n">
        <x:f>AY36+AZ35</x:f>
        <x:v>315.3600014529123</x:v>
      </x:c>
      <x:c r="BA36" s="68" t="n">
        <x:f>AZ36+BA35</x:f>
        <x:v>333.05540186284566</x:v>
      </x:c>
      <x:c r="BB36" s="68" t="n">
        <x:f>BA36+BB35</x:f>
        <x:v>351.48618219303086</x:v>
      </x:c>
      <x:c r="BC36" s="68" t="n">
        <x:f>BB36+BC35</x:f>
        <x:v>370.6827379955743</x:v>
      </x:c>
      <x:c r="BD36" s="68" t="n">
        <x:f>BC36+BD35</x:f>
        <x:v>390.6766255247032</x:v>
      </x:c>
      <x:c r="BE36" s="68" t="n">
        <x:f>BD36+BE35</x:f>
        <x:v>411.49974163069055</x:v>
      </x:c>
      <x:c r="BF36" s="68" t="n">
        <x:f>BE36+BF35</x:f>
        <x:v>433.1779611037358</x:v>
      </x:c>
      <x:c r="BG36" s="68" t="n">
        <x:f>BF36+BG35</x:f>
        <x:v>455.74564664454</x:v>
      </x:c>
      <x:c r="BH36" s="68" t="n">
        <x:f>BG36+BH35</x:f>
        <x:v>479.23853078481727</x:v>
      </x:c>
      <x:c r="BI36" s="68" t="n">
        <x:f>BH36+BI35</x:f>
        <x:v>503.6937564089342</x:v>
      </x:c>
      <x:c r="BJ36" s="68" t="n">
        <x:f>BI36+BJ35</x:f>
        <x:v>529.1499380561775</x:v>
      </x:c>
    </x:row>
    <x:row r="37">
      <x:c r="A37" t="str">
        <x:v>Proof-driven conversion lift</x:v>
      </x:c>
      <x:c r="B37" t="str">
        <x:v>percentage points</x:v>
      </x:c>
      <x:c r="C37" s="66" t="n">
        <x:f>MIN(Assumptions!$G$25,C36*Assumptions!$G$24)</x:f>
        <x:v>0</x:v>
      </x:c>
      <x:c r="D37" s="66" t="n">
        <x:f>MIN(Assumptions!$G$25,D36*Assumptions!$G$24)</x:f>
        <x:v>0</x:v>
      </x:c>
      <x:c r="E37" s="66" t="n">
        <x:f>MIN(Assumptions!$G$25,E36*Assumptions!$G$24)</x:f>
        <x:v>0.0001728</x:v>
      </x:c>
      <x:c r="F37" s="66" t="n">
        <x:f>MIN(Assumptions!$G$25,F36*Assumptions!$G$24)</x:f>
        <x:v>0.0004879808888832</x:v>
      </x:c>
      <x:c r="G37" s="66" t="n">
        <x:f>MIN(Assumptions!$G$25,G36*Assumptions!$G$24)</x:f>
        <x:v>0.0008757000544973453</x:v>
      </x:c>
      <x:c r="H37" s="66" t="n">
        <x:f>MIN(Assumptions!$G$25,H36*Assumptions!$G$24)</x:f>
        <x:v>0.0013837481301081</x:v>
      </x:c>
      <x:c r="I37" s="66" t="n">
        <x:f>MIN(Assumptions!$G$25,I36*Assumptions!$G$24)</x:f>
        <x:v>0.0019677649928195574</x:v>
      </x:c>
      <x:c r="J37" s="66" t="n">
        <x:f>MIN(Assumptions!$G$25,J36*Assumptions!$G$24)</x:f>
        <x:v>0.0025911431732235247</x:v>
      </x:c>
      <x:c r="K37" s="66" t="n">
        <x:f>MIN(Assumptions!$G$25,K36*Assumptions!$G$24)</x:f>
        <x:v>0.0032568879348690927</x:v>
      </x:c>
      <x:c r="L37" s="66" t="n">
        <x:f>MIN(Assumptions!$G$25,L36*Assumptions!$G$24)</x:f>
        <x:v>0.003968188416066251</x:v>
      </x:c>
      <x:c r="M37" s="66" t="n">
        <x:f>MIN(Assumptions!$G$25,M36*Assumptions!$G$24)</x:f>
        <x:v>0.0047448799628791866</x:v>
      </x:c>
      <x:c r="N37" s="66" t="n">
        <x:f>MIN(Assumptions!$G$25,N36*Assumptions!$G$24)</x:f>
        <x:v>0.00558747452040656</x:v>
      </x:c>
      <x:c r="O37" s="66" t="n">
        <x:f>MIN(Assumptions!$G$25,O36*Assumptions!$G$24)</x:f>
        <x:v>0.006487929224051026</x:v>
      </x:c>
      <x:c r="P37" s="66" t="n">
        <x:f>MIN(Assumptions!$G$25,P36*Assumptions!$G$24)</x:f>
        <x:v>0.007450269510084806</x:v>
      </x:c>
      <x:c r="Q37" s="66" t="n">
        <x:f>MIN(Assumptions!$G$25,Q36*Assumptions!$G$24)</x:f>
        <x:v>0.008478828773899251</x:v>
      </x:c>
      <x:c r="R37" s="66" t="n">
        <x:f>MIN(Assumptions!$G$25,R36*Assumptions!$G$24)</x:f>
        <x:v>0.009578222022404688</x:v>
      </x:c>
      <x:c r="S37" s="66" t="n">
        <x:f>MIN(Assumptions!$G$25,S36*Assumptions!$G$24)</x:f>
        <x:v>0.010753390477626688</x:v>
      </x:c>
      <x:c r="T37" s="66" t="n">
        <x:f>MIN(Assumptions!$G$25,T36*Assumptions!$G$24)</x:f>
        <x:v>0.012009634076235036</x:v>
      </x:c>
      <x:c r="U37" s="66" t="n">
        <x:f>MIN(Assumptions!$G$25,U36*Assumptions!$G$24)</x:f>
        <x:v>0.013352626073490777</x:v>
      </x:c>
      <x:c r="V37" s="66" t="n">
        <x:f>MIN(Assumptions!$G$25,V36*Assumptions!$G$24)</x:f>
        <x:v>0.014788457237713874</x:v>
      </x:c>
      <x:c r="W37" s="66" t="n">
        <x:f>MIN(Assumptions!$G$25,W36*Assumptions!$G$24)</x:f>
        <x:v>0.01632367627135416</x:v>
      </x:c>
      <x:c r="X37" s="66" t="n">
        <x:f>MIN(Assumptions!$G$25,X36*Assumptions!$G$24)</x:f>
        <x:v>0.017965329118014225</x:v>
      </x:c>
      <x:c r="Y37" s="66" t="n">
        <x:f>MIN(Assumptions!$G$25,Y36*Assumptions!$G$24)</x:f>
        <x:v>0.01972100146015488</x:v>
      </x:c>
      <x:c r="Z37" s="66" t="n">
        <x:f>MIN(Assumptions!$G$25,Z36*Assumptions!$G$24)</x:f>
        <x:v>0.02159886235860975</x:v>
      </x:c>
      <x:c r="AA37" s="66" t="n">
        <x:f>MIN(Assumptions!$G$25,AA36*Assumptions!$G$24)</x:f>
        <x:v>0.023607715936501232</x:v>
      </x:c>
      <x:c r="AB37" s="66" t="n">
        <x:f>MIN(Assumptions!$G$25,AB36*Assumptions!$G$24)</x:f>
        <x:v>0.025757058763222904</x:v>
      </x:c>
      <x:c r="AC37" s="66" t="n">
        <x:f>MIN(Assumptions!$G$25,AC36*Assumptions!$G$24)</x:f>
        <x:v>0.028037807238434853</x:v>
      </x:c>
      <x:c r="AD37" s="66" t="n">
        <x:f>MIN(Assumptions!$G$25,AD36*Assumptions!$G$24)</x:f>
        <x:v>0.030444046318050928</x:v>
      </x:c>
      <x:c r="AE37" s="66" t="n">
        <x:f>MIN(Assumptions!$G$25,AE36*Assumptions!$G$24)</x:f>
        <x:v>0.032977727595162785</x:v>
      </x:c>
      <x:c r="AF37" s="66" t="n">
        <x:f>MIN(Assumptions!$G$25,AF36*Assumptions!$G$24)</x:f>
        <x:v>0.03563583863144595</x:v>
      </x:c>
      <x:c r="AG37" s="66" t="n">
        <x:f>MIN(Assumptions!$G$25,AG36*Assumptions!$G$24)</x:f>
        <x:v>0.03842047918244154</x:v>
      </x:c>
      <x:c r="AH37" s="66" t="n">
        <x:f>MIN(Assumptions!$G$25,AH36*Assumptions!$G$24)</x:f>
        <x:v>0.04133830043828191</x:v>
      </x:c>
      <x:c r="AI37" s="66" t="n">
        <x:f>MIN(Assumptions!$G$25,AI36*Assumptions!$G$24)</x:f>
        <x:v>0.044396313955660016</x:v>
      </x:c>
      <x:c r="AJ37" s="66" t="n">
        <x:f>MIN(Assumptions!$G$25,AJ36*Assumptions!$G$24)</x:f>
        <x:v>0.04760191758400063</x:v>
      </x:c>
      <x:c r="AK37" s="66" t="n">
        <x:f>MIN(Assumptions!$G$25,AK36*Assumptions!$G$24)</x:f>
        <x:v>0.05096109201475407</x:v>
      </x:c>
      <x:c r="AL37" s="66" t="n">
        <x:f>MIN(Assumptions!$G$25,AL36*Assumptions!$G$24)</x:f>
        <x:v>0.05448051712344407</x:v>
      </x:c>
      <x:c r="AM37" s="66" t="n">
        <x:f>MIN(Assumptions!$G$25,AM36*Assumptions!$G$24)</x:f>
        <x:v>0.05816861239237683</x:v>
      </x:c>
      <x:c r="AN37" s="66" t="n">
        <x:f>MIN(Assumptions!$G$25,AN36*Assumptions!$G$24)</x:f>
        <x:v>0.0620343107671868</x:v>
      </x:c>
      <x:c r="AO37" s="66" t="n">
        <x:f>MIN(Assumptions!$G$25,AO36*Assumptions!$G$24)</x:f>
        <x:v>0.06608709144113208</x:v>
      </x:c>
      <x:c r="AP37" s="66" t="n">
        <x:f>MIN(Assumptions!$G$25,AP36*Assumptions!$G$24)</x:f>
        <x:v>0.0703370264835932</x:v>
      </x:c>
      <x:c r="AQ37" s="66" t="n">
        <x:f>MIN(Assumptions!$G$25,AQ36*Assumptions!$G$24)</x:f>
        <x:v>0.07479482901652858</x:v>
      </x:c>
      <x:c r="AR37" s="66" t="n">
        <x:f>MIN(Assumptions!$G$25,AR36*Assumptions!$G$24)</x:f>
        <x:v>0.07947190287199082</x:v>
      </x:c>
      <x:c r="AS37" s="66" t="n">
        <x:f>MIN(Assumptions!$G$25,AS36*Assumptions!$G$24)</x:f>
        <x:v>0.0843803985694686</x:v>
      </x:c>
      <x:c r="AT37" s="66" t="n">
        <x:f>MIN(Assumptions!$G$25,AT36*Assumptions!$G$24)</x:f>
        <x:v>0.08953327243859699</x:v>
      </x:c>
      <x:c r="AU37" s="66" t="n">
        <x:f>MIN(Assumptions!$G$25,AU36*Assumptions!$G$24)</x:f>
        <x:v>0.09494435110864824</x:v>
      </x:c>
      <x:c r="AV37" s="66" t="n">
        <x:f>MIN(Assumptions!$G$25,AV36*Assumptions!$G$24)</x:f>
        <x:v>0.1</x:v>
      </x:c>
      <x:c r="AW37" s="66" t="n">
        <x:f>MIN(Assumptions!$G$25,AW36*Assumptions!$G$24)</x:f>
        <x:v>0.1</x:v>
      </x:c>
      <x:c r="AX37" s="66" t="n">
        <x:f>MIN(Assumptions!$G$25,AX36*Assumptions!$G$24)</x:f>
        <x:v>0.1</x:v>
      </x:c>
      <x:c r="AY37" s="66" t="n">
        <x:f>MIN(Assumptions!$G$25,AY36*Assumptions!$G$24)</x:f>
        <x:v>0.1</x:v>
      </x:c>
      <x:c r="AZ37" s="66" t="n">
        <x:f>MIN(Assumptions!$G$25,AZ36*Assumptions!$G$24)</x:f>
        <x:v>0.1</x:v>
      </x:c>
      <x:c r="BA37" s="66" t="n">
        <x:f>MIN(Assumptions!$G$25,BA36*Assumptions!$G$24)</x:f>
        <x:v>0.1</x:v>
      </x:c>
      <x:c r="BB37" s="66" t="n">
        <x:f>MIN(Assumptions!$G$25,BB36*Assumptions!$G$24)</x:f>
        <x:v>0.1</x:v>
      </x:c>
      <x:c r="BC37" s="66" t="n">
        <x:f>MIN(Assumptions!$G$25,BC36*Assumptions!$G$24)</x:f>
        <x:v>0.1</x:v>
      </x:c>
      <x:c r="BD37" s="66" t="n">
        <x:f>MIN(Assumptions!$G$25,BD36*Assumptions!$G$24)</x:f>
        <x:v>0.1</x:v>
      </x:c>
      <x:c r="BE37" s="66" t="n">
        <x:f>MIN(Assumptions!$G$25,BE36*Assumptions!$G$24)</x:f>
        <x:v>0.1</x:v>
      </x:c>
      <x:c r="BF37" s="66" t="n">
        <x:f>MIN(Assumptions!$G$25,BF36*Assumptions!$G$24)</x:f>
        <x:v>0.1</x:v>
      </x:c>
      <x:c r="BG37" s="66" t="n">
        <x:f>MIN(Assumptions!$G$25,BG36*Assumptions!$G$24)</x:f>
        <x:v>0.1</x:v>
      </x:c>
      <x:c r="BH37" s="66" t="n">
        <x:f>MIN(Assumptions!$G$25,BH36*Assumptions!$G$24)</x:f>
        <x:v>0.1</x:v>
      </x:c>
      <x:c r="BI37" s="66" t="n">
        <x:f>MIN(Assumptions!$G$25,BI36*Assumptions!$G$24)</x:f>
        <x:v>0.1</x:v>
      </x:c>
      <x:c r="BJ37" s="66" t="n">
        <x:f>MIN(Assumptions!$G$25,BJ36*Assumptions!$G$24)</x:f>
        <x:v>0.1</x:v>
      </x:c>
    </x:row>
    <x:row r="38">
      <x:c r="A38" t="str">
        <x:v>Delivery efficiency gain</x:v>
      </x:c>
      <x:c r="B38" t="str">
        <x:v>%</x:v>
      </x:c>
      <x:c r="C38" s="66" t="n">
        <x:f>MIN(Assumptions!$G$47,C36*Assumptions!$G$46)</x:f>
        <x:v>0</x:v>
      </x:c>
      <x:c r="D38" s="66" t="n">
        <x:f>MIN(Assumptions!$G$47,D36*Assumptions!$G$46)</x:f>
        <x:v>0</x:v>
      </x:c>
      <x:c r="E38" s="66" t="n">
        <x:f>MIN(Assumptions!$G$47,E36*Assumptions!$G$46)</x:f>
        <x:v>0.00216</x:v>
      </x:c>
      <x:c r="F38" s="66" t="n">
        <x:f>MIN(Assumptions!$G$47,F36*Assumptions!$G$46)</x:f>
        <x:v>0.00609976111104</x:v>
      </x:c>
      <x:c r="G38" s="66" t="n">
        <x:f>MIN(Assumptions!$G$47,G36*Assumptions!$G$46)</x:f>
        <x:v>0.010946250681216817</x:v>
      </x:c>
      <x:c r="H38" s="66" t="n">
        <x:f>MIN(Assumptions!$G$47,H36*Assumptions!$G$46)</x:f>
        <x:v>0.01729685162635125</x:v>
      </x:c>
      <x:c r="I38" s="66" t="n">
        <x:f>MIN(Assumptions!$G$47,I36*Assumptions!$G$46)</x:f>
        <x:v>0.02459706241024447</x:v>
      </x:c>
      <x:c r="J38" s="66" t="n">
        <x:f>MIN(Assumptions!$G$47,J36*Assumptions!$G$46)</x:f>
        <x:v>0.03238928966529406</x:v>
      </x:c>
      <x:c r="K38" s="66" t="n">
        <x:f>MIN(Assumptions!$G$47,K36*Assumptions!$G$46)</x:f>
        <x:v>0.04071109918586366</x:v>
      </x:c>
      <x:c r="L38" s="66" t="n">
        <x:f>MIN(Assumptions!$G$47,L36*Assumptions!$G$46)</x:f>
        <x:v>0.04960235520082813</x:v>
      </x:c>
      <x:c r="M38" s="66" t="n">
        <x:f>MIN(Assumptions!$G$47,M36*Assumptions!$G$46)</x:f>
        <x:v>0.05931099953598984</x:v>
      </x:c>
      <x:c r="N38" s="66" t="n">
        <x:f>MIN(Assumptions!$G$47,N36*Assumptions!$G$46)</x:f>
        <x:v>0.069843431505082</x:v>
      </x:c>
      <x:c r="O38" s="66" t="n">
        <x:f>MIN(Assumptions!$G$47,O36*Assumptions!$G$46)</x:f>
        <x:v>0.08109911530063782</x:v>
      </x:c>
      <x:c r="P38" s="66" t="n">
        <x:f>MIN(Assumptions!$G$47,P36*Assumptions!$G$46)</x:f>
        <x:v>0.09312836887606007</x:v>
      </x:c>
      <x:c r="Q38" s="66" t="n">
        <x:f>MIN(Assumptions!$G$47,Q36*Assumptions!$G$46)</x:f>
        <x:v>0.10598535967374063</x:v>
      </x:c>
      <x:c r="R38" s="66" t="n">
        <x:f>MIN(Assumptions!$G$47,R36*Assumptions!$G$46)</x:f>
        <x:v>0.11972777528005861</x:v>
      </x:c>
      <x:c r="S38" s="66" t="n">
        <x:f>MIN(Assumptions!$G$47,S36*Assumptions!$G$46)</x:f>
        <x:v>0.1344173809703336</x:v>
      </x:c>
      <x:c r="T38" s="66" t="n">
        <x:f>MIN(Assumptions!$G$47,T36*Assumptions!$G$46)</x:f>
        <x:v>0.15012042595293795</x:v>
      </x:c>
      <x:c r="U38" s="66" t="n">
        <x:f>MIN(Assumptions!$G$47,U36*Assumptions!$G$46)</x:f>
        <x:v>0.1669078259186347</x:v>
      </x:c>
      <x:c r="V38" s="66" t="n">
        <x:f>MIN(Assumptions!$G$47,V36*Assumptions!$G$46)</x:f>
        <x:v>0.18485571547142343</x:v>
      </x:c>
      <x:c r="W38" s="66" t="n">
        <x:f>MIN(Assumptions!$G$47,W36*Assumptions!$G$46)</x:f>
        <x:v>0.204045953391927</x:v>
      </x:c>
      <x:c r="X38" s="66" t="n">
        <x:f>MIN(Assumptions!$G$47,X36*Assumptions!$G$46)</x:f>
        <x:v>0.22456661397517783</x:v>
      </x:c>
      <x:c r="Y38" s="66" t="n">
        <x:f>MIN(Assumptions!$G$47,Y36*Assumptions!$G$46)</x:f>
        <x:v>0.246512518251936</x:v>
      </x:c>
      <x:c r="Z38" s="66" t="n">
        <x:f>MIN(Assumptions!$G$47,Z36*Assumptions!$G$46)</x:f>
        <x:v>0.26998577948262187</x:v>
      </x:c>
      <x:c r="AA38" s="66" t="n">
        <x:f>MIN(Assumptions!$G$47,AA36*Assumptions!$G$46)</x:f>
        <x:v>0.2950964492062654</x:v>
      </x:c>
      <x:c r="AB38" s="66" t="n">
        <x:f>MIN(Assumptions!$G$47,AB36*Assumptions!$G$46)</x:f>
        <x:v>0.3219632345402863</x:v>
      </x:c>
      <x:c r="AC38" s="66" t="n">
        <x:f>MIN(Assumptions!$G$47,AC36*Assumptions!$G$46)</x:f>
        <x:v>0.35</x:v>
      </x:c>
      <x:c r="AD38" s="66" t="n">
        <x:f>MIN(Assumptions!$G$47,AD36*Assumptions!$G$46)</x:f>
        <x:v>0.35</x:v>
      </x:c>
      <x:c r="AE38" s="66" t="n">
        <x:f>MIN(Assumptions!$G$47,AE36*Assumptions!$G$46)</x:f>
        <x:v>0.35</x:v>
      </x:c>
      <x:c r="AF38" s="66" t="n">
        <x:f>MIN(Assumptions!$G$47,AF36*Assumptions!$G$46)</x:f>
        <x:v>0.35</x:v>
      </x:c>
      <x:c r="AG38" s="66" t="n">
        <x:f>MIN(Assumptions!$G$47,AG36*Assumptions!$G$46)</x:f>
        <x:v>0.35</x:v>
      </x:c>
      <x:c r="AH38" s="66" t="n">
        <x:f>MIN(Assumptions!$G$47,AH36*Assumptions!$G$46)</x:f>
        <x:v>0.35</x:v>
      </x:c>
      <x:c r="AI38" s="66" t="n">
        <x:f>MIN(Assumptions!$G$47,AI36*Assumptions!$G$46)</x:f>
        <x:v>0.35</x:v>
      </x:c>
      <x:c r="AJ38" s="66" t="n">
        <x:f>MIN(Assumptions!$G$47,AJ36*Assumptions!$G$46)</x:f>
        <x:v>0.35</x:v>
      </x:c>
      <x:c r="AK38" s="66" t="n">
        <x:f>MIN(Assumptions!$G$47,AK36*Assumptions!$G$46)</x:f>
        <x:v>0.35</x:v>
      </x:c>
      <x:c r="AL38" s="66" t="n">
        <x:f>MIN(Assumptions!$G$47,AL36*Assumptions!$G$46)</x:f>
        <x:v>0.35</x:v>
      </x:c>
      <x:c r="AM38" s="66" t="n">
        <x:f>MIN(Assumptions!$G$47,AM36*Assumptions!$G$46)</x:f>
        <x:v>0.35</x:v>
      </x:c>
      <x:c r="AN38" s="66" t="n">
        <x:f>MIN(Assumptions!$G$47,AN36*Assumptions!$G$46)</x:f>
        <x:v>0.35</x:v>
      </x:c>
      <x:c r="AO38" s="66" t="n">
        <x:f>MIN(Assumptions!$G$47,AO36*Assumptions!$G$46)</x:f>
        <x:v>0.35</x:v>
      </x:c>
      <x:c r="AP38" s="66" t="n">
        <x:f>MIN(Assumptions!$G$47,AP36*Assumptions!$G$46)</x:f>
        <x:v>0.35</x:v>
      </x:c>
      <x:c r="AQ38" s="66" t="n">
        <x:f>MIN(Assumptions!$G$47,AQ36*Assumptions!$G$46)</x:f>
        <x:v>0.35</x:v>
      </x:c>
      <x:c r="AR38" s="66" t="n">
        <x:f>MIN(Assumptions!$G$47,AR36*Assumptions!$G$46)</x:f>
        <x:v>0.35</x:v>
      </x:c>
      <x:c r="AS38" s="66" t="n">
        <x:f>MIN(Assumptions!$G$47,AS36*Assumptions!$G$46)</x:f>
        <x:v>0.35</x:v>
      </x:c>
      <x:c r="AT38" s="66" t="n">
        <x:f>MIN(Assumptions!$G$47,AT36*Assumptions!$G$46)</x:f>
        <x:v>0.35</x:v>
      </x:c>
      <x:c r="AU38" s="66" t="n">
        <x:f>MIN(Assumptions!$G$47,AU36*Assumptions!$G$46)</x:f>
        <x:v>0.35</x:v>
      </x:c>
      <x:c r="AV38" s="66" t="n">
        <x:f>MIN(Assumptions!$G$47,AV36*Assumptions!$G$46)</x:f>
        <x:v>0.35</x:v>
      </x:c>
      <x:c r="AW38" s="66" t="n">
        <x:f>MIN(Assumptions!$G$47,AW36*Assumptions!$G$46)</x:f>
        <x:v>0.35</x:v>
      </x:c>
      <x:c r="AX38" s="66" t="n">
        <x:f>MIN(Assumptions!$G$47,AX36*Assumptions!$G$46)</x:f>
        <x:v>0.35</x:v>
      </x:c>
      <x:c r="AY38" s="66" t="n">
        <x:f>MIN(Assumptions!$G$47,AY36*Assumptions!$G$46)</x:f>
        <x:v>0.35</x:v>
      </x:c>
      <x:c r="AZ38" s="66" t="n">
        <x:f>MIN(Assumptions!$G$47,AZ36*Assumptions!$G$46)</x:f>
        <x:v>0.35</x:v>
      </x:c>
      <x:c r="BA38" s="66" t="n">
        <x:f>MIN(Assumptions!$G$47,BA36*Assumptions!$G$46)</x:f>
        <x:v>0.35</x:v>
      </x:c>
      <x:c r="BB38" s="66" t="n">
        <x:f>MIN(Assumptions!$G$47,BB36*Assumptions!$G$46)</x:f>
        <x:v>0.35</x:v>
      </x:c>
      <x:c r="BC38" s="66" t="n">
        <x:f>MIN(Assumptions!$G$47,BC36*Assumptions!$G$46)</x:f>
        <x:v>0.35</x:v>
      </x:c>
      <x:c r="BD38" s="66" t="n">
        <x:f>MIN(Assumptions!$G$47,BD36*Assumptions!$G$46)</x:f>
        <x:v>0.35</x:v>
      </x:c>
      <x:c r="BE38" s="66" t="n">
        <x:f>MIN(Assumptions!$G$47,BE36*Assumptions!$G$46)</x:f>
        <x:v>0.35</x:v>
      </x:c>
      <x:c r="BF38" s="66" t="n">
        <x:f>MIN(Assumptions!$G$47,BF36*Assumptions!$G$46)</x:f>
        <x:v>0.35</x:v>
      </x:c>
      <x:c r="BG38" s="66" t="n">
        <x:f>MIN(Assumptions!$G$47,BG36*Assumptions!$G$46)</x:f>
        <x:v>0.35</x:v>
      </x:c>
      <x:c r="BH38" s="66" t="n">
        <x:f>MIN(Assumptions!$G$47,BH36*Assumptions!$G$46)</x:f>
        <x:v>0.35</x:v>
      </x:c>
      <x:c r="BI38" s="66" t="n">
        <x:f>MIN(Assumptions!$G$47,BI36*Assumptions!$G$46)</x:f>
        <x:v>0.35</x:v>
      </x:c>
      <x:c r="BJ38" s="66" t="n">
        <x:f>MIN(Assumptions!$G$47,BJ36*Assumptions!$G$46)</x:f>
        <x:v>0.35</x:v>
      </x:c>
    </x:row>
    <x:row r="40">
      <x:c r="A40" s="3" t="str">
        <x:v>COGS &amp; Gross Profit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  <x:c r="BG40" s="3"/>
      <x:c r="BH40" s="3"/>
      <x:c r="BI40" s="3"/>
      <x:c r="BJ40" s="3"/>
    </x:row>
    <x:row r="41">
      <x:c r="A41" t="str">
        <x:v>Compute + independent review</x:v>
      </x:c>
      <x:c r="B41" t="str">
        <x:v>$</x:v>
      </x:c>
      <x:c r="C41" s="62" t="n">
        <x:f>C13*Assumptions!$G$48+C14*Assumptions!$G$49+C16*Assumptions!$G$50+C17*Assumptions!$G$51+C18*Assumptions!$G$52+C21*Assumptions!$G$53</x:f>
        <x:v>0</x:v>
      </x:c>
      <x:c r="D41" s="62" t="n">
        <x:f>D13*Assumptions!$G$48+D14*Assumptions!$G$49+D16*Assumptions!$G$50+D17*Assumptions!$G$51+D18*Assumptions!$G$52+D21*Assumptions!$G$53</x:f>
        <x:v>2000</x:v>
      </x:c>
      <x:c r="E41" s="62" t="n">
        <x:f>E13*Assumptions!$G$48+E14*Assumptions!$G$49+E16*Assumptions!$G$50+E17*Assumptions!$G$51+E18*Assumptions!$G$52+E21*Assumptions!$G$53</x:f>
        <x:v>6822</x:v>
      </x:c>
      <x:c r="F41" s="62" t="n">
        <x:f>F13*Assumptions!$G$48+F14*Assumptions!$G$49+F16*Assumptions!$G$50+F17*Assumptions!$G$51+F18*Assumptions!$G$52+F21*Assumptions!$G$53</x:f>
        <x:v>9997.6985184</x:v>
      </x:c>
      <x:c r="G41" s="62" t="n">
        <x:f>G13*Assumptions!$G$48+G14*Assumptions!$G$49+G16*Assumptions!$G$50+G17*Assumptions!$G$51+G18*Assumptions!$G$52+G21*Assumptions!$G$53</x:f>
        <x:v>14686.374766961362</x:v>
      </x:c>
      <x:c r="H41" s="62" t="n">
        <x:f>H13*Assumptions!$G$48+H14*Assumptions!$G$49+H16*Assumptions!$G$50+H17*Assumptions!$G$51+H18*Assumptions!$G$52+H21*Assumptions!$G$53</x:f>
        <x:v>19484.841401039754</x:v>
      </x:c>
      <x:c r="I41" s="62" t="n">
        <x:f>I13*Assumptions!$G$48+I14*Assumptions!$G$49+I16*Assumptions!$G$50+I17*Assumptions!$G$51+I18*Assumptions!$G$52+I21*Assumptions!$G$53</x:f>
        <x:v>21365.536252159014</x:v>
      </x:c>
      <x:c r="J41" s="62" t="n">
        <x:f>J13*Assumptions!$G$48+J14*Assumptions!$G$49+J16*Assumptions!$G$50+J17*Assumptions!$G$51+J18*Assumptions!$G$52+J21*Assumptions!$G$53</x:f>
        <x:v>22981.785403327336</x:v>
      </x:c>
      <x:c r="K41" s="62" t="n">
        <x:f>K13*Assumptions!$G$48+K14*Assumptions!$G$49+K16*Assumptions!$G$50+K17*Assumptions!$G$51+K18*Assumptions!$G$52+K21*Assumptions!$G$53</x:f>
        <x:v>24856.62305165642</x:v>
      </x:c>
      <x:c r="L41" s="62" t="n">
        <x:f>L13*Assumptions!$G$48+L14*Assumptions!$G$49+L16*Assumptions!$G$50+L17*Assumptions!$G$51+L18*Assumptions!$G$52+L21*Assumptions!$G$53</x:f>
        <x:v>26864.012964421156</x:v>
      </x:c>
      <x:c r="M41" s="62" t="n">
        <x:f>M13*Assumptions!$G$48+M14*Assumptions!$G$49+M16*Assumptions!$G$50+M17*Assumptions!$G$51+M18*Assumptions!$G$52+M21*Assumptions!$G$53</x:f>
        <x:v>29239.48110963143</x:v>
      </x:c>
      <x:c r="N41" s="62" t="n">
        <x:f>N13*Assumptions!$G$48+N14*Assumptions!$G$49+N16*Assumptions!$G$50+N17*Assumptions!$G$51+N18*Assumptions!$G$52+N21*Assumptions!$G$53</x:f>
        <x:v>31720.824883000045</x:v>
      </x:c>
      <x:c r="O41" s="62" t="n">
        <x:f>O13*Assumptions!$G$48+O14*Assumptions!$G$49+O16*Assumptions!$G$50+O17*Assumptions!$G$51+O18*Assumptions!$G$52+O21*Assumptions!$G$53</x:f>
        <x:v>34194.60712654624</x:v>
      </x:c>
      <x:c r="P41" s="62" t="n">
        <x:f>P13*Assumptions!$G$48+P14*Assumptions!$G$49+P16*Assumptions!$G$50+P17*Assumptions!$G$51+P18*Assumptions!$G$52+P21*Assumptions!$G$53</x:f>
        <x:v>36835.56375647744</x:v>
      </x:c>
      <x:c r="Q41" s="62" t="n">
        <x:f>Q13*Assumptions!$G$48+Q14*Assumptions!$G$49+Q16*Assumptions!$G$50+Q17*Assumptions!$G$51+Q18*Assumptions!$G$52+Q21*Assumptions!$G$53</x:f>
        <x:v>39655.71612446777</x:v>
      </x:c>
      <x:c r="R41" s="62" t="n">
        <x:f>R13*Assumptions!$G$48+R14*Assumptions!$G$49+R16*Assumptions!$G$50+R17*Assumptions!$G$51+R18*Assumptions!$G$52+R21*Assumptions!$G$53</x:f>
        <x:v>42667.264429392264</x:v>
      </x:c>
      <x:c r="S41" s="62" t="n">
        <x:f>S13*Assumptions!$G$48+S14*Assumptions!$G$49+S16*Assumptions!$G$50+S17*Assumptions!$G$51+S18*Assumptions!$G$52+S21*Assumptions!$G$53</x:f>
        <x:v>45883.819640902235</x:v>
      </x:c>
      <x:c r="T41" s="62" t="n">
        <x:f>T13*Assumptions!$G$48+T14*Assumptions!$G$49+T16*Assumptions!$G$50+T17*Assumptions!$G$51+T18*Assumptions!$G$52+T21*Assumptions!$G$53</x:f>
        <x:v>49319.63521107862</x:v>
      </x:c>
      <x:c r="U41" s="62" t="n">
        <x:f>U13*Assumptions!$G$48+U14*Assumptions!$G$49+U16*Assumptions!$G$50+U17*Assumptions!$G$51+U18*Assumptions!$G$52+U21*Assumptions!$G$53</x:f>
        <x:v>52990.02042176978</x:v>
      </x:c>
      <x:c r="V41" s="62" t="n">
        <x:f>V13*Assumptions!$G$48+V14*Assumptions!$G$49+V16*Assumptions!$G$50+V17*Assumptions!$G$51+V18*Assumptions!$G$52+V21*Assumptions!$G$53</x:f>
        <x:v>56911.908612841624</x:v>
      </x:c>
      <x:c r="W41" s="62" t="n">
        <x:f>W13*Assumptions!$G$48+W14*Assumptions!$G$49+W16*Assumptions!$G$50+W17*Assumptions!$G$51+W18*Assumptions!$G$52+W21*Assumptions!$G$53</x:f>
        <x:v>61103.63147831952</x:v>
      </x:c>
      <x:c r="X41" s="62" t="n">
        <x:f>X13*Assumptions!$G$48+X14*Assumptions!$G$49+X16*Assumptions!$G$50+X17*Assumptions!$G$51+X18*Assumptions!$G$52+X21*Assumptions!$G$53</x:f>
        <x:v>65584.98407900306</x:v>
      </x:c>
      <x:c r="Y41" s="62" t="n">
        <x:f>Y13*Assumptions!$G$48+Y14*Assumptions!$G$49+Y16*Assumptions!$G$50+Y17*Assumptions!$G$51+Y18*Assumptions!$G$52+Y21*Assumptions!$G$53</x:f>
        <x:v>70377.36414299753</x:v>
      </x:c>
      <x:c r="Z41" s="62" t="n">
        <x:f>Z13*Assumptions!$G$48+Z14*Assumptions!$G$49+Z16*Assumptions!$G$50+Z17*Assumptions!$G$51+Z18*Assumptions!$G$52+Z21*Assumptions!$G$53</x:f>
        <x:v>75503.87898294006</x:v>
      </x:c>
      <x:c r="AA41" s="62" t="n">
        <x:f>AA13*Assumptions!$G$48+AA14*Assumptions!$G$49+AA16*Assumptions!$G$50+AA17*Assumptions!$G$51+AA18*Assumptions!$G$52+AA21*Assumptions!$G$53</x:f>
        <x:v>80989.55785091112</x:v>
      </x:c>
      <x:c r="AB41" s="62" t="n">
        <x:f>AB13*Assumptions!$G$48+AB14*Assumptions!$G$49+AB16*Assumptions!$G$50+AB17*Assumptions!$G$51+AB18*Assumptions!$G$52+AB21*Assumptions!$G$53</x:f>
        <x:v>86648.72360437064</x:v>
      </x:c>
      <x:c r="AC41" s="62" t="n">
        <x:f>AC13*Assumptions!$G$48+AC14*Assumptions!$G$49+AC16*Assumptions!$G$50+AC17*Assumptions!$G$51+AC18*Assumptions!$G$52+AC21*Assumptions!$G$53</x:f>
        <x:v>92182.28713165535</x:v>
      </x:c>
      <x:c r="AD41" s="62" t="n">
        <x:f>AD13*Assumptions!$G$48+AD14*Assumptions!$G$49+AD16*Assumptions!$G$50+AD17*Assumptions!$G$51+AD18*Assumptions!$G$52+AD21*Assumptions!$G$53</x:f>
        <x:v>97773.2887645654</x:v>
      </x:c>
      <x:c r="AE41" s="62" t="n">
        <x:f>AE13*Assumptions!$G$48+AE14*Assumptions!$G$49+AE16*Assumptions!$G$50+AE17*Assumptions!$G$51+AE18*Assumptions!$G$52+AE21*Assumptions!$G$53</x:f>
        <x:v>103268.16556018777</x:v>
      </x:c>
      <x:c r="AF41" s="62" t="n">
        <x:f>AF13*Assumptions!$G$48+AF14*Assumptions!$G$49+AF16*Assumptions!$G$50+AF17*Assumptions!$G$51+AF18*Assumptions!$G$52+AF21*Assumptions!$G$53</x:f>
        <x:v>108660.37027579658</x:v>
      </x:c>
      <x:c r="AG41" s="62" t="n">
        <x:f>AG13*Assumptions!$G$48+AG14*Assumptions!$G$49+AG16*Assumptions!$G$50+AG17*Assumptions!$G$51+AG18*Assumptions!$G$52+AG21*Assumptions!$G$53</x:f>
        <x:v>114284.47863343463</x:v>
      </x:c>
      <x:c r="AH41" s="62" t="n">
        <x:f>AH13*Assumptions!$G$48+AH14*Assumptions!$G$49+AH16*Assumptions!$G$50+AH17*Assumptions!$G$51+AH18*Assumptions!$G$52+AH21*Assumptions!$G$53</x:f>
        <x:v>120195.1843933439</x:v>
      </x:c>
      <x:c r="AI41" s="62" t="n">
        <x:f>AI13*Assumptions!$G$48+AI14*Assumptions!$G$49+AI16*Assumptions!$G$50+AI17*Assumptions!$G$51+AI18*Assumptions!$G$52+AI21*Assumptions!$G$53</x:f>
        <x:v>126391.9938564195</x:v>
      </x:c>
      <x:c r="AJ41" s="62" t="n">
        <x:f>AJ13*Assumptions!$G$48+AJ14*Assumptions!$G$49+AJ16*Assumptions!$G$50+AJ17*Assumptions!$G$51+AJ18*Assumptions!$G$52+AJ21*Assumptions!$G$53</x:f>
        <x:v>132889.87690174146</x:v>
      </x:c>
      <x:c r="AK41" s="62" t="n">
        <x:f>AK13*Assumptions!$G$48+AK14*Assumptions!$G$49+AK16*Assumptions!$G$50+AK17*Assumptions!$G$51+AK18*Assumptions!$G$52+AK21*Assumptions!$G$53</x:f>
        <x:v>139679.72972971638</x:v>
      </x:c>
      <x:c r="AL41" s="62" t="n">
        <x:f>AL13*Assumptions!$G$48+AL14*Assumptions!$G$49+AL16*Assumptions!$G$50+AL17*Assumptions!$G$51+AL18*Assumptions!$G$52+AL21*Assumptions!$G$53</x:f>
        <x:v>146782.47549375112</x:v>
      </x:c>
      <x:c r="AM41" s="62" t="n">
        <x:f>AM13*Assumptions!$G$48+AM14*Assumptions!$G$49+AM16*Assumptions!$G$50+AM17*Assumptions!$G$51+AM18*Assumptions!$G$52+AM21*Assumptions!$G$53</x:f>
        <x:v>154234.37389760048</x:v>
      </x:c>
      <x:c r="AN41" s="62" t="n">
        <x:f>AN13*Assumptions!$G$48+AN14*Assumptions!$G$49+AN16*Assumptions!$G$50+AN17*Assumptions!$G$51+AN18*Assumptions!$G$52+AN21*Assumptions!$G$53</x:f>
        <x:v>162055.3903198306</x:v>
      </x:c>
      <x:c r="AO41" s="62" t="n">
        <x:f>AO13*Assumptions!$G$48+AO14*Assumptions!$G$49+AO16*Assumptions!$G$50+AO17*Assumptions!$G$51+AO18*Assumptions!$G$52+AO21*Assumptions!$G$53</x:f>
        <x:v>170266.80608228053</x:v>
      </x:c>
      <x:c r="AP41" s="62" t="n">
        <x:f>AP13*Assumptions!$G$48+AP14*Assumptions!$G$49+AP16*Assumptions!$G$50+AP17*Assumptions!$G$51+AP18*Assumptions!$G$52+AP21*Assumptions!$G$53</x:f>
        <x:v>178891.5428599778</x:v>
      </x:c>
      <x:c r="AQ41" s="62" t="n">
        <x:f>AQ13*Assumptions!$G$48+AQ14*Assumptions!$G$49+AQ16*Assumptions!$G$50+AQ17*Assumptions!$G$51+AQ18*Assumptions!$G$52+AQ21*Assumptions!$G$53</x:f>
        <x:v>187954.17187216217</x:v>
      </x:c>
      <x:c r="AR41" s="62" t="n">
        <x:f>AR13*Assumptions!$G$48+AR14*Assumptions!$G$49+AR16*Assumptions!$G$50+AR17*Assumptions!$G$51+AR18*Assumptions!$G$52+AR21*Assumptions!$G$53</x:f>
        <x:v>197481.07533157096</x:v>
      </x:c>
      <x:c r="AS41" s="62" t="n">
        <x:f>AS13*Assumptions!$G$48+AS14*Assumptions!$G$49+AS16*Assumptions!$G$50+AS17*Assumptions!$G$51+AS18*Assumptions!$G$52+AS21*Assumptions!$G$53</x:f>
        <x:v>207500.61630804802</x:v>
      </x:c>
      <x:c r="AT41" s="62" t="n">
        <x:f>AT13*Assumptions!$G$48+AT14*Assumptions!$G$49+AT16*Assumptions!$G$50+AT17*Assumptions!$G$51+AT18*Assumptions!$G$52+AT21*Assumptions!$G$53</x:f>
        <x:v>218043.25670946646</x:v>
      </x:c>
      <x:c r="AU41" s="62" t="n">
        <x:f>AU13*Assumptions!$G$48+AU14*Assumptions!$G$49+AU16*Assumptions!$G$50+AU17*Assumptions!$G$51+AU18*Assumptions!$G$52+AU21*Assumptions!$G$53</x:f>
        <x:v>229141.74424034613</x:v>
      </x:c>
      <x:c r="AV41" s="62" t="n">
        <x:f>AV13*Assumptions!$G$48+AV14*Assumptions!$G$49+AV16*Assumptions!$G$50+AV17*Assumptions!$G$51+AV18*Assumptions!$G$52+AV21*Assumptions!$G$53</x:f>
        <x:v>240831.32279596603</x:v>
      </x:c>
      <x:c r="AW41" s="62" t="n">
        <x:f>AW13*Assumptions!$G$48+AW14*Assumptions!$G$49+AW16*Assumptions!$G$50+AW17*Assumptions!$G$51+AW18*Assumptions!$G$52+AW21*Assumptions!$G$53</x:f>
        <x:v>253069.2093241923</x:v>
      </x:c>
      <x:c r="AX41" s="62" t="n">
        <x:f>AX13*Assumptions!$G$48+AX14*Assumptions!$G$49+AX16*Assumptions!$G$50+AX17*Assumptions!$G$51+AX18*Assumptions!$G$52+AX21*Assumptions!$G$53</x:f>
        <x:v>265255.37781309907</x:v>
      </x:c>
      <x:c r="AY41" s="62" t="n">
        <x:f>AY13*Assumptions!$G$48+AY14*Assumptions!$G$49+AY16*Assumptions!$G$50+AY17*Assumptions!$G$51+AY18*Assumptions!$G$52+AY21*Assumptions!$G$53</x:f>
        <x:v>277956.6227592234</x:v>
      </x:c>
      <x:c r="AZ41" s="62" t="n">
        <x:f>AZ13*Assumptions!$G$48+AZ14*Assumptions!$G$49+AZ16*Assumptions!$G$50+AZ17*Assumptions!$G$51+AZ18*Assumptions!$G$52+AZ21*Assumptions!$G$53</x:f>
        <x:v>290473.0157232647</x:v>
      </x:c>
      <x:c r="BA41" s="62" t="n">
        <x:f>BA13*Assumptions!$G$48+BA14*Assumptions!$G$49+BA16*Assumptions!$G$50+BA17*Assumptions!$G$51+BA18*Assumptions!$G$52+BA21*Assumptions!$G$53</x:f>
        <x:v>303391.41642656183</x:v>
      </x:c>
      <x:c r="BB41" s="62" t="n">
        <x:f>BB13*Assumptions!$G$48+BB14*Assumptions!$G$49+BB16*Assumptions!$G$50+BB17*Assumptions!$G$51+BB18*Assumptions!$G$52+BB21*Assumptions!$G$53</x:f>
        <x:v>316865.0387707457</x:v>
      </x:c>
      <x:c r="BC41" s="62" t="n">
        <x:f>BC13*Assumptions!$G$48+BC14*Assumptions!$G$49+BC16*Assumptions!$G$50+BC17*Assumptions!$G$51+BC18*Assumptions!$G$52+BC21*Assumptions!$G$53</x:f>
        <x:v>330882.1959966895</x:v>
      </x:c>
      <x:c r="BD41" s="62" t="n">
        <x:f>BD13*Assumptions!$G$48+BD14*Assumptions!$G$49+BD16*Assumptions!$G$50+BD17*Assumptions!$G$51+BD18*Assumptions!$G$52+BD21*Assumptions!$G$53</x:f>
        <x:v>345463.6787148759</x:v>
      </x:c>
      <x:c r="BE41" s="62" t="n">
        <x:f>BE13*Assumptions!$G$48+BE14*Assumptions!$G$49+BE16*Assumptions!$G$50+BE17*Assumptions!$G$51+BE18*Assumptions!$G$52+BE21*Assumptions!$G$53</x:f>
        <x:v>360626.82620263455</x:v>
      </x:c>
      <x:c r="BF41" s="62" t="n">
        <x:f>BF13*Assumptions!$G$48+BF14*Assumptions!$G$49+BF16*Assumptions!$G$50+BF17*Assumptions!$G$51+BF18*Assumptions!$G$52+BF21*Assumptions!$G$53</x:f>
        <x:v>376354.0525855315</x:v>
      </x:c>
      <x:c r="BG41" s="62" t="n">
        <x:f>BG13*Assumptions!$G$48+BG14*Assumptions!$G$49+BG16*Assumptions!$G$50+BG17*Assumptions!$G$51+BG18*Assumptions!$G$52+BG21*Assumptions!$G$53</x:f>
        <x:v>392709.24815690715</x:v>
      </x:c>
      <x:c r="BH41" s="62" t="n">
        <x:f>BH13*Assumptions!$G$48+BH14*Assumptions!$G$49+BH16*Assumptions!$G$50+BH17*Assumptions!$G$51+BH18*Assumptions!$G$52+BH21*Assumptions!$G$53</x:f>
        <x:v>409717.57660641114</x:v>
      </x:c>
      <x:c r="BI41" s="62" t="n">
        <x:f>BI13*Assumptions!$G$48+BI14*Assumptions!$G$49+BI16*Assumptions!$G$50+BI17*Assumptions!$G$51+BI18*Assumptions!$G$52+BI21*Assumptions!$G$53</x:f>
        <x:v>427405.0894821255</x:v>
      </x:c>
      <x:c r="BJ41" s="62" t="n">
        <x:f>BJ13*Assumptions!$G$48+BJ14*Assumptions!$G$49+BJ16*Assumptions!$G$50+BJ17*Assumptions!$G$51+BJ18*Assumptions!$G$52+BJ21*Assumptions!$G$53</x:f>
        <x:v>445798.9163351515</x:v>
      </x:c>
    </x:row>
    <x:row r="42">
      <x:c r="A42" t="str">
        <x:v>Raw delivery hours</x:v>
      </x:c>
      <x:c r="B42" t="str">
        <x:v>hours</x:v>
      </x:c>
      <x:c r="C42" s="68" t="n">
        <x:f>C13*Assumptions!$G$37+C14*Assumptions!$G$38+C16*Assumptions!$G$39+C17*Assumptions!$G$40+C18*Assumptions!$G$41+C21*Assumptions!$G$42</x:f>
        <x:v>0</x:v>
      </x:c>
      <x:c r="D42" s="68" t="n">
        <x:f>D13*Assumptions!$G$37+D14*Assumptions!$G$38+D16*Assumptions!$G$39+D17*Assumptions!$G$40+D18*Assumptions!$G$41+D21*Assumptions!$G$42</x:f>
        <x:v>48.96</x:v>
      </x:c>
      <x:c r="E42" s="68" t="n">
        <x:f>E13*Assumptions!$G$37+E14*Assumptions!$G$38+E16*Assumptions!$G$39+E17*Assumptions!$G$40+E18*Assumptions!$G$41+E21*Assumptions!$G$42</x:f>
        <x:v>124.38239999999999</x:v>
      </x:c>
      <x:c r="F42" s="68" t="n">
        <x:f>F13*Assumptions!$G$37+F14*Assumptions!$G$38+F16*Assumptions!$G$39+F17*Assumptions!$G$40+F18*Assumptions!$G$41+F21*Assumptions!$G$42</x:f>
        <x:v>170.7190152576</x:v>
      </x:c>
      <x:c r="G42" s="68" t="n">
        <x:f>G13*Assumptions!$G$37+G14*Assumptions!$G$38+G16*Assumptions!$G$39+G17*Assumptions!$G$40+G18*Assumptions!$G$41+G21*Assumptions!$G$42</x:f>
        <x:v>235.93666629345907</x:v>
      </x:c>
      <x:c r="H42" s="68" t="n">
        <x:f>H13*Assumptions!$G$37+H14*Assumptions!$G$38+H16*Assumptions!$G$39+H17*Assumptions!$G$40+H18*Assumptions!$G$41+H21*Assumptions!$G$42</x:f>
        <x:v>304.04905952936156</x:v>
      </x:c>
      <x:c r="I42" s="68" t="n">
        <x:f>I13*Assumptions!$G$37+I14*Assumptions!$G$38+I16*Assumptions!$G$39+I17*Assumptions!$G$40+I18*Assumptions!$G$41+I21*Assumptions!$G$42</x:f>
        <x:v>333.0568307632546</x:v>
      </x:c>
      <x:c r="J42" s="68" t="n">
        <x:f>J13*Assumptions!$G$37+J14*Assumptions!$G$38+J16*Assumptions!$G$39+J17*Assumptions!$G$40+J18*Assumptions!$G$41+J21*Assumptions!$G$42</x:f>
        <x:v>356.72277996521274</x:v>
      </x:c>
      <x:c r="K42" s="68" t="n">
        <x:f>K13*Assumptions!$G$37+K14*Assumptions!$G$38+K16*Assumptions!$G$39+K17*Assumptions!$G$40+K18*Assumptions!$G$41+K21*Assumptions!$G$42</x:f>
        <x:v>383.14838587806264</x:v>
      </x:c>
      <x:c r="L42" s="68" t="n">
        <x:f>L13*Assumptions!$G$37+L14*Assumptions!$G$38+L16*Assumptions!$G$39+L17*Assumptions!$G$40+L18*Assumptions!$G$41+L21*Assumptions!$G$42</x:f>
        <x:v>411.45813714694435</x:v>
      </x:c>
      <x:c r="M42" s="68" t="n">
        <x:f>M13*Assumptions!$G$37+M14*Assumptions!$G$38+M16*Assumptions!$G$39+M17*Assumptions!$G$40+M18*Assumptions!$G$41+M21*Assumptions!$G$42</x:f>
        <x:v>445.1775825677815</x:v>
      </x:c>
      <x:c r="N42" s="68" t="n">
        <x:f>N13*Assumptions!$G$37+N14*Assumptions!$G$38+N16*Assumptions!$G$39+N17*Assumptions!$G$40+N18*Assumptions!$G$41+N21*Assumptions!$G$42</x:f>
        <x:v>480.36351930187163</x:v>
      </x:c>
      <x:c r="O42" s="68" t="n">
        <x:f>O13*Assumptions!$G$37+O14*Assumptions!$G$38+O16*Assumptions!$G$39+O17*Assumptions!$G$40+O18*Assumptions!$G$41+O21*Assumptions!$G$42</x:f>
        <x:v>515.3093751857972</x:v>
      </x:c>
      <x:c r="P42" s="68" t="n">
        <x:f>P13*Assumptions!$G$37+P14*Assumptions!$G$38+P16*Assumptions!$G$39+P17*Assumptions!$G$40+P18*Assumptions!$G$41+P21*Assumptions!$G$42</x:f>
        <x:v>552.6258924391262</x:v>
      </x:c>
      <x:c r="Q42" s="68" t="n">
        <x:f>Q13*Assumptions!$G$37+Q14*Assumptions!$G$38+Q16*Assumptions!$G$39+Q17*Assumptions!$G$40+Q18*Assumptions!$G$41+Q21*Assumptions!$G$42</x:f>
        <x:v>592.4797016262656</x:v>
      </x:c>
      <x:c r="R42" s="68" t="n">
        <x:f>R13*Assumptions!$G$37+R14*Assumptions!$G$38+R16*Assumptions!$G$39+R17*Assumptions!$G$40+R18*Assumptions!$G$41+R21*Assumptions!$G$42</x:f>
        <x:v>635.0414538936295</x:v>
      </x:c>
      <x:c r="S42" s="68" t="n">
        <x:f>S13*Assumptions!$G$37+S14*Assumptions!$G$38+S16*Assumptions!$G$39+S17*Assumptions!$G$40+S18*Assumptions!$G$41+S21*Assumptions!$G$42</x:f>
        <x:v>680.5023237198941</x:v>
      </x:c>
      <x:c r="T42" s="68" t="n">
        <x:f>T13*Assumptions!$G$37+T14*Assumptions!$G$38+T16*Assumptions!$G$39+T17*Assumptions!$G$40+T18*Assumptions!$G$41+T21*Assumptions!$G$42</x:f>
        <x:v>729.0628717996387</x:v>
      </x:c>
      <x:c r="U42" s="68" t="n">
        <x:f>U13*Assumptions!$G$37+U14*Assumptions!$G$38+U16*Assumptions!$G$39+U17*Assumptions!$G$40+U18*Assumptions!$G$41+U21*Assumptions!$G$42</x:f>
        <x:v>780.9379733006829</x:v>
      </x:c>
      <x:c r="V42" s="68" t="n">
        <x:f>V13*Assumptions!$G$37+V14*Assumptions!$G$38+V16*Assumptions!$G$39+V17*Assumptions!$G$40+V18*Assumptions!$G$41+V21*Assumptions!$G$42</x:f>
        <x:v>836.3650135519607</x:v>
      </x:c>
      <x:c r="W42" s="68" t="n">
        <x:f>W13*Assumptions!$G$37+W14*Assumptions!$G$38+W16*Assumptions!$G$39+W17*Assumptions!$G$40+W18*Assumptions!$G$41+W21*Assumptions!$G$42</x:f>
        <x:v>895.6010129399573</x:v>
      </x:c>
      <x:c r="X42" s="68" t="n">
        <x:f>X13*Assumptions!$G$37+X14*Assumptions!$G$38+X16*Assumptions!$G$39+X17*Assumptions!$G$40+X18*Assumptions!$G$41+X21*Assumptions!$G$42</x:f>
        <x:v>958.9233975253239</x:v>
      </x:c>
      <x:c r="Y42" s="68" t="n">
        <x:f>Y13*Assumptions!$G$37+Y14*Assumptions!$G$38+Y16*Assumptions!$G$39+Y17*Assumptions!$G$40+Y18*Assumptions!$G$41+Y21*Assumptions!$G$42</x:f>
        <x:v>1026.6318226375784</x:v>
      </x:c>
      <x:c r="Z42" s="68" t="n">
        <x:f>Z13*Assumptions!$G$37+Z14*Assumptions!$G$38+Z16*Assumptions!$G$39+Z17*Assumptions!$G$40+Z18*Assumptions!$G$41+Z21*Assumptions!$G$42</x:f>
        <x:v>1099.0495815076426</x:v>
      </x:c>
      <x:c r="AA42" s="68" t="n">
        <x:f>AA13*Assumptions!$G$37+AA14*Assumptions!$G$38+AA16*Assumptions!$G$39+AA17*Assumptions!$G$40+AA18*Assumptions!$G$41+AA21*Assumptions!$G$42</x:f>
        <x:v>1176.5265716062868</x:v>
      </x:c>
      <x:c r="AB42" s="68" t="n">
        <x:f>AB13*Assumptions!$G$37+AB14*Assumptions!$G$38+AB16*Assumptions!$G$39+AB17*Assumptions!$G$40+AB18*Assumptions!$G$41+AB21*Assumptions!$G$42</x:f>
        <x:v>1254.2320950075762</x:v>
      </x:c>
      <x:c r="AC42" s="68" t="n">
        <x:f>AC13*Assumptions!$G$37+AC14*Assumptions!$G$38+AC16*Assumptions!$G$39+AC17*Assumptions!$G$40+AC18*Assumptions!$G$41+AC21*Assumptions!$G$42</x:f>
        <x:v>1329.2765489331448</x:v>
      </x:c>
      <x:c r="AD42" s="68" t="n">
        <x:f>AD13*Assumptions!$G$37+AD14*Assumptions!$G$38+AD16*Assumptions!$G$39+AD17*Assumptions!$G$40+AD18*Assumptions!$G$41+AD21*Assumptions!$G$42</x:f>
        <x:v>1404.8258469268587</x:v>
      </x:c>
      <x:c r="AE42" s="68" t="n">
        <x:f>AE13*Assumptions!$G$37+AE14*Assumptions!$G$38+AE16*Assumptions!$G$39+AE17*Assumptions!$G$40+AE18*Assumptions!$G$41+AE21*Assumptions!$G$42</x:f>
        <x:v>1478.972670954059</x:v>
      </x:c>
      <x:c r="AF42" s="68" t="n">
        <x:f>AF13*Assumptions!$G$37+AF14*Assumptions!$G$38+AF16*Assumptions!$G$39+AF17*Assumptions!$G$40+AF18*Assumptions!$G$41+AF21*Assumptions!$G$42</x:f>
        <x:v>1551.4716851010398</x:v>
      </x:c>
      <x:c r="AG42" s="68" t="n">
        <x:f>AG13*Assumptions!$G$37+AG14*Assumptions!$G$38+AG16*Assumptions!$G$39+AG17*Assumptions!$G$40+AG18*Assumptions!$G$41+AG21*Assumptions!$G$42</x:f>
        <x:v>1626.8002171821734</x:v>
      </x:c>
      <x:c r="AH42" s="68" t="n">
        <x:f>AH13*Assumptions!$G$37+AH14*Assumptions!$G$38+AH16*Assumptions!$G$39+AH17*Assumptions!$G$40+AH18*Assumptions!$G$41+AH21*Assumptions!$G$42</x:f>
        <x:v>1705.8864941348247</x:v>
      </x:c>
      <x:c r="AI42" s="68" t="n">
        <x:f>AI13*Assumptions!$G$37+AI14*Assumptions!$G$38+AI16*Assumptions!$G$39+AI17*Assumptions!$G$40+AI18*Assumptions!$G$41+AI21*Assumptions!$G$42</x:f>
        <x:v>1788.8072314832305</x:v>
      </x:c>
      <x:c r="AJ42" s="68" t="n">
        <x:f>AJ13*Assumptions!$G$37+AJ14*Assumptions!$G$38+AJ16*Assumptions!$G$39+AJ17*Assumptions!$G$40+AJ18*Assumptions!$G$41+AJ21*Assumptions!$G$42</x:f>
        <x:v>1875.759572089561</x:v>
      </x:c>
      <x:c r="AK42" s="68" t="n">
        <x:f>AK13*Assumptions!$G$37+AK14*Assumptions!$G$38+AK16*Assumptions!$G$39+AK17*Assumptions!$G$40+AK18*Assumptions!$G$41+AK21*Assumptions!$G$42</x:f>
        <x:v>1966.5772394586224</x:v>
      </x:c>
      <x:c r="AL42" s="68" t="n">
        <x:f>AL13*Assumptions!$G$37+AL14*Assumptions!$G$38+AL16*Assumptions!$G$39+AL17*Assumptions!$G$40+AL18*Assumptions!$G$41+AL21*Assumptions!$G$42</x:f>
        <x:v>2061.5427288225837</x:v>
      </x:c>
      <x:c r="AM42" s="68" t="n">
        <x:f>AM13*Assumptions!$G$37+AM14*Assumptions!$G$38+AM16*Assumptions!$G$39+AM17*Assumptions!$G$40+AM18*Assumptions!$G$41+AM21*Assumptions!$G$42</x:f>
        <x:v>2161.1659233010314</x:v>
      </x:c>
      <x:c r="AN42" s="68" t="n">
        <x:f>AN13*Assumptions!$G$37+AN14*Assumptions!$G$38+AN16*Assumptions!$G$39+AN17*Assumptions!$G$40+AN18*Assumptions!$G$41+AN21*Assumptions!$G$42</x:f>
        <x:v>2265.709992898502</x:v>
      </x:c>
      <x:c r="AO42" s="68" t="n">
        <x:f>AO13*Assumptions!$G$37+AO14*Assumptions!$G$38+AO16*Assumptions!$G$39+AO17*Assumptions!$G$40+AO18*Assumptions!$G$41+AO21*Assumptions!$G$42</x:f>
        <x:v>2375.455516152378</x:v>
      </x:c>
      <x:c r="AP42" s="68" t="n">
        <x:f>AP13*Assumptions!$G$37+AP14*Assumptions!$G$38+AP16*Assumptions!$G$39+AP17*Assumptions!$G$40+AP18*Assumptions!$G$41+AP21*Assumptions!$G$42</x:f>
        <x:v>2490.7047617941557</x:v>
      </x:c>
      <x:c r="AQ42" s="68" t="n">
        <x:f>AQ13*Assumptions!$G$37+AQ14*Assumptions!$G$38+AQ16*Assumptions!$G$39+AQ17*Assumptions!$G$40+AQ18*Assumptions!$G$41+AQ21*Assumptions!$G$42</x:f>
        <x:v>2611.781707797325</x:v>
      </x:c>
      <x:c r="AR42" s="68" t="n">
        <x:f>AR13*Assumptions!$G$37+AR14*Assumptions!$G$38+AR16*Assumptions!$G$39+AR17*Assumptions!$G$40+AR18*Assumptions!$G$41+AR21*Assumptions!$G$42</x:f>
        <x:v>2739.034089954869</x:v>
      </x:c>
      <x:c r="AS42" s="68" t="n">
        <x:f>AS13*Assumptions!$G$37+AS14*Assumptions!$G$38+AS16*Assumptions!$G$39+AS17*Assumptions!$G$40+AS18*Assumptions!$G$41+AS21*Assumptions!$G$42</x:f>
        <x:v>2872.835659799798</x:v>
      </x:c>
      <x:c r="AT42" s="68" t="n">
        <x:f>AT13*Assumptions!$G$37+AT14*Assumptions!$G$38+AT16*Assumptions!$G$39+AT17*Assumptions!$G$40+AT18*Assumptions!$G$41+AT21*Assumptions!$G$42</x:f>
        <x:v>3013.5876902728955</x:v>
      </x:c>
      <x:c r="AU42" s="68" t="n">
        <x:f>AU13*Assumptions!$G$37+AU14*Assumptions!$G$38+AU16*Assumptions!$G$39+AU17*Assumptions!$G$40+AU18*Assumptions!$G$41+AU21*Assumptions!$G$42</x:f>
        <x:v>3161.7214071158405</x:v>
      </x:c>
      <x:c r="AV42" s="68" t="n">
        <x:f>AV13*Assumptions!$G$37+AV14*Assumptions!$G$38+AV16*Assumptions!$G$39+AV17*Assumptions!$G$40+AV18*Assumptions!$G$41+AV21*Assumptions!$G$42</x:f>
        <x:v>3317.700739714444</x:v>
      </x:c>
      <x:c r="AW42" s="68" t="n">
        <x:f>AW13*Assumptions!$G$37+AW14*Assumptions!$G$38+AW16*Assumptions!$G$39+AW17*Assumptions!$G$40+AW18*Assumptions!$G$41+AW21*Assumptions!$G$42</x:f>
        <x:v>3480.894785412177</x:v>
      </x:c>
      <x:c r="AX42" s="68" t="n">
        <x:f>AX13*Assumptions!$G$37+AX14*Assumptions!$G$38+AX16*Assumptions!$G$39+AX17*Assumptions!$G$40+AX18*Assumptions!$G$41+AX21*Assumptions!$G$42</x:f>
        <x:v>3642.86856207672</x:v>
      </x:c>
      <x:c r="AY42" s="68" t="n">
        <x:f>AY13*Assumptions!$G$37+AY14*Assumptions!$G$38+AY16*Assumptions!$G$39+AY17*Assumptions!$G$40+AY18*Assumptions!$G$41+AY21*Assumptions!$G$42</x:f>
        <x:v>3811.573982927689</x:v>
      </x:c>
      <x:c r="AZ42" s="68" t="n">
        <x:f>AZ13*Assumptions!$G$37+AZ14*Assumptions!$G$38+AZ16*Assumptions!$G$39+AZ17*Assumptions!$G$40+AZ18*Assumptions!$G$41+AZ21*Assumptions!$G$42</x:f>
        <x:v>3977.5846613728118</x:v>
      </x:c>
      <x:c r="BA42" s="68" t="n">
        <x:f>BA13*Assumptions!$G$37+BA14*Assumptions!$G$38+BA16*Assumptions!$G$39+BA17*Assumptions!$G$40+BA18*Assumptions!$G$41+BA21*Assumptions!$G$42</x:f>
        <x:v>4148.516193067041</x:v>
      </x:c>
      <x:c r="BB42" s="68" t="n">
        <x:f>BB13*Assumptions!$G$37+BB14*Assumptions!$G$38+BB16*Assumptions!$G$39+BB17*Assumptions!$G$40+BB18*Assumptions!$G$41+BB21*Assumptions!$G$42</x:f>
        <x:v>4326.629494160783</x:v>
      </x:c>
      <x:c r="BC42" s="68" t="n">
        <x:f>BC13*Assumptions!$G$37+BC14*Assumptions!$G$38+BC16*Assumptions!$G$39+BC17*Assumptions!$G$40+BC18*Assumptions!$G$41+BC21*Assumptions!$G$42</x:f>
        <x:v>4511.961371087786</x:v>
      </x:c>
      <x:c r="BD42" s="68" t="n">
        <x:f>BD13*Assumptions!$G$37+BD14*Assumptions!$G$38+BD16*Assumptions!$G$39+BD17*Assumptions!$G$40+BD18*Assumptions!$G$41+BD21*Assumptions!$G$42</x:f>
        <x:v>4704.786254070161</x:v>
      </x:c>
      <x:c r="BE42" s="68" t="n">
        <x:f>BE13*Assumptions!$G$37+BE14*Assumptions!$G$38+BE16*Assumptions!$G$39+BE17*Assumptions!$G$40+BE18*Assumptions!$G$41+BE21*Assumptions!$G$42</x:f>
        <x:v>4905.3246643105595</x:v>
      </x:c>
      <x:c r="BF42" s="68" t="n">
        <x:f>BF13*Assumptions!$G$37+BF14*Assumptions!$G$38+BF16*Assumptions!$G$39+BF17*Assumptions!$G$40+BF18*Assumptions!$G$41+BF21*Assumptions!$G$42</x:f>
        <x:v>5113.272225726044</x:v>
      </x:c>
      <x:c r="BG42" s="68" t="n">
        <x:f>BG13*Assumptions!$G$37+BG14*Assumptions!$G$38+BG16*Assumptions!$G$39+BG17*Assumptions!$G$40+BG18*Assumptions!$G$41+BG21*Assumptions!$G$42</x:f>
        <x:v>5329.544766744663</x:v>
      </x:c>
      <x:c r="BH42" s="68" t="n">
        <x:f>BH13*Assumptions!$G$37+BH14*Assumptions!$G$38+BH16*Assumptions!$G$39+BH17*Assumptions!$G$40+BH18*Assumptions!$G$41+BH21*Assumptions!$G$42</x:f>
        <x:v>5554.474822276359</x:v>
      </x:c>
      <x:c r="BI42" s="68" t="n">
        <x:f>BI13*Assumptions!$G$37+BI14*Assumptions!$G$38+BI16*Assumptions!$G$39+BI17*Assumptions!$G$40+BI18*Assumptions!$G$41+BI21*Assumptions!$G$42</x:f>
        <x:v>5788.407034283544</x:v>
      </x:c>
      <x:c r="BJ42" s="68" t="n">
        <x:f>BJ13*Assumptions!$G$37+BJ14*Assumptions!$G$38+BJ16*Assumptions!$G$39+BJ17*Assumptions!$G$40+BJ18*Assumptions!$G$41+BJ21*Assumptions!$G$42</x:f>
        <x:v>6031.700567347133</x:v>
      </x:c>
    </x:row>
    <x:row r="43">
      <x:c r="A43" t="str">
        <x:v>Adjusted delivery hours</x:v>
      </x:c>
      <x:c r="B43" t="str">
        <x:v>hours</x:v>
      </x:c>
      <x:c r="C43" s="68" t="n">
        <x:f>C42*(1-C38)</x:f>
        <x:v>0</x:v>
      </x:c>
      <x:c r="D43" s="68" t="n">
        <x:f>D42*(1-D38)</x:f>
        <x:v>48.96</x:v>
      </x:c>
      <x:c r="E43" s="68" t="n">
        <x:f>E42*(1-E38)</x:f>
        <x:v>124.11373401599998</x:v>
      </x:c>
      <x:c r="F43" s="68" t="n">
        <x:f>F42*(1-F38)</x:f>
        <x:v>169.67767004741665</x:v>
      </x:c>
      <x:c r="G43" s="68" t="n">
        <x:f>G42*(1-G38)</x:f>
        <x:v>233.3540443993203</x:v>
      </x:c>
      <x:c r="H43" s="68" t="n">
        <x:f>H42*(1-H38)</x:f>
        <x:v>298.7899680595506</x:v>
      </x:c>
      <x:c r="I43" s="68" t="n">
        <x:f>I42*(1-I38)</x:f>
        <x:v>324.8646111108126</x:v>
      </x:c>
      <x:c r="J43" s="68" t="n">
        <x:f>J42*(1-J38)</x:f>
        <x:v>345.1687825147105</x:v>
      </x:c>
      <x:c r="K43" s="68" t="n">
        <x:f>K42*(1-K38)</x:f>
        <x:v>367.54999393767724</x:v>
      </x:c>
      <x:c r="L43" s="68" t="n">
        <x:f>L42*(1-L38)</x:f>
        <x:v>391.04884447791056</x:v>
      </x:c>
      <x:c r="M43" s="68" t="n">
        <x:f>M42*(1-M38)</x:f>
        <x:v>418.7736551746707</x:v>
      </x:c>
      <x:c r="N43" s="68" t="n">
        <x:f>N42*(1-N38)</x:f>
        <x:v>446.81328274397123</x:v>
      </x:c>
      <x:c r="O43" s="68" t="n">
        <x:f>O42*(1-O38)</x:f>
        <x:v>473.5182407521046</x:v>
      </x:c>
      <x:c r="P43" s="68" t="n">
        <x:f>P42*(1-P38)</x:f>
        <x:v>501.1607444775934</x:v>
      </x:c>
      <x:c r="Q43" s="68" t="n">
        <x:f>Q42*(1-Q38)</x:f>
        <x:v>529.6855273500153</x:v>
      </x:c>
      <x:c r="R43" s="68" t="n">
        <x:f>R42*(1-R38)</x:f>
        <x:v>559.0093534083313</x:v>
      </x:c>
      <x:c r="S43" s="68" t="n">
        <x:f>S42*(1-S38)</x:f>
        <x:v>589.0309836212398</x:v>
      </x:c>
      <x:c r="T43" s="68" t="n">
        <x:f>T42*(1-T38)</x:f>
        <x:v>619.6156429386048</x:v>
      </x:c>
      <x:c r="U43" s="68" t="n">
        <x:f>U42*(1-U38)</x:f>
        <x:v>650.5933139997611</x:v>
      </x:c>
      <x:c r="V43" s="68" t="n">
        <x:f>V42*(1-V38)</x:f>
        <x:v>681.7581605765463</x:v>
      </x:c>
      <x:c r="W43" s="68" t="n">
        <x:f>W42*(1-W38)</x:f>
        <x:v>712.8572503958482</x:v>
      </x:c>
      <x:c r="X43" s="68" t="n">
        <x:f>X42*(1-X38)</x:f>
        <x:v>743.5812170814885</x:v>
      </x:c>
      <x:c r="Y43" s="68" t="n">
        <x:f>Y42*(1-Y38)</x:f>
        <x:v>773.554226721614</x:v>
      </x:c>
      <x:c r="Z43" s="68" t="n">
        <x:f>Z42*(1-Z38)</x:f>
        <x:v>802.3218235542523</x:v>
      </x:c>
      <x:c r="AA43" s="68" t="n">
        <x:f>AA42*(1-AA38)</x:f>
        <x:v>829.3377579284507</x:v>
      </x:c>
      <x:c r="AB43" s="68" t="n">
        <x:f>AB42*(1-AB38)</x:f>
        <x:v>850.4154728346973</x:v>
      </x:c>
      <x:c r="AC43" s="68" t="n">
        <x:f>AC42*(1-AC38)</x:f>
        <x:v>864.0297568065441</x:v>
      </x:c>
      <x:c r="AD43" s="68" t="n">
        <x:f>AD42*(1-AD38)</x:f>
        <x:v>913.1368005024582</x:v>
      </x:c>
      <x:c r="AE43" s="68" t="n">
        <x:f>AE42*(1-AE38)</x:f>
        <x:v>961.3322361201383</x:v>
      </x:c>
      <x:c r="AF43" s="68" t="n">
        <x:f>AF42*(1-AF38)</x:f>
        <x:v>1008.4565953156759</x:v>
      </x:c>
      <x:c r="AG43" s="68" t="n">
        <x:f>AG42*(1-AG38)</x:f>
        <x:v>1057.4201411684128</x:v>
      </x:c>
      <x:c r="AH43" s="68" t="n">
        <x:f>AH42*(1-AH38)</x:f>
        <x:v>1108.826221187636</x:v>
      </x:c>
      <x:c r="AI43" s="68" t="n">
        <x:f>AI42*(1-AI38)</x:f>
        <x:v>1162.7247004641</x:v>
      </x:c>
      <x:c r="AJ43" s="68" t="n">
        <x:f>AJ42*(1-AJ38)</x:f>
        <x:v>1219.2437218582147</x:v>
      </x:c>
      <x:c r="AK43" s="68" t="n">
        <x:f>AK42*(1-AK38)</x:f>
        <x:v>1278.2752056481047</x:v>
      </x:c>
      <x:c r="AL43" s="68" t="n">
        <x:f>AL42*(1-AL38)</x:f>
        <x:v>1340.0027737346795</x:v>
      </x:c>
      <x:c r="AM43" s="68" t="n">
        <x:f>AM42*(1-AM38)</x:f>
        <x:v>1404.7578501456705</x:v>
      </x:c>
      <x:c r="AN43" s="68" t="n">
        <x:f>AN42*(1-AN38)</x:f>
        <x:v>1472.7114953840264</x:v>
      </x:c>
      <x:c r="AO43" s="68" t="n">
        <x:f>AO42*(1-AO38)</x:f>
        <x:v>1544.0460854990458</x:v>
      </x:c>
      <x:c r="AP43" s="68" t="n">
        <x:f>AP42*(1-AP38)</x:f>
        <x:v>1618.9580951662012</x:v>
      </x:c>
      <x:c r="AQ43" s="68" t="n">
        <x:f>AQ42*(1-AQ38)</x:f>
        <x:v>1697.6581100682613</x:v>
      </x:c>
      <x:c r="AR43" s="68" t="n">
        <x:f>AR42*(1-AR38)</x:f>
        <x:v>1780.372158470665</x:v>
      </x:c>
      <x:c r="AS43" s="68" t="n">
        <x:f>AS42*(1-AS38)</x:f>
        <x:v>1867.3431788698688</x:v>
      </x:c>
      <x:c r="AT43" s="68" t="n">
        <x:f>AT42*(1-AT38)</x:f>
        <x:v>1958.8319986773822</x:v>
      </x:c>
      <x:c r="AU43" s="68" t="n">
        <x:f>AU42*(1-AU38)</x:f>
        <x:v>2055.1189146252964</x:v>
      </x:c>
      <x:c r="AV43" s="68" t="n">
        <x:f>AV42*(1-AV38)</x:f>
        <x:v>2156.5054808143886</x:v>
      </x:c>
      <x:c r="AW43" s="68" t="n">
        <x:f>AW42*(1-AW38)</x:f>
        <x:v>2262.581610517915</x:v>
      </x:c>
      <x:c r="AX43" s="68" t="n">
        <x:f>AX42*(1-AX38)</x:f>
        <x:v>2367.864565349868</x:v>
      </x:c>
      <x:c r="AY43" s="68" t="n">
        <x:f>AY42*(1-AY38)</x:f>
        <x:v>2477.523088902998</x:v>
      </x:c>
      <x:c r="AZ43" s="68" t="n">
        <x:f>AZ42*(1-AZ38)</x:f>
        <x:v>2585.4300298923276</x:v>
      </x:c>
      <x:c r="BA43" s="68" t="n">
        <x:f>BA42*(1-BA38)</x:f>
        <x:v>2696.5355254935766</x:v>
      </x:c>
      <x:c r="BB43" s="68" t="n">
        <x:f>BB42*(1-BB38)</x:f>
        <x:v>2812.309171204509</x:v>
      </x:c>
      <x:c r="BC43" s="68" t="n">
        <x:f>BC42*(1-BC38)</x:f>
        <x:v>2932.7748912070606</x:v>
      </x:c>
      <x:c r="BD43" s="68" t="n">
        <x:f>BD42*(1-BD38)</x:f>
        <x:v>3058.1110651456047</x:v>
      </x:c>
      <x:c r="BE43" s="68" t="n">
        <x:f>BE42*(1-BE38)</x:f>
        <x:v>3188.4610318018636</x:v>
      </x:c>
      <x:c r="BF43" s="68" t="n">
        <x:f>BF42*(1-BF38)</x:f>
        <x:v>3323.6269467219286</x:v>
      </x:c>
      <x:c r="BG43" s="68" t="n">
        <x:f>BG42*(1-BG38)</x:f>
        <x:v>3464.204098384031</x:v>
      </x:c>
      <x:c r="BH43" s="68" t="n">
        <x:f>BH42*(1-BH38)</x:f>
        <x:v>3610.4086344796337</x:v>
      </x:c>
      <x:c r="BI43" s="68" t="n">
        <x:f>BI42*(1-BI38)</x:f>
        <x:v>3762.464572284304</x:v>
      </x:c>
      <x:c r="BJ43" s="68" t="n">
        <x:f>BJ42*(1-BJ38)</x:f>
        <x:v>3920.6053687756366</x:v>
      </x:c>
    </x:row>
    <x:row r="44">
      <x:c r="A44" t="str">
        <x:v>Delivery FTE</x:v>
      </x:c>
      <x:c r="B44" t="str">
        <x:v>FTE</x:v>
      </x:c>
      <x:c r="C44" s="68" t="n">
        <x:f>MAX(Assumptions!$G$44,ROUNDUP(C43/Assumptions!$G$43,0))</x:f>
        <x:v>2</x:v>
      </x:c>
      <x:c r="D44" s="68" t="n">
        <x:f>MAX(Assumptions!$G$44,ROUNDUP(D43/Assumptions!$G$43,0))</x:f>
        <x:v>2</x:v>
      </x:c>
      <x:c r="E44" s="68" t="n">
        <x:f>MAX(Assumptions!$G$44,ROUNDUP(E43/Assumptions!$G$43,0))</x:f>
        <x:v>2</x:v>
      </x:c>
      <x:c r="F44" s="68" t="n">
        <x:f>MAX(Assumptions!$G$44,ROUNDUP(F43/Assumptions!$G$43,0))</x:f>
        <x:v>2</x:v>
      </x:c>
      <x:c r="G44" s="68" t="n">
        <x:f>MAX(Assumptions!$G$44,ROUNDUP(G43/Assumptions!$G$43,0))</x:f>
        <x:v>2</x:v>
      </x:c>
      <x:c r="H44" s="68" t="n">
        <x:f>MAX(Assumptions!$G$44,ROUNDUP(H43/Assumptions!$G$43,0))</x:f>
        <x:v>3</x:v>
      </x:c>
      <x:c r="I44" s="68" t="n">
        <x:f>MAX(Assumptions!$G$44,ROUNDUP(I43/Assumptions!$G$43,0))</x:f>
        <x:v>3</x:v>
      </x:c>
      <x:c r="J44" s="68" t="n">
        <x:f>MAX(Assumptions!$G$44,ROUNDUP(J43/Assumptions!$G$43,0))</x:f>
        <x:v>3</x:v>
      </x:c>
      <x:c r="K44" s="68" t="n">
        <x:f>MAX(Assumptions!$G$44,ROUNDUP(K43/Assumptions!$G$43,0))</x:f>
        <x:v>3</x:v>
      </x:c>
      <x:c r="L44" s="68" t="n">
        <x:f>MAX(Assumptions!$G$44,ROUNDUP(L43/Assumptions!$G$43,0))</x:f>
        <x:v>4</x:v>
      </x:c>
      <x:c r="M44" s="68" t="n">
        <x:f>MAX(Assumptions!$G$44,ROUNDUP(M43/Assumptions!$G$43,0))</x:f>
        <x:v>4</x:v>
      </x:c>
      <x:c r="N44" s="68" t="n">
        <x:f>MAX(Assumptions!$G$44,ROUNDUP(N43/Assumptions!$G$43,0))</x:f>
        <x:v>4</x:v>
      </x:c>
      <x:c r="O44" s="68" t="n">
        <x:f>MAX(Assumptions!$G$44,ROUNDUP(O43/Assumptions!$G$43,0))</x:f>
        <x:v>4</x:v>
      </x:c>
      <x:c r="P44" s="68" t="n">
        <x:f>MAX(Assumptions!$G$44,ROUNDUP(P43/Assumptions!$G$43,0))</x:f>
        <x:v>5</x:v>
      </x:c>
      <x:c r="Q44" s="68" t="n">
        <x:f>MAX(Assumptions!$G$44,ROUNDUP(Q43/Assumptions!$G$43,0))</x:f>
        <x:v>5</x:v>
      </x:c>
      <x:c r="R44" s="68" t="n">
        <x:f>MAX(Assumptions!$G$44,ROUNDUP(R43/Assumptions!$G$43,0))</x:f>
        <x:v>5</x:v>
      </x:c>
      <x:c r="S44" s="68" t="n">
        <x:f>MAX(Assumptions!$G$44,ROUNDUP(S43/Assumptions!$G$43,0))</x:f>
        <x:v>5</x:v>
      </x:c>
      <x:c r="T44" s="68" t="n">
        <x:f>MAX(Assumptions!$G$44,ROUNDUP(T43/Assumptions!$G$43,0))</x:f>
        <x:v>5</x:v>
      </x:c>
      <x:c r="U44" s="68" t="n">
        <x:f>MAX(Assumptions!$G$44,ROUNDUP(U43/Assumptions!$G$43,0))</x:f>
        <x:v>6</x:v>
      </x:c>
      <x:c r="V44" s="68" t="n">
        <x:f>MAX(Assumptions!$G$44,ROUNDUP(V43/Assumptions!$G$43,0))</x:f>
        <x:v>6</x:v>
      </x:c>
      <x:c r="W44" s="68" t="n">
        <x:f>MAX(Assumptions!$G$44,ROUNDUP(W43/Assumptions!$G$43,0))</x:f>
        <x:v>6</x:v>
      </x:c>
      <x:c r="X44" s="68" t="n">
        <x:f>MAX(Assumptions!$G$44,ROUNDUP(X43/Assumptions!$G$43,0))</x:f>
        <x:v>6</x:v>
      </x:c>
      <x:c r="Y44" s="68" t="n">
        <x:f>MAX(Assumptions!$G$44,ROUNDUP(Y43/Assumptions!$G$43,0))</x:f>
        <x:v>7</x:v>
      </x:c>
      <x:c r="Z44" s="68" t="n">
        <x:f>MAX(Assumptions!$G$44,ROUNDUP(Z43/Assumptions!$G$43,0))</x:f>
        <x:v>7</x:v>
      </x:c>
      <x:c r="AA44" s="68" t="n">
        <x:f>MAX(Assumptions!$G$44,ROUNDUP(AA43/Assumptions!$G$43,0))</x:f>
        <x:v>7</x:v>
      </x:c>
      <x:c r="AB44" s="68" t="n">
        <x:f>MAX(Assumptions!$G$44,ROUNDUP(AB43/Assumptions!$G$43,0))</x:f>
        <x:v>7</x:v>
      </x:c>
      <x:c r="AC44" s="68" t="n">
        <x:f>MAX(Assumptions!$G$44,ROUNDUP(AC43/Assumptions!$G$43,0))</x:f>
        <x:v>7</x:v>
      </x:c>
      <x:c r="AD44" s="68" t="n">
        <x:f>MAX(Assumptions!$G$44,ROUNDUP(AD43/Assumptions!$G$43,0))</x:f>
        <x:v>8</x:v>
      </x:c>
      <x:c r="AE44" s="68" t="n">
        <x:f>MAX(Assumptions!$G$44,ROUNDUP(AE43/Assumptions!$G$43,0))</x:f>
        <x:v>8</x:v>
      </x:c>
      <x:c r="AF44" s="68" t="n">
        <x:f>MAX(Assumptions!$G$44,ROUNDUP(AF43/Assumptions!$G$43,0))</x:f>
        <x:v>9</x:v>
      </x:c>
      <x:c r="AG44" s="68" t="n">
        <x:f>MAX(Assumptions!$G$44,ROUNDUP(AG43/Assumptions!$G$43,0))</x:f>
        <x:v>9</x:v>
      </x:c>
      <x:c r="AH44" s="68" t="n">
        <x:f>MAX(Assumptions!$G$44,ROUNDUP(AH43/Assumptions!$G$43,0))</x:f>
        <x:v>9</x:v>
      </x:c>
      <x:c r="AI44" s="68" t="n">
        <x:f>MAX(Assumptions!$G$44,ROUNDUP(AI43/Assumptions!$G$43,0))</x:f>
        <x:v>10</x:v>
      </x:c>
      <x:c r="AJ44" s="68" t="n">
        <x:f>MAX(Assumptions!$G$44,ROUNDUP(AJ43/Assumptions!$G$43,0))</x:f>
        <x:v>10</x:v>
      </x:c>
      <x:c r="AK44" s="68" t="n">
        <x:f>MAX(Assumptions!$G$44,ROUNDUP(AK43/Assumptions!$G$43,0))</x:f>
        <x:v>11</x:v>
      </x:c>
      <x:c r="AL44" s="68" t="n">
        <x:f>MAX(Assumptions!$G$44,ROUNDUP(AL43/Assumptions!$G$43,0))</x:f>
        <x:v>11</x:v>
      </x:c>
      <x:c r="AM44" s="68" t="n">
        <x:f>MAX(Assumptions!$G$44,ROUNDUP(AM43/Assumptions!$G$43,0))</x:f>
        <x:v>12</x:v>
      </x:c>
      <x:c r="AN44" s="68" t="n">
        <x:f>MAX(Assumptions!$G$44,ROUNDUP(AN43/Assumptions!$G$43,0))</x:f>
        <x:v>12</x:v>
      </x:c>
      <x:c r="AO44" s="68" t="n">
        <x:f>MAX(Assumptions!$G$44,ROUNDUP(AO43/Assumptions!$G$43,0))</x:f>
        <x:v>13</x:v>
      </x:c>
      <x:c r="AP44" s="68" t="n">
        <x:f>MAX(Assumptions!$G$44,ROUNDUP(AP43/Assumptions!$G$43,0))</x:f>
        <x:v>13</x:v>
      </x:c>
      <x:c r="AQ44" s="68" t="n">
        <x:f>MAX(Assumptions!$G$44,ROUNDUP(AQ43/Assumptions!$G$43,0))</x:f>
        <x:v>14</x:v>
      </x:c>
      <x:c r="AR44" s="68" t="n">
        <x:f>MAX(Assumptions!$G$44,ROUNDUP(AR43/Assumptions!$G$43,0))</x:f>
        <x:v>15</x:v>
      </x:c>
      <x:c r="AS44" s="68" t="n">
        <x:f>MAX(Assumptions!$G$44,ROUNDUP(AS43/Assumptions!$G$43,0))</x:f>
        <x:v>15</x:v>
      </x:c>
      <x:c r="AT44" s="68" t="n">
        <x:f>MAX(Assumptions!$G$44,ROUNDUP(AT43/Assumptions!$G$43,0))</x:f>
        <x:v>16</x:v>
      </x:c>
      <x:c r="AU44" s="68" t="n">
        <x:f>MAX(Assumptions!$G$44,ROUNDUP(AU43/Assumptions!$G$43,0))</x:f>
        <x:v>17</x:v>
      </x:c>
      <x:c r="AV44" s="68" t="n">
        <x:f>MAX(Assumptions!$G$44,ROUNDUP(AV43/Assumptions!$G$43,0))</x:f>
        <x:v>18</x:v>
      </x:c>
      <x:c r="AW44" s="68" t="n">
        <x:f>MAX(Assumptions!$G$44,ROUNDUP(AW43/Assumptions!$G$43,0))</x:f>
        <x:v>19</x:v>
      </x:c>
      <x:c r="AX44" s="68" t="n">
        <x:f>MAX(Assumptions!$G$44,ROUNDUP(AX43/Assumptions!$G$43,0))</x:f>
        <x:v>19</x:v>
      </x:c>
      <x:c r="AY44" s="68" t="n">
        <x:f>MAX(Assumptions!$G$44,ROUNDUP(AY43/Assumptions!$G$43,0))</x:f>
        <x:v>20</x:v>
      </x:c>
      <x:c r="AZ44" s="68" t="n">
        <x:f>MAX(Assumptions!$G$44,ROUNDUP(AZ43/Assumptions!$G$43,0))</x:f>
        <x:v>21</x:v>
      </x:c>
      <x:c r="BA44" s="68" t="n">
        <x:f>MAX(Assumptions!$G$44,ROUNDUP(BA43/Assumptions!$G$43,0))</x:f>
        <x:v>22</x:v>
      </x:c>
      <x:c r="BB44" s="68" t="n">
        <x:f>MAX(Assumptions!$G$44,ROUNDUP(BB43/Assumptions!$G$43,0))</x:f>
        <x:v>23</x:v>
      </x:c>
      <x:c r="BC44" s="68" t="n">
        <x:f>MAX(Assumptions!$G$44,ROUNDUP(BC43/Assumptions!$G$43,0))</x:f>
        <x:v>24</x:v>
      </x:c>
      <x:c r="BD44" s="68" t="n">
        <x:f>MAX(Assumptions!$G$44,ROUNDUP(BD43/Assumptions!$G$43,0))</x:f>
        <x:v>25</x:v>
      </x:c>
      <x:c r="BE44" s="68" t="n">
        <x:f>MAX(Assumptions!$G$44,ROUNDUP(BE43/Assumptions!$G$43,0))</x:f>
        <x:v>26</x:v>
      </x:c>
      <x:c r="BF44" s="68" t="n">
        <x:f>MAX(Assumptions!$G$44,ROUNDUP(BF43/Assumptions!$G$43,0))</x:f>
        <x:v>27</x:v>
      </x:c>
      <x:c r="BG44" s="68" t="n">
        <x:f>MAX(Assumptions!$G$44,ROUNDUP(BG43/Assumptions!$G$43,0))</x:f>
        <x:v>28</x:v>
      </x:c>
      <x:c r="BH44" s="68" t="n">
        <x:f>MAX(Assumptions!$G$44,ROUNDUP(BH43/Assumptions!$G$43,0))</x:f>
        <x:v>29</x:v>
      </x:c>
      <x:c r="BI44" s="68" t="n">
        <x:f>MAX(Assumptions!$G$44,ROUNDUP(BI43/Assumptions!$G$43,0))</x:f>
        <x:v>31</x:v>
      </x:c>
      <x:c r="BJ44" s="68" t="n">
        <x:f>MAX(Assumptions!$G$44,ROUNDUP(BJ43/Assumptions!$G$43,0))</x:f>
        <x:v>32</x:v>
      </x:c>
    </x:row>
    <x:row r="45">
      <x:c r="A45" t="str">
        <x:v>Delivery labor</x:v>
      </x:c>
      <x:c r="B45" t="str">
        <x:v>$</x:v>
      </x:c>
      <x:c r="C45" s="62" t="n">
        <x:f>C44*Assumptions!$G$45/12</x:f>
        <x:v>25833.333333333332</x:v>
      </x:c>
      <x:c r="D45" s="62" t="n">
        <x:f>D44*Assumptions!$G$45/12</x:f>
        <x:v>25833.333333333332</x:v>
      </x:c>
      <x:c r="E45" s="62" t="n">
        <x:f>E44*Assumptions!$G$45/12</x:f>
        <x:v>25833.333333333332</x:v>
      </x:c>
      <x:c r="F45" s="62" t="n">
        <x:f>F44*Assumptions!$G$45/12</x:f>
        <x:v>25833.333333333332</x:v>
      </x:c>
      <x:c r="G45" s="62" t="n">
        <x:f>G44*Assumptions!$G$45/12</x:f>
        <x:v>25833.333333333332</x:v>
      </x:c>
      <x:c r="H45" s="62" t="n">
        <x:f>H44*Assumptions!$G$45/12</x:f>
        <x:v>38750</x:v>
      </x:c>
      <x:c r="I45" s="62" t="n">
        <x:f>I44*Assumptions!$G$45/12</x:f>
        <x:v>38750</x:v>
      </x:c>
      <x:c r="J45" s="62" t="n">
        <x:f>J44*Assumptions!$G$45/12</x:f>
        <x:v>38750</x:v>
      </x:c>
      <x:c r="K45" s="62" t="n">
        <x:f>K44*Assumptions!$G$45/12</x:f>
        <x:v>38750</x:v>
      </x:c>
      <x:c r="L45" s="62" t="n">
        <x:f>L44*Assumptions!$G$45/12</x:f>
        <x:v>51666.666666666664</x:v>
      </x:c>
      <x:c r="M45" s="62" t="n">
        <x:f>M44*Assumptions!$G$45/12</x:f>
        <x:v>51666.666666666664</x:v>
      </x:c>
      <x:c r="N45" s="62" t="n">
        <x:f>N44*Assumptions!$G$45/12</x:f>
        <x:v>51666.666666666664</x:v>
      </x:c>
      <x:c r="O45" s="62" t="n">
        <x:f>O44*Assumptions!$G$45/12</x:f>
        <x:v>51666.666666666664</x:v>
      </x:c>
      <x:c r="P45" s="62" t="n">
        <x:f>P44*Assumptions!$G$45/12</x:f>
        <x:v>64583.333333333336</x:v>
      </x:c>
      <x:c r="Q45" s="62" t="n">
        <x:f>Q44*Assumptions!$G$45/12</x:f>
        <x:v>64583.333333333336</x:v>
      </x:c>
      <x:c r="R45" s="62" t="n">
        <x:f>R44*Assumptions!$G$45/12</x:f>
        <x:v>64583.333333333336</x:v>
      </x:c>
      <x:c r="S45" s="62" t="n">
        <x:f>S44*Assumptions!$G$45/12</x:f>
        <x:v>64583.333333333336</x:v>
      </x:c>
      <x:c r="T45" s="62" t="n">
        <x:f>T44*Assumptions!$G$45/12</x:f>
        <x:v>64583.333333333336</x:v>
      </x:c>
      <x:c r="U45" s="62" t="n">
        <x:f>U44*Assumptions!$G$45/12</x:f>
        <x:v>77500</x:v>
      </x:c>
      <x:c r="V45" s="62" t="n">
        <x:f>V44*Assumptions!$G$45/12</x:f>
        <x:v>77500</x:v>
      </x:c>
      <x:c r="W45" s="62" t="n">
        <x:f>W44*Assumptions!$G$45/12</x:f>
        <x:v>77500</x:v>
      </x:c>
      <x:c r="X45" s="62" t="n">
        <x:f>X44*Assumptions!$G$45/12</x:f>
        <x:v>77500</x:v>
      </x:c>
      <x:c r="Y45" s="62" t="n">
        <x:f>Y44*Assumptions!$G$45/12</x:f>
        <x:v>90416.66666666667</x:v>
      </x:c>
      <x:c r="Z45" s="62" t="n">
        <x:f>Z44*Assumptions!$G$45/12</x:f>
        <x:v>90416.66666666667</x:v>
      </x:c>
      <x:c r="AA45" s="62" t="n">
        <x:f>AA44*Assumptions!$G$45/12</x:f>
        <x:v>90416.66666666667</x:v>
      </x:c>
      <x:c r="AB45" s="62" t="n">
        <x:f>AB44*Assumptions!$G$45/12</x:f>
        <x:v>90416.66666666667</x:v>
      </x:c>
      <x:c r="AC45" s="62" t="n">
        <x:f>AC44*Assumptions!$G$45/12</x:f>
        <x:v>90416.66666666667</x:v>
      </x:c>
      <x:c r="AD45" s="62" t="n">
        <x:f>AD44*Assumptions!$G$45/12</x:f>
        <x:v>103333.33333333333</x:v>
      </x:c>
      <x:c r="AE45" s="62" t="n">
        <x:f>AE44*Assumptions!$G$45/12</x:f>
        <x:v>103333.33333333333</x:v>
      </x:c>
      <x:c r="AF45" s="62" t="n">
        <x:f>AF44*Assumptions!$G$45/12</x:f>
        <x:v>116250</x:v>
      </x:c>
      <x:c r="AG45" s="62" t="n">
        <x:f>AG44*Assumptions!$G$45/12</x:f>
        <x:v>116250</x:v>
      </x:c>
      <x:c r="AH45" s="62" t="n">
        <x:f>AH44*Assumptions!$G$45/12</x:f>
        <x:v>116250</x:v>
      </x:c>
      <x:c r="AI45" s="62" t="n">
        <x:f>AI44*Assumptions!$G$45/12</x:f>
        <x:v>129166.66666666667</x:v>
      </x:c>
      <x:c r="AJ45" s="62" t="n">
        <x:f>AJ44*Assumptions!$G$45/12</x:f>
        <x:v>129166.66666666667</x:v>
      </x:c>
      <x:c r="AK45" s="62" t="n">
        <x:f>AK44*Assumptions!$G$45/12</x:f>
        <x:v>142083.33333333334</x:v>
      </x:c>
      <x:c r="AL45" s="62" t="n">
        <x:f>AL44*Assumptions!$G$45/12</x:f>
        <x:v>142083.33333333334</x:v>
      </x:c>
      <x:c r="AM45" s="62" t="n">
        <x:f>AM44*Assumptions!$G$45/12</x:f>
        <x:v>155000</x:v>
      </x:c>
      <x:c r="AN45" s="62" t="n">
        <x:f>AN44*Assumptions!$G$45/12</x:f>
        <x:v>155000</x:v>
      </x:c>
      <x:c r="AO45" s="62" t="n">
        <x:f>AO44*Assumptions!$G$45/12</x:f>
        <x:v>167916.66666666666</x:v>
      </x:c>
      <x:c r="AP45" s="62" t="n">
        <x:f>AP44*Assumptions!$G$45/12</x:f>
        <x:v>167916.66666666666</x:v>
      </x:c>
      <x:c r="AQ45" s="62" t="n">
        <x:f>AQ44*Assumptions!$G$45/12</x:f>
        <x:v>180833.33333333334</x:v>
      </x:c>
      <x:c r="AR45" s="62" t="n">
        <x:f>AR44*Assumptions!$G$45/12</x:f>
        <x:v>193750</x:v>
      </x:c>
      <x:c r="AS45" s="62" t="n">
        <x:f>AS44*Assumptions!$G$45/12</x:f>
        <x:v>193750</x:v>
      </x:c>
      <x:c r="AT45" s="62" t="n">
        <x:f>AT44*Assumptions!$G$45/12</x:f>
        <x:v>206666.66666666666</x:v>
      </x:c>
      <x:c r="AU45" s="62" t="n">
        <x:f>AU44*Assumptions!$G$45/12</x:f>
        <x:v>219583.33333333334</x:v>
      </x:c>
      <x:c r="AV45" s="62" t="n">
        <x:f>AV44*Assumptions!$G$45/12</x:f>
        <x:v>232500</x:v>
      </x:c>
      <x:c r="AW45" s="62" t="n">
        <x:f>AW44*Assumptions!$G$45/12</x:f>
        <x:v>245416.66666666666</x:v>
      </x:c>
      <x:c r="AX45" s="62" t="n">
        <x:f>AX44*Assumptions!$G$45/12</x:f>
        <x:v>245416.66666666666</x:v>
      </x:c>
      <x:c r="AY45" s="62" t="n">
        <x:f>AY44*Assumptions!$G$45/12</x:f>
        <x:v>258333.33333333334</x:v>
      </x:c>
      <x:c r="AZ45" s="62" t="n">
        <x:f>AZ44*Assumptions!$G$45/12</x:f>
        <x:v>271250</x:v>
      </x:c>
      <x:c r="BA45" s="62" t="n">
        <x:f>BA44*Assumptions!$G$45/12</x:f>
        <x:v>284166.6666666667</x:v>
      </x:c>
      <x:c r="BB45" s="62" t="n">
        <x:f>BB44*Assumptions!$G$45/12</x:f>
        <x:v>297083.3333333333</x:v>
      </x:c>
      <x:c r="BC45" s="62" t="n">
        <x:f>BC44*Assumptions!$G$45/12</x:f>
        <x:v>310000</x:v>
      </x:c>
      <x:c r="BD45" s="62" t="n">
        <x:f>BD44*Assumptions!$G$45/12</x:f>
        <x:v>322916.6666666667</x:v>
      </x:c>
      <x:c r="BE45" s="62" t="n">
        <x:f>BE44*Assumptions!$G$45/12</x:f>
        <x:v>335833.3333333333</x:v>
      </x:c>
      <x:c r="BF45" s="62" t="n">
        <x:f>BF44*Assumptions!$G$45/12</x:f>
        <x:v>348750</x:v>
      </x:c>
      <x:c r="BG45" s="62" t="n">
        <x:f>BG44*Assumptions!$G$45/12</x:f>
        <x:v>361666.6666666667</x:v>
      </x:c>
      <x:c r="BH45" s="62" t="n">
        <x:f>BH44*Assumptions!$G$45/12</x:f>
        <x:v>374583.3333333333</x:v>
      </x:c>
      <x:c r="BI45" s="62" t="n">
        <x:f>BI44*Assumptions!$G$45/12</x:f>
        <x:v>400416.6666666667</x:v>
      </x:c>
      <x:c r="BJ45" s="62" t="n">
        <x:f>BJ44*Assumptions!$G$45/12</x:f>
        <x:v>413333.3333333333</x:v>
      </x:c>
    </x:row>
    <x:row r="46">
      <x:c r="A46" t="str">
        <x:v>Total COGS</x:v>
      </x:c>
      <x:c r="B46" t="str">
        <x:v>$</x:v>
      </x:c>
      <x:c r="C46" s="62" t="n">
        <x:f>SUM(C41,C45)</x:f>
        <x:v>25833.333333333332</x:v>
      </x:c>
      <x:c r="D46" s="62" t="n">
        <x:f>SUM(D41,D45)</x:f>
        <x:v>27833.333333333332</x:v>
      </x:c>
      <x:c r="E46" s="62" t="n">
        <x:f>SUM(E41,E45)</x:f>
        <x:v>32655.333333333332</x:v>
      </x:c>
      <x:c r="F46" s="62" t="n">
        <x:f>SUM(F41,F45)</x:f>
        <x:v>35831.031851733336</x:v>
      </x:c>
      <x:c r="G46" s="62" t="n">
        <x:f>SUM(G41,G45)</x:f>
        <x:v>40519.708100294694</x:v>
      </x:c>
      <x:c r="H46" s="62" t="n">
        <x:f>SUM(H41,H45)</x:f>
        <x:v>58234.841401039754</x:v>
      </x:c>
      <x:c r="I46" s="62" t="n">
        <x:f>SUM(I41,I45)</x:f>
        <x:v>60115.536252159014</x:v>
      </x:c>
      <x:c r="J46" s="62" t="n">
        <x:f>SUM(J41,J45)</x:f>
        <x:v>61731.78540332733</x:v>
      </x:c>
      <x:c r="K46" s="62" t="n">
        <x:f>SUM(K41,K45)</x:f>
        <x:v>63606.623051656425</x:v>
      </x:c>
      <x:c r="L46" s="62" t="n">
        <x:f>SUM(L41,L45)</x:f>
        <x:v>78530.67963108781</x:v>
      </x:c>
      <x:c r="M46" s="62" t="n">
        <x:f>SUM(M41,M45)</x:f>
        <x:v>80906.1477762981</x:v>
      </x:c>
      <x:c r="N46" s="62" t="n">
        <x:f>SUM(N41,N45)</x:f>
        <x:v>83387.49154966671</x:v>
      </x:c>
      <x:c r="O46" s="62" t="n">
        <x:f>SUM(O41,O45)</x:f>
        <x:v>85861.2737932129</x:v>
      </x:c>
      <x:c r="P46" s="62" t="n">
        <x:f>SUM(P41,P45)</x:f>
        <x:v>101418.89708981078</x:v>
      </x:c>
      <x:c r="Q46" s="62" t="n">
        <x:f>SUM(Q41,Q45)</x:f>
        <x:v>104239.0494578011</x:v>
      </x:c>
      <x:c r="R46" s="62" t="n">
        <x:f>SUM(R41,R45)</x:f>
        <x:v>107250.5977627256</x:v>
      </x:c>
      <x:c r="S46" s="62" t="n">
        <x:f>SUM(S41,S45)</x:f>
        <x:v>110467.15297423556</x:v>
      </x:c>
      <x:c r="T46" s="62" t="n">
        <x:f>SUM(T41,T45)</x:f>
        <x:v>113902.96854441195</x:v>
      </x:c>
      <x:c r="U46" s="62" t="n">
        <x:f>SUM(U41,U45)</x:f>
        <x:v>130490.02042176979</x:v>
      </x:c>
      <x:c r="V46" s="62" t="n">
        <x:f>SUM(V41,V45)</x:f>
        <x:v>134411.90861284162</x:v>
      </x:c>
      <x:c r="W46" s="62" t="n">
        <x:f>SUM(W41,W45)</x:f>
        <x:v>138603.63147831953</x:v>
      </x:c>
      <x:c r="X46" s="62" t="n">
        <x:f>SUM(X41,X45)</x:f>
        <x:v>143084.98407900304</x:v>
      </x:c>
      <x:c r="Y46" s="62" t="n">
        <x:f>SUM(Y41,Y45)</x:f>
        <x:v>160794.0308096642</x:v>
      </x:c>
      <x:c r="Z46" s="62" t="n">
        <x:f>SUM(Z41,Z45)</x:f>
        <x:v>165920.54564960673</x:v>
      </x:c>
      <x:c r="AA46" s="62" t="n">
        <x:f>SUM(AA41,AA45)</x:f>
        <x:v>171406.2245175778</x:v>
      </x:c>
      <x:c r="AB46" s="62" t="n">
        <x:f>SUM(AB41,AB45)</x:f>
        <x:v>177065.3902710373</x:v>
      </x:c>
      <x:c r="AC46" s="62" t="n">
        <x:f>SUM(AC41,AC45)</x:f>
        <x:v>182598.953798322</x:v>
      </x:c>
      <x:c r="AD46" s="62" t="n">
        <x:f>SUM(AD41,AD45)</x:f>
        <x:v>201106.62209789874</x:v>
      </x:c>
      <x:c r="AE46" s="62" t="n">
        <x:f>SUM(AE41,AE45)</x:f>
        <x:v>206601.4988935211</x:v>
      </x:c>
      <x:c r="AF46" s="62" t="n">
        <x:f>SUM(AF41,AF45)</x:f>
        <x:v>224910.37027579657</x:v>
      </x:c>
      <x:c r="AG46" s="62" t="n">
        <x:f>SUM(AG41,AG45)</x:f>
        <x:v>230534.47863343463</x:v>
      </x:c>
      <x:c r="AH46" s="62" t="n">
        <x:f>SUM(AH41,AH45)</x:f>
        <x:v>236445.1843933439</x:v>
      </x:c>
      <x:c r="AI46" s="62" t="n">
        <x:f>SUM(AI41,AI45)</x:f>
        <x:v>255558.66052308618</x:v>
      </x:c>
      <x:c r="AJ46" s="62" t="n">
        <x:f>SUM(AJ41,AJ45)</x:f>
        <x:v>262056.54356840812</x:v>
      </x:c>
      <x:c r="AK46" s="62" t="n">
        <x:f>SUM(AK41,AK45)</x:f>
        <x:v>281763.0630630497</x:v>
      </x:c>
      <x:c r="AL46" s="62" t="n">
        <x:f>SUM(AL41,AL45)</x:f>
        <x:v>288865.8088270845</x:v>
      </x:c>
      <x:c r="AM46" s="62" t="n">
        <x:f>SUM(AM41,AM45)</x:f>
        <x:v>309234.37389760045</x:v>
      </x:c>
      <x:c r="AN46" s="62" t="n">
        <x:f>SUM(AN41,AN45)</x:f>
        <x:v>317055.3903198306</x:v>
      </x:c>
      <x:c r="AO46" s="62" t="n">
        <x:f>SUM(AO41,AO45)</x:f>
        <x:v>338183.4727489472</x:v>
      </x:c>
      <x:c r="AP46" s="62" t="n">
        <x:f>SUM(AP41,AP45)</x:f>
        <x:v>346808.20952664444</x:v>
      </x:c>
      <x:c r="AQ46" s="62" t="n">
        <x:f>SUM(AQ41,AQ45)</x:f>
        <x:v>368787.5052054955</x:v>
      </x:c>
      <x:c r="AR46" s="62" t="n">
        <x:f>SUM(AR41,AR45)</x:f>
        <x:v>391231.07533157093</x:v>
      </x:c>
      <x:c r="AS46" s="62" t="n">
        <x:f>SUM(AS41,AS45)</x:f>
        <x:v>401250.616308048</x:v>
      </x:c>
      <x:c r="AT46" s="62" t="n">
        <x:f>SUM(AT41,AT45)</x:f>
        <x:v>424709.9233761331</x:v>
      </x:c>
      <x:c r="AU46" s="62" t="n">
        <x:f>SUM(AU41,AU45)</x:f>
        <x:v>448725.0775736795</x:v>
      </x:c>
      <x:c r="AV46" s="62" t="n">
        <x:f>SUM(AV41,AV45)</x:f>
        <x:v>473331.32279596606</x:v>
      </x:c>
      <x:c r="AW46" s="62" t="n">
        <x:f>SUM(AW41,AW45)</x:f>
        <x:v>498485.875990859</x:v>
      </x:c>
      <x:c r="AX46" s="62" t="n">
        <x:f>SUM(AX41,AX45)</x:f>
        <x:v>510672.0444797657</x:v>
      </x:c>
      <x:c r="AY46" s="62" t="n">
        <x:f>SUM(AY41,AY45)</x:f>
        <x:v>536289.9560925567</x:v>
      </x:c>
      <x:c r="AZ46" s="62" t="n">
        <x:f>SUM(AZ41,AZ45)</x:f>
        <x:v>561723.0157232648</x:v>
      </x:c>
      <x:c r="BA46" s="62" t="n">
        <x:f>SUM(BA41,BA45)</x:f>
        <x:v>587558.0830932285</x:v>
      </x:c>
      <x:c r="BB46" s="62" t="n">
        <x:f>SUM(BB41,BB45)</x:f>
        <x:v>613948.372104079</x:v>
      </x:c>
      <x:c r="BC46" s="62" t="n">
        <x:f>SUM(BC41,BC45)</x:f>
        <x:v>640882.1959966895</x:v>
      </x:c>
      <x:c r="BD46" s="62" t="n">
        <x:f>SUM(BD41,BD45)</x:f>
        <x:v>668380.3453815426</x:v>
      </x:c>
      <x:c r="BE46" s="62" t="n">
        <x:f>SUM(BE41,BE45)</x:f>
        <x:v>696460.1595359679</x:v>
      </x:c>
      <x:c r="BF46" s="62" t="n">
        <x:f>SUM(BF41,BF45)</x:f>
        <x:v>725104.0525855315</x:v>
      </x:c>
      <x:c r="BG46" s="62" t="n">
        <x:f>SUM(BG41,BG45)</x:f>
        <x:v>754375.9148235738</x:v>
      </x:c>
      <x:c r="BH46" s="62" t="n">
        <x:f>SUM(BH41,BH45)</x:f>
        <x:v>784300.9099397445</x:v>
      </x:c>
      <x:c r="BI46" s="62" t="n">
        <x:f>SUM(BI41,BI45)</x:f>
        <x:v>827821.7561487921</x:v>
      </x:c>
      <x:c r="BJ46" s="62" t="n">
        <x:f>SUM(BJ41,BJ45)</x:f>
        <x:v>859132.2496684848</x:v>
      </x:c>
    </x:row>
    <x:row r="47">
      <x:c r="A47" t="str">
        <x:v>Gross Profit</x:v>
      </x:c>
      <x:c r="B47" t="str">
        <x:v>$</x:v>
      </x:c>
      <x:c r="C47" s="62" t="n">
        <x:f>C30-C46</x:f>
        <x:v>-25833.333333333332</x:v>
      </x:c>
      <x:c r="D47" s="62" t="n">
        <x:f>D30-D46</x:f>
        <x:v>12166.666666666668</x:v>
      </x:c>
      <x:c r="E47" s="62" t="n">
        <x:f>E30-E46</x:f>
        <x:v>43044.66666666667</x:v>
      </x:c>
      <x:c r="F47" s="62" t="n">
        <x:f>F30-F46</x:f>
        <x:v>63004.591604266665</x:v>
      </x:c>
      <x:c r="G47" s="62" t="n">
        <x:f>G30-G46</x:f>
        <x:v>86417.99251278106</x:v>
      </x:c>
      <x:c r="H47" s="62" t="n">
        <x:f>H30-H46</x:f>
        <x:v>101191.10301766348</x:v>
      </x:c>
      <x:c r="I47" s="62" t="n">
        <x:f>I30-I46</x:f>
        <x:v>115774.43809524915</x:v>
      </x:c>
      <x:c r="J47" s="62" t="n">
        <x:f>J30-J46</x:f>
        <x:v>127865.04691119616</x:v>
      </x:c>
      <x:c r="K47" s="62" t="n">
        <x:f>K30-K46</x:f>
        <x:v>142122.51288264396</x:v>
      </x:c>
      <x:c r="L47" s="62" t="n">
        <x:f>L30-L46</x:f>
        <x:v>144440.3569038452</x:v>
      </x:c>
      <x:c r="M47" s="62" t="n">
        <x:f>M30-M46</x:f>
        <x:v>162768.9177650633</x:v>
      </x:c>
      <x:c r="N47" s="62" t="n">
        <x:f>N30-N46</x:f>
        <x:v>181819.7740426355</x:v>
      </x:c>
      <x:c r="O47" s="62" t="n">
        <x:f>O30-O46</x:f>
        <x:v>209160.86503118323</x:v>
      </x:c>
      <x:c r="P47" s="62" t="n">
        <x:f>P30-P46</x:f>
        <x:v>216924.90385698222</x:v>
      </x:c>
      <x:c r="Q47" s="62" t="n">
        <x:f>Q30-Q46</x:f>
        <x:v>238991.08090396062</x:v>
      </x:c>
      <x:c r="R47" s="62" t="n">
        <x:f>R30-R46</x:f>
        <x:v>262535.17739568243</x:v>
      </x:c>
      <x:c r="S47" s="62" t="n">
        <x:f>S30-S46</x:f>
        <x:v>287659.9507650273</x:v>
      </x:c>
      <x:c r="T47" s="62" t="n">
        <x:f>T30-T46</x:f>
        <x:v>314474.52348511084</x:v>
      </x:c>
      <x:c r="U47" s="62" t="n">
        <x:f>U30-U46</x:f>
        <x:v>330178.23028446815</x:v>
      </x:c>
      <x:c r="V47" s="62" t="n">
        <x:f>V30-V46</x:f>
        <x:v>360731.8035444329</x:v>
      </x:c>
      <x:c r="W47" s="62" t="n">
        <x:f>W30-W46</x:f>
        <x:v>393356.2223741072</x:v>
      </x:c>
      <x:c r="X47" s="62" t="n">
        <x:f>X30-X46</x:f>
        <x:v>428199.70159800205</x:v>
      </x:c>
      <x:c r="Y47" s="62" t="n">
        <x:f>Y30-Y46</x:f>
        <x:v>452505.3262809905</x:v>
      </x:c>
      <x:c r="Z47" s="62" t="n">
        <x:f>Z30-Z46</x:f>
        <x:v>492278.34260032466</x:v>
      </x:c>
      <x:c r="AA47" s="62" t="n">
        <x:f>AA30-AA46</x:f>
        <x:v>555973.5348191549</x:v>
      </x:c>
      <x:c r="AB47" s="62" t="n">
        <x:f>AB30-AB46</x:f>
        <x:v>598656.6942777585</x:v>
      </x:c>
      <x:c r="AC47" s="62" t="n">
        <x:f>AC30-AC46</x:f>
        <x:v>640791.8685886661</x:v>
      </x:c>
      <x:c r="AD47" s="62" t="n">
        <x:f>AD30-AD46</x:f>
        <x:v>670780.9873993656</x:v>
      </x:c>
      <x:c r="AE47" s="62" t="n">
        <x:f>AE30-AE46</x:f>
        <x:v>714170.6120619855</x:v>
      </x:c>
      <x:c r="AF47" s="62" t="n">
        <x:f>AF30-AF46</x:f>
        <x:v>744728.3060179711</x:v>
      </x:c>
      <x:c r="AG47" s="62" t="n">
        <x:f>AG30-AG46</x:f>
        <x:v>789965.5778467007</x:v>
      </x:c>
      <x:c r="AH47" s="62" t="n">
        <x:f>AH30-AH46</x:f>
        <x:v>837456.7477068627</x:v>
      </x:c>
      <x:c r="AI47" s="62" t="n">
        <x:f>AI30-AI46</x:f>
        <x:v>874248.533029372</x:v>
      </x:c>
      <x:c r="AJ47" s="62" t="n">
        <x:f>AJ30-AJ46</x:f>
        <x:v>926287.6780022574</x:v>
      </x:c>
      <x:c r="AK47" s="62" t="n">
        <x:f>AK30-AK46</x:f>
        <x:v>967617.9475700813</x:v>
      </x:c>
      <x:c r="AL47" s="62" t="n">
        <x:f>AL30-AL46</x:f>
        <x:v>1024235.4775515811</x:v>
      </x:c>
      <x:c r="AM47" s="62" t="n">
        <x:f>AM30-AM46</x:f>
        <x:v>1112007.8766510286</x:v>
      </x:c>
      <x:c r="AN47" s="62" t="n">
        <x:f>AN30-AN46</x:f>
        <x:v>1176221.5149752987</x:v>
      </x:c>
      <x:c r="AO47" s="62" t="n">
        <x:f>AO30-AO46</x:f>
        <x:v>1230596.3114825464</x:v>
      </x:c>
      <x:c r="AP47" s="62" t="n">
        <x:f>AP30-AP46</x:f>
        <x:v>1301137.472528529</x:v>
      </x:c>
      <x:c r="AQ47" s="62" t="n">
        <x:f>AQ30-AQ46</x:f>
        <x:v>1362195.3990235068</x:v>
      </x:c>
      <x:c r="AR47" s="62" t="n">
        <x:f>AR30-AR46</x:f>
        <x:v>1426883.2118314942</x:v>
      </x:c>
      <x:c r="AS47" s="62" t="n">
        <x:f>AS30-AS46</x:f>
        <x:v>1508328.0328527945</x:v>
      </x:c>
      <x:c r="AT47" s="62" t="n">
        <x:f>AT30-AT46</x:f>
        <x:v>1580921.776492788</x:v>
      </x:c>
      <x:c r="AU47" s="62" t="n">
        <x:f>AU30-AU46</x:f>
        <x:v>1657822.4203010686</x:v>
      </x:c>
      <x:c r="AV47" s="62" t="n">
        <x:f>AV30-AV46</x:f>
        <x:v>1739288.7751100264</x:v>
      </x:c>
      <x:c r="AW47" s="62" t="n">
        <x:f>AW30-AW46</x:f>
        <x:v>1825091.1651427418</x:v>
      </x:c>
      <x:c r="AX47" s="62" t="n">
        <x:f>AX30-AX46</x:f>
        <x:v>1924416.4268782248</x:v>
      </x:c>
      <x:c r="AY47" s="62" t="n">
        <x:f>AY30-AY46</x:f>
        <x:v>2091709.1172574128</x:v>
      </x:c>
      <x:c r="AZ47" s="62" t="n">
        <x:f>AZ30-AZ46</x:f>
        <x:v>2186916.493290045</x:v>
      </x:c>
      <x:c r="BA47" s="62" t="n">
        <x:f>BA30-BA46</x:f>
        <x:v>2285430.4205748467</x:v>
      </x:c>
      <x:c r="BB47" s="62" t="n">
        <x:f>BB30-BB46</x:f>
        <x:v>2388789.1659425464</x:v>
      </x:c>
      <x:c r="BC47" s="62" t="n">
        <x:f>BC30-BC46</x:f>
        <x:v>2496828.1379563287</x:v>
      </x:c>
      <x:c r="BD47" s="62" t="n">
        <x:f>BD30-BD46</x:f>
        <x:v>2609730.684513856</x:v>
      </x:c>
      <x:c r="BE47" s="62" t="n">
        <x:f>BE30-BE46</x:f>
        <x:v>2727640.0859472486</x:v>
      </x:c>
      <x:c r="BF47" s="62" t="n">
        <x:f>BF30-BF46</x:f>
        <x:v>2850340.6368416874</x:v>
      </x:c>
      <x:c r="BG47" s="62" t="n">
        <x:f>BG30-BG46</x:f>
        <x:v>2978448.978994054</x:v>
      </x:c>
      <x:c r="BH47" s="62" t="n">
        <x:f>BH30-BH46</x:f>
        <x:v>3112181.3129295297</x:v>
      </x:c>
      <x:c r="BI47" s="62" t="n">
        <x:f>BI30-BI46</x:f>
        <x:v>3238845.469659553</x:v>
      </x:c>
      <x:c r="BJ47" s="62" t="n">
        <x:f>BJ30-BJ46</x:f>
        <x:v>3384508.5616223607</x:v>
      </x:c>
    </x:row>
    <x:row r="48">
      <x:c r="A48" t="str">
        <x:v>Gross Margin</x:v>
      </x:c>
      <x:c r="B48" t="str">
        <x:v>%</x:v>
      </x:c>
      <x:c r="C48" s="66" t="n">
        <x:f>IF(C30=0,0,C47/C30)</x:f>
        <x:v>0</x:v>
      </x:c>
      <x:c r="D48" s="66" t="n">
        <x:f>IF(D30=0,0,D47/D30)</x:f>
        <x:v>0.3041666666666667</x:v>
      </x:c>
      <x:c r="E48" s="66" t="n">
        <x:f>IF(E30=0,0,E47/E30)</x:f>
        <x:v>0.5686217525319244</x:v>
      </x:c>
      <x:c r="F48" s="66" t="n">
        <x:f>IF(F30=0,0,F47/F30)</x:f>
        <x:v>0.6374684491398517</x:v>
      </x:c>
      <x:c r="G48" s="66" t="n">
        <x:f>IF(G30=0,0,G47/G30)</x:f>
        <x:v>0.6807905933021069</x:v>
      </x:c>
      <x:c r="H48" s="66" t="n">
        <x:f>IF(H30=0,0,H47/H30)</x:f>
        <x:v>0.6347216783731477</x:v>
      </x:c>
      <x:c r="I48" s="66" t="n">
        <x:f>IF(I30=0,0,I47/I30)</x:f>
        <x:v>0.6582207912918213</x:v>
      </x:c>
      <x:c r="J48" s="66" t="n">
        <x:f>IF(J30=0,0,J47/J30)</x:f>
        <x:v>0.6744049747575949</x:v>
      </x:c>
      <x:c r="K48" s="66" t="n">
        <x:f>IF(K30=0,0,K47/K30)</x:f>
        <x:v>0.690823456955707</x:v>
      </x:c>
      <x:c r="L48" s="66" t="n">
        <x:f>IF(L30=0,0,L47/L30)</x:f>
        <x:v>0.6477987417043543</x:v>
      </x:c>
      <x:c r="M48" s="66" t="n">
        <x:f>IF(M30=0,0,M47/M30)</x:f>
        <x:v>0.6679752702782588</x:v>
      </x:c>
      <x:c r="N48" s="66" t="n">
        <x:f>IF(N30=0,0,N47/N30)</x:f>
        <x:v>0.6855761422545014</x:v>
      </x:c>
      <x:c r="O48" s="66" t="n">
        <x:f>IF(O30=0,0,O47/O30)</x:f>
        <x:v>0.7089666757371064</x:v>
      </x:c>
      <x:c r="P48" s="66" t="n">
        <x:f>IF(P30=0,0,P47/P30)</x:f>
        <x:v>0.6814170818210415</x:v>
      </x:c>
      <x:c r="Q48" s="66" t="n">
        <x:f>IF(Q30=0,0,Q47/Q30)</x:f>
        <x:v>0.6962998284913565</x:v>
      </x:c>
      <x:c r="R48" s="66" t="n">
        <x:f>IF(R30=0,0,R47/R30)</x:f>
        <x:v>0.7099655936824995</x:v>
      </x:c>
      <x:c r="S48" s="66" t="n">
        <x:f>IF(S30=0,0,S47/S30)</x:f>
        <x:v>0.7225329500636523</x:v>
      </x:c>
      <x:c r="T48" s="66" t="n">
        <x:f>IF(T30=0,0,T47/T30)</x:f>
        <x:v>0.7341060847880355</x:v>
      </x:c>
      <x:c r="U48" s="66" t="n">
        <x:f>IF(U30=0,0,U47/U30)</x:f>
        <x:v>0.7167375432934241</x:v>
      </x:c>
      <x:c r="V48" s="66" t="n">
        <x:f>IF(V30=0,0,V47/V30)</x:f>
        <x:v>0.7285396031240566</x:v>
      </x:c>
      <x:c r="W48" s="66" t="n">
        <x:f>IF(W30=0,0,W47/W30)</x:f>
        <x:v>0.7394471961097084</x:v>
      </x:c>
      <x:c r="X48" s="66" t="n">
        <x:f>IF(X30=0,0,X47/X30)</x:f>
        <x:v>0.7495382115670769</x:v>
      </x:c>
      <x:c r="Y48" s="66" t="n">
        <x:f>IF(Y30=0,0,Y47/Y30)</x:f>
        <x:v>0.73782129566802</x:v>
      </x:c>
      <x:c r="Z48" s="66" t="n">
        <x:f>IF(Z30=0,0,Z47/Z30)</x:f>
        <x:v>0.7479173109958166</x:v>
      </x:c>
      <x:c r="AA48" s="66" t="n">
        <x:f>IF(AA30=0,0,AA47/AA30)</x:f>
        <x:v>0.7643511215188665</x:v>
      </x:c>
      <x:c r="AB48" s="66" t="n">
        <x:f>IF(AB30=0,0,AB47/AB30)</x:f>
        <x:v>0.7717412024255714</x:v>
      </x:c>
      <x:c r="AC48" s="66" t="n">
        <x:f>IF(AC30=0,0,AC47/AC30)</x:f>
        <x:v>0.778235378833866</x:v>
      </x:c>
      <x:c r="AD48" s="66" t="n">
        <x:f>IF(AD30=0,0,AD47/AD30)</x:f>
        <x:v>0.7693434108854259</x:v>
      </x:c>
      <x:c r="AE48" s="66" t="n">
        <x:f>IF(AE30=0,0,AE47/AE30)</x:f>
        <x:v>0.7756214632965741</x:v>
      </x:c>
      <x:c r="AF48" s="66" t="n">
        <x:f>IF(AF30=0,0,AF47/AF30)</x:f>
        <x:v>0.7680472367960121</x:v>
      </x:c>
      <x:c r="AG48" s="66" t="n">
        <x:f>IF(AG30=0,0,AG47/AG30)</x:f>
        <x:v>0.7740965547531823</x:v>
      </x:c>
      <x:c r="AH48" s="66" t="n">
        <x:f>IF(AH30=0,0,AH47/AH30)</x:f>
        <x:v>0.7798260927504496</x:v>
      </x:c>
      <x:c r="AI48" s="66" t="n">
        <x:f>IF(AI30=0,0,AI47/AI30)</x:f>
        <x:v>0.7738032984906638</x:v>
      </x:c>
      <x:c r="AJ48" s="66" t="n">
        <x:f>IF(AJ30=0,0,AJ47/AJ30)</x:f>
        <x:v>0.7794775799708596</x:v>
      </x:c>
      <x:c r="AK48" s="66" t="n">
        <x:f>IF(AK30=0,0,AK47/AK30)</x:f>
        <x:v>0.7744778729106306</x:v>
      </x:c>
      <x:c r="AL48" s="66" t="n">
        <x:f>IF(AL30=0,0,AL47/AL30)</x:f>
        <x:v>0.7800125460056988</x:v>
      </x:c>
      <x:c r="AM48" s="66" t="n">
        <x:f>IF(AM30=0,0,AM47/AM30)</x:f>
        <x:v>0.782419658732894</x:v>
      </x:c>
      <x:c r="AN48" s="66" t="n">
        <x:f>IF(AN30=0,0,AN47/AN30)</x:f>
        <x:v>0.7876780996240156</x:v>
      </x:c>
      <x:c r="AO48" s="66" t="n">
        <x:f>IF(AO30=0,0,AO47/AO30)</x:f>
        <x:v>0.784428970752823</x:v>
      </x:c>
      <x:c r="AP48" s="66" t="n">
        <x:f>IF(AP30=0,0,AP47/AP30)</x:f>
        <x:v>0.7895511889116785</x:v>
      </x:c>
      <x:c r="AQ48" s="66" t="n">
        <x:f>IF(AQ30=0,0,AQ47/AQ30)</x:f>
        <x:v>0.786949077137329</x:v>
      </x:c>
      <x:c r="AR48" s="66" t="n">
        <x:f>IF(AR30=0,0,AR47/AR30)</x:f>
        <x:v>0.7848149161502729</x:v>
      </x:c>
      <x:c r="AS48" s="66" t="n">
        <x:f>IF(AS30=0,0,AS47/AS30)</x:f>
        <x:v>0.7898747891403288</x:v>
      </x:c>
      <x:c r="AT48" s="66" t="n">
        <x:f>IF(AT30=0,0,AT47/AT30)</x:f>
        <x:v>0.788241318980005</x:v>
      </x:c>
      <x:c r="AU48" s="66" t="n">
        <x:f>IF(AU30=0,0,AU47/AU30)</x:f>
        <x:v>0.7869855400714255</x:v>
      </x:c>
      <x:c r="AV48" s="66" t="n">
        <x:f>IF(AV30=0,0,AV47/AV30)</x:f>
        <x:v>0.7860765509434161</x:v>
      </x:c>
      <x:c r="AW48" s="66" t="n">
        <x:f>IF(AW30=0,0,AW47/AW30)</x:f>
        <x:v>0.7854661725579526</x:v>
      </x:c>
      <x:c r="AX48" s="66" t="n">
        <x:f>IF(AX30=0,0,AX47/AX30)</x:f>
        <x:v>0.7902860407388089</x:v>
      </x:c>
      <x:c r="AY48" s="66" t="n">
        <x:f>IF(AY30=0,0,AY47/AY30)</x:f>
        <x:v>0.7959322126362336</x:v>
      </x:c>
      <x:c r="AZ48" s="66" t="n">
        <x:f>IF(AZ30=0,0,AZ47/AZ30)</x:f>
        <x:v>0.7956359814077951</x:v>
      </x:c>
      <x:c r="BA48" s="66" t="n">
        <x:f>IF(BA30=0,0,BA47/BA30)</x:f>
        <x:v>0.7954888847125332</x:v>
      </x:c>
      <x:c r="BB48" s="66" t="n">
        <x:f>IF(BB30=0,0,BB47/BB30)</x:f>
        <x:v>0.7955371176051999</x:v>
      </x:c>
      <x:c r="BC48" s="66" t="n">
        <x:f>IF(BC30=0,0,BC47/BC30)</x:f>
        <x:v>0.7957484510084526</x:v>
      </x:c>
      <x:c r="BD48" s="66" t="n">
        <x:f>IF(BD30=0,0,BD47/BD30)</x:f>
        <x:v>0.7961080819758354</x:v>
      </x:c>
      <x:c r="BE48" s="66" t="n">
        <x:f>IF(BE30=0,0,BE47/BE30)</x:f>
        <x:v>0.7966005345624214</x:v>
      </x:c>
      <x:c r="BF48" s="66" t="n">
        <x:f>IF(BF30=0,0,BF47/BF30)</x:f>
        <x:v>0.7971989177375046</x:v>
      </x:c>
      <x:c r="BG48" s="66" t="n">
        <x:f>IF(BG30=0,0,BG47/BG30)</x:f>
        <x:v>0.7979075000081078</x:v>
      </x:c>
      <x:c r="BH48" s="66" t="n">
        <x:f>IF(BH30=0,0,BH47/BH30)</x:f>
        <x:v>0.7987156452719026</x:v>
      </x:c>
      <x:c r="BI48" s="66" t="n">
        <x:f>IF(BI30=0,0,BI47/BI30)</x:f>
        <x:v>0.7964373010667862</x:v>
      </x:c>
      <x:c r="BJ48" s="66" t="n">
        <x:f>IF(BJ30=0,0,BJ47/BJ30)</x:f>
        <x:v>0.7975483110204252</x:v>
      </x:c>
    </x:row>
    <x:row r="50">
      <x:c r="A50" s="3" t="str">
        <x:v>Operating Expenses</x:v>
      </x:c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  <x:c r="AS50" s="3"/>
      <x:c r="AT50" s="3"/>
      <x:c r="AU50" s="3"/>
      <x:c r="AV50" s="3"/>
      <x:c r="AW50" s="3"/>
      <x:c r="AX50" s="3"/>
      <x:c r="AY50" s="3"/>
      <x:c r="AZ50" s="3"/>
      <x:c r="BA50" s="3"/>
      <x:c r="BB50" s="3"/>
      <x:c r="BC50" s="3"/>
      <x:c r="BD50" s="3"/>
      <x:c r="BE50" s="3"/>
      <x:c r="BF50" s="3"/>
      <x:c r="BG50" s="3"/>
      <x:c r="BH50" s="3"/>
      <x:c r="BI50" s="3"/>
      <x:c r="BJ50" s="3"/>
    </x:row>
    <x:row r="51">
      <x:c r="A51" t="str">
        <x:v>Commercial FTE</x:v>
      </x:c>
      <x:c r="B51" t="str">
        <x:v>FTE</x:v>
      </x:c>
      <x:c r="C51" s="68" t="n">
        <x:f>MAX(Assumptions!$G$57,ROUNDUP(C12/Assumptions!$G$59,0))</x:f>
        <x:v>1</x:v>
      </x:c>
      <x:c r="D51" s="68" t="n">
        <x:f>MAX(Assumptions!$G$57,ROUNDUP(D12/Assumptions!$G$59,0))</x:f>
        <x:v>1</x:v>
      </x:c>
      <x:c r="E51" s="68" t="n">
        <x:f>MAX(Assumptions!$G$57,ROUNDUP(E12/Assumptions!$G$59,0))</x:f>
        <x:v>1</x:v>
      </x:c>
      <x:c r="F51" s="68" t="n">
        <x:f>MAX(Assumptions!$G$57,ROUNDUP(F12/Assumptions!$G$59,0))</x:f>
        <x:v>1</x:v>
      </x:c>
      <x:c r="G51" s="68" t="n">
        <x:f>MAX(Assumptions!$G$57,ROUNDUP(G12/Assumptions!$G$59,0))</x:f>
        <x:v>1</x:v>
      </x:c>
      <x:c r="H51" s="68" t="n">
        <x:f>MAX(Assumptions!$G$57,ROUNDUP(H12/Assumptions!$G$59,0))</x:f>
        <x:v>1</x:v>
      </x:c>
      <x:c r="I51" s="68" t="n">
        <x:f>MAX(Assumptions!$G$57,ROUNDUP(I12/Assumptions!$G$59,0))</x:f>
        <x:v>1</x:v>
      </x:c>
      <x:c r="J51" s="68" t="n">
        <x:f>MAX(Assumptions!$G$57,ROUNDUP(J12/Assumptions!$G$59,0))</x:f>
        <x:v>1</x:v>
      </x:c>
      <x:c r="K51" s="68" t="n">
        <x:f>MAX(Assumptions!$G$57,ROUNDUP(K12/Assumptions!$G$59,0))</x:f>
        <x:v>1</x:v>
      </x:c>
      <x:c r="L51" s="68" t="n">
        <x:f>MAX(Assumptions!$G$57,ROUNDUP(L12/Assumptions!$G$59,0))</x:f>
        <x:v>1</x:v>
      </x:c>
      <x:c r="M51" s="68" t="n">
        <x:f>MAX(Assumptions!$G$57,ROUNDUP(M12/Assumptions!$G$59,0))</x:f>
        <x:v>1</x:v>
      </x:c>
      <x:c r="N51" s="68" t="n">
        <x:f>MAX(Assumptions!$G$57,ROUNDUP(N12/Assumptions!$G$59,0))</x:f>
        <x:v>1</x:v>
      </x:c>
      <x:c r="O51" s="68" t="n">
        <x:f>MAX(Assumptions!$G$57,ROUNDUP(O12/Assumptions!$G$59,0))</x:f>
        <x:v>1</x:v>
      </x:c>
      <x:c r="P51" s="68" t="n">
        <x:f>MAX(Assumptions!$G$57,ROUNDUP(P12/Assumptions!$G$59,0))</x:f>
        <x:v>1</x:v>
      </x:c>
      <x:c r="Q51" s="68" t="n">
        <x:f>MAX(Assumptions!$G$57,ROUNDUP(Q12/Assumptions!$G$59,0))</x:f>
        <x:v>1</x:v>
      </x:c>
      <x:c r="R51" s="68" t="n">
        <x:f>MAX(Assumptions!$G$57,ROUNDUP(R12/Assumptions!$G$59,0))</x:f>
        <x:v>1</x:v>
      </x:c>
      <x:c r="S51" s="68" t="n">
        <x:f>MAX(Assumptions!$G$57,ROUNDUP(S12/Assumptions!$G$59,0))</x:f>
        <x:v>1</x:v>
      </x:c>
      <x:c r="T51" s="68" t="n">
        <x:f>MAX(Assumptions!$G$57,ROUNDUP(T12/Assumptions!$G$59,0))</x:f>
        <x:v>1</x:v>
      </x:c>
      <x:c r="U51" s="68" t="n">
        <x:f>MAX(Assumptions!$G$57,ROUNDUP(U12/Assumptions!$G$59,0))</x:f>
        <x:v>2</x:v>
      </x:c>
      <x:c r="V51" s="68" t="n">
        <x:f>MAX(Assumptions!$G$57,ROUNDUP(V12/Assumptions!$G$59,0))</x:f>
        <x:v>2</x:v>
      </x:c>
      <x:c r="W51" s="68" t="n">
        <x:f>MAX(Assumptions!$G$57,ROUNDUP(W12/Assumptions!$G$59,0))</x:f>
        <x:v>2</x:v>
      </x:c>
      <x:c r="X51" s="68" t="n">
        <x:f>MAX(Assumptions!$G$57,ROUNDUP(X12/Assumptions!$G$59,0))</x:f>
        <x:v>2</x:v>
      </x:c>
      <x:c r="Y51" s="68" t="n">
        <x:f>MAX(Assumptions!$G$57,ROUNDUP(Y12/Assumptions!$G$59,0))</x:f>
        <x:v>2</x:v>
      </x:c>
      <x:c r="Z51" s="68" t="n">
        <x:f>MAX(Assumptions!$G$57,ROUNDUP(Z12/Assumptions!$G$59,0))</x:f>
        <x:v>2</x:v>
      </x:c>
      <x:c r="AA51" s="68" t="n">
        <x:f>MAX(Assumptions!$G$57,ROUNDUP(AA12/Assumptions!$G$59,0))</x:f>
        <x:v>2</x:v>
      </x:c>
      <x:c r="AB51" s="68" t="n">
        <x:f>MAX(Assumptions!$G$57,ROUNDUP(AB12/Assumptions!$G$59,0))</x:f>
        <x:v>2</x:v>
      </x:c>
      <x:c r="AC51" s="68" t="n">
        <x:f>MAX(Assumptions!$G$57,ROUNDUP(AC12/Assumptions!$G$59,0))</x:f>
        <x:v>2</x:v>
      </x:c>
      <x:c r="AD51" s="68" t="n">
        <x:f>MAX(Assumptions!$G$57,ROUNDUP(AD12/Assumptions!$G$59,0))</x:f>
        <x:v>2</x:v>
      </x:c>
      <x:c r="AE51" s="68" t="n">
        <x:f>MAX(Assumptions!$G$57,ROUNDUP(AE12/Assumptions!$G$59,0))</x:f>
        <x:v>2</x:v>
      </x:c>
      <x:c r="AF51" s="68" t="n">
        <x:f>MAX(Assumptions!$G$57,ROUNDUP(AF12/Assumptions!$G$59,0))</x:f>
        <x:v>2</x:v>
      </x:c>
      <x:c r="AG51" s="68" t="n">
        <x:f>MAX(Assumptions!$G$57,ROUNDUP(AG12/Assumptions!$G$59,0))</x:f>
        <x:v>2</x:v>
      </x:c>
      <x:c r="AH51" s="68" t="n">
        <x:f>MAX(Assumptions!$G$57,ROUNDUP(AH12/Assumptions!$G$59,0))</x:f>
        <x:v>2</x:v>
      </x:c>
      <x:c r="AI51" s="68" t="n">
        <x:f>MAX(Assumptions!$G$57,ROUNDUP(AI12/Assumptions!$G$59,0))</x:f>
        <x:v>3</x:v>
      </x:c>
      <x:c r="AJ51" s="68" t="n">
        <x:f>MAX(Assumptions!$G$57,ROUNDUP(AJ12/Assumptions!$G$59,0))</x:f>
        <x:v>3</x:v>
      </x:c>
      <x:c r="AK51" s="68" t="n">
        <x:f>MAX(Assumptions!$G$57,ROUNDUP(AK12/Assumptions!$G$59,0))</x:f>
        <x:v>3</x:v>
      </x:c>
      <x:c r="AL51" s="68" t="n">
        <x:f>MAX(Assumptions!$G$57,ROUNDUP(AL12/Assumptions!$G$59,0))</x:f>
        <x:v>3</x:v>
      </x:c>
      <x:c r="AM51" s="68" t="n">
        <x:f>MAX(Assumptions!$G$57,ROUNDUP(AM12/Assumptions!$G$59,0))</x:f>
        <x:v>3</x:v>
      </x:c>
      <x:c r="AN51" s="68" t="n">
        <x:f>MAX(Assumptions!$G$57,ROUNDUP(AN12/Assumptions!$G$59,0))</x:f>
        <x:v>3</x:v>
      </x:c>
      <x:c r="AO51" s="68" t="n">
        <x:f>MAX(Assumptions!$G$57,ROUNDUP(AO12/Assumptions!$G$59,0))</x:f>
        <x:v>3</x:v>
      </x:c>
      <x:c r="AP51" s="68" t="n">
        <x:f>MAX(Assumptions!$G$57,ROUNDUP(AP12/Assumptions!$G$59,0))</x:f>
        <x:v>3</x:v>
      </x:c>
      <x:c r="AQ51" s="68" t="n">
        <x:f>MAX(Assumptions!$G$57,ROUNDUP(AQ12/Assumptions!$G$59,0))</x:f>
        <x:v>3</x:v>
      </x:c>
      <x:c r="AR51" s="68" t="n">
        <x:f>MAX(Assumptions!$G$57,ROUNDUP(AR12/Assumptions!$G$59,0))</x:f>
        <x:v>3</x:v>
      </x:c>
      <x:c r="AS51" s="68" t="n">
        <x:f>MAX(Assumptions!$G$57,ROUNDUP(AS12/Assumptions!$G$59,0))</x:f>
        <x:v>4</x:v>
      </x:c>
      <x:c r="AT51" s="68" t="n">
        <x:f>MAX(Assumptions!$G$57,ROUNDUP(AT12/Assumptions!$G$59,0))</x:f>
        <x:v>4</x:v>
      </x:c>
      <x:c r="AU51" s="68" t="n">
        <x:f>MAX(Assumptions!$G$57,ROUNDUP(AU12/Assumptions!$G$59,0))</x:f>
        <x:v>4</x:v>
      </x:c>
      <x:c r="AV51" s="68" t="n">
        <x:f>MAX(Assumptions!$G$57,ROUNDUP(AV12/Assumptions!$G$59,0))</x:f>
        <x:v>4</x:v>
      </x:c>
      <x:c r="AW51" s="68" t="n">
        <x:f>MAX(Assumptions!$G$57,ROUNDUP(AW12/Assumptions!$G$59,0))</x:f>
        <x:v>4</x:v>
      </x:c>
      <x:c r="AX51" s="68" t="n">
        <x:f>MAX(Assumptions!$G$57,ROUNDUP(AX12/Assumptions!$G$59,0))</x:f>
        <x:v>4</x:v>
      </x:c>
      <x:c r="AY51" s="68" t="n">
        <x:f>MAX(Assumptions!$G$57,ROUNDUP(AY12/Assumptions!$G$59,0))</x:f>
        <x:v>4</x:v>
      </x:c>
      <x:c r="AZ51" s="68" t="n">
        <x:f>MAX(Assumptions!$G$57,ROUNDUP(AZ12/Assumptions!$G$59,0))</x:f>
        <x:v>5</x:v>
      </x:c>
      <x:c r="BA51" s="68" t="n">
        <x:f>MAX(Assumptions!$G$57,ROUNDUP(BA12/Assumptions!$G$59,0))</x:f>
        <x:v>5</x:v>
      </x:c>
      <x:c r="BB51" s="68" t="n">
        <x:f>MAX(Assumptions!$G$57,ROUNDUP(BB12/Assumptions!$G$59,0))</x:f>
        <x:v>5</x:v>
      </x:c>
      <x:c r="BC51" s="68" t="n">
        <x:f>MAX(Assumptions!$G$57,ROUNDUP(BC12/Assumptions!$G$59,0))</x:f>
        <x:v>5</x:v>
      </x:c>
      <x:c r="BD51" s="68" t="n">
        <x:f>MAX(Assumptions!$G$57,ROUNDUP(BD12/Assumptions!$G$59,0))</x:f>
        <x:v>5</x:v>
      </x:c>
      <x:c r="BE51" s="68" t="n">
        <x:f>MAX(Assumptions!$G$57,ROUNDUP(BE12/Assumptions!$G$59,0))</x:f>
        <x:v>5</x:v>
      </x:c>
      <x:c r="BF51" s="68" t="n">
        <x:f>MAX(Assumptions!$G$57,ROUNDUP(BF12/Assumptions!$G$59,0))</x:f>
        <x:v>6</x:v>
      </x:c>
      <x:c r="BG51" s="68" t="n">
        <x:f>MAX(Assumptions!$G$57,ROUNDUP(BG12/Assumptions!$G$59,0))</x:f>
        <x:v>6</x:v>
      </x:c>
      <x:c r="BH51" s="68" t="n">
        <x:f>MAX(Assumptions!$G$57,ROUNDUP(BH12/Assumptions!$G$59,0))</x:f>
        <x:v>6</x:v>
      </x:c>
      <x:c r="BI51" s="68" t="n">
        <x:f>MAX(Assumptions!$G$57,ROUNDUP(BI12/Assumptions!$G$59,0))</x:f>
        <x:v>6</x:v>
      </x:c>
      <x:c r="BJ51" s="68" t="n">
        <x:f>MAX(Assumptions!$G$57,ROUNDUP(BJ12/Assumptions!$G$59,0))</x:f>
        <x:v>7</x:v>
      </x:c>
    </x:row>
    <x:row r="52">
      <x:c r="A52" t="str">
        <x:v>Commercial compensation</x:v>
      </x:c>
      <x:c r="B52" t="str">
        <x:v>$</x:v>
      </x:c>
      <x:c r="C52" s="62" t="n">
        <x:f>C51*Assumptions!$G$58/12</x:f>
        <x:v>12500</x:v>
      </x:c>
      <x:c r="D52" s="62" t="n">
        <x:f>D51*Assumptions!$G$58/12</x:f>
        <x:v>12500</x:v>
      </x:c>
      <x:c r="E52" s="62" t="n">
        <x:f>E51*Assumptions!$G$58/12</x:f>
        <x:v>12500</x:v>
      </x:c>
      <x:c r="F52" s="62" t="n">
        <x:f>F51*Assumptions!$G$58/12</x:f>
        <x:v>12500</x:v>
      </x:c>
      <x:c r="G52" s="62" t="n">
        <x:f>G51*Assumptions!$G$58/12</x:f>
        <x:v>12500</x:v>
      </x:c>
      <x:c r="H52" s="62" t="n">
        <x:f>H51*Assumptions!$G$58/12</x:f>
        <x:v>12500</x:v>
      </x:c>
      <x:c r="I52" s="62" t="n">
        <x:f>I51*Assumptions!$G$58/12</x:f>
        <x:v>12500</x:v>
      </x:c>
      <x:c r="J52" s="62" t="n">
        <x:f>J51*Assumptions!$G$58/12</x:f>
        <x:v>12500</x:v>
      </x:c>
      <x:c r="K52" s="62" t="n">
        <x:f>K51*Assumptions!$G$58/12</x:f>
        <x:v>12500</x:v>
      </x:c>
      <x:c r="L52" s="62" t="n">
        <x:f>L51*Assumptions!$G$58/12</x:f>
        <x:v>12500</x:v>
      </x:c>
      <x:c r="M52" s="62" t="n">
        <x:f>M51*Assumptions!$G$58/12</x:f>
        <x:v>12500</x:v>
      </x:c>
      <x:c r="N52" s="62" t="n">
        <x:f>N51*Assumptions!$G$58/12</x:f>
        <x:v>12500</x:v>
      </x:c>
      <x:c r="O52" s="62" t="n">
        <x:f>O51*Assumptions!$G$58/12</x:f>
        <x:v>12500</x:v>
      </x:c>
      <x:c r="P52" s="62" t="n">
        <x:f>P51*Assumptions!$G$58/12</x:f>
        <x:v>12500</x:v>
      </x:c>
      <x:c r="Q52" s="62" t="n">
        <x:f>Q51*Assumptions!$G$58/12</x:f>
        <x:v>12500</x:v>
      </x:c>
      <x:c r="R52" s="62" t="n">
        <x:f>R51*Assumptions!$G$58/12</x:f>
        <x:v>12500</x:v>
      </x:c>
      <x:c r="S52" s="62" t="n">
        <x:f>S51*Assumptions!$G$58/12</x:f>
        <x:v>12500</x:v>
      </x:c>
      <x:c r="T52" s="62" t="n">
        <x:f>T51*Assumptions!$G$58/12</x:f>
        <x:v>12500</x:v>
      </x:c>
      <x:c r="U52" s="62" t="n">
        <x:f>U51*Assumptions!$G$58/12</x:f>
        <x:v>25000</x:v>
      </x:c>
      <x:c r="V52" s="62" t="n">
        <x:f>V51*Assumptions!$G$58/12</x:f>
        <x:v>25000</x:v>
      </x:c>
      <x:c r="W52" s="62" t="n">
        <x:f>W51*Assumptions!$G$58/12</x:f>
        <x:v>25000</x:v>
      </x:c>
      <x:c r="X52" s="62" t="n">
        <x:f>X51*Assumptions!$G$58/12</x:f>
        <x:v>25000</x:v>
      </x:c>
      <x:c r="Y52" s="62" t="n">
        <x:f>Y51*Assumptions!$G$58/12</x:f>
        <x:v>25000</x:v>
      </x:c>
      <x:c r="Z52" s="62" t="n">
        <x:f>Z51*Assumptions!$G$58/12</x:f>
        <x:v>25000</x:v>
      </x:c>
      <x:c r="AA52" s="62" t="n">
        <x:f>AA51*Assumptions!$G$58/12</x:f>
        <x:v>25000</x:v>
      </x:c>
      <x:c r="AB52" s="62" t="n">
        <x:f>AB51*Assumptions!$G$58/12</x:f>
        <x:v>25000</x:v>
      </x:c>
      <x:c r="AC52" s="62" t="n">
        <x:f>AC51*Assumptions!$G$58/12</x:f>
        <x:v>25000</x:v>
      </x:c>
      <x:c r="AD52" s="62" t="n">
        <x:f>AD51*Assumptions!$G$58/12</x:f>
        <x:v>25000</x:v>
      </x:c>
      <x:c r="AE52" s="62" t="n">
        <x:f>AE51*Assumptions!$G$58/12</x:f>
        <x:v>25000</x:v>
      </x:c>
      <x:c r="AF52" s="62" t="n">
        <x:f>AF51*Assumptions!$G$58/12</x:f>
        <x:v>25000</x:v>
      </x:c>
      <x:c r="AG52" s="62" t="n">
        <x:f>AG51*Assumptions!$G$58/12</x:f>
        <x:v>25000</x:v>
      </x:c>
      <x:c r="AH52" s="62" t="n">
        <x:f>AH51*Assumptions!$G$58/12</x:f>
        <x:v>25000</x:v>
      </x:c>
      <x:c r="AI52" s="62" t="n">
        <x:f>AI51*Assumptions!$G$58/12</x:f>
        <x:v>37500</x:v>
      </x:c>
      <x:c r="AJ52" s="62" t="n">
        <x:f>AJ51*Assumptions!$G$58/12</x:f>
        <x:v>37500</x:v>
      </x:c>
      <x:c r="AK52" s="62" t="n">
        <x:f>AK51*Assumptions!$G$58/12</x:f>
        <x:v>37500</x:v>
      </x:c>
      <x:c r="AL52" s="62" t="n">
        <x:f>AL51*Assumptions!$G$58/12</x:f>
        <x:v>37500</x:v>
      </x:c>
      <x:c r="AM52" s="62" t="n">
        <x:f>AM51*Assumptions!$G$58/12</x:f>
        <x:v>37500</x:v>
      </x:c>
      <x:c r="AN52" s="62" t="n">
        <x:f>AN51*Assumptions!$G$58/12</x:f>
        <x:v>37500</x:v>
      </x:c>
      <x:c r="AO52" s="62" t="n">
        <x:f>AO51*Assumptions!$G$58/12</x:f>
        <x:v>37500</x:v>
      </x:c>
      <x:c r="AP52" s="62" t="n">
        <x:f>AP51*Assumptions!$G$58/12</x:f>
        <x:v>37500</x:v>
      </x:c>
      <x:c r="AQ52" s="62" t="n">
        <x:f>AQ51*Assumptions!$G$58/12</x:f>
        <x:v>37500</x:v>
      </x:c>
      <x:c r="AR52" s="62" t="n">
        <x:f>AR51*Assumptions!$G$58/12</x:f>
        <x:v>37500</x:v>
      </x:c>
      <x:c r="AS52" s="62" t="n">
        <x:f>AS51*Assumptions!$G$58/12</x:f>
        <x:v>50000</x:v>
      </x:c>
      <x:c r="AT52" s="62" t="n">
        <x:f>AT51*Assumptions!$G$58/12</x:f>
        <x:v>50000</x:v>
      </x:c>
      <x:c r="AU52" s="62" t="n">
        <x:f>AU51*Assumptions!$G$58/12</x:f>
        <x:v>50000</x:v>
      </x:c>
      <x:c r="AV52" s="62" t="n">
        <x:f>AV51*Assumptions!$G$58/12</x:f>
        <x:v>50000</x:v>
      </x:c>
      <x:c r="AW52" s="62" t="n">
        <x:f>AW51*Assumptions!$G$58/12</x:f>
        <x:v>50000</x:v>
      </x:c>
      <x:c r="AX52" s="62" t="n">
        <x:f>AX51*Assumptions!$G$58/12</x:f>
        <x:v>50000</x:v>
      </x:c>
      <x:c r="AY52" s="62" t="n">
        <x:f>AY51*Assumptions!$G$58/12</x:f>
        <x:v>50000</x:v>
      </x:c>
      <x:c r="AZ52" s="62" t="n">
        <x:f>AZ51*Assumptions!$G$58/12</x:f>
        <x:v>62500</x:v>
      </x:c>
      <x:c r="BA52" s="62" t="n">
        <x:f>BA51*Assumptions!$G$58/12</x:f>
        <x:v>62500</x:v>
      </x:c>
      <x:c r="BB52" s="62" t="n">
        <x:f>BB51*Assumptions!$G$58/12</x:f>
        <x:v>62500</x:v>
      </x:c>
      <x:c r="BC52" s="62" t="n">
        <x:f>BC51*Assumptions!$G$58/12</x:f>
        <x:v>62500</x:v>
      </x:c>
      <x:c r="BD52" s="62" t="n">
        <x:f>BD51*Assumptions!$G$58/12</x:f>
        <x:v>62500</x:v>
      </x:c>
      <x:c r="BE52" s="62" t="n">
        <x:f>BE51*Assumptions!$G$58/12</x:f>
        <x:v>62500</x:v>
      </x:c>
      <x:c r="BF52" s="62" t="n">
        <x:f>BF51*Assumptions!$G$58/12</x:f>
        <x:v>75000</x:v>
      </x:c>
      <x:c r="BG52" s="62" t="n">
        <x:f>BG51*Assumptions!$G$58/12</x:f>
        <x:v>75000</x:v>
      </x:c>
      <x:c r="BH52" s="62" t="n">
        <x:f>BH51*Assumptions!$G$58/12</x:f>
        <x:v>75000</x:v>
      </x:c>
      <x:c r="BI52" s="62" t="n">
        <x:f>BI51*Assumptions!$G$58/12</x:f>
        <x:v>75000</x:v>
      </x:c>
      <x:c r="BJ52" s="62" t="n">
        <x:f>BJ51*Assumptions!$G$58/12</x:f>
        <x:v>87500</x:v>
      </x:c>
    </x:row>
    <x:row r="53">
      <x:c r="A53" t="str">
        <x:v>Marketing</x:v>
      </x:c>
      <x:c r="B53" t="str">
        <x:v>$</x:v>
      </x:c>
      <x:c r="C53" s="62" t="n">
        <x:f>Assumptions!$G$64+C30*Assumptions!$G$65</x:f>
        <x:v>20000</x:v>
      </x:c>
      <x:c r="D53" s="62" t="n">
        <x:f>Assumptions!$G$64+D30*Assumptions!$G$65</x:f>
        <x:v>22400</x:v>
      </x:c>
      <x:c r="E53" s="62" t="n">
        <x:f>Assumptions!$G$64+E30*Assumptions!$G$65</x:f>
        <x:v>24542</x:v>
      </x:c>
      <x:c r="F53" s="62" t="n">
        <x:f>Assumptions!$G$64+F30*Assumptions!$G$65</x:f>
        <x:v>25930.13740736</x:v>
      </x:c>
      <x:c r="G53" s="62" t="n">
        <x:f>Assumptions!$G$64+G30*Assumptions!$G$65</x:f>
        <x:v>27616.262036784545</x:v>
      </x:c>
      <x:c r="H53" s="62" t="n">
        <x:f>Assumptions!$G$64+H30*Assumptions!$G$65</x:f>
        <x:v>29565.556665122196</x:v>
      </x:c>
      <x:c r="I53" s="62" t="n">
        <x:f>Assumptions!$G$64+I30*Assumptions!$G$65</x:f>
        <x:v>30553.398460844488</x:v>
      </x:c>
      <x:c r="J53" s="62" t="n">
        <x:f>Assumptions!$G$64+J30*Assumptions!$G$65</x:f>
        <x:v>31375.80993887141</x:v>
      </x:c>
      <x:c r="K53" s="62" t="n">
        <x:f>Assumptions!$G$64+K30*Assumptions!$G$65</x:f>
        <x:v>32343.74815605802</x:v>
      </x:c>
      <x:c r="L53" s="62" t="n">
        <x:f>Assumptions!$G$64+L30*Assumptions!$G$65</x:f>
        <x:v>33378.26219209598</x:v>
      </x:c>
      <x:c r="M53" s="62" t="n">
        <x:f>Assumptions!$G$64+M30*Assumptions!$G$65</x:f>
        <x:v>34620.50393248168</x:v>
      </x:c>
      <x:c r="N53" s="62" t="n">
        <x:f>Assumptions!$G$64+N30*Assumptions!$G$65</x:f>
        <x:v>35912.43593553813</x:v>
      </x:c>
      <x:c r="O53" s="62" t="n">
        <x:f>Assumptions!$G$64+O30*Assumptions!$G$65</x:f>
        <x:v>37701.328329463766</x:v>
      </x:c>
      <x:c r="P53" s="62" t="n">
        <x:f>Assumptions!$G$64+P30*Assumptions!$G$65</x:f>
        <x:v>39100.628056807574</x:v>
      </x:c>
      <x:c r="Q53" s="62" t="n">
        <x:f>Assumptions!$G$64+Q30*Assumptions!$G$65</x:f>
        <x:v>40593.807821705705</x:v>
      </x:c>
      <x:c r="R53" s="62" t="n">
        <x:f>Assumptions!$G$64+R30*Assumptions!$G$65</x:f>
        <x:v>42187.146509504484</x:v>
      </x:c>
      <x:c r="S53" s="62" t="n">
        <x:f>Assumptions!$G$64+S30*Assumptions!$G$65</x:f>
        <x:v>43887.62622435577</x:v>
      </x:c>
      <x:c r="T53" s="62" t="n">
        <x:f>Assumptions!$G$64+T30*Assumptions!$G$65</x:f>
        <x:v>45702.64952177137</x:v>
      </x:c>
      <x:c r="U53" s="62" t="n">
        <x:f>Assumptions!$G$64+U30*Assumptions!$G$65</x:f>
        <x:v>47640.095042374276</x:v>
      </x:c>
      <x:c r="V53" s="62" t="n">
        <x:f>Assumptions!$G$64+V30*Assumptions!$G$65</x:f>
        <x:v>49708.62272943647</x:v>
      </x:c>
      <x:c r="W53" s="62" t="n">
        <x:f>Assumptions!$G$64+W30*Assumptions!$G$65</x:f>
        <x:v>51917.591231145605</x:v>
      </x:c>
      <x:c r="X53" s="62" t="n">
        <x:f>Assumptions!$G$64+X30*Assumptions!$G$65</x:f>
        <x:v>54277.08114062031</x:v>
      </x:c>
      <x:c r="Y53" s="62" t="n">
        <x:f>Assumptions!$G$64+Y30*Assumptions!$G$65</x:f>
        <x:v>56797.96142543928</x:v>
      </x:c>
      <x:c r="Z53" s="62" t="n">
        <x:f>Assumptions!$G$64+Z30*Assumptions!$G$65</x:f>
        <x:v>59491.933294995884</x:v>
      </x:c>
      <x:c r="AA53" s="62" t="n">
        <x:f>Assumptions!$G$64+AA30*Assumptions!$G$65</x:f>
        <x:v>63642.785560203956</x:v>
      </x:c>
      <x:c r="AB53" s="62" t="n">
        <x:f>Assumptions!$G$64+AB30*Assumptions!$G$65</x:f>
        <x:v>66543.32507292775</x:v>
      </x:c>
      <x:c r="AC53" s="62" t="n">
        <x:f>Assumptions!$G$64+AC30*Assumptions!$G$65</x:f>
        <x:v>69403.44934321928</x:v>
      </x:c>
      <x:c r="AD53" s="62" t="n">
        <x:f>Assumptions!$G$64+AD30*Assumptions!$G$65</x:f>
        <x:v>72313.25656983585</x:v>
      </x:c>
      <x:c r="AE53" s="62" t="n">
        <x:f>Assumptions!$G$64+AE30*Assumptions!$G$65</x:f>
        <x:v>75246.32665733038</x:v>
      </x:c>
      <x:c r="AF53" s="62" t="n">
        <x:f>Assumptions!$G$64+AF30*Assumptions!$G$65</x:f>
        <x:v>78178.32057762606</x:v>
      </x:c>
      <x:c r="AG53" s="62" t="n">
        <x:f>Assumptions!$G$64+AG30*Assumptions!$G$65</x:f>
        <x:v>81230.00338880811</x:v>
      </x:c>
      <x:c r="AH53" s="62" t="n">
        <x:f>Assumptions!$G$64+AH30*Assumptions!$G$65</x:f>
        <x:v>84434.1159260124</x:v>
      </x:c>
      <x:c r="AI53" s="62" t="n">
        <x:f>Assumptions!$G$64+AI30*Assumptions!$G$65</x:f>
        <x:v>87788.43161314749</x:v>
      </x:c>
      <x:c r="AJ53" s="62" t="n">
        <x:f>Assumptions!$G$64+AJ30*Assumptions!$G$65</x:f>
        <x:v>91300.65329423992</x:v>
      </x:c>
      <x:c r="AK53" s="62" t="n">
        <x:f>Assumptions!$G$64+AK30*Assumptions!$G$65</x:f>
        <x:v>94962.86063798786</x:v>
      </x:c>
      <x:c r="AL53" s="62" t="n">
        <x:f>Assumptions!$G$64+AL30*Assumptions!$G$65</x:f>
        <x:v>98786.07718271994</x:v>
      </x:c>
      <x:c r="AM53" s="62" t="n">
        <x:f>Assumptions!$G$64+AM30*Assumptions!$G$65</x:f>
        <x:v>105274.53503291775</x:v>
      </x:c>
      <x:c r="AN53" s="62" t="n">
        <x:f>Assumptions!$G$64+AN30*Assumptions!$G$65</x:f>
        <x:v>109596.61431770776</x:v>
      </x:c>
      <x:c r="AO53" s="62" t="n">
        <x:f>Assumptions!$G$64+AO30*Assumptions!$G$65</x:f>
        <x:v>114126.78705388962</x:v>
      </x:c>
      <x:c r="AP53" s="62" t="n">
        <x:f>Assumptions!$G$64+AP30*Assumptions!$G$65</x:f>
        <x:v>118876.74092331038</x:v>
      </x:c>
      <x:c r="AQ53" s="62" t="n">
        <x:f>Assumptions!$G$64+AQ30*Assumptions!$G$65</x:f>
        <x:v>123858.97425374013</x:v>
      </x:c>
      <x:c r="AR53" s="62" t="n">
        <x:f>Assumptions!$G$64+AR30*Assumptions!$G$65</x:f>
        <x:v>129086.85722978391</x:v>
      </x:c>
      <x:c r="AS53" s="62" t="n">
        <x:f>Assumptions!$G$64+AS30*Assumptions!$G$65</x:f>
        <x:v>134574.71894965056</x:v>
      </x:c>
      <x:c r="AT53" s="62" t="n">
        <x:f>Assumptions!$G$64+AT30*Assumptions!$G$65</x:f>
        <x:v>140337.90199213527</x:v>
      </x:c>
      <x:c r="AU53" s="62" t="n">
        <x:f>Assumptions!$G$64+AU30*Assumptions!$G$65</x:f>
        <x:v>146392.84987248486</x:v>
      </x:c>
      <x:c r="AV53" s="62" t="n">
        <x:f>Assumptions!$G$64+AV30*Assumptions!$G$65</x:f>
        <x:v>152757.20587435956</x:v>
      </x:c>
      <x:c r="AW53" s="62" t="n">
        <x:f>Assumptions!$G$64+AW30*Assumptions!$G$65</x:f>
        <x:v>159414.62246801605</x:v>
      </x:c>
      <x:c r="AX53" s="62" t="n">
        <x:f>Assumptions!$G$64+AX30*Assumptions!$G$65</x:f>
        <x:v>166105.30828147943</x:v>
      </x:c>
      <x:c r="AY53" s="62" t="n">
        <x:f>Assumptions!$G$64+AY30*Assumptions!$G$65</x:f>
        <x:v>177679.94440099815</x:v>
      </x:c>
      <x:c r="AZ53" s="62" t="n">
        <x:f>Assumptions!$G$64+AZ30*Assumptions!$G$65</x:f>
        <x:v>184918.37054079858</x:v>
      </x:c>
      <x:c r="BA53" s="62" t="n">
        <x:f>Assumptions!$G$64+BA30*Assumptions!$G$65</x:f>
        <x:v>192379.3102200845</x:v>
      </x:c>
      <x:c r="BB53" s="62" t="n">
        <x:f>Assumptions!$G$64+BB30*Assumptions!$G$65</x:f>
        <x:v>200164.25228279753</x:v>
      </x:c>
      <x:c r="BC53" s="62" t="n">
        <x:f>Assumptions!$G$64+BC30*Assumptions!$G$65</x:f>
        <x:v>208262.6200371811</x:v>
      </x:c>
      <x:c r="BD53" s="62" t="n">
        <x:f>Assumptions!$G$64+BD30*Assumptions!$G$65</x:f>
        <x:v>216686.6617937239</x:v>
      </x:c>
      <x:c r="BE53" s="62" t="n">
        <x:f>Assumptions!$G$64+BE30*Assumptions!$G$65</x:f>
        <x:v>225446.01472899297</x:v>
      </x:c>
      <x:c r="BF53" s="62" t="n">
        <x:f>Assumptions!$G$64+BF30*Assumptions!$G$65</x:f>
        <x:v>234526.68136563312</x:v>
      </x:c>
      <x:c r="BG53" s="62" t="n">
        <x:f>Assumptions!$G$64+BG30*Assumptions!$G$65</x:f>
        <x:v>243969.49362905763</x:v>
      </x:c>
      <x:c r="BH53" s="62" t="n">
        <x:f>Assumptions!$G$64+BH30*Assumptions!$G$65</x:f>
        <x:v>253788.93337215643</x:v>
      </x:c>
      <x:c r="BI53" s="62" t="n">
        <x:f>Assumptions!$G$64+BI30*Assumptions!$G$65</x:f>
        <x:v>264000.0335485007</x:v>
      </x:c>
      <x:c r="BJ53" s="62" t="n">
        <x:f>Assumptions!$G$64+BJ30*Assumptions!$G$65</x:f>
        <x:v>274618.4486774507</x:v>
      </x:c>
    </x:row>
    <x:row r="54">
      <x:c r="A54" t="str">
        <x:v>R&amp;D / product FTE</x:v>
      </x:c>
      <x:c r="B54" t="str">
        <x:v>FTE</x:v>
      </x:c>
      <x:c r="C54" s="68" t="n">
        <x:f>Assumptions!$G$60+IF(C21&gt;0,ROUNDUP(C21/10,0),0)</x:f>
        <x:v>3</x:v>
      </x:c>
      <x:c r="D54" s="68" t="n">
        <x:f>Assumptions!$G$60+IF(D21&gt;0,ROUNDUP(D21/10,0),0)</x:f>
        <x:v>3</x:v>
      </x:c>
      <x:c r="E54" s="68" t="n">
        <x:f>Assumptions!$G$60+IF(E21&gt;0,ROUNDUP(E21/10,0),0)</x:f>
        <x:v>3</x:v>
      </x:c>
      <x:c r="F54" s="68" t="n">
        <x:f>Assumptions!$G$60+IF(F21&gt;0,ROUNDUP(F21/10,0),0)</x:f>
        <x:v>3</x:v>
      </x:c>
      <x:c r="G54" s="68" t="n">
        <x:f>Assumptions!$G$60+IF(G21&gt;0,ROUNDUP(G21/10,0),0)</x:f>
        <x:v>3</x:v>
      </x:c>
      <x:c r="H54" s="68" t="n">
        <x:f>Assumptions!$G$60+IF(H21&gt;0,ROUNDUP(H21/10,0),0)</x:f>
        <x:v>3</x:v>
      </x:c>
      <x:c r="I54" s="68" t="n">
        <x:f>Assumptions!$G$60+IF(I21&gt;0,ROUNDUP(I21/10,0),0)</x:f>
        <x:v>3</x:v>
      </x:c>
      <x:c r="J54" s="68" t="n">
        <x:f>Assumptions!$G$60+IF(J21&gt;0,ROUNDUP(J21/10,0),0)</x:f>
        <x:v>4</x:v>
      </x:c>
      <x:c r="K54" s="68" t="n">
        <x:f>Assumptions!$G$60+IF(K21&gt;0,ROUNDUP(K21/10,0),0)</x:f>
        <x:v>4</x:v>
      </x:c>
      <x:c r="L54" s="68" t="n">
        <x:f>Assumptions!$G$60+IF(L21&gt;0,ROUNDUP(L21/10,0),0)</x:f>
        <x:v>4</x:v>
      </x:c>
      <x:c r="M54" s="68" t="n">
        <x:f>Assumptions!$G$60+IF(M21&gt;0,ROUNDUP(M21/10,0),0)</x:f>
        <x:v>4</x:v>
      </x:c>
      <x:c r="N54" s="68" t="n">
        <x:f>Assumptions!$G$60+IF(N21&gt;0,ROUNDUP(N21/10,0),0)</x:f>
        <x:v>4</x:v>
      </x:c>
      <x:c r="O54" s="68" t="n">
        <x:f>Assumptions!$G$60+IF(O21&gt;0,ROUNDUP(O21/10,0),0)</x:f>
        <x:v>4</x:v>
      </x:c>
      <x:c r="P54" s="68" t="n">
        <x:f>Assumptions!$G$60+IF(P21&gt;0,ROUNDUP(P21/10,0),0)</x:f>
        <x:v>4</x:v>
      </x:c>
      <x:c r="Q54" s="68" t="n">
        <x:f>Assumptions!$G$60+IF(Q21&gt;0,ROUNDUP(Q21/10,0),0)</x:f>
        <x:v>4</x:v>
      </x:c>
      <x:c r="R54" s="68" t="n">
        <x:f>Assumptions!$G$60+IF(R21&gt;0,ROUNDUP(R21/10,0),0)</x:f>
        <x:v>4</x:v>
      </x:c>
      <x:c r="S54" s="68" t="n">
        <x:f>Assumptions!$G$60+IF(S21&gt;0,ROUNDUP(S21/10,0),0)</x:f>
        <x:v>4</x:v>
      </x:c>
      <x:c r="T54" s="68" t="n">
        <x:f>Assumptions!$G$60+IF(T21&gt;0,ROUNDUP(T21/10,0),0)</x:f>
        <x:v>4</x:v>
      </x:c>
      <x:c r="U54" s="68" t="n">
        <x:f>Assumptions!$G$60+IF(U21&gt;0,ROUNDUP(U21/10,0),0)</x:f>
        <x:v>4</x:v>
      </x:c>
      <x:c r="V54" s="68" t="n">
        <x:f>Assumptions!$G$60+IF(V21&gt;0,ROUNDUP(V21/10,0),0)</x:f>
        <x:v>4</x:v>
      </x:c>
      <x:c r="W54" s="68" t="n">
        <x:f>Assumptions!$G$60+IF(W21&gt;0,ROUNDUP(W21/10,0),0)</x:f>
        <x:v>4</x:v>
      </x:c>
      <x:c r="X54" s="68" t="n">
        <x:f>Assumptions!$G$60+IF(X21&gt;0,ROUNDUP(X21/10,0),0)</x:f>
        <x:v>4</x:v>
      </x:c>
      <x:c r="Y54" s="68" t="n">
        <x:f>Assumptions!$G$60+IF(Y21&gt;0,ROUNDUP(Y21/10,0),0)</x:f>
        <x:v>4</x:v>
      </x:c>
      <x:c r="Z54" s="68" t="n">
        <x:f>Assumptions!$G$60+IF(Z21&gt;0,ROUNDUP(Z21/10,0),0)</x:f>
        <x:v>4</x:v>
      </x:c>
      <x:c r="AA54" s="68" t="n">
        <x:f>Assumptions!$G$60+IF(AA21&gt;0,ROUNDUP(AA21/10,0),0)</x:f>
        <x:v>4</x:v>
      </x:c>
      <x:c r="AB54" s="68" t="n">
        <x:f>Assumptions!$G$60+IF(AB21&gt;0,ROUNDUP(AB21/10,0),0)</x:f>
        <x:v>4</x:v>
      </x:c>
      <x:c r="AC54" s="68" t="n">
        <x:f>Assumptions!$G$60+IF(AC21&gt;0,ROUNDUP(AC21/10,0),0)</x:f>
        <x:v>4</x:v>
      </x:c>
      <x:c r="AD54" s="68" t="n">
        <x:f>Assumptions!$G$60+IF(AD21&gt;0,ROUNDUP(AD21/10,0),0)</x:f>
        <x:v>4</x:v>
      </x:c>
      <x:c r="AE54" s="68" t="n">
        <x:f>Assumptions!$G$60+IF(AE21&gt;0,ROUNDUP(AE21/10,0),0)</x:f>
        <x:v>4</x:v>
      </x:c>
      <x:c r="AF54" s="68" t="n">
        <x:f>Assumptions!$G$60+IF(AF21&gt;0,ROUNDUP(AF21/10,0),0)</x:f>
        <x:v>4</x:v>
      </x:c>
      <x:c r="AG54" s="68" t="n">
        <x:f>Assumptions!$G$60+IF(AG21&gt;0,ROUNDUP(AG21/10,0),0)</x:f>
        <x:v>4</x:v>
      </x:c>
      <x:c r="AH54" s="68" t="n">
        <x:f>Assumptions!$G$60+IF(AH21&gt;0,ROUNDUP(AH21/10,0),0)</x:f>
        <x:v>4</x:v>
      </x:c>
      <x:c r="AI54" s="68" t="n">
        <x:f>Assumptions!$G$60+IF(AI21&gt;0,ROUNDUP(AI21/10,0),0)</x:f>
        <x:v>4</x:v>
      </x:c>
      <x:c r="AJ54" s="68" t="n">
        <x:f>Assumptions!$G$60+IF(AJ21&gt;0,ROUNDUP(AJ21/10,0),0)</x:f>
        <x:v>4</x:v>
      </x:c>
      <x:c r="AK54" s="68" t="n">
        <x:f>Assumptions!$G$60+IF(AK21&gt;0,ROUNDUP(AK21/10,0),0)</x:f>
        <x:v>4</x:v>
      </x:c>
      <x:c r="AL54" s="68" t="n">
        <x:f>Assumptions!$G$60+IF(AL21&gt;0,ROUNDUP(AL21/10,0),0)</x:f>
        <x:v>4</x:v>
      </x:c>
      <x:c r="AM54" s="68" t="n">
        <x:f>Assumptions!$G$60+IF(AM21&gt;0,ROUNDUP(AM21/10,0),0)</x:f>
        <x:v>4</x:v>
      </x:c>
      <x:c r="AN54" s="68" t="n">
        <x:f>Assumptions!$G$60+IF(AN21&gt;0,ROUNDUP(AN21/10,0),0)</x:f>
        <x:v>4</x:v>
      </x:c>
      <x:c r="AO54" s="68" t="n">
        <x:f>Assumptions!$G$60+IF(AO21&gt;0,ROUNDUP(AO21/10,0),0)</x:f>
        <x:v>5</x:v>
      </x:c>
      <x:c r="AP54" s="68" t="n">
        <x:f>Assumptions!$G$60+IF(AP21&gt;0,ROUNDUP(AP21/10,0),0)</x:f>
        <x:v>5</x:v>
      </x:c>
      <x:c r="AQ54" s="68" t="n">
        <x:f>Assumptions!$G$60+IF(AQ21&gt;0,ROUNDUP(AQ21/10,0),0)</x:f>
        <x:v>5</x:v>
      </x:c>
      <x:c r="AR54" s="68" t="n">
        <x:f>Assumptions!$G$60+IF(AR21&gt;0,ROUNDUP(AR21/10,0),0)</x:f>
        <x:v>5</x:v>
      </x:c>
      <x:c r="AS54" s="68" t="n">
        <x:f>Assumptions!$G$60+IF(AS21&gt;0,ROUNDUP(AS21/10,0),0)</x:f>
        <x:v>5</x:v>
      </x:c>
      <x:c r="AT54" s="68" t="n">
        <x:f>Assumptions!$G$60+IF(AT21&gt;0,ROUNDUP(AT21/10,0),0)</x:f>
        <x:v>5</x:v>
      </x:c>
      <x:c r="AU54" s="68" t="n">
        <x:f>Assumptions!$G$60+IF(AU21&gt;0,ROUNDUP(AU21/10,0),0)</x:f>
        <x:v>5</x:v>
      </x:c>
      <x:c r="AV54" s="68" t="n">
        <x:f>Assumptions!$G$60+IF(AV21&gt;0,ROUNDUP(AV21/10,0),0)</x:f>
        <x:v>5</x:v>
      </x:c>
      <x:c r="AW54" s="68" t="n">
        <x:f>Assumptions!$G$60+IF(AW21&gt;0,ROUNDUP(AW21/10,0),0)</x:f>
        <x:v>5</x:v>
      </x:c>
      <x:c r="AX54" s="68" t="n">
        <x:f>Assumptions!$G$60+IF(AX21&gt;0,ROUNDUP(AX21/10,0),0)</x:f>
        <x:v>5</x:v>
      </x:c>
      <x:c r="AY54" s="68" t="n">
        <x:f>Assumptions!$G$60+IF(AY21&gt;0,ROUNDUP(AY21/10,0),0)</x:f>
        <x:v>5</x:v>
      </x:c>
      <x:c r="AZ54" s="68" t="n">
        <x:f>Assumptions!$G$60+IF(AZ21&gt;0,ROUNDUP(AZ21/10,0),0)</x:f>
        <x:v>6</x:v>
      </x:c>
      <x:c r="BA54" s="68" t="n">
        <x:f>Assumptions!$G$60+IF(BA21&gt;0,ROUNDUP(BA21/10,0),0)</x:f>
        <x:v>6</x:v>
      </x:c>
      <x:c r="BB54" s="68" t="n">
        <x:f>Assumptions!$G$60+IF(BB21&gt;0,ROUNDUP(BB21/10,0),0)</x:f>
        <x:v>6</x:v>
      </x:c>
      <x:c r="BC54" s="68" t="n">
        <x:f>Assumptions!$G$60+IF(BC21&gt;0,ROUNDUP(BC21/10,0),0)</x:f>
        <x:v>6</x:v>
      </x:c>
      <x:c r="BD54" s="68" t="n">
        <x:f>Assumptions!$G$60+IF(BD21&gt;0,ROUNDUP(BD21/10,0),0)</x:f>
        <x:v>6</x:v>
      </x:c>
      <x:c r="BE54" s="68" t="n">
        <x:f>Assumptions!$G$60+IF(BE21&gt;0,ROUNDUP(BE21/10,0),0)</x:f>
        <x:v>6</x:v>
      </x:c>
      <x:c r="BF54" s="68" t="n">
        <x:f>Assumptions!$G$60+IF(BF21&gt;0,ROUNDUP(BF21/10,0),0)</x:f>
        <x:v>6</x:v>
      </x:c>
      <x:c r="BG54" s="68" t="n">
        <x:f>Assumptions!$G$60+IF(BG21&gt;0,ROUNDUP(BG21/10,0),0)</x:f>
        <x:v>6</x:v>
      </x:c>
      <x:c r="BH54" s="68" t="n">
        <x:f>Assumptions!$G$60+IF(BH21&gt;0,ROUNDUP(BH21/10,0),0)</x:f>
        <x:v>7</x:v>
      </x:c>
      <x:c r="BI54" s="68" t="n">
        <x:f>Assumptions!$G$60+IF(BI21&gt;0,ROUNDUP(BI21/10,0),0)</x:f>
        <x:v>7</x:v>
      </x:c>
      <x:c r="BJ54" s="68" t="n">
        <x:f>Assumptions!$G$60+IF(BJ21&gt;0,ROUNDUP(BJ21/10,0),0)</x:f>
        <x:v>7</x:v>
      </x:c>
    </x:row>
    <x:row r="55">
      <x:c r="A55" t="str">
        <x:v>R&amp;D compensation</x:v>
      </x:c>
      <x:c r="B55" t="str">
        <x:v>$</x:v>
      </x:c>
      <x:c r="C55" s="62" t="n">
        <x:f>C54*Assumptions!$G$61/12</x:f>
        <x:v>47500</x:v>
      </x:c>
      <x:c r="D55" s="62" t="n">
        <x:f>D54*Assumptions!$G$61/12</x:f>
        <x:v>47500</x:v>
      </x:c>
      <x:c r="E55" s="62" t="n">
        <x:f>E54*Assumptions!$G$61/12</x:f>
        <x:v>47500</x:v>
      </x:c>
      <x:c r="F55" s="62" t="n">
        <x:f>F54*Assumptions!$G$61/12</x:f>
        <x:v>47500</x:v>
      </x:c>
      <x:c r="G55" s="62" t="n">
        <x:f>G54*Assumptions!$G$61/12</x:f>
        <x:v>47500</x:v>
      </x:c>
      <x:c r="H55" s="62" t="n">
        <x:f>H54*Assumptions!$G$61/12</x:f>
        <x:v>47500</x:v>
      </x:c>
      <x:c r="I55" s="62" t="n">
        <x:f>I54*Assumptions!$G$61/12</x:f>
        <x:v>47500</x:v>
      </x:c>
      <x:c r="J55" s="62" t="n">
        <x:f>J54*Assumptions!$G$61/12</x:f>
        <x:v>63333.333333333336</x:v>
      </x:c>
      <x:c r="K55" s="62" t="n">
        <x:f>K54*Assumptions!$G$61/12</x:f>
        <x:v>63333.333333333336</x:v>
      </x:c>
      <x:c r="L55" s="62" t="n">
        <x:f>L54*Assumptions!$G$61/12</x:f>
        <x:v>63333.333333333336</x:v>
      </x:c>
      <x:c r="M55" s="62" t="n">
        <x:f>M54*Assumptions!$G$61/12</x:f>
        <x:v>63333.333333333336</x:v>
      </x:c>
      <x:c r="N55" s="62" t="n">
        <x:f>N54*Assumptions!$G$61/12</x:f>
        <x:v>63333.333333333336</x:v>
      </x:c>
      <x:c r="O55" s="62" t="n">
        <x:f>O54*Assumptions!$G$61/12</x:f>
        <x:v>63333.333333333336</x:v>
      </x:c>
      <x:c r="P55" s="62" t="n">
        <x:f>P54*Assumptions!$G$61/12</x:f>
        <x:v>63333.333333333336</x:v>
      </x:c>
      <x:c r="Q55" s="62" t="n">
        <x:f>Q54*Assumptions!$G$61/12</x:f>
        <x:v>63333.333333333336</x:v>
      </x:c>
      <x:c r="R55" s="62" t="n">
        <x:f>R54*Assumptions!$G$61/12</x:f>
        <x:v>63333.333333333336</x:v>
      </x:c>
      <x:c r="S55" s="62" t="n">
        <x:f>S54*Assumptions!$G$61/12</x:f>
        <x:v>63333.333333333336</x:v>
      </x:c>
      <x:c r="T55" s="62" t="n">
        <x:f>T54*Assumptions!$G$61/12</x:f>
        <x:v>63333.333333333336</x:v>
      </x:c>
      <x:c r="U55" s="62" t="n">
        <x:f>U54*Assumptions!$G$61/12</x:f>
        <x:v>63333.333333333336</x:v>
      </x:c>
      <x:c r="V55" s="62" t="n">
        <x:f>V54*Assumptions!$G$61/12</x:f>
        <x:v>63333.333333333336</x:v>
      </x:c>
      <x:c r="W55" s="62" t="n">
        <x:f>W54*Assumptions!$G$61/12</x:f>
        <x:v>63333.333333333336</x:v>
      </x:c>
      <x:c r="X55" s="62" t="n">
        <x:f>X54*Assumptions!$G$61/12</x:f>
        <x:v>63333.333333333336</x:v>
      </x:c>
      <x:c r="Y55" s="62" t="n">
        <x:f>Y54*Assumptions!$G$61/12</x:f>
        <x:v>63333.333333333336</x:v>
      </x:c>
      <x:c r="Z55" s="62" t="n">
        <x:f>Z54*Assumptions!$G$61/12</x:f>
        <x:v>63333.333333333336</x:v>
      </x:c>
      <x:c r="AA55" s="62" t="n">
        <x:f>AA54*Assumptions!$G$61/12</x:f>
        <x:v>63333.333333333336</x:v>
      </x:c>
      <x:c r="AB55" s="62" t="n">
        <x:f>AB54*Assumptions!$G$61/12</x:f>
        <x:v>63333.333333333336</x:v>
      </x:c>
      <x:c r="AC55" s="62" t="n">
        <x:f>AC54*Assumptions!$G$61/12</x:f>
        <x:v>63333.333333333336</x:v>
      </x:c>
      <x:c r="AD55" s="62" t="n">
        <x:f>AD54*Assumptions!$G$61/12</x:f>
        <x:v>63333.333333333336</x:v>
      </x:c>
      <x:c r="AE55" s="62" t="n">
        <x:f>AE54*Assumptions!$G$61/12</x:f>
        <x:v>63333.333333333336</x:v>
      </x:c>
      <x:c r="AF55" s="62" t="n">
        <x:f>AF54*Assumptions!$G$61/12</x:f>
        <x:v>63333.333333333336</x:v>
      </x:c>
      <x:c r="AG55" s="62" t="n">
        <x:f>AG54*Assumptions!$G$61/12</x:f>
        <x:v>63333.333333333336</x:v>
      </x:c>
      <x:c r="AH55" s="62" t="n">
        <x:f>AH54*Assumptions!$G$61/12</x:f>
        <x:v>63333.333333333336</x:v>
      </x:c>
      <x:c r="AI55" s="62" t="n">
        <x:f>AI54*Assumptions!$G$61/12</x:f>
        <x:v>63333.333333333336</x:v>
      </x:c>
      <x:c r="AJ55" s="62" t="n">
        <x:f>AJ54*Assumptions!$G$61/12</x:f>
        <x:v>63333.333333333336</x:v>
      </x:c>
      <x:c r="AK55" s="62" t="n">
        <x:f>AK54*Assumptions!$G$61/12</x:f>
        <x:v>63333.333333333336</x:v>
      </x:c>
      <x:c r="AL55" s="62" t="n">
        <x:f>AL54*Assumptions!$G$61/12</x:f>
        <x:v>63333.333333333336</x:v>
      </x:c>
      <x:c r="AM55" s="62" t="n">
        <x:f>AM54*Assumptions!$G$61/12</x:f>
        <x:v>63333.333333333336</x:v>
      </x:c>
      <x:c r="AN55" s="62" t="n">
        <x:f>AN54*Assumptions!$G$61/12</x:f>
        <x:v>63333.333333333336</x:v>
      </x:c>
      <x:c r="AO55" s="62" t="n">
        <x:f>AO54*Assumptions!$G$61/12</x:f>
        <x:v>79166.66666666667</x:v>
      </x:c>
      <x:c r="AP55" s="62" t="n">
        <x:f>AP54*Assumptions!$G$61/12</x:f>
        <x:v>79166.66666666667</x:v>
      </x:c>
      <x:c r="AQ55" s="62" t="n">
        <x:f>AQ54*Assumptions!$G$61/12</x:f>
        <x:v>79166.66666666667</x:v>
      </x:c>
      <x:c r="AR55" s="62" t="n">
        <x:f>AR54*Assumptions!$G$61/12</x:f>
        <x:v>79166.66666666667</x:v>
      </x:c>
      <x:c r="AS55" s="62" t="n">
        <x:f>AS54*Assumptions!$G$61/12</x:f>
        <x:v>79166.66666666667</x:v>
      </x:c>
      <x:c r="AT55" s="62" t="n">
        <x:f>AT54*Assumptions!$G$61/12</x:f>
        <x:v>79166.66666666667</x:v>
      </x:c>
      <x:c r="AU55" s="62" t="n">
        <x:f>AU54*Assumptions!$G$61/12</x:f>
        <x:v>79166.66666666667</x:v>
      </x:c>
      <x:c r="AV55" s="62" t="n">
        <x:f>AV54*Assumptions!$G$61/12</x:f>
        <x:v>79166.66666666667</x:v>
      </x:c>
      <x:c r="AW55" s="62" t="n">
        <x:f>AW54*Assumptions!$G$61/12</x:f>
        <x:v>79166.66666666667</x:v>
      </x:c>
      <x:c r="AX55" s="62" t="n">
        <x:f>AX54*Assumptions!$G$61/12</x:f>
        <x:v>79166.66666666667</x:v>
      </x:c>
      <x:c r="AY55" s="62" t="n">
        <x:f>AY54*Assumptions!$G$61/12</x:f>
        <x:v>79166.66666666667</x:v>
      </x:c>
      <x:c r="AZ55" s="62" t="n">
        <x:f>AZ54*Assumptions!$G$61/12</x:f>
        <x:v>95000</x:v>
      </x:c>
      <x:c r="BA55" s="62" t="n">
        <x:f>BA54*Assumptions!$G$61/12</x:f>
        <x:v>95000</x:v>
      </x:c>
      <x:c r="BB55" s="62" t="n">
        <x:f>BB54*Assumptions!$G$61/12</x:f>
        <x:v>95000</x:v>
      </x:c>
      <x:c r="BC55" s="62" t="n">
        <x:f>BC54*Assumptions!$G$61/12</x:f>
        <x:v>95000</x:v>
      </x:c>
      <x:c r="BD55" s="62" t="n">
        <x:f>BD54*Assumptions!$G$61/12</x:f>
        <x:v>95000</x:v>
      </x:c>
      <x:c r="BE55" s="62" t="n">
        <x:f>BE54*Assumptions!$G$61/12</x:f>
        <x:v>95000</x:v>
      </x:c>
      <x:c r="BF55" s="62" t="n">
        <x:f>BF54*Assumptions!$G$61/12</x:f>
        <x:v>95000</x:v>
      </x:c>
      <x:c r="BG55" s="62" t="n">
        <x:f>BG54*Assumptions!$G$61/12</x:f>
        <x:v>95000</x:v>
      </x:c>
      <x:c r="BH55" s="62" t="n">
        <x:f>BH54*Assumptions!$G$61/12</x:f>
        <x:v>110833.33333333333</x:v>
      </x:c>
      <x:c r="BI55" s="62" t="n">
        <x:f>BI54*Assumptions!$G$61/12</x:f>
        <x:v>110833.33333333333</x:v>
      </x:c>
      <x:c r="BJ55" s="62" t="n">
        <x:f>BJ54*Assumptions!$G$61/12</x:f>
        <x:v>110833.33333333333</x:v>
      </x:c>
    </x:row>
    <x:row r="56">
      <x:c r="A56" t="str">
        <x:v>R&amp;D non-payroll</x:v>
      </x:c>
      <x:c r="B56" t="str">
        <x:v>$</x:v>
      </x:c>
      <x:c r="C56" s="62" t="n">
        <x:f>Assumptions!$G$66</x:f>
        <x:v>35000</x:v>
      </x:c>
      <x:c r="D56" s="62" t="n">
        <x:f>Assumptions!$G$66</x:f>
        <x:v>35000</x:v>
      </x:c>
      <x:c r="E56" s="62" t="n">
        <x:f>Assumptions!$G$66</x:f>
        <x:v>35000</x:v>
      </x:c>
      <x:c r="F56" s="62" t="n">
        <x:f>Assumptions!$G$66</x:f>
        <x:v>35000</x:v>
      </x:c>
      <x:c r="G56" s="62" t="n">
        <x:f>Assumptions!$G$66</x:f>
        <x:v>35000</x:v>
      </x:c>
      <x:c r="H56" s="62" t="n">
        <x:f>Assumptions!$G$66</x:f>
        <x:v>35000</x:v>
      </x:c>
      <x:c r="I56" s="62" t="n">
        <x:f>Assumptions!$G$66</x:f>
        <x:v>35000</x:v>
      </x:c>
      <x:c r="J56" s="62" t="n">
        <x:f>Assumptions!$G$66</x:f>
        <x:v>35000</x:v>
      </x:c>
      <x:c r="K56" s="62" t="n">
        <x:f>Assumptions!$G$66</x:f>
        <x:v>35000</x:v>
      </x:c>
      <x:c r="L56" s="62" t="n">
        <x:f>Assumptions!$G$66</x:f>
        <x:v>35000</x:v>
      </x:c>
      <x:c r="M56" s="62" t="n">
        <x:f>Assumptions!$G$66</x:f>
        <x:v>35000</x:v>
      </x:c>
      <x:c r="N56" s="62" t="n">
        <x:f>Assumptions!$G$66</x:f>
        <x:v>35000</x:v>
      </x:c>
      <x:c r="O56" s="62" t="n">
        <x:f>Assumptions!$G$66</x:f>
        <x:v>35000</x:v>
      </x:c>
      <x:c r="P56" s="62" t="n">
        <x:f>Assumptions!$G$66</x:f>
        <x:v>35000</x:v>
      </x:c>
      <x:c r="Q56" s="62" t="n">
        <x:f>Assumptions!$G$66</x:f>
        <x:v>35000</x:v>
      </x:c>
      <x:c r="R56" s="62" t="n">
        <x:f>Assumptions!$G$66</x:f>
        <x:v>35000</x:v>
      </x:c>
      <x:c r="S56" s="62" t="n">
        <x:f>Assumptions!$G$66</x:f>
        <x:v>35000</x:v>
      </x:c>
      <x:c r="T56" s="62" t="n">
        <x:f>Assumptions!$G$66</x:f>
        <x:v>35000</x:v>
      </x:c>
      <x:c r="U56" s="62" t="n">
        <x:f>Assumptions!$G$66</x:f>
        <x:v>35000</x:v>
      </x:c>
      <x:c r="V56" s="62" t="n">
        <x:f>Assumptions!$G$66</x:f>
        <x:v>35000</x:v>
      </x:c>
      <x:c r="W56" s="62" t="n">
        <x:f>Assumptions!$G$66</x:f>
        <x:v>35000</x:v>
      </x:c>
      <x:c r="X56" s="62" t="n">
        <x:f>Assumptions!$G$66</x:f>
        <x:v>35000</x:v>
      </x:c>
      <x:c r="Y56" s="62" t="n">
        <x:f>Assumptions!$G$66</x:f>
        <x:v>35000</x:v>
      </x:c>
      <x:c r="Z56" s="62" t="n">
        <x:f>Assumptions!$G$66</x:f>
        <x:v>35000</x:v>
      </x:c>
      <x:c r="AA56" s="62" t="n">
        <x:f>Assumptions!$G$66</x:f>
        <x:v>35000</x:v>
      </x:c>
      <x:c r="AB56" s="62" t="n">
        <x:f>Assumptions!$G$66</x:f>
        <x:v>35000</x:v>
      </x:c>
      <x:c r="AC56" s="62" t="n">
        <x:f>Assumptions!$G$66</x:f>
        <x:v>35000</x:v>
      </x:c>
      <x:c r="AD56" s="62" t="n">
        <x:f>Assumptions!$G$66</x:f>
        <x:v>35000</x:v>
      </x:c>
      <x:c r="AE56" s="62" t="n">
        <x:f>Assumptions!$G$66</x:f>
        <x:v>35000</x:v>
      </x:c>
      <x:c r="AF56" s="62" t="n">
        <x:f>Assumptions!$G$66</x:f>
        <x:v>35000</x:v>
      </x:c>
      <x:c r="AG56" s="62" t="n">
        <x:f>Assumptions!$G$66</x:f>
        <x:v>35000</x:v>
      </x:c>
      <x:c r="AH56" s="62" t="n">
        <x:f>Assumptions!$G$66</x:f>
        <x:v>35000</x:v>
      </x:c>
      <x:c r="AI56" s="62" t="n">
        <x:f>Assumptions!$G$66</x:f>
        <x:v>35000</x:v>
      </x:c>
      <x:c r="AJ56" s="62" t="n">
        <x:f>Assumptions!$G$66</x:f>
        <x:v>35000</x:v>
      </x:c>
      <x:c r="AK56" s="62" t="n">
        <x:f>Assumptions!$G$66</x:f>
        <x:v>35000</x:v>
      </x:c>
      <x:c r="AL56" s="62" t="n">
        <x:f>Assumptions!$G$66</x:f>
        <x:v>35000</x:v>
      </x:c>
      <x:c r="AM56" s="62" t="n">
        <x:f>Assumptions!$G$66</x:f>
        <x:v>35000</x:v>
      </x:c>
      <x:c r="AN56" s="62" t="n">
        <x:f>Assumptions!$G$66</x:f>
        <x:v>35000</x:v>
      </x:c>
      <x:c r="AO56" s="62" t="n">
        <x:f>Assumptions!$G$66</x:f>
        <x:v>35000</x:v>
      </x:c>
      <x:c r="AP56" s="62" t="n">
        <x:f>Assumptions!$G$66</x:f>
        <x:v>35000</x:v>
      </x:c>
      <x:c r="AQ56" s="62" t="n">
        <x:f>Assumptions!$G$66</x:f>
        <x:v>35000</x:v>
      </x:c>
      <x:c r="AR56" s="62" t="n">
        <x:f>Assumptions!$G$66</x:f>
        <x:v>35000</x:v>
      </x:c>
      <x:c r="AS56" s="62" t="n">
        <x:f>Assumptions!$G$66</x:f>
        <x:v>35000</x:v>
      </x:c>
      <x:c r="AT56" s="62" t="n">
        <x:f>Assumptions!$G$66</x:f>
        <x:v>35000</x:v>
      </x:c>
      <x:c r="AU56" s="62" t="n">
        <x:f>Assumptions!$G$66</x:f>
        <x:v>35000</x:v>
      </x:c>
      <x:c r="AV56" s="62" t="n">
        <x:f>Assumptions!$G$66</x:f>
        <x:v>35000</x:v>
      </x:c>
      <x:c r="AW56" s="62" t="n">
        <x:f>Assumptions!$G$66</x:f>
        <x:v>35000</x:v>
      </x:c>
      <x:c r="AX56" s="62" t="n">
        <x:f>Assumptions!$G$66</x:f>
        <x:v>35000</x:v>
      </x:c>
      <x:c r="AY56" s="62" t="n">
        <x:f>Assumptions!$G$66</x:f>
        <x:v>35000</x:v>
      </x:c>
      <x:c r="AZ56" s="62" t="n">
        <x:f>Assumptions!$G$66</x:f>
        <x:v>35000</x:v>
      </x:c>
      <x:c r="BA56" s="62" t="n">
        <x:f>Assumptions!$G$66</x:f>
        <x:v>35000</x:v>
      </x:c>
      <x:c r="BB56" s="62" t="n">
        <x:f>Assumptions!$G$66</x:f>
        <x:v>35000</x:v>
      </x:c>
      <x:c r="BC56" s="62" t="n">
        <x:f>Assumptions!$G$66</x:f>
        <x:v>35000</x:v>
      </x:c>
      <x:c r="BD56" s="62" t="n">
        <x:f>Assumptions!$G$66</x:f>
        <x:v>35000</x:v>
      </x:c>
      <x:c r="BE56" s="62" t="n">
        <x:f>Assumptions!$G$66</x:f>
        <x:v>35000</x:v>
      </x:c>
      <x:c r="BF56" s="62" t="n">
        <x:f>Assumptions!$G$66</x:f>
        <x:v>35000</x:v>
      </x:c>
      <x:c r="BG56" s="62" t="n">
        <x:f>Assumptions!$G$66</x:f>
        <x:v>35000</x:v>
      </x:c>
      <x:c r="BH56" s="62" t="n">
        <x:f>Assumptions!$G$66</x:f>
        <x:v>35000</x:v>
      </x:c>
      <x:c r="BI56" s="62" t="n">
        <x:f>Assumptions!$G$66</x:f>
        <x:v>35000</x:v>
      </x:c>
      <x:c r="BJ56" s="62" t="n">
        <x:f>Assumptions!$G$66</x:f>
        <x:v>35000</x:v>
      </x:c>
    </x:row>
    <x:row r="57">
      <x:c r="A57" t="str">
        <x:v>Customer success FTE</x:v>
      </x:c>
      <x:c r="B57" t="str">
        <x:v>FTE</x:v>
      </x:c>
      <x:c r="C57" s="68" t="n">
        <x:f>IF(C21&gt;0,ROUNDUP(C21/8,0),0)</x:f>
        <x:v>0</x:v>
      </x:c>
      <x:c r="D57" s="68" t="n">
        <x:f>IF(D21&gt;0,ROUNDUP(D21/8,0),0)</x:f>
        <x:v>0</x:v>
      </x:c>
      <x:c r="E57" s="68" t="n">
        <x:f>IF(E21&gt;0,ROUNDUP(E21/8,0),0)</x:f>
        <x:v>0</x:v>
      </x:c>
      <x:c r="F57" s="68" t="n">
        <x:f>IF(F21&gt;0,ROUNDUP(F21/8,0),0)</x:f>
        <x:v>0</x:v>
      </x:c>
      <x:c r="G57" s="68" t="n">
        <x:f>IF(G21&gt;0,ROUNDUP(G21/8,0),0)</x:f>
        <x:v>0</x:v>
      </x:c>
      <x:c r="H57" s="68" t="n">
        <x:f>IF(H21&gt;0,ROUNDUP(H21/8,0),0)</x:f>
        <x:v>0</x:v>
      </x:c>
      <x:c r="I57" s="68" t="n">
        <x:f>IF(I21&gt;0,ROUNDUP(I21/8,0),0)</x:f>
        <x:v>0</x:v>
      </x:c>
      <x:c r="J57" s="68" t="n">
        <x:f>IF(J21&gt;0,ROUNDUP(J21/8,0),0)</x:f>
        <x:v>1</x:v>
      </x:c>
      <x:c r="K57" s="68" t="n">
        <x:f>IF(K21&gt;0,ROUNDUP(K21/8,0),0)</x:f>
        <x:v>1</x:v>
      </x:c>
      <x:c r="L57" s="68" t="n">
        <x:f>IF(L21&gt;0,ROUNDUP(L21/8,0),0)</x:f>
        <x:v>1</x:v>
      </x:c>
      <x:c r="M57" s="68" t="n">
        <x:f>IF(M21&gt;0,ROUNDUP(M21/8,0),0)</x:f>
        <x:v>1</x:v>
      </x:c>
      <x:c r="N57" s="68" t="n">
        <x:f>IF(N21&gt;0,ROUNDUP(N21/8,0),0)</x:f>
        <x:v>1</x:v>
      </x:c>
      <x:c r="O57" s="68" t="n">
        <x:f>IF(O21&gt;0,ROUNDUP(O21/8,0),0)</x:f>
        <x:v>1</x:v>
      </x:c>
      <x:c r="P57" s="68" t="n">
        <x:f>IF(P21&gt;0,ROUNDUP(P21/8,0),0)</x:f>
        <x:v>1</x:v>
      </x:c>
      <x:c r="Q57" s="68" t="n">
        <x:f>IF(Q21&gt;0,ROUNDUP(Q21/8,0),0)</x:f>
        <x:v>1</x:v>
      </x:c>
      <x:c r="R57" s="68" t="n">
        <x:f>IF(R21&gt;0,ROUNDUP(R21/8,0),0)</x:f>
        <x:v>1</x:v>
      </x:c>
      <x:c r="S57" s="68" t="n">
        <x:f>IF(S21&gt;0,ROUNDUP(S21/8,0),0)</x:f>
        <x:v>1</x:v>
      </x:c>
      <x:c r="T57" s="68" t="n">
        <x:f>IF(T21&gt;0,ROUNDUP(T21/8,0),0)</x:f>
        <x:v>1</x:v>
      </x:c>
      <x:c r="U57" s="68" t="n">
        <x:f>IF(U21&gt;0,ROUNDUP(U21/8,0),0)</x:f>
        <x:v>1</x:v>
      </x:c>
      <x:c r="V57" s="68" t="n">
        <x:f>IF(V21&gt;0,ROUNDUP(V21/8,0),0)</x:f>
        <x:v>1</x:v>
      </x:c>
      <x:c r="W57" s="68" t="n">
        <x:f>IF(W21&gt;0,ROUNDUP(W21/8,0),0)</x:f>
        <x:v>1</x:v>
      </x:c>
      <x:c r="X57" s="68" t="n">
        <x:f>IF(X21&gt;0,ROUNDUP(X21/8,0),0)</x:f>
        <x:v>1</x:v>
      </x:c>
      <x:c r="Y57" s="68" t="n">
        <x:f>IF(Y21&gt;0,ROUNDUP(Y21/8,0),0)</x:f>
        <x:v>1</x:v>
      </x:c>
      <x:c r="Z57" s="68" t="n">
        <x:f>IF(Z21&gt;0,ROUNDUP(Z21/8,0),0)</x:f>
        <x:v>1</x:v>
      </x:c>
      <x:c r="AA57" s="68" t="n">
        <x:f>IF(AA21&gt;0,ROUNDUP(AA21/8,0),0)</x:f>
        <x:v>1</x:v>
      </x:c>
      <x:c r="AB57" s="68" t="n">
        <x:f>IF(AB21&gt;0,ROUNDUP(AB21/8,0),0)</x:f>
        <x:v>1</x:v>
      </x:c>
      <x:c r="AC57" s="68" t="n">
        <x:f>IF(AC21&gt;0,ROUNDUP(AC21/8,0),0)</x:f>
        <x:v>1</x:v>
      </x:c>
      <x:c r="AD57" s="68" t="n">
        <x:f>IF(AD21&gt;0,ROUNDUP(AD21/8,0),0)</x:f>
        <x:v>1</x:v>
      </x:c>
      <x:c r="AE57" s="68" t="n">
        <x:f>IF(AE21&gt;0,ROUNDUP(AE21/8,0),0)</x:f>
        <x:v>1</x:v>
      </x:c>
      <x:c r="AF57" s="68" t="n">
        <x:f>IF(AF21&gt;0,ROUNDUP(AF21/8,0),0)</x:f>
        <x:v>1</x:v>
      </x:c>
      <x:c r="AG57" s="68" t="n">
        <x:f>IF(AG21&gt;0,ROUNDUP(AG21/8,0),0)</x:f>
        <x:v>1</x:v>
      </x:c>
      <x:c r="AH57" s="68" t="n">
        <x:f>IF(AH21&gt;0,ROUNDUP(AH21/8,0),0)</x:f>
        <x:v>1</x:v>
      </x:c>
      <x:c r="AI57" s="68" t="n">
        <x:f>IF(AI21&gt;0,ROUNDUP(AI21/8,0),0)</x:f>
        <x:v>1</x:v>
      </x:c>
      <x:c r="AJ57" s="68" t="n">
        <x:f>IF(AJ21&gt;0,ROUNDUP(AJ21/8,0),0)</x:f>
        <x:v>1</x:v>
      </x:c>
      <x:c r="AK57" s="68" t="n">
        <x:f>IF(AK21&gt;0,ROUNDUP(AK21/8,0),0)</x:f>
        <x:v>1</x:v>
      </x:c>
      <x:c r="AL57" s="68" t="n">
        <x:f>IF(AL21&gt;0,ROUNDUP(AL21/8,0),0)</x:f>
        <x:v>2</x:v>
      </x:c>
      <x:c r="AM57" s="68" t="n">
        <x:f>IF(AM21&gt;0,ROUNDUP(AM21/8,0),0)</x:f>
        <x:v>2</x:v>
      </x:c>
      <x:c r="AN57" s="68" t="n">
        <x:f>IF(AN21&gt;0,ROUNDUP(AN21/8,0),0)</x:f>
        <x:v>2</x:v>
      </x:c>
      <x:c r="AO57" s="68" t="n">
        <x:f>IF(AO21&gt;0,ROUNDUP(AO21/8,0),0)</x:f>
        <x:v>2</x:v>
      </x:c>
      <x:c r="AP57" s="68" t="n">
        <x:f>IF(AP21&gt;0,ROUNDUP(AP21/8,0),0)</x:f>
        <x:v>2</x:v>
      </x:c>
      <x:c r="AQ57" s="68" t="n">
        <x:f>IF(AQ21&gt;0,ROUNDUP(AQ21/8,0),0)</x:f>
        <x:v>2</x:v>
      </x:c>
      <x:c r="AR57" s="68" t="n">
        <x:f>IF(AR21&gt;0,ROUNDUP(AR21/8,0),0)</x:f>
        <x:v>2</x:v>
      </x:c>
      <x:c r="AS57" s="68" t="n">
        <x:f>IF(AS21&gt;0,ROUNDUP(AS21/8,0),0)</x:f>
        <x:v>2</x:v>
      </x:c>
      <x:c r="AT57" s="68" t="n">
        <x:f>IF(AT21&gt;0,ROUNDUP(AT21/8,0),0)</x:f>
        <x:v>2</x:v>
      </x:c>
      <x:c r="AU57" s="68" t="n">
        <x:f>IF(AU21&gt;0,ROUNDUP(AU21/8,0),0)</x:f>
        <x:v>2</x:v>
      </x:c>
      <x:c r="AV57" s="68" t="n">
        <x:f>IF(AV21&gt;0,ROUNDUP(AV21/8,0),0)</x:f>
        <x:v>2</x:v>
      </x:c>
      <x:c r="AW57" s="68" t="n">
        <x:f>IF(AW21&gt;0,ROUNDUP(AW21/8,0),0)</x:f>
        <x:v>3</x:v>
      </x:c>
      <x:c r="AX57" s="68" t="n">
        <x:f>IF(AX21&gt;0,ROUNDUP(AX21/8,0),0)</x:f>
        <x:v>3</x:v>
      </x:c>
      <x:c r="AY57" s="68" t="n">
        <x:f>IF(AY21&gt;0,ROUNDUP(AY21/8,0),0)</x:f>
        <x:v>3</x:v>
      </x:c>
      <x:c r="AZ57" s="68" t="n">
        <x:f>IF(AZ21&gt;0,ROUNDUP(AZ21/8,0),0)</x:f>
        <x:v>3</x:v>
      </x:c>
      <x:c r="BA57" s="68" t="n">
        <x:f>IF(BA21&gt;0,ROUNDUP(BA21/8,0),0)</x:f>
        <x:v>3</x:v>
      </x:c>
      <x:c r="BB57" s="68" t="n">
        <x:f>IF(BB21&gt;0,ROUNDUP(BB21/8,0),0)</x:f>
        <x:v>3</x:v>
      </x:c>
      <x:c r="BC57" s="68" t="n">
        <x:f>IF(BC21&gt;0,ROUNDUP(BC21/8,0),0)</x:f>
        <x:v>3</x:v>
      </x:c>
      <x:c r="BD57" s="68" t="n">
        <x:f>IF(BD21&gt;0,ROUNDUP(BD21/8,0),0)</x:f>
        <x:v>4</x:v>
      </x:c>
      <x:c r="BE57" s="68" t="n">
        <x:f>IF(BE21&gt;0,ROUNDUP(BE21/8,0),0)</x:f>
        <x:v>4</x:v>
      </x:c>
      <x:c r="BF57" s="68" t="n">
        <x:f>IF(BF21&gt;0,ROUNDUP(BF21/8,0),0)</x:f>
        <x:v>4</x:v>
      </x:c>
      <x:c r="BG57" s="68" t="n">
        <x:f>IF(BG21&gt;0,ROUNDUP(BG21/8,0),0)</x:f>
        <x:v>4</x:v>
      </x:c>
      <x:c r="BH57" s="68" t="n">
        <x:f>IF(BH21&gt;0,ROUNDUP(BH21/8,0),0)</x:f>
        <x:v>4</x:v>
      </x:c>
      <x:c r="BI57" s="68" t="n">
        <x:f>IF(BI21&gt;0,ROUNDUP(BI21/8,0),0)</x:f>
        <x:v>5</x:v>
      </x:c>
      <x:c r="BJ57" s="68" t="n">
        <x:f>IF(BJ21&gt;0,ROUNDUP(BJ21/8,0),0)</x:f>
        <x:v>5</x:v>
      </x:c>
    </x:row>
    <x:row r="58">
      <x:c r="A58" t="str">
        <x:v>Customer success compensation</x:v>
      </x:c>
      <x:c r="B58" t="str">
        <x:v>$</x:v>
      </x:c>
      <x:c r="C58" s="62" t="n">
        <x:f>C57*Assumptions!$G$62/12</x:f>
        <x:v>0</x:v>
      </x:c>
      <x:c r="D58" s="62" t="n">
        <x:f>D57*Assumptions!$G$62/12</x:f>
        <x:v>0</x:v>
      </x:c>
      <x:c r="E58" s="62" t="n">
        <x:f>E57*Assumptions!$G$62/12</x:f>
        <x:v>0</x:v>
      </x:c>
      <x:c r="F58" s="62" t="n">
        <x:f>F57*Assumptions!$G$62/12</x:f>
        <x:v>0</x:v>
      </x:c>
      <x:c r="G58" s="62" t="n">
        <x:f>G57*Assumptions!$G$62/12</x:f>
        <x:v>0</x:v>
      </x:c>
      <x:c r="H58" s="62" t="n">
        <x:f>H57*Assumptions!$G$62/12</x:f>
        <x:v>0</x:v>
      </x:c>
      <x:c r="I58" s="62" t="n">
        <x:f>I57*Assumptions!$G$62/12</x:f>
        <x:v>0</x:v>
      </x:c>
      <x:c r="J58" s="62" t="n">
        <x:f>J57*Assumptions!$G$62/12</x:f>
        <x:v>12083.333333333334</x:v>
      </x:c>
      <x:c r="K58" s="62" t="n">
        <x:f>K57*Assumptions!$G$62/12</x:f>
        <x:v>12083.333333333334</x:v>
      </x:c>
      <x:c r="L58" s="62" t="n">
        <x:f>L57*Assumptions!$G$62/12</x:f>
        <x:v>12083.333333333334</x:v>
      </x:c>
      <x:c r="M58" s="62" t="n">
        <x:f>M57*Assumptions!$G$62/12</x:f>
        <x:v>12083.333333333334</x:v>
      </x:c>
      <x:c r="N58" s="62" t="n">
        <x:f>N57*Assumptions!$G$62/12</x:f>
        <x:v>12083.333333333334</x:v>
      </x:c>
      <x:c r="O58" s="62" t="n">
        <x:f>O57*Assumptions!$G$62/12</x:f>
        <x:v>12083.333333333334</x:v>
      </x:c>
      <x:c r="P58" s="62" t="n">
        <x:f>P57*Assumptions!$G$62/12</x:f>
        <x:v>12083.333333333334</x:v>
      </x:c>
      <x:c r="Q58" s="62" t="n">
        <x:f>Q57*Assumptions!$G$62/12</x:f>
        <x:v>12083.333333333334</x:v>
      </x:c>
      <x:c r="R58" s="62" t="n">
        <x:f>R57*Assumptions!$G$62/12</x:f>
        <x:v>12083.333333333334</x:v>
      </x:c>
      <x:c r="S58" s="62" t="n">
        <x:f>S57*Assumptions!$G$62/12</x:f>
        <x:v>12083.333333333334</x:v>
      </x:c>
      <x:c r="T58" s="62" t="n">
        <x:f>T57*Assumptions!$G$62/12</x:f>
        <x:v>12083.333333333334</x:v>
      </x:c>
      <x:c r="U58" s="62" t="n">
        <x:f>U57*Assumptions!$G$62/12</x:f>
        <x:v>12083.333333333334</x:v>
      </x:c>
      <x:c r="V58" s="62" t="n">
        <x:f>V57*Assumptions!$G$62/12</x:f>
        <x:v>12083.333333333334</x:v>
      </x:c>
      <x:c r="W58" s="62" t="n">
        <x:f>W57*Assumptions!$G$62/12</x:f>
        <x:v>12083.333333333334</x:v>
      </x:c>
      <x:c r="X58" s="62" t="n">
        <x:f>X57*Assumptions!$G$62/12</x:f>
        <x:v>12083.333333333334</x:v>
      </x:c>
      <x:c r="Y58" s="62" t="n">
        <x:f>Y57*Assumptions!$G$62/12</x:f>
        <x:v>12083.333333333334</x:v>
      </x:c>
      <x:c r="Z58" s="62" t="n">
        <x:f>Z57*Assumptions!$G$62/12</x:f>
        <x:v>12083.333333333334</x:v>
      </x:c>
      <x:c r="AA58" s="62" t="n">
        <x:f>AA57*Assumptions!$G$62/12</x:f>
        <x:v>12083.333333333334</x:v>
      </x:c>
      <x:c r="AB58" s="62" t="n">
        <x:f>AB57*Assumptions!$G$62/12</x:f>
        <x:v>12083.333333333334</x:v>
      </x:c>
      <x:c r="AC58" s="62" t="n">
        <x:f>AC57*Assumptions!$G$62/12</x:f>
        <x:v>12083.333333333334</x:v>
      </x:c>
      <x:c r="AD58" s="62" t="n">
        <x:f>AD57*Assumptions!$G$62/12</x:f>
        <x:v>12083.333333333334</x:v>
      </x:c>
      <x:c r="AE58" s="62" t="n">
        <x:f>AE57*Assumptions!$G$62/12</x:f>
        <x:v>12083.333333333334</x:v>
      </x:c>
      <x:c r="AF58" s="62" t="n">
        <x:f>AF57*Assumptions!$G$62/12</x:f>
        <x:v>12083.333333333334</x:v>
      </x:c>
      <x:c r="AG58" s="62" t="n">
        <x:f>AG57*Assumptions!$G$62/12</x:f>
        <x:v>12083.333333333334</x:v>
      </x:c>
      <x:c r="AH58" s="62" t="n">
        <x:f>AH57*Assumptions!$G$62/12</x:f>
        <x:v>12083.333333333334</x:v>
      </x:c>
      <x:c r="AI58" s="62" t="n">
        <x:f>AI57*Assumptions!$G$62/12</x:f>
        <x:v>12083.333333333334</x:v>
      </x:c>
      <x:c r="AJ58" s="62" t="n">
        <x:f>AJ57*Assumptions!$G$62/12</x:f>
        <x:v>12083.333333333334</x:v>
      </x:c>
      <x:c r="AK58" s="62" t="n">
        <x:f>AK57*Assumptions!$G$62/12</x:f>
        <x:v>12083.333333333334</x:v>
      </x:c>
      <x:c r="AL58" s="62" t="n">
        <x:f>AL57*Assumptions!$G$62/12</x:f>
        <x:v>24166.666666666668</x:v>
      </x:c>
      <x:c r="AM58" s="62" t="n">
        <x:f>AM57*Assumptions!$G$62/12</x:f>
        <x:v>24166.666666666668</x:v>
      </x:c>
      <x:c r="AN58" s="62" t="n">
        <x:f>AN57*Assumptions!$G$62/12</x:f>
        <x:v>24166.666666666668</x:v>
      </x:c>
      <x:c r="AO58" s="62" t="n">
        <x:f>AO57*Assumptions!$G$62/12</x:f>
        <x:v>24166.666666666668</x:v>
      </x:c>
      <x:c r="AP58" s="62" t="n">
        <x:f>AP57*Assumptions!$G$62/12</x:f>
        <x:v>24166.666666666668</x:v>
      </x:c>
      <x:c r="AQ58" s="62" t="n">
        <x:f>AQ57*Assumptions!$G$62/12</x:f>
        <x:v>24166.666666666668</x:v>
      </x:c>
      <x:c r="AR58" s="62" t="n">
        <x:f>AR57*Assumptions!$G$62/12</x:f>
        <x:v>24166.666666666668</x:v>
      </x:c>
      <x:c r="AS58" s="62" t="n">
        <x:f>AS57*Assumptions!$G$62/12</x:f>
        <x:v>24166.666666666668</x:v>
      </x:c>
      <x:c r="AT58" s="62" t="n">
        <x:f>AT57*Assumptions!$G$62/12</x:f>
        <x:v>24166.666666666668</x:v>
      </x:c>
      <x:c r="AU58" s="62" t="n">
        <x:f>AU57*Assumptions!$G$62/12</x:f>
        <x:v>24166.666666666668</x:v>
      </x:c>
      <x:c r="AV58" s="62" t="n">
        <x:f>AV57*Assumptions!$G$62/12</x:f>
        <x:v>24166.666666666668</x:v>
      </x:c>
      <x:c r="AW58" s="62" t="n">
        <x:f>AW57*Assumptions!$G$62/12</x:f>
        <x:v>36250</x:v>
      </x:c>
      <x:c r="AX58" s="62" t="n">
        <x:f>AX57*Assumptions!$G$62/12</x:f>
        <x:v>36250</x:v>
      </x:c>
      <x:c r="AY58" s="62" t="n">
        <x:f>AY57*Assumptions!$G$62/12</x:f>
        <x:v>36250</x:v>
      </x:c>
      <x:c r="AZ58" s="62" t="n">
        <x:f>AZ57*Assumptions!$G$62/12</x:f>
        <x:v>36250</x:v>
      </x:c>
      <x:c r="BA58" s="62" t="n">
        <x:f>BA57*Assumptions!$G$62/12</x:f>
        <x:v>36250</x:v>
      </x:c>
      <x:c r="BB58" s="62" t="n">
        <x:f>BB57*Assumptions!$G$62/12</x:f>
        <x:v>36250</x:v>
      </x:c>
      <x:c r="BC58" s="62" t="n">
        <x:f>BC57*Assumptions!$G$62/12</x:f>
        <x:v>36250</x:v>
      </x:c>
      <x:c r="BD58" s="62" t="n">
        <x:f>BD57*Assumptions!$G$62/12</x:f>
        <x:v>48333.333333333336</x:v>
      </x:c>
      <x:c r="BE58" s="62" t="n">
        <x:f>BE57*Assumptions!$G$62/12</x:f>
        <x:v>48333.333333333336</x:v>
      </x:c>
      <x:c r="BF58" s="62" t="n">
        <x:f>BF57*Assumptions!$G$62/12</x:f>
        <x:v>48333.333333333336</x:v>
      </x:c>
      <x:c r="BG58" s="62" t="n">
        <x:f>BG57*Assumptions!$G$62/12</x:f>
        <x:v>48333.333333333336</x:v>
      </x:c>
      <x:c r="BH58" s="62" t="n">
        <x:f>BH57*Assumptions!$G$62/12</x:f>
        <x:v>48333.333333333336</x:v>
      </x:c>
      <x:c r="BI58" s="62" t="n">
        <x:f>BI57*Assumptions!$G$62/12</x:f>
        <x:v>60416.666666666664</x:v>
      </x:c>
      <x:c r="BJ58" s="62" t="n">
        <x:f>BJ57*Assumptions!$G$62/12</x:f>
        <x:v>60416.666666666664</x:v>
      </x:c>
    </x:row>
    <x:row r="59">
      <x:c r="A59" t="str">
        <x:v>Executive compensation</x:v>
      </x:c>
      <x:c r="B59" t="str">
        <x:v>$</x:v>
      </x:c>
      <x:c r="C59" s="62" t="n">
        <x:f>Assumptions!$G$55*Assumptions!$G$56/12</x:f>
        <x:v>28333.333333333332</x:v>
      </x:c>
      <x:c r="D59" s="62" t="n">
        <x:f>Assumptions!$G$55*Assumptions!$G$56/12</x:f>
        <x:v>28333.333333333332</x:v>
      </x:c>
      <x:c r="E59" s="62" t="n">
        <x:f>Assumptions!$G$55*Assumptions!$G$56/12</x:f>
        <x:v>28333.333333333332</x:v>
      </x:c>
      <x:c r="F59" s="62" t="n">
        <x:f>Assumptions!$G$55*Assumptions!$G$56/12</x:f>
        <x:v>28333.333333333332</x:v>
      </x:c>
      <x:c r="G59" s="62" t="n">
        <x:f>Assumptions!$G$55*Assumptions!$G$56/12</x:f>
        <x:v>28333.333333333332</x:v>
      </x:c>
      <x:c r="H59" s="62" t="n">
        <x:f>Assumptions!$G$55*Assumptions!$G$56/12</x:f>
        <x:v>28333.333333333332</x:v>
      </x:c>
      <x:c r="I59" s="62" t="n">
        <x:f>Assumptions!$G$55*Assumptions!$G$56/12</x:f>
        <x:v>28333.333333333332</x:v>
      </x:c>
      <x:c r="J59" s="62" t="n">
        <x:f>Assumptions!$G$55*Assumptions!$G$56/12</x:f>
        <x:v>28333.333333333332</x:v>
      </x:c>
      <x:c r="K59" s="62" t="n">
        <x:f>Assumptions!$G$55*Assumptions!$G$56/12</x:f>
        <x:v>28333.333333333332</x:v>
      </x:c>
      <x:c r="L59" s="62" t="n">
        <x:f>Assumptions!$G$55*Assumptions!$G$56/12</x:f>
        <x:v>28333.333333333332</x:v>
      </x:c>
      <x:c r="M59" s="62" t="n">
        <x:f>Assumptions!$G$55*Assumptions!$G$56/12</x:f>
        <x:v>28333.333333333332</x:v>
      </x:c>
      <x:c r="N59" s="62" t="n">
        <x:f>Assumptions!$G$55*Assumptions!$G$56/12</x:f>
        <x:v>28333.333333333332</x:v>
      </x:c>
      <x:c r="O59" s="62" t="n">
        <x:f>Assumptions!$G$55*Assumptions!$G$56/12</x:f>
        <x:v>28333.333333333332</x:v>
      </x:c>
      <x:c r="P59" s="62" t="n">
        <x:f>Assumptions!$G$55*Assumptions!$G$56/12</x:f>
        <x:v>28333.333333333332</x:v>
      </x:c>
      <x:c r="Q59" s="62" t="n">
        <x:f>Assumptions!$G$55*Assumptions!$G$56/12</x:f>
        <x:v>28333.333333333332</x:v>
      </x:c>
      <x:c r="R59" s="62" t="n">
        <x:f>Assumptions!$G$55*Assumptions!$G$56/12</x:f>
        <x:v>28333.333333333332</x:v>
      </x:c>
      <x:c r="S59" s="62" t="n">
        <x:f>Assumptions!$G$55*Assumptions!$G$56/12</x:f>
        <x:v>28333.333333333332</x:v>
      </x:c>
      <x:c r="T59" s="62" t="n">
        <x:f>Assumptions!$G$55*Assumptions!$G$56/12</x:f>
        <x:v>28333.333333333332</x:v>
      </x:c>
      <x:c r="U59" s="62" t="n">
        <x:f>Assumptions!$G$55*Assumptions!$G$56/12</x:f>
        <x:v>28333.333333333332</x:v>
      </x:c>
      <x:c r="V59" s="62" t="n">
        <x:f>Assumptions!$G$55*Assumptions!$G$56/12</x:f>
        <x:v>28333.333333333332</x:v>
      </x:c>
      <x:c r="W59" s="62" t="n">
        <x:f>Assumptions!$G$55*Assumptions!$G$56/12</x:f>
        <x:v>28333.333333333332</x:v>
      </x:c>
      <x:c r="X59" s="62" t="n">
        <x:f>Assumptions!$G$55*Assumptions!$G$56/12</x:f>
        <x:v>28333.333333333332</x:v>
      </x:c>
      <x:c r="Y59" s="62" t="n">
        <x:f>Assumptions!$G$55*Assumptions!$G$56/12</x:f>
        <x:v>28333.333333333332</x:v>
      </x:c>
      <x:c r="Z59" s="62" t="n">
        <x:f>Assumptions!$G$55*Assumptions!$G$56/12</x:f>
        <x:v>28333.333333333332</x:v>
      </x:c>
      <x:c r="AA59" s="62" t="n">
        <x:f>Assumptions!$G$55*Assumptions!$G$56/12</x:f>
        <x:v>28333.333333333332</x:v>
      </x:c>
      <x:c r="AB59" s="62" t="n">
        <x:f>Assumptions!$G$55*Assumptions!$G$56/12</x:f>
        <x:v>28333.333333333332</x:v>
      </x:c>
      <x:c r="AC59" s="62" t="n">
        <x:f>Assumptions!$G$55*Assumptions!$G$56/12</x:f>
        <x:v>28333.333333333332</x:v>
      </x:c>
      <x:c r="AD59" s="62" t="n">
        <x:f>Assumptions!$G$55*Assumptions!$G$56/12</x:f>
        <x:v>28333.333333333332</x:v>
      </x:c>
      <x:c r="AE59" s="62" t="n">
        <x:f>Assumptions!$G$55*Assumptions!$G$56/12</x:f>
        <x:v>28333.333333333332</x:v>
      </x:c>
      <x:c r="AF59" s="62" t="n">
        <x:f>Assumptions!$G$55*Assumptions!$G$56/12</x:f>
        <x:v>28333.333333333332</x:v>
      </x:c>
      <x:c r="AG59" s="62" t="n">
        <x:f>Assumptions!$G$55*Assumptions!$G$56/12</x:f>
        <x:v>28333.333333333332</x:v>
      </x:c>
      <x:c r="AH59" s="62" t="n">
        <x:f>Assumptions!$G$55*Assumptions!$G$56/12</x:f>
        <x:v>28333.333333333332</x:v>
      </x:c>
      <x:c r="AI59" s="62" t="n">
        <x:f>Assumptions!$G$55*Assumptions!$G$56/12</x:f>
        <x:v>28333.333333333332</x:v>
      </x:c>
      <x:c r="AJ59" s="62" t="n">
        <x:f>Assumptions!$G$55*Assumptions!$G$56/12</x:f>
        <x:v>28333.333333333332</x:v>
      </x:c>
      <x:c r="AK59" s="62" t="n">
        <x:f>Assumptions!$G$55*Assumptions!$G$56/12</x:f>
        <x:v>28333.333333333332</x:v>
      </x:c>
      <x:c r="AL59" s="62" t="n">
        <x:f>Assumptions!$G$55*Assumptions!$G$56/12</x:f>
        <x:v>28333.333333333332</x:v>
      </x:c>
      <x:c r="AM59" s="62" t="n">
        <x:f>Assumptions!$G$55*Assumptions!$G$56/12</x:f>
        <x:v>28333.333333333332</x:v>
      </x:c>
      <x:c r="AN59" s="62" t="n">
        <x:f>Assumptions!$G$55*Assumptions!$G$56/12</x:f>
        <x:v>28333.333333333332</x:v>
      </x:c>
      <x:c r="AO59" s="62" t="n">
        <x:f>Assumptions!$G$55*Assumptions!$G$56/12</x:f>
        <x:v>28333.333333333332</x:v>
      </x:c>
      <x:c r="AP59" s="62" t="n">
        <x:f>Assumptions!$G$55*Assumptions!$G$56/12</x:f>
        <x:v>28333.333333333332</x:v>
      </x:c>
      <x:c r="AQ59" s="62" t="n">
        <x:f>Assumptions!$G$55*Assumptions!$G$56/12</x:f>
        <x:v>28333.333333333332</x:v>
      </x:c>
      <x:c r="AR59" s="62" t="n">
        <x:f>Assumptions!$G$55*Assumptions!$G$56/12</x:f>
        <x:v>28333.333333333332</x:v>
      </x:c>
      <x:c r="AS59" s="62" t="n">
        <x:f>Assumptions!$G$55*Assumptions!$G$56/12</x:f>
        <x:v>28333.333333333332</x:v>
      </x:c>
      <x:c r="AT59" s="62" t="n">
        <x:f>Assumptions!$G$55*Assumptions!$G$56/12</x:f>
        <x:v>28333.333333333332</x:v>
      </x:c>
      <x:c r="AU59" s="62" t="n">
        <x:f>Assumptions!$G$55*Assumptions!$G$56/12</x:f>
        <x:v>28333.333333333332</x:v>
      </x:c>
      <x:c r="AV59" s="62" t="n">
        <x:f>Assumptions!$G$55*Assumptions!$G$56/12</x:f>
        <x:v>28333.333333333332</x:v>
      </x:c>
      <x:c r="AW59" s="62" t="n">
        <x:f>Assumptions!$G$55*Assumptions!$G$56/12</x:f>
        <x:v>28333.333333333332</x:v>
      </x:c>
      <x:c r="AX59" s="62" t="n">
        <x:f>Assumptions!$G$55*Assumptions!$G$56/12</x:f>
        <x:v>28333.333333333332</x:v>
      </x:c>
      <x:c r="AY59" s="62" t="n">
        <x:f>Assumptions!$G$55*Assumptions!$G$56/12</x:f>
        <x:v>28333.333333333332</x:v>
      </x:c>
      <x:c r="AZ59" s="62" t="n">
        <x:f>Assumptions!$G$55*Assumptions!$G$56/12</x:f>
        <x:v>28333.333333333332</x:v>
      </x:c>
      <x:c r="BA59" s="62" t="n">
        <x:f>Assumptions!$G$55*Assumptions!$G$56/12</x:f>
        <x:v>28333.333333333332</x:v>
      </x:c>
      <x:c r="BB59" s="62" t="n">
        <x:f>Assumptions!$G$55*Assumptions!$G$56/12</x:f>
        <x:v>28333.333333333332</x:v>
      </x:c>
      <x:c r="BC59" s="62" t="n">
        <x:f>Assumptions!$G$55*Assumptions!$G$56/12</x:f>
        <x:v>28333.333333333332</x:v>
      </x:c>
      <x:c r="BD59" s="62" t="n">
        <x:f>Assumptions!$G$55*Assumptions!$G$56/12</x:f>
        <x:v>28333.333333333332</x:v>
      </x:c>
      <x:c r="BE59" s="62" t="n">
        <x:f>Assumptions!$G$55*Assumptions!$G$56/12</x:f>
        <x:v>28333.333333333332</x:v>
      </x:c>
      <x:c r="BF59" s="62" t="n">
        <x:f>Assumptions!$G$55*Assumptions!$G$56/12</x:f>
        <x:v>28333.333333333332</x:v>
      </x:c>
      <x:c r="BG59" s="62" t="n">
        <x:f>Assumptions!$G$55*Assumptions!$G$56/12</x:f>
        <x:v>28333.333333333332</x:v>
      </x:c>
      <x:c r="BH59" s="62" t="n">
        <x:f>Assumptions!$G$55*Assumptions!$G$56/12</x:f>
        <x:v>28333.333333333332</x:v>
      </x:c>
      <x:c r="BI59" s="62" t="n">
        <x:f>Assumptions!$G$55*Assumptions!$G$56/12</x:f>
        <x:v>28333.333333333332</x:v>
      </x:c>
      <x:c r="BJ59" s="62" t="n">
        <x:f>Assumptions!$G$55*Assumptions!$G$56/12</x:f>
        <x:v>28333.333333333332</x:v>
      </x:c>
    </x:row>
    <x:row r="60">
      <x:c r="A60" t="str">
        <x:v>G&amp;A FTE</x:v>
      </x:c>
      <x:c r="B60" t="str">
        <x:v>FTE</x:v>
      </x:c>
      <x:c r="C60" s="68" t="n">
        <x:f>1+INT((Assumptions!$G$55+C51+C54+C57+C44)/15)</x:f>
        <x:v>1</x:v>
      </x:c>
      <x:c r="D60" s="68" t="n">
        <x:f>1+INT((Assumptions!$G$55+D51+D54+D57+D44)/15)</x:f>
        <x:v>1</x:v>
      </x:c>
      <x:c r="E60" s="68" t="n">
        <x:f>1+INT((Assumptions!$G$55+E51+E54+E57+E44)/15)</x:f>
        <x:v>1</x:v>
      </x:c>
      <x:c r="F60" s="68" t="n">
        <x:f>1+INT((Assumptions!$G$55+F51+F54+F57+F44)/15)</x:f>
        <x:v>1</x:v>
      </x:c>
      <x:c r="G60" s="68" t="n">
        <x:f>1+INT((Assumptions!$G$55+G51+G54+G57+G44)/15)</x:f>
        <x:v>1</x:v>
      </x:c>
      <x:c r="H60" s="68" t="n">
        <x:f>1+INT((Assumptions!$G$55+H51+H54+H57+H44)/15)</x:f>
        <x:v>1</x:v>
      </x:c>
      <x:c r="I60" s="68" t="n">
        <x:f>1+INT((Assumptions!$G$55+I51+I54+I57+I44)/15)</x:f>
        <x:v>1</x:v>
      </x:c>
      <x:c r="J60" s="68" t="n">
        <x:f>1+INT((Assumptions!$G$55+J51+J54+J57+J44)/15)</x:f>
        <x:v>1</x:v>
      </x:c>
      <x:c r="K60" s="68" t="n">
        <x:f>1+INT((Assumptions!$G$55+K51+K54+K57+K44)/15)</x:f>
        <x:v>1</x:v>
      </x:c>
      <x:c r="L60" s="68" t="n">
        <x:f>1+INT((Assumptions!$G$55+L51+L54+L57+L44)/15)</x:f>
        <x:v>1</x:v>
      </x:c>
      <x:c r="M60" s="68" t="n">
        <x:f>1+INT((Assumptions!$G$55+M51+M54+M57+M44)/15)</x:f>
        <x:v>1</x:v>
      </x:c>
      <x:c r="N60" s="68" t="n">
        <x:f>1+INT((Assumptions!$G$55+N51+N54+N57+N44)/15)</x:f>
        <x:v>1</x:v>
      </x:c>
      <x:c r="O60" s="68" t="n">
        <x:f>1+INT((Assumptions!$G$55+O51+O54+O57+O44)/15)</x:f>
        <x:v>1</x:v>
      </x:c>
      <x:c r="P60" s="68" t="n">
        <x:f>1+INT((Assumptions!$G$55+P51+P54+P57+P44)/15)</x:f>
        <x:v>1</x:v>
      </x:c>
      <x:c r="Q60" s="68" t="n">
        <x:f>1+INT((Assumptions!$G$55+Q51+Q54+Q57+Q44)/15)</x:f>
        <x:v>1</x:v>
      </x:c>
      <x:c r="R60" s="68" t="n">
        <x:f>1+INT((Assumptions!$G$55+R51+R54+R57+R44)/15)</x:f>
        <x:v>1</x:v>
      </x:c>
      <x:c r="S60" s="68" t="n">
        <x:f>1+INT((Assumptions!$G$55+S51+S54+S57+S44)/15)</x:f>
        <x:v>1</x:v>
      </x:c>
      <x:c r="T60" s="68" t="n">
        <x:f>1+INT((Assumptions!$G$55+T51+T54+T57+T44)/15)</x:f>
        <x:v>1</x:v>
      </x:c>
      <x:c r="U60" s="68" t="n">
        <x:f>1+INT((Assumptions!$G$55+U51+U54+U57+U44)/15)</x:f>
        <x:v>2</x:v>
      </x:c>
      <x:c r="V60" s="68" t="n">
        <x:f>1+INT((Assumptions!$G$55+V51+V54+V57+V44)/15)</x:f>
        <x:v>2</x:v>
      </x:c>
      <x:c r="W60" s="68" t="n">
        <x:f>1+INT((Assumptions!$G$55+W51+W54+W57+W44)/15)</x:f>
        <x:v>2</x:v>
      </x:c>
      <x:c r="X60" s="68" t="n">
        <x:f>1+INT((Assumptions!$G$55+X51+X54+X57+X44)/15)</x:f>
        <x:v>2</x:v>
      </x:c>
      <x:c r="Y60" s="68" t="n">
        <x:f>1+INT((Assumptions!$G$55+Y51+Y54+Y57+Y44)/15)</x:f>
        <x:v>2</x:v>
      </x:c>
      <x:c r="Z60" s="68" t="n">
        <x:f>1+INT((Assumptions!$G$55+Z51+Z54+Z57+Z44)/15)</x:f>
        <x:v>2</x:v>
      </x:c>
      <x:c r="AA60" s="68" t="n">
        <x:f>1+INT((Assumptions!$G$55+AA51+AA54+AA57+AA44)/15)</x:f>
        <x:v>2</x:v>
      </x:c>
      <x:c r="AB60" s="68" t="n">
        <x:f>1+INT((Assumptions!$G$55+AB51+AB54+AB57+AB44)/15)</x:f>
        <x:v>2</x:v>
      </x:c>
      <x:c r="AC60" s="68" t="n">
        <x:f>1+INT((Assumptions!$G$55+AC51+AC54+AC57+AC44)/15)</x:f>
        <x:v>2</x:v>
      </x:c>
      <x:c r="AD60" s="68" t="n">
        <x:f>1+INT((Assumptions!$G$55+AD51+AD54+AD57+AD44)/15)</x:f>
        <x:v>2</x:v>
      </x:c>
      <x:c r="AE60" s="68" t="n">
        <x:f>1+INT((Assumptions!$G$55+AE51+AE54+AE57+AE44)/15)</x:f>
        <x:v>2</x:v>
      </x:c>
      <x:c r="AF60" s="68" t="n">
        <x:f>1+INT((Assumptions!$G$55+AF51+AF54+AF57+AF44)/15)</x:f>
        <x:v>2</x:v>
      </x:c>
      <x:c r="AG60" s="68" t="n">
        <x:f>1+INT((Assumptions!$G$55+AG51+AG54+AG57+AG44)/15)</x:f>
        <x:v>2</x:v>
      </x:c>
      <x:c r="AH60" s="68" t="n">
        <x:f>1+INT((Assumptions!$G$55+AH51+AH54+AH57+AH44)/15)</x:f>
        <x:v>2</x:v>
      </x:c>
      <x:c r="AI60" s="68" t="n">
        <x:f>1+INT((Assumptions!$G$55+AI51+AI54+AI57+AI44)/15)</x:f>
        <x:v>2</x:v>
      </x:c>
      <x:c r="AJ60" s="68" t="n">
        <x:f>1+INT((Assumptions!$G$55+AJ51+AJ54+AJ57+AJ44)/15)</x:f>
        <x:v>2</x:v>
      </x:c>
      <x:c r="AK60" s="68" t="n">
        <x:f>1+INT((Assumptions!$G$55+AK51+AK54+AK57+AK44)/15)</x:f>
        <x:v>2</x:v>
      </x:c>
      <x:c r="AL60" s="68" t="n">
        <x:f>1+INT((Assumptions!$G$55+AL51+AL54+AL57+AL44)/15)</x:f>
        <x:v>2</x:v>
      </x:c>
      <x:c r="AM60" s="68" t="n">
        <x:f>1+INT((Assumptions!$G$55+AM51+AM54+AM57+AM44)/15)</x:f>
        <x:v>2</x:v>
      </x:c>
      <x:c r="AN60" s="68" t="n">
        <x:f>1+INT((Assumptions!$G$55+AN51+AN54+AN57+AN44)/15)</x:f>
        <x:v>2</x:v>
      </x:c>
      <x:c r="AO60" s="68" t="n">
        <x:f>1+INT((Assumptions!$G$55+AO51+AO54+AO57+AO44)/15)</x:f>
        <x:v>2</x:v>
      </x:c>
      <x:c r="AP60" s="68" t="n">
        <x:f>1+INT((Assumptions!$G$55+AP51+AP54+AP57+AP44)/15)</x:f>
        <x:v>2</x:v>
      </x:c>
      <x:c r="AQ60" s="68" t="n">
        <x:f>1+INT((Assumptions!$G$55+AQ51+AQ54+AQ57+AQ44)/15)</x:f>
        <x:v>2</x:v>
      </x:c>
      <x:c r="AR60" s="68" t="n">
        <x:f>1+INT((Assumptions!$G$55+AR51+AR54+AR57+AR44)/15)</x:f>
        <x:v>2</x:v>
      </x:c>
      <x:c r="AS60" s="68" t="n">
        <x:f>1+INT((Assumptions!$G$55+AS51+AS54+AS57+AS44)/15)</x:f>
        <x:v>2</x:v>
      </x:c>
      <x:c r="AT60" s="68" t="n">
        <x:f>1+INT((Assumptions!$G$55+AT51+AT54+AT57+AT44)/15)</x:f>
        <x:v>2</x:v>
      </x:c>
      <x:c r="AU60" s="68" t="n">
        <x:f>1+INT((Assumptions!$G$55+AU51+AU54+AU57+AU44)/15)</x:f>
        <x:v>3</x:v>
      </x:c>
      <x:c r="AV60" s="68" t="n">
        <x:f>1+INT((Assumptions!$G$55+AV51+AV54+AV57+AV44)/15)</x:f>
        <x:v>3</x:v>
      </x:c>
      <x:c r="AW60" s="68" t="n">
        <x:f>1+INT((Assumptions!$G$55+AW51+AW54+AW57+AW44)/15)</x:f>
        <x:v>3</x:v>
      </x:c>
      <x:c r="AX60" s="68" t="n">
        <x:f>1+INT((Assumptions!$G$55+AX51+AX54+AX57+AX44)/15)</x:f>
        <x:v>3</x:v>
      </x:c>
      <x:c r="AY60" s="68" t="n">
        <x:f>1+INT((Assumptions!$G$55+AY51+AY54+AY57+AY44)/15)</x:f>
        <x:v>3</x:v>
      </x:c>
      <x:c r="AZ60" s="68" t="n">
        <x:f>1+INT((Assumptions!$G$55+AZ51+AZ54+AZ57+AZ44)/15)</x:f>
        <x:v>3</x:v>
      </x:c>
      <x:c r="BA60" s="68" t="n">
        <x:f>1+INT((Assumptions!$G$55+BA51+BA54+BA57+BA44)/15)</x:f>
        <x:v>3</x:v>
      </x:c>
      <x:c r="BB60" s="68" t="n">
        <x:f>1+INT((Assumptions!$G$55+BB51+BB54+BB57+BB44)/15)</x:f>
        <x:v>3</x:v>
      </x:c>
      <x:c r="BC60" s="68" t="n">
        <x:f>1+INT((Assumptions!$G$55+BC51+BC54+BC57+BC44)/15)</x:f>
        <x:v>3</x:v>
      </x:c>
      <x:c r="BD60" s="68" t="n">
        <x:f>1+INT((Assumptions!$G$55+BD51+BD54+BD57+BD44)/15)</x:f>
        <x:v>3</x:v>
      </x:c>
      <x:c r="BE60" s="68" t="n">
        <x:f>1+INT((Assumptions!$G$55+BE51+BE54+BE57+BE44)/15)</x:f>
        <x:v>3</x:v>
      </x:c>
      <x:c r="BF60" s="68" t="n">
        <x:f>1+INT((Assumptions!$G$55+BF51+BF54+BF57+BF44)/15)</x:f>
        <x:v>4</x:v>
      </x:c>
      <x:c r="BG60" s="68" t="n">
        <x:f>1+INT((Assumptions!$G$55+BG51+BG54+BG57+BG44)/15)</x:f>
        <x:v>4</x:v>
      </x:c>
      <x:c r="BH60" s="68" t="n">
        <x:f>1+INT((Assumptions!$G$55+BH51+BH54+BH57+BH44)/15)</x:f>
        <x:v>4</x:v>
      </x:c>
      <x:c r="BI60" s="68" t="n">
        <x:f>1+INT((Assumptions!$G$55+BI51+BI54+BI57+BI44)/15)</x:f>
        <x:v>4</x:v>
      </x:c>
      <x:c r="BJ60" s="68" t="n">
        <x:f>1+INT((Assumptions!$G$55+BJ51+BJ54+BJ57+BJ44)/15)</x:f>
        <x:v>4</x:v>
      </x:c>
    </x:row>
    <x:row r="61">
      <x:c r="A61" t="str">
        <x:v>G&amp;A compensation</x:v>
      </x:c>
      <x:c r="B61" t="str">
        <x:v>$</x:v>
      </x:c>
      <x:c r="C61" s="62" t="n">
        <x:f>C60*Assumptions!$G$63/12</x:f>
        <x:v>10000</x:v>
      </x:c>
      <x:c r="D61" s="62" t="n">
        <x:f>D60*Assumptions!$G$63/12</x:f>
        <x:v>10000</x:v>
      </x:c>
      <x:c r="E61" s="62" t="n">
        <x:f>E60*Assumptions!$G$63/12</x:f>
        <x:v>10000</x:v>
      </x:c>
      <x:c r="F61" s="62" t="n">
        <x:f>F60*Assumptions!$G$63/12</x:f>
        <x:v>10000</x:v>
      </x:c>
      <x:c r="G61" s="62" t="n">
        <x:f>G60*Assumptions!$G$63/12</x:f>
        <x:v>10000</x:v>
      </x:c>
      <x:c r="H61" s="62" t="n">
        <x:f>H60*Assumptions!$G$63/12</x:f>
        <x:v>10000</x:v>
      </x:c>
      <x:c r="I61" s="62" t="n">
        <x:f>I60*Assumptions!$G$63/12</x:f>
        <x:v>10000</x:v>
      </x:c>
      <x:c r="J61" s="62" t="n">
        <x:f>J60*Assumptions!$G$63/12</x:f>
        <x:v>10000</x:v>
      </x:c>
      <x:c r="K61" s="62" t="n">
        <x:f>K60*Assumptions!$G$63/12</x:f>
        <x:v>10000</x:v>
      </x:c>
      <x:c r="L61" s="62" t="n">
        <x:f>L60*Assumptions!$G$63/12</x:f>
        <x:v>10000</x:v>
      </x:c>
      <x:c r="M61" s="62" t="n">
        <x:f>M60*Assumptions!$G$63/12</x:f>
        <x:v>10000</x:v>
      </x:c>
      <x:c r="N61" s="62" t="n">
        <x:f>N60*Assumptions!$G$63/12</x:f>
        <x:v>10000</x:v>
      </x:c>
      <x:c r="O61" s="62" t="n">
        <x:f>O60*Assumptions!$G$63/12</x:f>
        <x:v>10000</x:v>
      </x:c>
      <x:c r="P61" s="62" t="n">
        <x:f>P60*Assumptions!$G$63/12</x:f>
        <x:v>10000</x:v>
      </x:c>
      <x:c r="Q61" s="62" t="n">
        <x:f>Q60*Assumptions!$G$63/12</x:f>
        <x:v>10000</x:v>
      </x:c>
      <x:c r="R61" s="62" t="n">
        <x:f>R60*Assumptions!$G$63/12</x:f>
        <x:v>10000</x:v>
      </x:c>
      <x:c r="S61" s="62" t="n">
        <x:f>S60*Assumptions!$G$63/12</x:f>
        <x:v>10000</x:v>
      </x:c>
      <x:c r="T61" s="62" t="n">
        <x:f>T60*Assumptions!$G$63/12</x:f>
        <x:v>10000</x:v>
      </x:c>
      <x:c r="U61" s="62" t="n">
        <x:f>U60*Assumptions!$G$63/12</x:f>
        <x:v>20000</x:v>
      </x:c>
      <x:c r="V61" s="62" t="n">
        <x:f>V60*Assumptions!$G$63/12</x:f>
        <x:v>20000</x:v>
      </x:c>
      <x:c r="W61" s="62" t="n">
        <x:f>W60*Assumptions!$G$63/12</x:f>
        <x:v>20000</x:v>
      </x:c>
      <x:c r="X61" s="62" t="n">
        <x:f>X60*Assumptions!$G$63/12</x:f>
        <x:v>20000</x:v>
      </x:c>
      <x:c r="Y61" s="62" t="n">
        <x:f>Y60*Assumptions!$G$63/12</x:f>
        <x:v>20000</x:v>
      </x:c>
      <x:c r="Z61" s="62" t="n">
        <x:f>Z60*Assumptions!$G$63/12</x:f>
        <x:v>20000</x:v>
      </x:c>
      <x:c r="AA61" s="62" t="n">
        <x:f>AA60*Assumptions!$G$63/12</x:f>
        <x:v>20000</x:v>
      </x:c>
      <x:c r="AB61" s="62" t="n">
        <x:f>AB60*Assumptions!$G$63/12</x:f>
        <x:v>20000</x:v>
      </x:c>
      <x:c r="AC61" s="62" t="n">
        <x:f>AC60*Assumptions!$G$63/12</x:f>
        <x:v>20000</x:v>
      </x:c>
      <x:c r="AD61" s="62" t="n">
        <x:f>AD60*Assumptions!$G$63/12</x:f>
        <x:v>20000</x:v>
      </x:c>
      <x:c r="AE61" s="62" t="n">
        <x:f>AE60*Assumptions!$G$63/12</x:f>
        <x:v>20000</x:v>
      </x:c>
      <x:c r="AF61" s="62" t="n">
        <x:f>AF60*Assumptions!$G$63/12</x:f>
        <x:v>20000</x:v>
      </x:c>
      <x:c r="AG61" s="62" t="n">
        <x:f>AG60*Assumptions!$G$63/12</x:f>
        <x:v>20000</x:v>
      </x:c>
      <x:c r="AH61" s="62" t="n">
        <x:f>AH60*Assumptions!$G$63/12</x:f>
        <x:v>20000</x:v>
      </x:c>
      <x:c r="AI61" s="62" t="n">
        <x:f>AI60*Assumptions!$G$63/12</x:f>
        <x:v>20000</x:v>
      </x:c>
      <x:c r="AJ61" s="62" t="n">
        <x:f>AJ60*Assumptions!$G$63/12</x:f>
        <x:v>20000</x:v>
      </x:c>
      <x:c r="AK61" s="62" t="n">
        <x:f>AK60*Assumptions!$G$63/12</x:f>
        <x:v>20000</x:v>
      </x:c>
      <x:c r="AL61" s="62" t="n">
        <x:f>AL60*Assumptions!$G$63/12</x:f>
        <x:v>20000</x:v>
      </x:c>
      <x:c r="AM61" s="62" t="n">
        <x:f>AM60*Assumptions!$G$63/12</x:f>
        <x:v>20000</x:v>
      </x:c>
      <x:c r="AN61" s="62" t="n">
        <x:f>AN60*Assumptions!$G$63/12</x:f>
        <x:v>20000</x:v>
      </x:c>
      <x:c r="AO61" s="62" t="n">
        <x:f>AO60*Assumptions!$G$63/12</x:f>
        <x:v>20000</x:v>
      </x:c>
      <x:c r="AP61" s="62" t="n">
        <x:f>AP60*Assumptions!$G$63/12</x:f>
        <x:v>20000</x:v>
      </x:c>
      <x:c r="AQ61" s="62" t="n">
        <x:f>AQ60*Assumptions!$G$63/12</x:f>
        <x:v>20000</x:v>
      </x:c>
      <x:c r="AR61" s="62" t="n">
        <x:f>AR60*Assumptions!$G$63/12</x:f>
        <x:v>20000</x:v>
      </x:c>
      <x:c r="AS61" s="62" t="n">
        <x:f>AS60*Assumptions!$G$63/12</x:f>
        <x:v>20000</x:v>
      </x:c>
      <x:c r="AT61" s="62" t="n">
        <x:f>AT60*Assumptions!$G$63/12</x:f>
        <x:v>20000</x:v>
      </x:c>
      <x:c r="AU61" s="62" t="n">
        <x:f>AU60*Assumptions!$G$63/12</x:f>
        <x:v>30000</x:v>
      </x:c>
      <x:c r="AV61" s="62" t="n">
        <x:f>AV60*Assumptions!$G$63/12</x:f>
        <x:v>30000</x:v>
      </x:c>
      <x:c r="AW61" s="62" t="n">
        <x:f>AW60*Assumptions!$G$63/12</x:f>
        <x:v>30000</x:v>
      </x:c>
      <x:c r="AX61" s="62" t="n">
        <x:f>AX60*Assumptions!$G$63/12</x:f>
        <x:v>30000</x:v>
      </x:c>
      <x:c r="AY61" s="62" t="n">
        <x:f>AY60*Assumptions!$G$63/12</x:f>
        <x:v>30000</x:v>
      </x:c>
      <x:c r="AZ61" s="62" t="n">
        <x:f>AZ60*Assumptions!$G$63/12</x:f>
        <x:v>30000</x:v>
      </x:c>
      <x:c r="BA61" s="62" t="n">
        <x:f>BA60*Assumptions!$G$63/12</x:f>
        <x:v>30000</x:v>
      </x:c>
      <x:c r="BB61" s="62" t="n">
        <x:f>BB60*Assumptions!$G$63/12</x:f>
        <x:v>30000</x:v>
      </x:c>
      <x:c r="BC61" s="62" t="n">
        <x:f>BC60*Assumptions!$G$63/12</x:f>
        <x:v>30000</x:v>
      </x:c>
      <x:c r="BD61" s="62" t="n">
        <x:f>BD60*Assumptions!$G$63/12</x:f>
        <x:v>30000</x:v>
      </x:c>
      <x:c r="BE61" s="62" t="n">
        <x:f>BE60*Assumptions!$G$63/12</x:f>
        <x:v>30000</x:v>
      </x:c>
      <x:c r="BF61" s="62" t="n">
        <x:f>BF60*Assumptions!$G$63/12</x:f>
        <x:v>40000</x:v>
      </x:c>
      <x:c r="BG61" s="62" t="n">
        <x:f>BG60*Assumptions!$G$63/12</x:f>
        <x:v>40000</x:v>
      </x:c>
      <x:c r="BH61" s="62" t="n">
        <x:f>BH60*Assumptions!$G$63/12</x:f>
        <x:v>40000</x:v>
      </x:c>
      <x:c r="BI61" s="62" t="n">
        <x:f>BI60*Assumptions!$G$63/12</x:f>
        <x:v>40000</x:v>
      </x:c>
      <x:c r="BJ61" s="62" t="n">
        <x:f>BJ60*Assumptions!$G$63/12</x:f>
        <x:v>40000</x:v>
      </x:c>
    </x:row>
    <x:row r="62">
      <x:c r="A62" t="str">
        <x:v>Other G&amp;A</x:v>
      </x:c>
      <x:c r="B62" t="str">
        <x:v>$</x:v>
      </x:c>
      <x:c r="C62" s="62" t="n">
        <x:f>Assumptions!$G$67+C30*Assumptions!$G$68</x:f>
        <x:v>15000</x:v>
      </x:c>
      <x:c r="D62" s="62" t="n">
        <x:f>Assumptions!$G$67+D30*Assumptions!$G$68</x:f>
        <x:v>15480</x:v>
      </x:c>
      <x:c r="E62" s="62" t="n">
        <x:f>Assumptions!$G$67+E30*Assumptions!$G$68</x:f>
        <x:v>15908.4</x:v>
      </x:c>
      <x:c r="F62" s="62" t="n">
        <x:f>Assumptions!$G$67+F30*Assumptions!$G$68</x:f>
        <x:v>16186.027481472</x:v>
      </x:c>
      <x:c r="G62" s="62" t="n">
        <x:f>Assumptions!$G$67+G30*Assumptions!$G$68</x:f>
        <x:v>16523.252407356907</x:v>
      </x:c>
      <x:c r="H62" s="62" t="n">
        <x:f>Assumptions!$G$67+H30*Assumptions!$G$68</x:f>
        <x:v>16913.11133302444</x:v>
      </x:c>
      <x:c r="I62" s="62" t="n">
        <x:f>Assumptions!$G$67+I30*Assumptions!$G$68</x:f>
        <x:v>17110.6796921689</x:v>
      </x:c>
      <x:c r="J62" s="62" t="n">
        <x:f>Assumptions!$G$67+J30*Assumptions!$G$68</x:f>
        <x:v>17275.16198777428</x:v>
      </x:c>
      <x:c r="K62" s="62" t="n">
        <x:f>Assumptions!$G$67+K30*Assumptions!$G$68</x:f>
        <x:v>17468.749631211605</x:v>
      </x:c>
      <x:c r="L62" s="62" t="n">
        <x:f>Assumptions!$G$67+L30*Assumptions!$G$68</x:f>
        <x:v>17675.652438419194</x:v>
      </x:c>
      <x:c r="M62" s="62" t="n">
        <x:f>Assumptions!$G$67+M30*Assumptions!$G$68</x:f>
        <x:v>17924.100786496336</x:v>
      </x:c>
      <x:c r="N62" s="62" t="n">
        <x:f>Assumptions!$G$67+N30*Assumptions!$G$68</x:f>
        <x:v>18182.487187107625</x:v>
      </x:c>
      <x:c r="O62" s="62" t="n">
        <x:f>Assumptions!$G$67+O30*Assumptions!$G$68</x:f>
        <x:v>18540.26566589275</x:v>
      </x:c>
      <x:c r="P62" s="62" t="n">
        <x:f>Assumptions!$G$67+P30*Assumptions!$G$68</x:f>
        <x:v>18820.125611361516</x:v>
      </x:c>
      <x:c r="Q62" s="62" t="n">
        <x:f>Assumptions!$G$67+Q30*Assumptions!$G$68</x:f>
        <x:v>19118.76156434114</x:v>
      </x:c>
      <x:c r="R62" s="62" t="n">
        <x:f>Assumptions!$G$67+R30*Assumptions!$G$68</x:f>
        <x:v>19437.4293019009</x:v>
      </x:c>
      <x:c r="S62" s="62" t="n">
        <x:f>Assumptions!$G$67+S30*Assumptions!$G$68</x:f>
        <x:v>19777.525244871154</x:v>
      </x:c>
      <x:c r="T62" s="62" t="n">
        <x:f>Assumptions!$G$67+T30*Assumptions!$G$68</x:f>
        <x:v>20140.529904354273</x:v>
      </x:c>
      <x:c r="U62" s="62" t="n">
        <x:f>Assumptions!$G$67+U30*Assumptions!$G$68</x:f>
        <x:v>20528.019008474854</x:v>
      </x:c>
      <x:c r="V62" s="62" t="n">
        <x:f>Assumptions!$G$67+V30*Assumptions!$G$68</x:f>
        <x:v>20941.724545887293</x:v>
      </x:c>
      <x:c r="W62" s="62" t="n">
        <x:f>Assumptions!$G$67+W30*Assumptions!$G$68</x:f>
        <x:v>21383.51824622912</x:v>
      </x:c>
      <x:c r="X62" s="62" t="n">
        <x:f>Assumptions!$G$67+X30*Assumptions!$G$68</x:f>
        <x:v>21855.41622812406</x:v>
      </x:c>
      <x:c r="Y62" s="62" t="n">
        <x:f>Assumptions!$G$67+Y30*Assumptions!$G$68</x:f>
        <x:v>22359.592285087856</x:v>
      </x:c>
      <x:c r="Z62" s="62" t="n">
        <x:f>Assumptions!$G$67+Z30*Assumptions!$G$68</x:f>
        <x:v>22898.386658999178</x:v>
      </x:c>
      <x:c r="AA62" s="62" t="n">
        <x:f>Assumptions!$G$67+AA30*Assumptions!$G$68</x:f>
        <x:v>23728.55711204079</x:v>
      </x:c>
      <x:c r="AB62" s="62" t="n">
        <x:f>Assumptions!$G$67+AB30*Assumptions!$G$68</x:f>
        <x:v>24308.665014585553</x:v>
      </x:c>
      <x:c r="AC62" s="62" t="n">
        <x:f>Assumptions!$G$67+AC30*Assumptions!$G$68</x:f>
        <x:v>24880.689868643858</x:v>
      </x:c>
      <x:c r="AD62" s="62" t="n">
        <x:f>Assumptions!$G$67+AD30*Assumptions!$G$68</x:f>
        <x:v>25462.651313967173</x:v>
      </x:c>
      <x:c r="AE62" s="62" t="n">
        <x:f>Assumptions!$G$67+AE30*Assumptions!$G$68</x:f>
        <x:v>26049.26533146608</x:v>
      </x:c>
      <x:c r="AF62" s="62" t="n">
        <x:f>Assumptions!$G$67+AF30*Assumptions!$G$68</x:f>
        <x:v>26635.664115525215</x:v>
      </x:c>
      <x:c r="AG62" s="62" t="n">
        <x:f>Assumptions!$G$67+AG30*Assumptions!$G$68</x:f>
        <x:v>27246.00067776162</x:v>
      </x:c>
      <x:c r="AH62" s="62" t="n">
        <x:f>Assumptions!$G$67+AH30*Assumptions!$G$68</x:f>
        <x:v>27886.82318520248</x:v>
      </x:c>
      <x:c r="AI62" s="62" t="n">
        <x:f>Assumptions!$G$67+AI30*Assumptions!$G$68</x:f>
        <x:v>28557.6863226295</x:v>
      </x:c>
      <x:c r="AJ62" s="62" t="n">
        <x:f>Assumptions!$G$67+AJ30*Assumptions!$G$68</x:f>
        <x:v>29260.130658847986</x:v>
      </x:c>
      <x:c r="AK62" s="62" t="n">
        <x:f>Assumptions!$G$67+AK30*Assumptions!$G$68</x:f>
        <x:v>29992.572127597574</x:v>
      </x:c>
      <x:c r="AL62" s="62" t="n">
        <x:f>Assumptions!$G$67+AL30*Assumptions!$G$68</x:f>
        <x:v>30757.215436543986</x:v>
      </x:c>
      <x:c r="AM62" s="62" t="n">
        <x:f>Assumptions!$G$67+AM30*Assumptions!$G$68</x:f>
        <x:v>32054.907006583548</x:v>
      </x:c>
      <x:c r="AN62" s="62" t="n">
        <x:f>Assumptions!$G$67+AN30*Assumptions!$G$68</x:f>
        <x:v>32919.32286354156</x:v>
      </x:c>
      <x:c r="AO62" s="62" t="n">
        <x:f>Assumptions!$G$67+AO30*Assumptions!$G$68</x:f>
        <x:v>33825.35741077793</x:v>
      </x:c>
      <x:c r="AP62" s="62" t="n">
        <x:f>Assumptions!$G$67+AP30*Assumptions!$G$68</x:f>
        <x:v>34775.34818466208</x:v>
      </x:c>
      <x:c r="AQ62" s="62" t="n">
        <x:f>Assumptions!$G$67+AQ30*Assumptions!$G$68</x:f>
        <x:v>35771.79485074803</x:v>
      </x:c>
      <x:c r="AR62" s="62" t="n">
        <x:f>Assumptions!$G$67+AR30*Assumptions!$G$68</x:f>
        <x:v>36817.371445956785</x:v>
      </x:c>
      <x:c r="AS62" s="62" t="n">
        <x:f>Assumptions!$G$67+AS30*Assumptions!$G$68</x:f>
        <x:v>37914.94378993011</x:v>
      </x:c>
      <x:c r="AT62" s="62" t="n">
        <x:f>Assumptions!$G$67+AT30*Assumptions!$G$68</x:f>
        <x:v>39067.58039842705</x:v>
      </x:c>
      <x:c r="AU62" s="62" t="n">
        <x:f>Assumptions!$G$67+AU30*Assumptions!$G$68</x:f>
        <x:v>40278.569974496975</x:v>
      </x:c>
      <x:c r="AV62" s="62" t="n">
        <x:f>Assumptions!$G$67+AV30*Assumptions!$G$68</x:f>
        <x:v>41551.441174871914</x:v>
      </x:c>
      <x:c r="AW62" s="62" t="n">
        <x:f>Assumptions!$G$67+AW30*Assumptions!$G$68</x:f>
        <x:v>42882.924493603205</x:v>
      </x:c>
      <x:c r="AX62" s="62" t="n">
        <x:f>Assumptions!$G$67+AX30*Assumptions!$G$68</x:f>
        <x:v>44221.06165629589</x:v>
      </x:c>
      <x:c r="AY62" s="62" t="n">
        <x:f>Assumptions!$G$67+AY30*Assumptions!$G$68</x:f>
        <x:v>46535.988880199635</x:v>
      </x:c>
      <x:c r="AZ62" s="62" t="n">
        <x:f>Assumptions!$G$67+AZ30*Assumptions!$G$68</x:f>
        <x:v>47983.674108159714</x:v>
      </x:c>
      <x:c r="BA62" s="62" t="n">
        <x:f>Assumptions!$G$67+BA30*Assumptions!$G$68</x:f>
        <x:v>49475.8620440169</x:v>
      </x:c>
      <x:c r="BB62" s="62" t="n">
        <x:f>Assumptions!$G$67+BB30*Assumptions!$G$68</x:f>
        <x:v>51032.85045655951</x:v>
      </x:c>
      <x:c r="BC62" s="62" t="n">
        <x:f>Assumptions!$G$67+BC30*Assumptions!$G$68</x:f>
        <x:v>52652.52400743622</x:v>
      </x:c>
      <x:c r="BD62" s="62" t="n">
        <x:f>Assumptions!$G$67+BD30*Assumptions!$G$68</x:f>
        <x:v>54337.33235874479</x:v>
      </x:c>
      <x:c r="BE62" s="62" t="n">
        <x:f>Assumptions!$G$67+BE30*Assumptions!$G$68</x:f>
        <x:v>56089.2029457986</x:v>
      </x:c>
      <x:c r="BF62" s="62" t="n">
        <x:f>Assumptions!$G$67+BF30*Assumptions!$G$68</x:f>
        <x:v>57905.336273126624</x:v>
      </x:c>
      <x:c r="BG62" s="62" t="n">
        <x:f>Assumptions!$G$67+BG30*Assumptions!$G$68</x:f>
        <x:v>59793.89872581153</x:v>
      </x:c>
      <x:c r="BH62" s="62" t="n">
        <x:f>Assumptions!$G$67+BH30*Assumptions!$G$68</x:f>
        <x:v>61757.78667443129</x:v>
      </x:c>
      <x:c r="BI62" s="62" t="n">
        <x:f>Assumptions!$G$67+BI30*Assumptions!$G$68</x:f>
        <x:v>63800.00670970014</x:v>
      </x:c>
      <x:c r="BJ62" s="62" t="n">
        <x:f>Assumptions!$G$67+BJ30*Assumptions!$G$68</x:f>
        <x:v>65923.68973549014</x:v>
      </x:c>
    </x:row>
    <x:row r="63">
      <x:c r="A63" t="str">
        <x:v>Total OpEx</x:v>
      </x:c>
      <x:c r="B63" t="str">
        <x:v>$</x:v>
      </x:c>
      <x:c r="C63" s="62" t="n">
        <x:f>SUM(C52:C62)-SUM(C54,C57,C60)</x:f>
        <x:v>168333.33333333334</x:v>
      </x:c>
      <x:c r="D63" s="62" t="n">
        <x:f>SUM(D52:D62)-SUM(D54,D57,D60)</x:f>
        <x:v>171213.33333333334</x:v>
      </x:c>
      <x:c r="E63" s="62" t="n">
        <x:f>SUM(E52:E62)-SUM(E54,E57,E60)</x:f>
        <x:v>173783.73333333334</x:v>
      </x:c>
      <x:c r="F63" s="62" t="n">
        <x:f>SUM(F52:F62)-SUM(F54,F57,F60)</x:f>
        <x:v>175449.49822216533</x:v>
      </x:c>
      <x:c r="G63" s="62" t="n">
        <x:f>SUM(G52:G62)-SUM(G54,G57,G60)</x:f>
        <x:v>177472.8477774748</x:v>
      </x:c>
      <x:c r="H63" s="62" t="n">
        <x:f>SUM(H52:H62)-SUM(H54,H57,H60)</x:f>
        <x:v>179812.00133148</x:v>
      </x:c>
      <x:c r="I63" s="62" t="n">
        <x:f>SUM(I52:I62)-SUM(I54,I57,I60)</x:f>
        <x:v>180997.4114863467</x:v>
      </x:c>
      <x:c r="J63" s="62" t="n">
        <x:f>SUM(J52:J62)-SUM(J54,J57,J60)</x:f>
        <x:v>209900.9719266457</x:v>
      </x:c>
      <x:c r="K63" s="62" t="n">
        <x:f>SUM(K52:K62)-SUM(K54,K57,K60)</x:f>
        <x:v>211062.49778726965</x:v>
      </x:c>
      <x:c r="L63" s="62" t="n">
        <x:f>SUM(L52:L62)-SUM(L54,L57,L60)</x:f>
        <x:v>212303.9146305152</x:v>
      </x:c>
      <x:c r="M63" s="62" t="n">
        <x:f>SUM(M52:M62)-SUM(M54,M57,M60)</x:f>
        <x:v>213794.60471897802</x:v>
      </x:c>
      <x:c r="N63" s="62" t="n">
        <x:f>SUM(N52:N62)-SUM(N54,N57,N60)</x:f>
        <x:v>215344.92312264576</x:v>
      </x:c>
      <x:c r="O63" s="62" t="n">
        <x:f>SUM(O52:O62)-SUM(O54,O57,O60)</x:f>
        <x:v>217491.59399535652</x:v>
      </x:c>
      <x:c r="P63" s="62" t="n">
        <x:f>SUM(P52:P62)-SUM(P54,P57,P60)</x:f>
        <x:v>219170.7536681691</x:v>
      </x:c>
      <x:c r="Q63" s="62" t="n">
        <x:f>SUM(Q52:Q62)-SUM(Q54,Q57,Q60)</x:f>
        <x:v>220962.56938604687</x:v>
      </x:c>
      <x:c r="R63" s="62" t="n">
        <x:f>SUM(R52:R62)-SUM(R54,R57,R60)</x:f>
        <x:v>222874.5758114054</x:v>
      </x:c>
      <x:c r="S63" s="62" t="n">
        <x:f>SUM(S52:S62)-SUM(S54,S57,S60)</x:f>
        <x:v>224915.15146922696</x:v>
      </x:c>
      <x:c r="T63" s="62" t="n">
        <x:f>SUM(T52:T62)-SUM(T54,T57,T60)</x:f>
        <x:v>227093.17942612566</x:v>
      </x:c>
      <x:c r="U63" s="62" t="n">
        <x:f>SUM(U52:U62)-SUM(U54,U57,U60)</x:f>
        <x:v>251918.11405084917</x:v>
      </x:c>
      <x:c r="V63" s="62" t="n">
        <x:f>SUM(V52:V62)-SUM(V54,V57,V60)</x:f>
        <x:v>254400.3472753238</x:v>
      </x:c>
      <x:c r="W63" s="62" t="n">
        <x:f>SUM(W52:W62)-SUM(W54,W57,W60)</x:f>
        <x:v>257051.10947737476</x:v>
      </x:c>
      <x:c r="X63" s="62" t="n">
        <x:f>SUM(X52:X62)-SUM(X54,X57,X60)</x:f>
        <x:v>259882.4973687444</x:v>
      </x:c>
      <x:c r="Y63" s="62" t="n">
        <x:f>SUM(Y52:Y62)-SUM(Y54,Y57,Y60)</x:f>
        <x:v>262907.55371052714</x:v>
      </x:c>
      <x:c r="Z63" s="62" t="n">
        <x:f>SUM(Z52:Z62)-SUM(Z54,Z57,Z60)</x:f>
        <x:v>266140.3199539951</x:v>
      </x:c>
      <x:c r="AA63" s="62" t="n">
        <x:f>SUM(AA52:AA62)-SUM(AA54,AA57,AA60)</x:f>
        <x:v>271121.34267224476</x:v>
      </x:c>
      <x:c r="AB63" s="62" t="n">
        <x:f>SUM(AB52:AB62)-SUM(AB54,AB57,AB60)</x:f>
        <x:v>274601.99008751335</x:v>
      </x:c>
      <x:c r="AC63" s="62" t="n">
        <x:f>SUM(AC52:AC62)-SUM(AC54,AC57,AC60)</x:f>
        <x:v>278034.13921186316</x:v>
      </x:c>
      <x:c r="AD63" s="62" t="n">
        <x:f>SUM(AD52:AD62)-SUM(AD54,AD57,AD60)</x:f>
        <x:v>281525.90788380307</x:v>
      </x:c>
      <x:c r="AE63" s="62" t="n">
        <x:f>SUM(AE52:AE62)-SUM(AE54,AE57,AE60)</x:f>
        <x:v>285045.5919887965</x:v>
      </x:c>
      <x:c r="AF63" s="62" t="n">
        <x:f>SUM(AF52:AF62)-SUM(AF54,AF57,AF60)</x:f>
        <x:v>288563.9846931513</x:v>
      </x:c>
      <x:c r="AG63" s="62" t="n">
        <x:f>SUM(AG52:AG62)-SUM(AG54,AG57,AG60)</x:f>
        <x:v>292226.00406656973</x:v>
      </x:c>
      <x:c r="AH63" s="62" t="n">
        <x:f>SUM(AH52:AH62)-SUM(AH54,AH57,AH60)</x:f>
        <x:v>296070.9391112149</x:v>
      </x:c>
      <x:c r="AI63" s="62" t="n">
        <x:f>SUM(AI52:AI62)-SUM(AI54,AI57,AI60)</x:f>
        <x:v>312596.117935777</x:v>
      </x:c>
      <x:c r="AJ63" s="62" t="n">
        <x:f>SUM(AJ52:AJ62)-SUM(AJ54,AJ57,AJ60)</x:f>
        <x:v>316810.7839530879</x:v>
      </x:c>
      <x:c r="AK63" s="62" t="n">
        <x:f>SUM(AK52:AK62)-SUM(AK54,AK57,AK60)</x:f>
        <x:v>321205.4327655854</x:v>
      </x:c>
      <x:c r="AL63" s="62" t="n">
        <x:f>SUM(AL52:AL62)-SUM(AL54,AL57,AL60)</x:f>
        <x:v>337876.62595259724</x:v>
      </x:c>
      <x:c r="AM63" s="62" t="n">
        <x:f>SUM(AM52:AM62)-SUM(AM54,AM57,AM60)</x:f>
        <x:v>345662.7753728346</x:v>
      </x:c>
      <x:c r="AN63" s="62" t="n">
        <x:f>SUM(AN52:AN62)-SUM(AN54,AN57,AN60)</x:f>
        <x:v>350849.27051458263</x:v>
      </x:c>
      <x:c r="AO63" s="62" t="n">
        <x:f>SUM(AO52:AO62)-SUM(AO54,AO57,AO60)</x:f>
        <x:v>372118.8111313342</x:v>
      </x:c>
      <x:c r="AP63" s="62" t="n">
        <x:f>SUM(AP52:AP62)-SUM(AP54,AP57,AP60)</x:f>
        <x:v>377818.75577463914</x:v>
      </x:c>
      <x:c r="AQ63" s="62" t="n">
        <x:f>SUM(AQ52:AQ62)-SUM(AQ54,AQ57,AQ60)</x:f>
        <x:v>383797.4357711548</x:v>
      </x:c>
      <x:c r="AR63" s="62" t="n">
        <x:f>SUM(AR52:AR62)-SUM(AR54,AR57,AR60)</x:f>
        <x:v>390070.8953424074</x:v>
      </x:c>
      <x:c r="AS63" s="62" t="n">
        <x:f>SUM(AS52:AS62)-SUM(AS54,AS57,AS60)</x:f>
        <x:v>409156.32940624736</x:v>
      </x:c>
      <x:c r="AT63" s="62" t="n">
        <x:f>SUM(AT52:AT62)-SUM(AT54,AT57,AT60)</x:f>
        <x:v>416072.149057229</x:v>
      </x:c>
      <x:c r="AU63" s="62" t="n">
        <x:f>SUM(AU52:AU62)-SUM(AU54,AU57,AU60)</x:f>
        <x:v>433338.0865136485</x:v>
      </x:c>
      <x:c r="AV63" s="62" t="n">
        <x:f>SUM(AV52:AV62)-SUM(AV54,AV57,AV60)</x:f>
        <x:v>440975.31371589814</x:v>
      </x:c>
      <x:c r="AW63" s="62" t="n">
        <x:f>SUM(AW52:AW62)-SUM(AW54,AW57,AW60)</x:f>
        <x:v>461047.5469616193</x:v>
      </x:c>
      <x:c r="AX63" s="62" t="n">
        <x:f>SUM(AX52:AX62)-SUM(AX54,AX57,AX60)</x:f>
        <x:v>469076.3699377753</x:v>
      </x:c>
      <x:c r="AY63" s="62" t="n">
        <x:f>SUM(AY52:AY62)-SUM(AY54,AY57,AY60)</x:f>
        <x:v>482965.93328119774</x:v>
      </x:c>
      <x:c r="AZ63" s="62" t="n">
        <x:f>SUM(AZ52:AZ62)-SUM(AZ54,AZ57,AZ60)</x:f>
        <x:v>519985.3779822916</x:v>
      </x:c>
      <x:c r="BA63" s="62" t="n">
        <x:f>SUM(BA52:BA62)-SUM(BA54,BA57,BA60)</x:f>
        <x:v>528938.5055974347</x:v>
      </x:c>
      <x:c r="BB63" s="62" t="n">
        <x:f>SUM(BB52:BB62)-SUM(BB54,BB57,BB60)</x:f>
        <x:v>538280.4360726904</x:v>
      </x:c>
      <x:c r="BC63" s="62" t="n">
        <x:f>SUM(BC52:BC62)-SUM(BC54,BC57,BC60)</x:f>
        <x:v>547998.4773779506</x:v>
      </x:c>
      <x:c r="BD63" s="62" t="n">
        <x:f>SUM(BD52:BD62)-SUM(BD54,BD57,BD60)</x:f>
        <x:v>570190.6608191354</x:v>
      </x:c>
      <x:c r="BE63" s="62" t="n">
        <x:f>SUM(BE52:BE62)-SUM(BE54,BE57,BE60)</x:f>
        <x:v>580701.8843414582</x:v>
      </x:c>
      <x:c r="BF63" s="62" t="n">
        <x:f>SUM(BF52:BF62)-SUM(BF54,BF57,BF60)</x:f>
        <x:v>614098.6843054264</x:v>
      </x:c>
      <x:c r="BG63" s="62" t="n">
        <x:f>SUM(BG52:BG62)-SUM(BG54,BG57,BG60)</x:f>
        <x:v>625430.0590215358</x:v>
      </x:c>
      <x:c r="BH63" s="62" t="n">
        <x:f>SUM(BH52:BH62)-SUM(BH54,BH57,BH60)</x:f>
        <x:v>653046.7200465878</x:v>
      </x:c>
      <x:c r="BI63" s="62" t="n">
        <x:f>SUM(BI52:BI62)-SUM(BI54,BI57,BI60)</x:f>
        <x:v>677383.3735915341</x:v>
      </x:c>
      <x:c r="BJ63" s="62" t="n">
        <x:f>SUM(BJ52:BJ62)-SUM(BJ54,BJ57,BJ60)</x:f>
        <x:v>702625.4717462742</x:v>
      </x:c>
    </x:row>
    <x:row r="64">
      <x:c r="A64" t="str">
        <x:v>EBITDA</x:v>
      </x:c>
      <x:c r="B64" t="str">
        <x:v>$</x:v>
      </x:c>
      <x:c r="C64" s="62" t="n">
        <x:f>C47-C63</x:f>
        <x:v>-194166.6666666667</x:v>
      </x:c>
      <x:c r="D64" s="62" t="n">
        <x:f>D47-D63</x:f>
        <x:v>-159046.6666666667</x:v>
      </x:c>
      <x:c r="E64" s="62" t="n">
        <x:f>E47-E63</x:f>
        <x:v>-130739.06666666667</x:v>
      </x:c>
      <x:c r="F64" s="62" t="n">
        <x:f>F47-F63</x:f>
        <x:v>-112444.90661789867</x:v>
      </x:c>
      <x:c r="G64" s="62" t="n">
        <x:f>G47-G63</x:f>
        <x:v>-91054.85526469373</x:v>
      </x:c>
      <x:c r="H64" s="62" t="n">
        <x:f>H47-H63</x:f>
        <x:v>-78620.8983138165</x:v>
      </x:c>
      <x:c r="I64" s="62" t="n">
        <x:f>I47-I63</x:f>
        <x:v>-65222.97339109756</x:v>
      </x:c>
      <x:c r="J64" s="62" t="n">
        <x:f>J47-J63</x:f>
        <x:v>-82035.92501544954</x:v>
      </x:c>
      <x:c r="K64" s="62" t="n">
        <x:f>K47-K63</x:f>
        <x:v>-68939.98490462569</x:v>
      </x:c>
      <x:c r="L64" s="62" t="n">
        <x:f>L47-L63</x:f>
        <x:v>-67863.55772667</x:v>
      </x:c>
      <x:c r="M64" s="62" t="n">
        <x:f>M47-M63</x:f>
        <x:v>-51025.68695391473</x:v>
      </x:c>
      <x:c r="N64" s="62" t="n">
        <x:f>N47-N63</x:f>
        <x:v>-33525.14908001028</x:v>
      </x:c>
      <x:c r="O64" s="62" t="n">
        <x:f>O47-O63</x:f>
        <x:v>-8330.728964173293</x:v>
      </x:c>
      <x:c r="P64" s="62" t="n">
        <x:f>P47-P63</x:f>
        <x:v>-2245.8498111868976</x:v>
      </x:c>
      <x:c r="Q64" s="62" t="n">
        <x:f>Q47-Q63</x:f>
        <x:v>18028.51151791375</x:v>
      </x:c>
      <x:c r="R64" s="62" t="n">
        <x:f>R47-R63</x:f>
        <x:v>39660.60158427703</x:v>
      </x:c>
      <x:c r="S64" s="62" t="n">
        <x:f>S47-S63</x:f>
        <x:v>62744.79929580036</x:v>
      </x:c>
      <x:c r="T64" s="62" t="n">
        <x:f>T47-T63</x:f>
        <x:v>87381.34405898518</x:v>
      </x:c>
      <x:c r="U64" s="62" t="n">
        <x:f>U47-U63</x:f>
        <x:v>78260.11623361899</x:v>
      </x:c>
      <x:c r="V64" s="62" t="n">
        <x:f>V47-V63</x:f>
        <x:v>106331.45626910913</x:v>
      </x:c>
      <x:c r="W64" s="62" t="n">
        <x:f>W47-W63</x:f>
        <x:v>136305.11289673246</x:v>
      </x:c>
      <x:c r="X64" s="62" t="n">
        <x:f>X47-X63</x:f>
        <x:v>168317.20422925765</x:v>
      </x:c>
      <x:c r="Y64" s="62" t="n">
        <x:f>Y47-Y63</x:f>
        <x:v>189597.77257046336</x:v>
      </x:c>
      <x:c r="Z64" s="62" t="n">
        <x:f>Z47-Z63</x:f>
        <x:v>226138.02264632954</x:v>
      </x:c>
      <x:c r="AA64" s="62" t="n">
        <x:f>AA47-AA63</x:f>
        <x:v>284852.1921469101</x:v>
      </x:c>
      <x:c r="AB64" s="62" t="n">
        <x:f>AB47-AB63</x:f>
        <x:v>324054.70419024513</x:v>
      </x:c>
      <x:c r="AC64" s="62" t="n">
        <x:f>AC47-AC63</x:f>
        <x:v>362757.7293768029</x:v>
      </x:c>
      <x:c r="AD64" s="62" t="n">
        <x:f>AD47-AD63</x:f>
        <x:v>389255.07951556257</x:v>
      </x:c>
      <x:c r="AE64" s="62" t="n">
        <x:f>AE47-AE63</x:f>
        <x:v>429125.02007318905</x:v>
      </x:c>
      <x:c r="AF64" s="62" t="n">
        <x:f>AF47-AF63</x:f>
        <x:v>456164.3213248198</x:v>
      </x:c>
      <x:c r="AG64" s="62" t="n">
        <x:f>AG47-AG63</x:f>
        <x:v>497739.57378013094</x:v>
      </x:c>
      <x:c r="AH64" s="62" t="n">
        <x:f>AH47-AH63</x:f>
        <x:v>541385.8085956478</x:v>
      </x:c>
      <x:c r="AI64" s="62" t="n">
        <x:f>AI47-AI63</x:f>
        <x:v>561652.4150935949</x:v>
      </x:c>
      <x:c r="AJ64" s="62" t="n">
        <x:f>AJ47-AJ63</x:f>
        <x:v>609476.8940491695</x:v>
      </x:c>
      <x:c r="AK64" s="62" t="n">
        <x:f>AK47-AK63</x:f>
        <x:v>646412.514804496</x:v>
      </x:c>
      <x:c r="AL64" s="62" t="n">
        <x:f>AL47-AL63</x:f>
        <x:v>686358.8515989839</x:v>
      </x:c>
      <x:c r="AM64" s="62" t="n">
        <x:f>AM47-AM63</x:f>
        <x:v>766345.101278194</x:v>
      </x:c>
      <x:c r="AN64" s="62" t="n">
        <x:f>AN47-AN63</x:f>
        <x:v>825372.244460716</x:v>
      </x:c>
      <x:c r="AO64" s="62" t="n">
        <x:f>AO47-AO63</x:f>
        <x:v>858477.5003512122</x:v>
      </x:c>
      <x:c r="AP64" s="62" t="n">
        <x:f>AP47-AP63</x:f>
        <x:v>923318.7167538898</x:v>
      </x:c>
      <x:c r="AQ64" s="62" t="n">
        <x:f>AQ47-AQ63</x:f>
        <x:v>978397.963252352</x:v>
      </x:c>
      <x:c r="AR64" s="62" t="n">
        <x:f>AR47-AR63</x:f>
        <x:v>1036812.3164890868</x:v>
      </x:c>
      <x:c r="AS64" s="62" t="n">
        <x:f>AS47-AS63</x:f>
        <x:v>1099171.703446547</x:v>
      </x:c>
      <x:c r="AT64" s="62" t="n">
        <x:f>AT47-AT63</x:f>
        <x:v>1164849.627435559</x:v>
      </x:c>
      <x:c r="AU64" s="62" t="n">
        <x:f>AU47-AU63</x:f>
        <x:v>1224484.33378742</x:v>
      </x:c>
      <x:c r="AV64" s="62" t="n">
        <x:f>AV47-AV63</x:f>
        <x:v>1298313.4613941282</x:v>
      </x:c>
      <x:c r="AW64" s="62" t="n">
        <x:f>AW47-AW63</x:f>
        <x:v>1364043.6181811225</x:v>
      </x:c>
      <x:c r="AX64" s="62" t="n">
        <x:f>AX47-AX63</x:f>
        <x:v>1455340.0569404494</x:v>
      </x:c>
      <x:c r="AY64" s="62" t="n">
        <x:f>AY47-AY63</x:f>
        <x:v>1608743.183976215</x:v>
      </x:c>
      <x:c r="AZ64" s="62" t="n">
        <x:f>AZ47-AZ63</x:f>
        <x:v>1666931.1153077532</x:v>
      </x:c>
      <x:c r="BA64" s="62" t="n">
        <x:f>BA47-BA63</x:f>
        <x:v>1756491.914977412</x:v>
      </x:c>
      <x:c r="BB64" s="62" t="n">
        <x:f>BB47-BB63</x:f>
        <x:v>1850508.729869856</x:v>
      </x:c>
      <x:c r="BC64" s="62" t="n">
        <x:f>BC47-BC63</x:f>
        <x:v>1948829.660578378</x:v>
      </x:c>
      <x:c r="BD64" s="62" t="n">
        <x:f>BD47-BD63</x:f>
        <x:v>2039540.0236947208</x:v>
      </x:c>
      <x:c r="BE64" s="62" t="n">
        <x:f>BE47-BE63</x:f>
        <x:v>2146938.2016057903</x:v>
      </x:c>
      <x:c r="BF64" s="62" t="n">
        <x:f>BF47-BF63</x:f>
        <x:v>2236241.9525362607</x:v>
      </x:c>
      <x:c r="BG64" s="62" t="n">
        <x:f>BG47-BG63</x:f>
        <x:v>2353018.919972518</x:v>
      </x:c>
      <x:c r="BH64" s="62" t="n">
        <x:f>BH47-BH63</x:f>
        <x:v>2459134.592882942</x:v>
      </x:c>
      <x:c r="BI64" s="62" t="n">
        <x:f>BI47-BI63</x:f>
        <x:v>2561462.096068019</x:v>
      </x:c>
      <x:c r="BJ64" s="62" t="n">
        <x:f>BJ47-BJ63</x:f>
        <x:v>2681883.0898760865</x:v>
      </x:c>
    </x:row>
    <x:row r="65">
      <x:c r="A65" t="str">
        <x:v>EBITDA Margin</x:v>
      </x:c>
      <x:c r="B65" t="str">
        <x:v>%</x:v>
      </x:c>
      <x:c r="C65" s="66" t="n">
        <x:f>IF(C30=0,0,C64/C30)</x:f>
        <x:v>0</x:v>
      </x:c>
      <x:c r="D65" s="66" t="n">
        <x:f>IF(D30=0,0,D64/D30)</x:f>
        <x:v>-3.9761666666666673</x:v>
      </x:c>
      <x:c r="E65" s="66" t="n">
        <x:f>IF(E30=0,0,E64/E30)</x:f>
        <x:v>-1.7270682518714222</x:v>
      </x:c>
      <x:c r="F65" s="66" t="n">
        <x:f>IF(F30=0,0,F64/F30)</x:f>
        <x:v>-1.1376961330947368</x:v>
      </x:c>
      <x:c r="G65" s="66" t="n">
        <x:f>IF(G30=0,0,G64/G30)</x:f>
        <x:v>-0.7173192426278615</x:v>
      </x:c>
      <x:c r="H65" s="66" t="n">
        <x:f>IF(H30=0,0,H64/H30)</x:f>
        <x:v>-0.4931499612593357</x:v>
      </x:c>
      <x:c r="I65" s="66" t="n">
        <x:f>IF(I30=0,0,I64/I30)</x:f>
        <x:v>-0.3708168906902718</x:v>
      </x:c>
      <x:c r="J65" s="66" t="n">
        <x:f>IF(J30=0,0,J64/J30)</x:f>
        <x:v>-0.4326861583813783</x:v>
      </x:c>
      <x:c r="K65" s="66" t="n">
        <x:f>IF(K30=0,0,K64/K30)</x:f>
        <x:v>-0.33510073617691993</x:v>
      </x:c>
      <x:c r="L65" s="66" t="n">
        <x:f>IF(L30=0,0,L64/L30)</x:f>
        <x:v>-0.3043604173048627</x:v>
      </x:c>
      <x:c r="M65" s="66" t="n">
        <x:f>IF(M30=0,0,M64/M30)</x:f>
        <x:v>-0.20940052623173966</x:v>
      </x:c>
      <x:c r="N65" s="66" t="n">
        <x:f>IF(N30=0,0,N64/N30)</x:f>
        <x:v>-0.1264111260494191</x:v>
      </x:c>
      <x:c r="O65" s="66" t="n">
        <x:f>IF(O30=0,0,O64/O30)</x:f>
        <x:v>-0.028237640054300916</x:v>
      </x:c>
      <x:c r="P65" s="66" t="n">
        <x:f>IF(P30=0,0,P64/P30)</x:f>
        <x:v>-0.007054793605238954</x:v>
      </x:c>
      <x:c r="Q65" s="66" t="n">
        <x:f>IF(Q30=0,0,Q64/Q30)</x:f>
        <x:v>0.05252601657934823</x:v>
      </x:c>
      <x:c r="R65" s="66" t="n">
        <x:f>IF(R30=0,0,R64/R30)</x:f>
        <x:v>0.10725291303400544</x:v>
      </x:c>
      <x:c r="S65" s="66" t="n">
        <x:f>IF(S30=0,0,S64/S30)</x:f>
        <x:v>0.15759991898690853</x:v>
      </x:c>
      <x:c r="T65" s="66" t="n">
        <x:f>IF(T30=0,0,T64/T30)</x:f>
        <x:v>0.20398210850201035</x:v>
      </x:c>
      <x:c r="U65" s="66" t="n">
        <x:f>IF(U30=0,0,U64/U30)</x:f>
        <x:v>0.16988389391637157</x:v>
      </x:c>
      <x:c r="V65" s="66" t="n">
        <x:f>IF(V30=0,0,V64/V30)</x:f>
        <x:v>0.21474867530042394</x:v>
      </x:c>
      <x:c r="W65" s="66" t="n">
        <x:f>IF(W30=0,0,W64/W30)</x:f>
        <x:v>0.25623195417777794</x:v>
      </x:c>
      <x:c r="X65" s="66" t="n">
        <x:f>IF(X30=0,0,X64/X30)</x:f>
        <x:v>0.2946292950769232</x:v>
      </x:c>
      <x:c r="Y65" s="66" t="n">
        <x:f>IF(Y30=0,0,Y64/Y30)</x:f>
        <x:v>0.3091439284558683</x:v>
      </x:c>
      <x:c r="Z65" s="66" t="n">
        <x:f>IF(Z30=0,0,Z64/Z30)</x:f>
        <x:v>0.34357095808472465</x:v>
      </x:c>
      <x:c r="AA65" s="66" t="n">
        <x:f>IF(AA30=0,0,AA64/AA30)</x:f>
        <x:v>0.39161413070753437</x:v>
      </x:c>
      <x:c r="AB65" s="66" t="n">
        <x:f>IF(AB30=0,0,AB64/AB30)</x:f>
        <x:v>0.4177458791555919</x:v>
      </x:c>
      <x:c r="AC65" s="66" t="n">
        <x:f>IF(AC30=0,0,AC64/AC30)</x:f>
        <x:v>0.44056567004861424</x:v>
      </x:c>
      <x:c r="AD65" s="66" t="n">
        <x:f>IF(AD30=0,0,AD64/AD30)</x:f>
        <x:v>0.4464509820709683</x:v>
      </x:c>
      <x:c r="AE65" s="66" t="n">
        <x:f>IF(AE30=0,0,AE64/AE30)</x:f>
        <x:v>0.4660491070128917</x:v>
      </x:c>
      <x:c r="AF65" s="66" t="n">
        <x:f>IF(AF30=0,0,AF64/AF30)</x:f>
        <x:v>0.4704477373658489</x:v>
      </x:c>
      <x:c r="AG65" s="66" t="n">
        <x:f>IF(AG30=0,0,AG64/AG30)</x:f>
        <x:v>0.4877408586305353</x:v>
      </x:c>
      <x:c r="AH65" s="66" t="n">
        <x:f>IF(AH30=0,0,AH64/AH30)</x:f>
        <x:v>0.5041296531954937</x:v>
      </x:c>
      <x:c r="AI65" s="66" t="n">
        <x:f>IF(AI30=0,0,AI64/AI30)</x:f>
        <x:v>0.49712235707013736</x:v>
      </x:c>
      <x:c r="AJ65" s="66" t="n">
        <x:f>IF(AJ30=0,0,AJ64/AJ30)</x:f>
        <x:v>0.5128790824964908</x:v>
      </x:c>
      <x:c r="AK65" s="66" t="n">
        <x:f>IF(AK30=0,0,AK64/AK30)</x:f>
        <x:v>0.5173862170971549</x:v>
      </x:c>
      <x:c r="AL65" s="66" t="n">
        <x:f>IF(AL30=0,0,AL64/AL30)</x:f>
        <x:v>0.5227006162577584</x:v>
      </x:c>
      <x:c r="AM65" s="66" t="n">
        <x:f>IF(AM30=0,0,AM64/AM30)</x:f>
        <x:v>0.5392079365656128</x:v>
      </x:c>
      <x:c r="AN65" s="66" t="n">
        <x:f>IF(AN30=0,0,AN64/AN30)</x:f>
        <x:v>0.5527255136230681</x:v>
      </x:c>
      <x:c r="AO65" s="66" t="n">
        <x:f>IF(AO30=0,0,AO64/AO30)</x:f>
        <x:v>0.547226263992023</x:v>
      </x:c>
      <x:c r="AP65" s="66" t="n">
        <x:f>IF(AP30=0,0,AP64/AP30)</x:f>
        <x:v>0.5602846785595553</x:v>
      </x:c>
      <x:c r="AQ65" s="66" t="n">
        <x:f>IF(AQ30=0,0,AQ64/AQ30)</x:f>
        <x:v>0.5652268204740823</x:v>
      </x:c>
      <x:c r="AR65" s="66" t="n">
        <x:f>IF(AR30=0,0,AR64/AR30)</x:f>
        <x:v>0.5702679549957774</x:v>
      </x:c>
      <x:c r="AS65" s="66" t="n">
        <x:f>IF(AS30=0,0,AS64/AS30)</x:f>
        <x:v>0.575609548174187</x:v>
      </x:c>
      <x:c r="AT65" s="66" t="n">
        <x:f>IF(AT30=0,0,AT64/AT30)</x:f>
        <x:v>0.5807893979296838</x:v>
      </x:c>
      <x:c r="AU65" s="66" t="n">
        <x:f>IF(AU30=0,0,AU64/AU30)</x:f>
        <x:v>0.581275444784785</x:v>
      </x:c>
      <x:c r="AV65" s="66" t="n">
        <x:f>IF(AV30=0,0,AV64/AV30)</x:f>
        <x:v>0.5867764930015968</x:v>
      </x:c>
      <x:c r="AW65" s="66" t="n">
        <x:f>IF(AW30=0,0,AW64/AW30)</x:f>
        <x:v>0.5870447134025942</x:v>
      </x:c>
      <x:c r="AX65" s="66" t="n">
        <x:f>IF(AX30=0,0,AX64/AX30)</x:f>
        <x:v>0.5976538733842558</x:v>
      </x:c>
      <x:c r="AY65" s="66" t="n">
        <x:f>IF(AY30=0,0,AY64/AY30)</x:f>
        <x:v>0.6121551564801406</x:v>
      </x:c>
      <x:c r="AZ65" s="66" t="n">
        <x:f>IF(AZ30=0,0,AZ64/AZ30)</x:f>
        <x:v>0.6064567979327847</x:v>
      </x:c>
      <x:c r="BA65" s="66" t="n">
        <x:f>IF(BA30=0,0,BA64/BA30)</x:f>
        <x:v>0.6113814631471093</x:v>
      </x:c>
      <x:c r="BB65" s="66" t="n">
        <x:f>IF(BB30=0,0,BB64/BB30)</x:f>
        <x:v>0.6162738855536704</x:v>
      </x:c>
      <x:c r="BC65" s="66" t="n">
        <x:f>IF(BC30=0,0,BC64/BC30)</x:f>
        <x:v>0.6210992899791234</x:v>
      </x:c>
      <x:c r="BD65" s="66" t="n">
        <x:f>IF(BD30=0,0,BD64/BD30)</x:f>
        <x:v>0.622169293564105</x:v>
      </x:c>
      <x:c r="BE65" s="66" t="n">
        <x:f>IF(BE30=0,0,BE64/BE30)</x:f>
        <x:v>0.6270079868245241</x:v>
      </x:c>
      <x:c r="BF65" s="66" t="n">
        <x:f>IF(BF30=0,0,BF64/BF30)</x:f>
        <x:v>0.6254444262972233</x:v>
      </x:c>
      <x:c r="BG65" s="66" t="n">
        <x:f>IF(BG30=0,0,BG64/BG30)</x:f>
        <x:v>0.6303587730219092</x:v>
      </x:c>
      <x:c r="BH65" s="66" t="n">
        <x:f>IF(BH30=0,0,BH64/BH30)</x:f>
        <x:v>0.6311165949763002</x:v>
      </x:c>
      <x:c r="BI65" s="66" t="n">
        <x:f>IF(BI30=0,0,BI64/BI30)</x:f>
        <x:v>0.6298676419383857</x:v>
      </x:c>
      <x:c r="BJ65" s="66" t="n">
        <x:f>IF(BJ30=0,0,BJ64/BJ30)</x:f>
        <x:v>0.6319769295131041</x:v>
      </x:c>
    </x:row>
    <x:row r="66">
      <x:c r="A66" t="str">
        <x:v>Total Company FTE</x:v>
      </x:c>
      <x:c r="B66" t="str">
        <x:v>FTE</x:v>
      </x:c>
      <x:c r="C66" s="68" t="n">
        <x:f>Assumptions!$G$55+C51+C54+C57+C60+C44</x:f>
        <x:v>9</x:v>
      </x:c>
      <x:c r="D66" s="68" t="n">
        <x:f>Assumptions!$G$55+D51+D54+D57+D60+D44</x:f>
        <x:v>9</x:v>
      </x:c>
      <x:c r="E66" s="68" t="n">
        <x:f>Assumptions!$G$55+E51+E54+E57+E60+E44</x:f>
        <x:v>9</x:v>
      </x:c>
      <x:c r="F66" s="68" t="n">
        <x:f>Assumptions!$G$55+F51+F54+F57+F60+F44</x:f>
        <x:v>9</x:v>
      </x:c>
      <x:c r="G66" s="68" t="n">
        <x:f>Assumptions!$G$55+G51+G54+G57+G60+G44</x:f>
        <x:v>9</x:v>
      </x:c>
      <x:c r="H66" s="68" t="n">
        <x:f>Assumptions!$G$55+H51+H54+H57+H60+H44</x:f>
        <x:v>10</x:v>
      </x:c>
      <x:c r="I66" s="68" t="n">
        <x:f>Assumptions!$G$55+I51+I54+I57+I60+I44</x:f>
        <x:v>10</x:v>
      </x:c>
      <x:c r="J66" s="68" t="n">
        <x:f>Assumptions!$G$55+J51+J54+J57+J60+J44</x:f>
        <x:v>12</x:v>
      </x:c>
      <x:c r="K66" s="68" t="n">
        <x:f>Assumptions!$G$55+K51+K54+K57+K60+K44</x:f>
        <x:v>12</x:v>
      </x:c>
      <x:c r="L66" s="68" t="n">
        <x:f>Assumptions!$G$55+L51+L54+L57+L60+L44</x:f>
        <x:v>13</x:v>
      </x:c>
      <x:c r="M66" s="68" t="n">
        <x:f>Assumptions!$G$55+M51+M54+M57+M60+M44</x:f>
        <x:v>13</x:v>
      </x:c>
      <x:c r="N66" s="68" t="n">
        <x:f>Assumptions!$G$55+N51+N54+N57+N60+N44</x:f>
        <x:v>13</x:v>
      </x:c>
      <x:c r="O66" s="68" t="n">
        <x:f>Assumptions!$G$55+O51+O54+O57+O60+O44</x:f>
        <x:v>13</x:v>
      </x:c>
      <x:c r="P66" s="68" t="n">
        <x:f>Assumptions!$G$55+P51+P54+P57+P60+P44</x:f>
        <x:v>14</x:v>
      </x:c>
      <x:c r="Q66" s="68" t="n">
        <x:f>Assumptions!$G$55+Q51+Q54+Q57+Q60+Q44</x:f>
        <x:v>14</x:v>
      </x:c>
      <x:c r="R66" s="68" t="n">
        <x:f>Assumptions!$G$55+R51+R54+R57+R60+R44</x:f>
        <x:v>14</x:v>
      </x:c>
      <x:c r="S66" s="68" t="n">
        <x:f>Assumptions!$G$55+S51+S54+S57+S60+S44</x:f>
        <x:v>14</x:v>
      </x:c>
      <x:c r="T66" s="68" t="n">
        <x:f>Assumptions!$G$55+T51+T54+T57+T60+T44</x:f>
        <x:v>14</x:v>
      </x:c>
      <x:c r="U66" s="68" t="n">
        <x:f>Assumptions!$G$55+U51+U54+U57+U60+U44</x:f>
        <x:v>17</x:v>
      </x:c>
      <x:c r="V66" s="68" t="n">
        <x:f>Assumptions!$G$55+V51+V54+V57+V60+V44</x:f>
        <x:v>17</x:v>
      </x:c>
      <x:c r="W66" s="68" t="n">
        <x:f>Assumptions!$G$55+W51+W54+W57+W60+W44</x:f>
        <x:v>17</x:v>
      </x:c>
      <x:c r="X66" s="68" t="n">
        <x:f>Assumptions!$G$55+X51+X54+X57+X60+X44</x:f>
        <x:v>17</x:v>
      </x:c>
      <x:c r="Y66" s="68" t="n">
        <x:f>Assumptions!$G$55+Y51+Y54+Y57+Y60+Y44</x:f>
        <x:v>18</x:v>
      </x:c>
      <x:c r="Z66" s="68" t="n">
        <x:f>Assumptions!$G$55+Z51+Z54+Z57+Z60+Z44</x:f>
        <x:v>18</x:v>
      </x:c>
      <x:c r="AA66" s="68" t="n">
        <x:f>Assumptions!$G$55+AA51+AA54+AA57+AA60+AA44</x:f>
        <x:v>18</x:v>
      </x:c>
      <x:c r="AB66" s="68" t="n">
        <x:f>Assumptions!$G$55+AB51+AB54+AB57+AB60+AB44</x:f>
        <x:v>18</x:v>
      </x:c>
      <x:c r="AC66" s="68" t="n">
        <x:f>Assumptions!$G$55+AC51+AC54+AC57+AC60+AC44</x:f>
        <x:v>18</x:v>
      </x:c>
      <x:c r="AD66" s="68" t="n">
        <x:f>Assumptions!$G$55+AD51+AD54+AD57+AD60+AD44</x:f>
        <x:v>19</x:v>
      </x:c>
      <x:c r="AE66" s="68" t="n">
        <x:f>Assumptions!$G$55+AE51+AE54+AE57+AE60+AE44</x:f>
        <x:v>19</x:v>
      </x:c>
      <x:c r="AF66" s="68" t="n">
        <x:f>Assumptions!$G$55+AF51+AF54+AF57+AF60+AF44</x:f>
        <x:v>20</x:v>
      </x:c>
      <x:c r="AG66" s="68" t="n">
        <x:f>Assumptions!$G$55+AG51+AG54+AG57+AG60+AG44</x:f>
        <x:v>20</x:v>
      </x:c>
      <x:c r="AH66" s="68" t="n">
        <x:f>Assumptions!$G$55+AH51+AH54+AH57+AH60+AH44</x:f>
        <x:v>20</x:v>
      </x:c>
      <x:c r="AI66" s="68" t="n">
        <x:f>Assumptions!$G$55+AI51+AI54+AI57+AI60+AI44</x:f>
        <x:v>22</x:v>
      </x:c>
      <x:c r="AJ66" s="68" t="n">
        <x:f>Assumptions!$G$55+AJ51+AJ54+AJ57+AJ60+AJ44</x:f>
        <x:v>22</x:v>
      </x:c>
      <x:c r="AK66" s="68" t="n">
        <x:f>Assumptions!$G$55+AK51+AK54+AK57+AK60+AK44</x:f>
        <x:v>23</x:v>
      </x:c>
      <x:c r="AL66" s="68" t="n">
        <x:f>Assumptions!$G$55+AL51+AL54+AL57+AL60+AL44</x:f>
        <x:v>24</x:v>
      </x:c>
      <x:c r="AM66" s="68" t="n">
        <x:f>Assumptions!$G$55+AM51+AM54+AM57+AM60+AM44</x:f>
        <x:v>25</x:v>
      </x:c>
      <x:c r="AN66" s="68" t="n">
        <x:f>Assumptions!$G$55+AN51+AN54+AN57+AN60+AN44</x:f>
        <x:v>25</x:v>
      </x:c>
      <x:c r="AO66" s="68" t="n">
        <x:f>Assumptions!$G$55+AO51+AO54+AO57+AO60+AO44</x:f>
        <x:v>27</x:v>
      </x:c>
      <x:c r="AP66" s="68" t="n">
        <x:f>Assumptions!$G$55+AP51+AP54+AP57+AP60+AP44</x:f>
        <x:v>27</x:v>
      </x:c>
      <x:c r="AQ66" s="68" t="n">
        <x:f>Assumptions!$G$55+AQ51+AQ54+AQ57+AQ60+AQ44</x:f>
        <x:v>28</x:v>
      </x:c>
      <x:c r="AR66" s="68" t="n">
        <x:f>Assumptions!$G$55+AR51+AR54+AR57+AR60+AR44</x:f>
        <x:v>29</x:v>
      </x:c>
      <x:c r="AS66" s="68" t="n">
        <x:f>Assumptions!$G$55+AS51+AS54+AS57+AS60+AS44</x:f>
        <x:v>30</x:v>
      </x:c>
      <x:c r="AT66" s="68" t="n">
        <x:f>Assumptions!$G$55+AT51+AT54+AT57+AT60+AT44</x:f>
        <x:v>31</x:v>
      </x:c>
      <x:c r="AU66" s="68" t="n">
        <x:f>Assumptions!$G$55+AU51+AU54+AU57+AU60+AU44</x:f>
        <x:v>33</x:v>
      </x:c>
      <x:c r="AV66" s="68" t="n">
        <x:f>Assumptions!$G$55+AV51+AV54+AV57+AV60+AV44</x:f>
        <x:v>34</x:v>
      </x:c>
      <x:c r="AW66" s="68" t="n">
        <x:f>Assumptions!$G$55+AW51+AW54+AW57+AW60+AW44</x:f>
        <x:v>36</x:v>
      </x:c>
      <x:c r="AX66" s="68" t="n">
        <x:f>Assumptions!$G$55+AX51+AX54+AX57+AX60+AX44</x:f>
        <x:v>36</x:v>
      </x:c>
      <x:c r="AY66" s="68" t="n">
        <x:f>Assumptions!$G$55+AY51+AY54+AY57+AY60+AY44</x:f>
        <x:v>37</x:v>
      </x:c>
      <x:c r="AZ66" s="68" t="n">
        <x:f>Assumptions!$G$55+AZ51+AZ54+AZ57+AZ60+AZ44</x:f>
        <x:v>40</x:v>
      </x:c>
      <x:c r="BA66" s="68" t="n">
        <x:f>Assumptions!$G$55+BA51+BA54+BA57+BA60+BA44</x:f>
        <x:v>41</x:v>
      </x:c>
      <x:c r="BB66" s="68" t="n">
        <x:f>Assumptions!$G$55+BB51+BB54+BB57+BB60+BB44</x:f>
        <x:v>42</x:v>
      </x:c>
      <x:c r="BC66" s="68" t="n">
        <x:f>Assumptions!$G$55+BC51+BC54+BC57+BC60+BC44</x:f>
        <x:v>43</x:v>
      </x:c>
      <x:c r="BD66" s="68" t="n">
        <x:f>Assumptions!$G$55+BD51+BD54+BD57+BD60+BD44</x:f>
        <x:v>45</x:v>
      </x:c>
      <x:c r="BE66" s="68" t="n">
        <x:f>Assumptions!$G$55+BE51+BE54+BE57+BE60+BE44</x:f>
        <x:v>46</x:v>
      </x:c>
      <x:c r="BF66" s="68" t="n">
        <x:f>Assumptions!$G$55+BF51+BF54+BF57+BF60+BF44</x:f>
        <x:v>49</x:v>
      </x:c>
      <x:c r="BG66" s="68" t="n">
        <x:f>Assumptions!$G$55+BG51+BG54+BG57+BG60+BG44</x:f>
        <x:v>50</x:v>
      </x:c>
      <x:c r="BH66" s="68" t="n">
        <x:f>Assumptions!$G$55+BH51+BH54+BH57+BH60+BH44</x:f>
        <x:v>52</x:v>
      </x:c>
      <x:c r="BI66" s="68" t="n">
        <x:f>Assumptions!$G$55+BI51+BI54+BI57+BI60+BI44</x:f>
        <x:v>55</x:v>
      </x:c>
      <x:c r="BJ66" s="68" t="n">
        <x:f>Assumptions!$G$55+BJ51+BJ54+BJ57+BJ60+BJ44</x:f>
        <x:v>57</x:v>
      </x:c>
    </x:row>
    <x:row r="68">
      <x:c r="A68" s="3" t="str">
        <x:v>Bookings &amp; Cash</x:v>
      </x:c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  <x:c r="BG68" s="3"/>
      <x:c r="BH68" s="3"/>
      <x:c r="BI68" s="3"/>
      <x:c r="BJ68" s="3"/>
    </x:row>
    <x:row r="69">
      <x:c r="A69" t="str">
        <x:v>Service bookings</x:v>
      </x:c>
      <x:c r="B69" t="str">
        <x:v>$</x:v>
      </x:c>
      <x:c r="C69" s="62" t="n">
        <x:f>C103</x:f>
        <x:v>0</x:v>
      </x:c>
      <x:c r="D69" s="62" t="n">
        <x:f>D103</x:f>
        <x:v>40000</x:v>
      </x:c>
      <x:c r="E69" s="62" t="n">
        <x:f>E103</x:f>
        <x:v>75700</x:v>
      </x:c>
      <x:c r="F69" s="62" t="n">
        <x:f>F103</x:f>
        <x:v>98835.623456</x:v>
      </x:c>
      <x:c r="G69" s="62" t="n">
        <x:f>G103</x:f>
        <x:v>126937.70061307575</x:v>
      </x:c>
      <x:c r="H69" s="62" t="n">
        <x:f>H103</x:f>
        <x:v>159425.94441870323</x:v>
      </x:c>
      <x:c r="I69" s="62" t="n">
        <x:f>I103</x:f>
        <x:v>175889.97434740816</x:v>
      </x:c>
      <x:c r="J69" s="62" t="n">
        <x:f>J103</x:f>
        <x:v>187706.8323145235</x:v>
      </x:c>
      <x:c r="K69" s="62" t="n">
        <x:f>K103</x:f>
        <x:v>200407.59496214037</x:v>
      </x:c>
      <x:c r="L69" s="62" t="n">
        <x:f>L103</x:f>
        <x:v>214020.16336363633</x:v>
      </x:c>
      <x:c r="M69" s="62" t="n">
        <x:f>M103</x:f>
        <x:v>230880.99444448086</x:v>
      </x:c>
      <x:c r="N69" s="62" t="n">
        <x:f>N103</x:f>
        <x:v>248337.3639419184</x:v>
      </x:c>
      <x:c r="O69" s="62" t="n">
        <x:f>O103</x:f>
        <x:v>273189.6363495136</x:v>
      </x:c>
      <x:c r="P69" s="62" t="n">
        <x:f>P103</x:f>
        <x:v>291776.88463747775</x:v>
      </x:c>
      <x:c r="Q69" s="62" t="n">
        <x:f>Q103</x:f>
        <x:v>311630.28646649735</x:v>
      </x:c>
      <x:c r="R69" s="62" t="n">
        <x:f>R103</x:f>
        <x:v>332833.5533995857</x:v>
      </x:c>
      <x:c r="S69" s="62" t="n">
        <x:f>S103</x:f>
        <x:v>355480.8589811231</x:v>
      </x:c>
      <x:c r="T69" s="62" t="n">
        <x:f>T103</x:f>
        <x:v>379671.79584770196</x:v>
      </x:c>
      <x:c r="U69" s="62" t="n">
        <x:f>U103</x:f>
        <x:v>405512.0760923761</x:v>
      </x:c>
      <x:c r="V69" s="62" t="n">
        <x:f>V103</x:f>
        <x:v>433118.4474719709</x:v>
      </x:c>
      <x:c r="W69" s="62" t="n">
        <x:f>W103</x:f>
        <x:v>462617.4950139985</x:v>
      </x:c>
      <x:c r="X69" s="62" t="n">
        <x:f>X103</x:f>
        <x:v>494145.7948433273</x:v>
      </x:c>
      <x:c r="Y69" s="62" t="n">
        <x:f>Y103</x:f>
        <x:v>527850.7190007996</x:v>
      </x:c>
      <x:c r="Z69" s="62" t="n">
        <x:f>Z103</x:f>
        <x:v>563890.9724055903</x:v>
      </x:c>
      <x:c r="AA69" s="62" t="n">
        <x:f>AA103</x:f>
        <x:v>620511.296233692</x:v>
      </x:c>
      <x:c r="AB69" s="62" t="n">
        <x:f>AB103</x:f>
        <x:v>658472.7476354487</x:v>
      </x:c>
      <x:c r="AC69" s="62" t="n">
        <x:f>AC103</x:f>
        <x:v>695064.4000632339</x:v>
      </x:c>
      <x:c r="AD69" s="62" t="n">
        <x:f>AD103</x:f>
        <x:v>731737.6145644231</x:v>
      </x:c>
      <x:c r="AE69" s="62" t="n">
        <x:f>AE103</x:f>
        <x:v>767997.8319033653</x:v>
      </x:c>
      <x:c r="AF69" s="62" t="n">
        <x:f>AF103</x:f>
        <x:v>803380.8746683155</x:v>
      </x:c>
      <x:c r="AG69" s="62" t="n">
        <x:f>AG103</x:f>
        <x:v>839836.2730497712</x:v>
      </x:c>
      <x:c r="AH69" s="62" t="n">
        <x:f>AH103</x:f>
        <x:v>878065.7132159076</x:v>
      </x:c>
      <x:c r="AI69" s="62" t="n">
        <x:f>AI103</x:f>
        <x:v>918153.4022219513</x:v>
      </x:c>
      <x:c r="AJ69" s="62" t="n">
        <x:f>AJ103</x:f>
        <x:v>960193.1206692599</x:v>
      </x:c>
      <x:c r="AK69" s="62" t="n">
        <x:f>AK103</x:f>
        <x:v>1004016.5396828924</x:v>
      </x:c>
      <x:c r="AL69" s="62" t="n">
        <x:f>AL103</x:f>
        <x:v>1049769.5862172218</x:v>
      </x:c>
      <x:c r="AM69" s="62" t="n">
        <x:f>AM103</x:f>
        <x:v>1130686.9831670788</x:v>
      </x:c>
      <x:c r="AN69" s="62" t="n">
        <x:f>AN103</x:f>
        <x:v>1182537.4727234833</x:v>
      </x:c>
      <x:c r="AO69" s="62" t="n">
        <x:f>AO103</x:f>
        <x:v>1236949.986101144</x:v>
      </x:c>
      <x:c r="AP69" s="62" t="n">
        <x:f>AP103</x:f>
        <x:v>1294070.878642539</x:v>
      </x:c>
      <x:c r="AQ69" s="62" t="n">
        <x:f>AQ103</x:f>
        <x:v>1354057.054704905</x:v>
      </x:c>
      <x:c r="AR69" s="62" t="n">
        <x:f>AR103</x:f>
        <x:v>1417076.7606367304</x:v>
      </x:c>
      <x:c r="AS69" s="62" t="n">
        <x:f>AS103</x:f>
        <x:v>1483310.765247411</x:v>
      </x:c>
      <x:c r="AT69" s="62" t="n">
        <x:f>AT103</x:f>
        <x:v>1552953.0217792236</x:v>
      </x:c>
      <x:c r="AU69" s="62" t="n">
        <x:f>AU103</x:f>
        <x:v>1626211.8125644487</x:v>
      </x:c>
      <x:c r="AV69" s="62" t="n">
        <x:f>AV103</x:f>
        <x:v>1703311.064277838</x:v>
      </x:c>
      <x:c r="AW69" s="62" t="n">
        <x:f>AW103</x:f>
        <x:v>1783903.4925406966</x:v>
      </x:c>
      <x:c r="AX69" s="62" t="n">
        <x:f>AX103</x:f>
        <x:v>1863579.3401460252</x:v>
      </x:c>
      <x:c r="AY69" s="62" t="n">
        <x:f>AY103</x:f>
        <x:v>2004950.8663690947</x:v>
      </x:c>
      <x:c r="AZ69" s="62" t="n">
        <x:f>AZ103</x:f>
        <x:v>2089500.275323396</x:v>
      </x:c>
      <x:c r="BA69" s="62" t="n">
        <x:f>BA103</x:f>
        <x:v>2175960.3118642475</x:v>
      </x:c>
      <x:c r="BB69" s="62" t="n">
        <x:f>BB103</x:f>
        <x:v>2265962.266421114</x:v>
      </x:c>
      <x:c r="BC69" s="62" t="n">
        <x:f>BC103</x:f>
        <x:v>2359640.199390849</x:v>
      </x:c>
      <x:c r="BD69" s="62" t="n">
        <x:f>BD103</x:f>
        <x:v>2457134.271188958</x:v>
      </x:c>
      <x:c r="BE69" s="62" t="n">
        <x:f>BE103</x:f>
        <x:v>2558538.503563544</x:v>
      </x:c>
      <x:c r="BF69" s="62" t="n">
        <x:f>BF103</x:f>
        <x:v>2663550.8685859153</x:v>
      </x:c>
      <x:c r="BG69" s="62" t="n">
        <x:f>BG103</x:f>
        <x:v>2772780.8022681214</x:v>
      </x:c>
      <x:c r="BH69" s="62" t="n">
        <x:f>BH103</x:f>
        <x:v>2886395.889431364</x:v>
      </x:c>
      <x:c r="BI69" s="62" t="n">
        <x:f>BI103</x:f>
        <x:v>3004570.2530621067</x:v>
      </x:c>
      <x:c r="BJ69" s="62" t="n">
        <x:f>BJ103</x:f>
        <x:v>3127485.447393127</x:v>
      </x:c>
    </x:row>
    <x:row r="70">
      <x:c r="A70" t="str">
        <x:v>New ARR bookings</x:v>
      </x:c>
      <x:c r="B70" t="str">
        <x:v>$</x:v>
      </x:c>
      <x:c r="C70" s="62" t="n">
        <x:f>C19*Assumptions!$G$33*C98</x:f>
        <x:v>0</x:v>
      </x:c>
      <x:c r="D70" s="62" t="n">
        <x:f>D19*Assumptions!$G$33*D98</x:f>
        <x:v>0</x:v>
      </x:c>
      <x:c r="E70" s="62" t="n">
        <x:f>E19*Assumptions!$G$33*E98</x:f>
        <x:v>0</x:v>
      </x:c>
      <x:c r="F70" s="62" t="n">
        <x:f>F19*Assumptions!$G$33*F98</x:f>
        <x:v>0</x:v>
      </x:c>
      <x:c r="G70" s="62" t="n">
        <x:f>G19*Assumptions!$G$33*G98</x:f>
        <x:v>0</x:v>
      </x:c>
      <x:c r="H70" s="62" t="n">
        <x:f>H19*Assumptions!$G$33*H98</x:f>
        <x:v>0</x:v>
      </x:c>
      <x:c r="I70" s="62" t="n">
        <x:f>I19*Assumptions!$G$33*I98</x:f>
        <x:v>0</x:v>
      </x:c>
      <x:c r="J70" s="62" t="n">
        <x:f>J19*Assumptions!$G$33*J98</x:f>
        <x:v>22680</x:v>
      </x:c>
      <x:c r="K70" s="62" t="n">
        <x:f>K19*Assumptions!$G$33*K98</x:f>
        <x:v>41367.491665919995</x:v>
      </x:c>
      <x:c r="L70" s="62" t="n">
        <x:f>L19*Assumptions!$G$33*L98</x:f>
        <x:v>44084.14048685657</x:v>
      </x:c>
      <x:c r="M70" s="62" t="n">
        <x:f>M19*Assumptions!$G$33*M98</x:f>
        <x:v>47013.46242413557</x:v>
      </x:c>
      <x:c r="N70" s="62" t="n">
        <x:f>N19*Assumptions!$G$33*N98</x:f>
        <x:v>50189.373751727406</x:v>
      </x:c>
      <x:c r="O70" s="62" t="n">
        <x:f>O19*Assumptions!$G$33*O98</x:f>
        <x:v>55215.64516983552</x:v>
      </x:c>
      <x:c r="P70" s="62" t="n">
        <x:f>P19*Assumptions!$G$33*P98</x:f>
        <x:v>58996.21626068144</x:v>
      </x:c>
      <x:c r="Q70" s="62" t="n">
        <x:f>Q19*Assumptions!$G$33*Q98</x:f>
        <x:v>63051.822662320716</x:v>
      </x:c>
      <x:c r="R70" s="62" t="n">
        <x:f>R19*Assumptions!$G$33*R98</x:f>
        <x:v>67388.51875222204</x:v>
      </x:c>
      <x:c r="S70" s="62" t="n">
        <x:f>S19*Assumptions!$G$33*S98</x:f>
        <x:v>72023.4981676913</x:v>
      </x:c>
      <x:c r="T70" s="62" t="n">
        <x:f>T19*Assumptions!$G$33*T98</x:f>
        <x:v>76978.04155998651</x:v>
      </x:c>
      <x:c r="U70" s="62" t="n">
        <x:f>U19*Assumptions!$G$33*U98</x:f>
        <x:v>82276.31080267481</x:v>
      </x:c>
      <x:c r="V70" s="62" t="n">
        <x:f>V19*Assumptions!$G$33*V98</x:f>
        <x:v>87944.69831868738</x:v>
      </x:c>
      <x:c r="W70" s="62" t="n">
        <x:f>W19*Assumptions!$G$33*W98</x:f>
        <x:v>94007.65630602647</x:v>
      </x:c>
      <x:c r="X70" s="62" t="n">
        <x:f>X19*Assumptions!$G$33*X98</x:f>
        <x:v>100492.61982683648</x:v>
      </x:c>
      <x:c r="Y70" s="62" t="n">
        <x:f>Y19*Assumptions!$G$33*Y98</x:f>
        <x:v>107430.85615749528</x:v>
      </x:c>
      <x:c r="Z70" s="62" t="n">
        <x:f>Z19*Assumptions!$G$33*Z98</x:f>
        <x:v>114856.19686281783</x:v>
      </x:c>
      <x:c r="AA70" s="62" t="n">
        <x:f>AA19*Assumptions!$G$33*AA98</x:f>
        <x:v>126489.43273239981</x:v>
      </x:c>
      <x:c r="AB70" s="62" t="n">
        <x:f>AB19*Assumptions!$G$33*AB98</x:f>
        <x:v>135257.3320339808</x:v>
      </x:c>
      <x:c r="AC70" s="62" t="n">
        <x:f>AC19*Assumptions!$G$33*AC98</x:f>
        <x:v>144649.95861622004</x:v>
      </x:c>
      <x:c r="AD70" s="62" t="n">
        <x:f>AD19*Assumptions!$G$33*AD98</x:f>
        <x:v>154715.51354142008</x:v>
      </x:c>
      <x:c r="AE70" s="62" t="n">
        <x:f>AE19*Assumptions!$G$33*AE98</x:f>
        <x:v>165506.40892488367</x:v>
      </x:c>
      <x:c r="AF70" s="62" t="n">
        <x:f>AF19*Assumptions!$G$33*AF98</x:f>
        <x:v>177079.69878494696</x:v>
      </x:c>
      <x:c r="AG70" s="62" t="n">
        <x:f>AG19*Assumptions!$G$33*AG98</x:f>
        <x:v>189497.56182148668</x:v>
      </x:c>
      <x:c r="AH70" s="62" t="n">
        <x:f>AH19*Assumptions!$G$33*AH98</x:f>
        <x:v>200135.60379025448</x:v>
      </x:c>
      <x:c r="AI70" s="62" t="n">
        <x:f>AI19*Assumptions!$G$33*AI98</x:f>
        <x:v>209394.4912429269</x:v>
      </x:c>
      <x:c r="AJ70" s="62" t="n">
        <x:f>AJ19*Assumptions!$G$33*AJ98</x:f>
        <x:v>219133.09398383257</x:v>
      </x:c>
      <x:c r="AK70" s="62" t="n">
        <x:f>AK19*Assumptions!$G$33*AK98</x:f>
        <x:v>229375.55067613878</x:v>
      </x:c>
      <x:c r="AL70" s="62" t="n">
        <x:f>AL19*Assumptions!$G$33*AL98</x:f>
        <x:v>240143.1976294855</x:v>
      </x:c>
      <x:c r="AM70" s="62" t="n">
        <x:f>AM19*Assumptions!$G$33*AM98</x:f>
        <x:v>259006.55969978558</x:v>
      </x:c>
      <x:c r="AN70" s="62" t="n">
        <x:f>AN19*Assumptions!$G$33*AN98</x:f>
        <x:v>271265.50901930645</x:v>
      </x:c>
      <x:c r="AO70" s="62" t="n">
        <x:f>AO19*Assumptions!$G$33*AO98</x:f>
        <x:v>284158.3299616079</x:v>
      </x:c>
      <x:c r="AP70" s="62" t="n">
        <x:f>AP19*Assumptions!$G$33*AP98</x:f>
        <x:v>297723.0432004477</x:v>
      </x:c>
      <x:c r="AQ70" s="62" t="n">
        <x:f>AQ19*Assumptions!$G$33*AQ98</x:f>
        <x:v>312000.03367882146</x:v>
      </x:c>
      <x:c r="AR70" s="62" t="n">
        <x:f>AR19*Assumptions!$G$33*AR98</x:f>
        <x:v>327032.70897926093</x:v>
      </x:c>
      <x:c r="AS70" s="62" t="n">
        <x:f>AS19*Assumptions!$G$33*AS98</x:f>
        <x:v>342868.0412977936</x:v>
      </x:c>
      <x:c r="AT70" s="62" t="n">
        <x:f>AT19*Assumptions!$G$33*AT98</x:f>
        <x:v>359556.3185065336</x:v>
      </x:c>
      <x:c r="AU70" s="62" t="n">
        <x:f>AU19*Assumptions!$G$33*AU98</x:f>
        <x:v>377151.95445619087</x:v>
      </x:c>
      <x:c r="AV70" s="62" t="n">
        <x:f>AV19*Assumptions!$G$33*AV98</x:f>
        <x:v>395713.74834529386</x:v>
      </x:c>
      <x:c r="AW70" s="62" t="n">
        <x:f>AW19*Assumptions!$G$33*AW98</x:f>
        <x:v>415305.0829398104</x:v>
      </x:c>
      <x:c r="AX70" s="62" t="n">
        <x:f>AX19*Assumptions!$G$33*AX98</x:f>
        <x:v>435994.346288024</x:v>
      </x:c>
      <x:c r="AY70" s="62" t="n">
        <x:f>AY19*Assumptions!$G$33*AY98</x:f>
        <x:v>471591.0625054422</x:v>
      </x:c>
      <x:c r="AZ70" s="62" t="n">
        <x:f>AZ19*Assumptions!$G$33*AZ98</x:f>
        <x:v>495397.14120655006</x:v>
      </x:c>
      <x:c r="BA70" s="62" t="n">
        <x:f>BA19*Assumptions!$G$33*BA98</x:f>
        <x:v>520581.4207359586</x:v>
      </x:c>
      <x:c r="BB70" s="62" t="n">
        <x:f>BB19*Assumptions!$G$33*BB98</x:f>
        <x:v>546667.777040591</x:v>
      </x:c>
      <x:c r="BC70" s="62" t="n">
        <x:f>BC19*Assumptions!$G$33*BC98</x:f>
        <x:v>569215.882402445</x:v>
      </x:c>
      <x:c r="BD70" s="62" t="n">
        <x:f>BD19*Assumptions!$G$33*BD98</x:f>
        <x:v>592686.5031874711</x:v>
      </x:c>
      <x:c r="BE70" s="62" t="n">
        <x:f>BE19*Assumptions!$G$33*BE98</x:f>
        <x:v>617117.4744294265</x:v>
      </x:c>
      <x:c r="BF70" s="62" t="n">
        <x:f>BF19*Assumptions!$G$33*BF98</x:f>
        <x:v>642541.1212515415</x:v>
      </x:c>
      <x:c r="BG70" s="62" t="n">
        <x:f>BG19*Assumptions!$G$33*BG98</x:f>
        <x:v>668992.6305825609</x:v>
      </x:c>
      <x:c r="BH70" s="62" t="n">
        <x:f>BH19*Assumptions!$G$33*BH98</x:f>
        <x:v>696511.3118158034</x:v>
      </x:c>
      <x:c r="BI70" s="62" t="n">
        <x:f>BI19*Assumptions!$G$33*BI98</x:f>
        <x:v>725136.305043728</x:v>
      </x:c>
      <x:c r="BJ70" s="62" t="n">
        <x:f>BJ19*Assumptions!$G$33*BJ98</x:f>
        <x:v>754910.3910923789</x:v>
      </x:c>
    </x:row>
    <x:row r="71">
      <x:c r="A71" t="str">
        <x:v>Service cash receipts</x:v>
      </x:c>
      <x:c r="B71" t="str">
        <x:v>$</x:v>
      </x:c>
      <x:c r="C71" s="62" t="n">
        <x:f>Assumptions!$G$10*C103</x:f>
        <x:v>0</x:v>
      </x:c>
      <x:c r="D71" s="62" t="n">
        <x:f>Assumptions!$G$10*D103+(1-Assumptions!$G$10)*C103</x:f>
        <x:v>24000</x:v>
      </x:c>
      <x:c r="E71" s="62" t="n">
        <x:f>Assumptions!$G$10*E103+(1-Assumptions!$G$10)*D103</x:f>
        <x:v>61420</x:v>
      </x:c>
      <x:c r="F71" s="62" t="n">
        <x:f>Assumptions!$G$10*F103+(1-Assumptions!$G$10)*E103</x:f>
        <x:v>89581.37407359999</x:v>
      </x:c>
      <x:c r="G71" s="62" t="n">
        <x:f>Assumptions!$G$10*G103+(1-Assumptions!$G$10)*F103</x:f>
        <x:v>115696.86975024545</x:v>
      </x:c>
      <x:c r="H71" s="62" t="n">
        <x:f>Assumptions!$G$10*H103+(1-Assumptions!$G$10)*G103</x:f>
        <x:v>146430.64689645224</x:v>
      </x:c>
      <x:c r="I71" s="62" t="n">
        <x:f>Assumptions!$G$10*I103+(1-Assumptions!$G$10)*H103</x:f>
        <x:v>169304.3623759262</x:v>
      </x:c>
      <x:c r="J71" s="62" t="n">
        <x:f>Assumptions!$G$10*J103+(1-Assumptions!$G$10)*I103</x:f>
        <x:v>182980.08912767738</x:v>
      </x:c>
      <x:c r="K71" s="62" t="n">
        <x:f>Assumptions!$G$10*K103+(1-Assumptions!$G$10)*J103</x:f>
        <x:v>195327.2899030936</x:v>
      </x:c>
      <x:c r="L71" s="62" t="n">
        <x:f>Assumptions!$G$10*L103+(1-Assumptions!$G$10)*K103</x:f>
        <x:v>208575.13600303794</x:v>
      </x:c>
      <x:c r="M71" s="62" t="n">
        <x:f>Assumptions!$G$10*M103+(1-Assumptions!$G$10)*L103</x:f>
        <x:v>224136.66201214306</x:v>
      </x:c>
      <x:c r="N71" s="62" t="n">
        <x:f>Assumptions!$G$10*N103+(1-Assumptions!$G$10)*M103</x:f>
        <x:v>241354.8161429434</x:v>
      </x:c>
      <x:c r="O71" s="62" t="n">
        <x:f>Assumptions!$G$10*O103+(1-Assumptions!$G$10)*N103</x:f>
        <x:v>263248.72738647554</x:v>
      </x:c>
      <x:c r="P71" s="62" t="n">
        <x:f>Assumptions!$G$10*P103+(1-Assumptions!$G$10)*O103</x:f>
        <x:v>284341.9853222921</x:v>
      </x:c>
      <x:c r="Q71" s="62" t="n">
        <x:f>Assumptions!$G$10*Q103+(1-Assumptions!$G$10)*P103</x:f>
        <x:v>303688.9257348895</x:v>
      </x:c>
      <x:c r="R71" s="62" t="n">
        <x:f>Assumptions!$G$10*R103+(1-Assumptions!$G$10)*Q103</x:f>
        <x:v>324352.24662635033</x:v>
      </x:c>
      <x:c r="S71" s="62" t="n">
        <x:f>Assumptions!$G$10*S103+(1-Assumptions!$G$10)*R103</x:f>
        <x:v>346421.93674850813</x:v>
      </x:c>
      <x:c r="T71" s="62" t="n">
        <x:f>Assumptions!$G$10*T103+(1-Assumptions!$G$10)*S103</x:f>
        <x:v>369995.4211010704</x:v>
      </x:c>
      <x:c r="U71" s="62" t="n">
        <x:f>Assumptions!$G$10*U103+(1-Assumptions!$G$10)*T103</x:f>
        <x:v>395175.9639945064</x:v>
      </x:c>
      <x:c r="V71" s="62" t="n">
        <x:f>Assumptions!$G$10*V103+(1-Assumptions!$G$10)*U103</x:f>
        <x:v>422075.898920133</x:v>
      </x:c>
      <x:c r="W71" s="62" t="n">
        <x:f>Assumptions!$G$10*W103+(1-Assumptions!$G$10)*V103</x:f>
        <x:v>450817.87599718745</x:v>
      </x:c>
      <x:c r="X71" s="62" t="n">
        <x:f>Assumptions!$G$10*X103+(1-Assumptions!$G$10)*W103</x:f>
        <x:v>481534.4749115958</x:v>
      </x:c>
      <x:c r="Y71" s="62" t="n">
        <x:f>Assumptions!$G$10*Y103+(1-Assumptions!$G$10)*X103</x:f>
        <x:v>514368.7493378107</x:v>
      </x:c>
      <x:c r="Z71" s="62" t="n">
        <x:f>Assumptions!$G$10*Z103+(1-Assumptions!$G$10)*Y103</x:f>
        <x:v>549474.871043674</x:v>
      </x:c>
      <x:c r="AA71" s="62" t="n">
        <x:f>Assumptions!$G$10*AA103+(1-Assumptions!$G$10)*Z103</x:f>
        <x:v>597863.1667024513</x:v>
      </x:c>
      <x:c r="AB71" s="62" t="n">
        <x:f>Assumptions!$G$10*AB103+(1-Assumptions!$G$10)*AA103</x:f>
        <x:v>643288.167074746</x:v>
      </x:c>
      <x:c r="AC71" s="62" t="n">
        <x:f>Assumptions!$G$10*AC103+(1-Assumptions!$G$10)*AB103</x:f>
        <x:v>680427.7390921199</x:v>
      </x:c>
      <x:c r="AD71" s="62" t="n">
        <x:f>Assumptions!$G$10*AD103+(1-Assumptions!$G$10)*AC103</x:f>
        <x:v>717068.3287639474</x:v>
      </x:c>
      <x:c r="AE71" s="62" t="n">
        <x:f>Assumptions!$G$10*AE103+(1-Assumptions!$G$10)*AD103</x:f>
        <x:v>753493.7449677885</x:v>
      </x:c>
      <x:c r="AF71" s="62" t="n">
        <x:f>Assumptions!$G$10*AF103+(1-Assumptions!$G$10)*AE103</x:f>
        <x:v>789227.6575623355</x:v>
      </x:c>
      <x:c r="AG71" s="62" t="n">
        <x:f>Assumptions!$G$10*AG103+(1-Assumptions!$G$10)*AF103</x:f>
        <x:v>825254.1136971889</x:v>
      </x:c>
      <x:c r="AH71" s="62" t="n">
        <x:f>Assumptions!$G$10*AH103+(1-Assumptions!$G$10)*AG103</x:f>
        <x:v>862773.937149453</x:v>
      </x:c>
      <x:c r="AI71" s="62" t="n">
        <x:f>Assumptions!$G$10*AI103+(1-Assumptions!$G$10)*AH103</x:f>
        <x:v>902118.3266195338</x:v>
      </x:c>
      <x:c r="AJ71" s="62" t="n">
        <x:f>Assumptions!$G$10*AJ103+(1-Assumptions!$G$10)*AI103</x:f>
        <x:v>943377.2332903364</x:v>
      </x:c>
      <x:c r="AK71" s="62" t="n">
        <x:f>Assumptions!$G$10*AK103+(1-Assumptions!$G$10)*AJ103</x:f>
        <x:v>986487.1720774395</x:v>
      </x:c>
      <x:c r="AL71" s="62" t="n">
        <x:f>Assumptions!$G$10*AL103+(1-Assumptions!$G$10)*AK103</x:f>
        <x:v>1031468.3676034901</x:v>
      </x:c>
      <x:c r="AM71" s="62" t="n">
        <x:f>Assumptions!$G$10*AM103+(1-Assumptions!$G$10)*AL103</x:f>
        <x:v>1098320.024387136</x:v>
      </x:c>
      <x:c r="AN71" s="62" t="n">
        <x:f>Assumptions!$G$10*AN103+(1-Assumptions!$G$10)*AM103</x:f>
        <x:v>1161797.2769009215</x:v>
      </x:c>
      <x:c r="AO71" s="62" t="n">
        <x:f>Assumptions!$G$10*AO103+(1-Assumptions!$G$10)*AN103</x:f>
        <x:v>1215184.9807500797</x:v>
      </x:c>
      <x:c r="AP71" s="62" t="n">
        <x:f>Assumptions!$G$10*AP103+(1-Assumptions!$G$10)*AO103</x:f>
        <x:v>1271222.521625981</x:v>
      </x:c>
      <x:c r="AQ71" s="62" t="n">
        <x:f>Assumptions!$G$10*AQ103+(1-Assumptions!$G$10)*AP103</x:f>
        <x:v>1330062.5842799586</x:v>
      </x:c>
      <x:c r="AR71" s="62" t="n">
        <x:f>Assumptions!$G$10*AR103+(1-Assumptions!$G$10)*AQ103</x:f>
        <x:v>1391868.8782640002</x:v>
      </x:c>
      <x:c r="AS71" s="62" t="n">
        <x:f>Assumptions!$G$10*AS103+(1-Assumptions!$G$10)*AR103</x:f>
        <x:v>1456817.163403139</x:v>
      </x:c>
      <x:c r="AT71" s="62" t="n">
        <x:f>Assumptions!$G$10*AT103+(1-Assumptions!$G$10)*AS103</x:f>
        <x:v>1525096.1191664985</x:v>
      </x:c>
      <x:c r="AU71" s="62" t="n">
        <x:f>Assumptions!$G$10*AU103+(1-Assumptions!$G$10)*AT103</x:f>
        <x:v>1596908.2962503587</x:v>
      </x:c>
      <x:c r="AV71" s="62" t="n">
        <x:f>Assumptions!$G$10*AV103+(1-Assumptions!$G$10)*AU103</x:f>
        <x:v>1672471.3635924822</x:v>
      </x:c>
      <x:c r="AW71" s="62" t="n">
        <x:f>Assumptions!$G$10*AW103+(1-Assumptions!$G$10)*AV103</x:f>
        <x:v>1751666.521235553</x:v>
      </x:c>
      <x:c r="AX71" s="62" t="n">
        <x:f>Assumptions!$G$10*AX103+(1-Assumptions!$G$10)*AW103</x:f>
        <x:v>1831709.0011038939</x:v>
      </x:c>
      <x:c r="AY71" s="62" t="n">
        <x:f>Assumptions!$G$10*AY103+(1-Assumptions!$G$10)*AX103</x:f>
        <x:v>1948402.255879867</x:v>
      </x:c>
      <x:c r="AZ71" s="62" t="n">
        <x:f>Assumptions!$G$10*AZ103+(1-Assumptions!$G$10)*AY103</x:f>
        <x:v>2055680.5117416754</x:v>
      </x:c>
      <x:c r="BA71" s="62" t="n">
        <x:f>Assumptions!$G$10*BA103+(1-Assumptions!$G$10)*AZ103</x:f>
        <x:v>2141376.297247907</x:v>
      </x:c>
      <x:c r="BB71" s="62" t="n">
        <x:f>Assumptions!$G$10*BB103+(1-Assumptions!$G$10)*BA103</x:f>
        <x:v>2229961.4845983675</x:v>
      </x:c>
      <x:c r="BC71" s="62" t="n">
        <x:f>Assumptions!$G$10*BC103+(1-Assumptions!$G$10)*BB103</x:f>
        <x:v>2322169.0262029553</x:v>
      </x:c>
      <x:c r="BD71" s="62" t="n">
        <x:f>Assumptions!$G$10*BD103+(1-Assumptions!$G$10)*BC103</x:f>
        <x:v>2418136.6424697144</x:v>
      </x:c>
      <x:c r="BE71" s="62" t="n">
        <x:f>Assumptions!$G$10*BE103+(1-Assumptions!$G$10)*BD103</x:f>
        <x:v>2517976.8106137095</x:v>
      </x:c>
      <x:c r="BF71" s="62" t="n">
        <x:f>Assumptions!$G$10*BF103+(1-Assumptions!$G$10)*BE103</x:f>
        <x:v>2621545.9225769667</x:v>
      </x:c>
      <x:c r="BG71" s="62" t="n">
        <x:f>Assumptions!$G$10*BG103+(1-Assumptions!$G$10)*BF103</x:f>
        <x:v>2729088.828795239</x:v>
      </x:c>
      <x:c r="BH71" s="62" t="n">
        <x:f>Assumptions!$G$10*BH103+(1-Assumptions!$G$10)*BG103</x:f>
        <x:v>2840949.854566067</x:v>
      </x:c>
      <x:c r="BI71" s="62" t="n">
        <x:f>Assumptions!$G$10*BI103+(1-Assumptions!$G$10)*BH103</x:f>
        <x:v>2957300.5076098097</x:v>
      </x:c>
      <x:c r="BJ71" s="62" t="n">
        <x:f>Assumptions!$G$10*BJ103+(1-Assumptions!$G$10)*BI103</x:f>
        <x:v>3078319.369660719</x:v>
      </x:c>
    </x:row>
    <x:row r="72">
      <x:c r="A72" t="str">
        <x:v>Proof OS cash receipts</x:v>
      </x:c>
      <x:c r="B72" t="str">
        <x:v>$</x:v>
      </x:c>
      <x:c r="C72" s="62" t="n">
        <x:f>(C19+C99)*Assumptions!$G$33*C98</x:f>
        <x:v>0</x:v>
      </x:c>
      <x:c r="D72" s="62" t="n">
        <x:f>(D19+D99)*Assumptions!$G$33*D98</x:f>
        <x:v>0</x:v>
      </x:c>
      <x:c r="E72" s="62" t="n">
        <x:f>(E19+E99)*Assumptions!$G$33*E98</x:f>
        <x:v>0</x:v>
      </x:c>
      <x:c r="F72" s="62" t="n">
        <x:f>(F19+F99)*Assumptions!$G$33*F98</x:f>
        <x:v>0</x:v>
      </x:c>
      <x:c r="G72" s="62" t="n">
        <x:f>(G19+G99)*Assumptions!$G$33*G98</x:f>
        <x:v>0</x:v>
      </x:c>
      <x:c r="H72" s="62" t="n">
        <x:f>(H19+H99)*Assumptions!$G$33*H98</x:f>
        <x:v>0</x:v>
      </x:c>
      <x:c r="I72" s="62" t="n">
        <x:f>(I19+I99)*Assumptions!$G$33*I98</x:f>
        <x:v>0</x:v>
      </x:c>
      <x:c r="J72" s="62" t="n">
        <x:f>(J19+J99)*Assumptions!$G$33*J98</x:f>
        <x:v>22680</x:v>
      </x:c>
      <x:c r="K72" s="62" t="n">
        <x:f>(K19+K99)*Assumptions!$G$33*K98</x:f>
        <x:v>41367.491665919995</x:v>
      </x:c>
      <x:c r="L72" s="62" t="n">
        <x:f>(L19+L99)*Assumptions!$G$33*L98</x:f>
        <x:v>44084.14048685657</x:v>
      </x:c>
      <x:c r="M72" s="62" t="n">
        <x:f>(M19+M99)*Assumptions!$G$33*M98</x:f>
        <x:v>47013.46242413557</x:v>
      </x:c>
      <x:c r="N72" s="62" t="n">
        <x:f>(N19+N99)*Assumptions!$G$33*N98</x:f>
        <x:v>50189.373751727406</x:v>
      </x:c>
      <x:c r="O72" s="62" t="n">
        <x:f>(O19+O99)*Assumptions!$G$33*O98</x:f>
        <x:v>55215.64516983552</x:v>
      </x:c>
      <x:c r="P72" s="62" t="n">
        <x:f>(P19+P99)*Assumptions!$G$33*P98</x:f>
        <x:v>58996.21626068144</x:v>
      </x:c>
      <x:c r="Q72" s="62" t="n">
        <x:f>(Q19+Q99)*Assumptions!$G$33*Q98</x:f>
        <x:v>63051.822662320716</x:v>
      </x:c>
      <x:c r="R72" s="62" t="n">
        <x:f>(R19+R99)*Assumptions!$G$33*R98</x:f>
        <x:v>67388.51875222204</x:v>
      </x:c>
      <x:c r="S72" s="62" t="n">
        <x:f>(S19+S99)*Assumptions!$G$33*S98</x:f>
        <x:v>72023.4981676913</x:v>
      </x:c>
      <x:c r="T72" s="62" t="n">
        <x:f>(T19+T99)*Assumptions!$G$33*T98</x:f>
        <x:v>76978.04155998651</x:v>
      </x:c>
      <x:c r="U72" s="62" t="n">
        <x:f>(U19+U99)*Assumptions!$G$33*U98</x:f>
        <x:v>82276.31080267481</x:v>
      </x:c>
      <x:c r="V72" s="62" t="n">
        <x:f>(V19+V99)*Assumptions!$G$33*V98</x:f>
        <x:v>108969.05831868738</x:v>
      </x:c>
      <x:c r="W72" s="62" t="n">
        <x:f>(W19+W99)*Assumptions!$G$33*W98</x:f>
        <x:v>132355.32108033428</x:v>
      </x:c>
      <x:c r="X72" s="62" t="n">
        <x:f>(X19+X99)*Assumptions!$G$33*X98</x:f>
        <x:v>141358.61805815253</x:v>
      </x:c>
      <x:c r="Y72" s="62" t="n">
        <x:f>(Y19+Y99)*Assumptions!$G$33*Y98</x:f>
        <x:v>151012.33582466896</x:v>
      </x:c>
      <x:c r="Z72" s="62" t="n">
        <x:f>(Z19+Z99)*Assumptions!$G$33*Z98</x:f>
        <x:v>161381.74633066915</x:v>
      </x:c>
      <x:c r="AA72" s="62" t="n">
        <x:f>(AA19+AA99)*Assumptions!$G$33*AA98</x:f>
        <x:v>177674.33580483735</x:v>
      </x:c>
      <x:c r="AB72" s="62" t="n">
        <x:f>(AB19+AB99)*Assumptions!$G$33*AB98</x:f>
        <x:v>189946.82450763253</x:v>
      </x:c>
      <x:c r="AC72" s="62" t="n">
        <x:f>(AC19+AC99)*Assumptions!$G$33*AC98</x:f>
        <x:v>203098.99822419137</x:v>
      </x:c>
      <x:c r="AD72" s="62" t="n">
        <x:f>(AD19+AD99)*Assumptions!$G$33*AD98</x:f>
        <x:v>217184.67042472993</x:v>
      </x:c>
      <x:c r="AE72" s="62" t="n">
        <x:f>(AE19+AE99)*Assumptions!$G$33*AE98</x:f>
        <x:v>232272.1917263335</x:v>
      </x:c>
      <x:c r="AF72" s="62" t="n">
        <x:f>(AF19+AF99)*Assumptions!$G$33*AF98</x:f>
        <x:v>248438.34331105446</x:v>
      </x:c>
      <x:c r="AG72" s="62" t="n">
        <x:f>(AG19+AG99)*Assumptions!$G$33*AG98</x:f>
        <x:v>265767.7019355662</x:v>
      </x:c>
      <x:c r="AH72" s="62" t="n">
        <x:f>(AH19+AH99)*Assumptions!$G$33*AH98</x:f>
        <x:v>281660.33913167764</x:v>
      </x:c>
      <x:c r="AI72" s="62" t="n">
        <x:f>(AI19+AI99)*Assumptions!$G$33*AI98</x:f>
        <x:v>296539.5886386134</x:v>
      </x:c>
      <x:c r="AJ72" s="62" t="n">
        <x:f>(AJ19+AJ99)*Assumptions!$G$33*AJ98</x:f>
        <x:v>312289.75256331003</x:v>
      </x:c>
      <x:c r="AK72" s="62" t="n">
        <x:f>(AK19+AK99)*Assumptions!$G$33*AK98</x:f>
        <x:v>328963.9543341369</x:v>
      </x:c>
      <x:c r="AL72" s="62" t="n">
        <x:f>(AL19+AL99)*Assumptions!$G$33*AL98</x:f>
        <x:v>346614.8921213176</x:v>
      </x:c>
      <x:c r="AM72" s="62" t="n">
        <x:f>(AM19+AM99)*Assumptions!$G$33*AM98</x:f>
        <x:v>376262.2638427202</x:v>
      </x:c>
      <x:c r="AN72" s="62" t="n">
        <x:f>(AN19+AN99)*Assumptions!$G$33*AN98</x:f>
        <x:v>396649.0558148067</x:v>
      </x:c>
      <x:c r="AO72" s="62" t="n">
        <x:f>(AO19+AO99)*Assumptions!$G$33*AO98</x:f>
        <x:v>418248.84159884386</x:v>
      </x:c>
      <x:c r="AP72" s="62" t="n">
        <x:f>(AP19+AP99)*Assumptions!$G$33*AP98</x:f>
        <x:v>441144.32425334415</x:v>
      </x:c>
      <x:c r="AQ72" s="62" t="n">
        <x:f>(AQ19+AQ99)*Assumptions!$G$33*AQ98</x:f>
        <x:v>465424.4747521886</x:v>
      </x:c>
      <x:c r="AR72" s="62" t="n">
        <x:f>(AR19+AR99)*Assumptions!$G$33*AR98</x:f>
        <x:v>491185.58975290676</x:v>
      </x:c>
      <x:c r="AS72" s="62" t="n">
        <x:f>(AS19+AS99)*Assumptions!$G$33*AS98</x:f>
        <x:v>518532.2811063117</x:v>
      </x:c>
      <x:c r="AT72" s="62" t="n">
        <x:f>(AT19+AT99)*Assumptions!$G$33*AT98</x:f>
        <x:v>545082.0232200994</x:v>
      </x:c>
      <x:c r="AU72" s="62" t="n">
        <x:f>(AU19+AU99)*Assumptions!$G$33*AU98</x:f>
        <x:v>571260.647838384</x:v>
      </x:c>
      <x:c r="AV72" s="62" t="n">
        <x:f>(AV19+AV99)*Assumptions!$G$33*AV98</x:f>
        <x:v>598850.1264683066</x:v>
      </x:c>
      <x:c r="AW72" s="62" t="n">
        <x:f>(AW19+AW99)*Assumptions!$G$33*AW98</x:f>
        <x:v>627936.2184165911</x:v>
      </x:c>
      <x:c r="AX72" s="62" t="n">
        <x:f>(AX19+AX99)*Assumptions!$G$33*AX98</x:f>
        <x:v>658607.0904905571</x:v>
      </x:c>
      <x:c r="AY72" s="62" t="n">
        <x:f>(AY19+AY99)*Assumptions!$G$33*AY98</x:f>
        <x:v>711690.1433471435</x:v>
      </x:c>
      <x:c r="AZ72" s="62" t="n">
        <x:f>(AZ19+AZ99)*Assumptions!$G$33*AZ98</x:f>
        <x:v>746860.2680674471</x:v>
      </x:c>
      <x:c r="BA72" s="62" t="n">
        <x:f>(BA19+BA99)*Assumptions!$G$33*BA98</x:f>
        <x:v>783996.1926103691</x:v>
      </x:c>
      <x:c r="BB72" s="62" t="n">
        <x:f>(BB19+BB99)*Assumptions!$G$33*BB98</x:f>
        <x:v>822657.038087406</x:v>
      </x:c>
      <x:c r="BC72" s="62" t="n">
        <x:f>(BC19+BC99)*Assumptions!$G$33*BC98</x:f>
        <x:v>858439.9136227124</x:v>
      </x:c>
      <x:c r="BD72" s="62" t="n">
        <x:f>(BD19+BD99)*Assumptions!$G$33*BD98</x:f>
        <x:v>895845.824411246</x:v>
      </x:c>
      <x:c r="BE72" s="62" t="n">
        <x:f>(BE19+BE99)*Assumptions!$G$33*BE98</x:f>
        <x:v>934956.148712481</x:v>
      </x:c>
      <x:c r="BF72" s="62" t="n">
        <x:f>(BF19+BF99)*Assumptions!$G$33*BF98</x:f>
        <x:v>975849.8285070979</x:v>
      </x:c>
      <x:c r="BG72" s="62" t="n">
        <x:f>(BG19+BG99)*Assumptions!$G$33*BG98</x:f>
        <x:v>1018612.4923634498</x:v>
      </x:c>
      <x:c r="BH72" s="62" t="n">
        <x:f>(BH19+BH99)*Assumptions!$G$33*BH98</x:f>
        <x:v>1063337.9565318907</x:v>
      </x:c>
      <x:c r="BI72" s="62" t="n">
        <x:f>(BI19+BI99)*Assumptions!$G$33*BI98</x:f>
        <x:v>1110124.1169289323</x:v>
      </x:c>
      <x:c r="BJ72" s="62" t="n">
        <x:f>(BJ19+BJ99)*Assumptions!$G$33*BJ98</x:f>
        <x:v>1159077.150101377</x:v>
      </x:c>
    </x:row>
    <x:row r="73">
      <x:c r="A73" t="str">
        <x:v>Total Cash Receipts</x:v>
      </x:c>
      <x:c r="B73" t="str">
        <x:v>$</x:v>
      </x:c>
      <x:c r="C73" s="62" t="n">
        <x:f>SUM(C71:C72)</x:f>
        <x:v>0</x:v>
      </x:c>
      <x:c r="D73" s="62" t="n">
        <x:f>SUM(D71:D72)</x:f>
        <x:v>24000</x:v>
      </x:c>
      <x:c r="E73" s="62" t="n">
        <x:f>SUM(E71:E72)</x:f>
        <x:v>61420</x:v>
      </x:c>
      <x:c r="F73" s="62" t="n">
        <x:f>SUM(F71:F72)</x:f>
        <x:v>89581.37407359999</x:v>
      </x:c>
      <x:c r="G73" s="62" t="n">
        <x:f>SUM(G71:G72)</x:f>
        <x:v>115696.86975024545</x:v>
      </x:c>
      <x:c r="H73" s="62" t="n">
        <x:f>SUM(H71:H72)</x:f>
        <x:v>146430.64689645224</x:v>
      </x:c>
      <x:c r="I73" s="62" t="n">
        <x:f>SUM(I71:I72)</x:f>
        <x:v>169304.3623759262</x:v>
      </x:c>
      <x:c r="J73" s="62" t="n">
        <x:f>SUM(J71:J72)</x:f>
        <x:v>205660.08912767738</x:v>
      </x:c>
      <x:c r="K73" s="62" t="n">
        <x:f>SUM(K71:K72)</x:f>
        <x:v>236694.7815690136</x:v>
      </x:c>
      <x:c r="L73" s="62" t="n">
        <x:f>SUM(L71:L72)</x:f>
        <x:v>252659.27648989452</x:v>
      </x:c>
      <x:c r="M73" s="62" t="n">
        <x:f>SUM(M71:M72)</x:f>
        <x:v>271150.12443627865</x:v>
      </x:c>
      <x:c r="N73" s="62" t="n">
        <x:f>SUM(N71:N72)</x:f>
        <x:v>291544.1898946708</x:v>
      </x:c>
      <x:c r="O73" s="62" t="n">
        <x:f>SUM(O71:O72)</x:f>
        <x:v>318464.3725563111</x:v>
      </x:c>
      <x:c r="P73" s="62" t="n">
        <x:f>SUM(P71:P72)</x:f>
        <x:v>343338.20158297353</x:v>
      </x:c>
      <x:c r="Q73" s="62" t="n">
        <x:f>SUM(Q71:Q72)</x:f>
        <x:v>366740.74839721026</x:v>
      </x:c>
      <x:c r="R73" s="62" t="n">
        <x:f>SUM(R71:R72)</x:f>
        <x:v>391740.7653785724</x:v>
      </x:c>
      <x:c r="S73" s="62" t="n">
        <x:f>SUM(S71:S72)</x:f>
        <x:v>418445.4349161994</x:v>
      </x:c>
      <x:c r="T73" s="62" t="n">
        <x:f>SUM(T71:T72)</x:f>
        <x:v>446973.4626610569</x:v>
      </x:c>
      <x:c r="U73" s="62" t="n">
        <x:f>SUM(U71:U72)</x:f>
        <x:v>477452.2747971812</x:v>
      </x:c>
      <x:c r="V73" s="62" t="n">
        <x:f>SUM(V71:V72)</x:f>
        <x:v>531044.9572388204</x:v>
      </x:c>
      <x:c r="W73" s="62" t="n">
        <x:f>SUM(W71:W72)</x:f>
        <x:v>583173.1970775217</x:v>
      </x:c>
      <x:c r="X73" s="62" t="n">
        <x:f>SUM(X71:X72)</x:f>
        <x:v>622893.0929697483</x:v>
      </x:c>
      <x:c r="Y73" s="62" t="n">
        <x:f>SUM(Y71:Y72)</x:f>
        <x:v>665381.0851624797</x:v>
      </x:c>
      <x:c r="Z73" s="62" t="n">
        <x:f>SUM(Z71:Z72)</x:f>
        <x:v>710856.6173743431</x:v>
      </x:c>
      <x:c r="AA73" s="62" t="n">
        <x:f>SUM(AA71:AA72)</x:f>
        <x:v>775537.5025072887</x:v>
      </x:c>
      <x:c r="AB73" s="62" t="n">
        <x:f>SUM(AB71:AB72)</x:f>
        <x:v>833234.9915823785</x:v>
      </x:c>
      <x:c r="AC73" s="62" t="n">
        <x:f>SUM(AC71:AC72)</x:f>
        <x:v>883526.7373163112</x:v>
      </x:c>
      <x:c r="AD73" s="62" t="n">
        <x:f>SUM(AD71:AD72)</x:f>
        <x:v>934252.9991886773</x:v>
      </x:c>
      <x:c r="AE73" s="62" t="n">
        <x:f>SUM(AE71:AE72)</x:f>
        <x:v>985765.9366941219</x:v>
      </x:c>
      <x:c r="AF73" s="62" t="n">
        <x:f>SUM(AF71:AF72)</x:f>
        <x:v>1037666.0008733899</x:v>
      </x:c>
      <x:c r="AG73" s="62" t="n">
        <x:f>SUM(AG71:AG72)</x:f>
        <x:v>1091021.8156327552</x:v>
      </x:c>
      <x:c r="AH73" s="62" t="n">
        <x:f>SUM(AH71:AH72)</x:f>
        <x:v>1144434.2762811305</x:v>
      </x:c>
      <x:c r="AI73" s="62" t="n">
        <x:f>SUM(AI71:AI72)</x:f>
        <x:v>1198657.9152581473</x:v>
      </x:c>
      <x:c r="AJ73" s="62" t="n">
        <x:f>SUM(AJ71:AJ72)</x:f>
        <x:v>1255666.9858536464</x:v>
      </x:c>
      <x:c r="AK73" s="62" t="n">
        <x:f>SUM(AK71:AK72)</x:f>
        <x:v>1315451.1264115763</x:v>
      </x:c>
      <x:c r="AL73" s="62" t="n">
        <x:f>SUM(AL71:AL72)</x:f>
        <x:v>1378083.2597248077</x:v>
      </x:c>
      <x:c r="AM73" s="62" t="n">
        <x:f>SUM(AM71:AM72)</x:f>
        <x:v>1474582.2882298562</x:v>
      </x:c>
      <x:c r="AN73" s="62" t="n">
        <x:f>SUM(AN71:AN72)</x:f>
        <x:v>1558446.3327157283</x:v>
      </x:c>
      <x:c r="AO73" s="62" t="n">
        <x:f>SUM(AO71:AO72)</x:f>
        <x:v>1633433.8223489237</x:v>
      </x:c>
      <x:c r="AP73" s="62" t="n">
        <x:f>SUM(AP71:AP72)</x:f>
        <x:v>1712366.8458793252</x:v>
      </x:c>
      <x:c r="AQ73" s="62" t="n">
        <x:f>SUM(AQ71:AQ72)</x:f>
        <x:v>1795487.0590321473</x:v>
      </x:c>
      <x:c r="AR73" s="62" t="n">
        <x:f>SUM(AR71:AR72)</x:f>
        <x:v>1883054.4680169069</x:v>
      </x:c>
      <x:c r="AS73" s="62" t="n">
        <x:f>SUM(AS71:AS72)</x:f>
        <x:v>1975349.4445094508</x:v>
      </x:c>
      <x:c r="AT73" s="62" t="n">
        <x:f>SUM(AT71:AT72)</x:f>
        <x:v>2070178.142386598</x:v>
      </x:c>
      <x:c r="AU73" s="62" t="n">
        <x:f>SUM(AU71:AU72)</x:f>
        <x:v>2168168.9440887426</x:v>
      </x:c>
      <x:c r="AV73" s="62" t="n">
        <x:f>SUM(AV71:AV72)</x:f>
        <x:v>2271321.4900607886</x:v>
      </x:c>
      <x:c r="AW73" s="62" t="n">
        <x:f>SUM(AW71:AW72)</x:f>
        <x:v>2379602.7396521443</x:v>
      </x:c>
      <x:c r="AX73" s="62" t="n">
        <x:f>SUM(AX71:AX72)</x:f>
        <x:v>2490316.091594451</x:v>
      </x:c>
      <x:c r="AY73" s="62" t="n">
        <x:f>SUM(AY71:AY72)</x:f>
        <x:v>2660092.3992270106</x:v>
      </x:c>
      <x:c r="AZ73" s="62" t="n">
        <x:f>SUM(AZ71:AZ72)</x:f>
        <x:v>2802540.7798091224</x:v>
      </x:c>
      <x:c r="BA73" s="62" t="n">
        <x:f>SUM(BA71:BA72)</x:f>
        <x:v>2925372.489858276</x:v>
      </x:c>
      <x:c r="BB73" s="62" t="n">
        <x:f>SUM(BB71:BB72)</x:f>
        <x:v>3052618.5226857737</x:v>
      </x:c>
      <x:c r="BC73" s="62" t="n">
        <x:f>SUM(BC71:BC72)</x:f>
        <x:v>3180608.9398256675</x:v>
      </x:c>
      <x:c r="BD73" s="62" t="n">
        <x:f>SUM(BD71:BD72)</x:f>
        <x:v>3313982.4668809604</x:v>
      </x:c>
      <x:c r="BE73" s="62" t="n">
        <x:f>SUM(BE71:BE72)</x:f>
        <x:v>3452932.9593261904</x:v>
      </x:c>
      <x:c r="BF73" s="62" t="n">
        <x:f>SUM(BF71:BF72)</x:f>
        <x:v>3597395.7510840646</x:v>
      </x:c>
      <x:c r="BG73" s="62" t="n">
        <x:f>SUM(BG71:BG72)</x:f>
        <x:v>3747701.3211586885</x:v>
      </x:c>
      <x:c r="BH73" s="62" t="n">
        <x:f>SUM(BH71:BH72)</x:f>
        <x:v>3904287.8110979577</x:v>
      </x:c>
      <x:c r="BI73" s="62" t="n">
        <x:f>SUM(BI71:BI72)</x:f>
        <x:v>4067424.624538742</x:v>
      </x:c>
      <x:c r="BJ73" s="62" t="n">
        <x:f>SUM(BJ71:BJ72)</x:f>
        <x:v>4237396.519762096</x:v>
      </x:c>
    </x:row>
    <x:row r="74">
      <x:c r="A74" t="str">
        <x:v>Capital expenditure</x:v>
      </x:c>
      <x:c r="B74" t="str">
        <x:v>$</x:v>
      </x:c>
      <x:c r="C74" s="62" t="n">
        <x:f>C30*Assumptions!$G$69</x:f>
        <x:v>0</x:v>
      </x:c>
      <x:c r="D74" s="62" t="n">
        <x:f>D30*Assumptions!$G$69</x:f>
        <x:v>480</x:v>
      </x:c>
      <x:c r="E74" s="62" t="n">
        <x:f>E30*Assumptions!$G$69</x:f>
        <x:v>908.4</x:v>
      </x:c>
      <x:c r="F74" s="62" t="n">
        <x:f>F30*Assumptions!$G$69</x:f>
        <x:v>1186.027481472</x:v>
      </x:c>
      <x:c r="G74" s="62" t="n">
        <x:f>G30*Assumptions!$G$69</x:f>
        <x:v>1523.252407356909</x:v>
      </x:c>
      <x:c r="H74" s="62" t="n">
        <x:f>H30*Assumptions!$G$69</x:f>
        <x:v>1913.1113330244389</x:v>
      </x:c>
      <x:c r="I74" s="62" t="n">
        <x:f>I30*Assumptions!$G$69</x:f>
        <x:v>2110.679692168898</x:v>
      </x:c>
      <x:c r="J74" s="62" t="n">
        <x:f>J30*Assumptions!$G$69</x:f>
        <x:v>2275.161987774282</x:v>
      </x:c>
      <x:c r="K74" s="62" t="n">
        <x:f>K30*Assumptions!$G$69</x:f>
        <x:v>2468.7496312116045</x:v>
      </x:c>
      <x:c r="L74" s="62" t="n">
        <x:f>L30*Assumptions!$G$69</x:f>
        <x:v>2675.652438419196</x:v>
      </x:c>
      <x:c r="M74" s="62" t="n">
        <x:f>M30*Assumptions!$G$69</x:f>
        <x:v>2924.1007864963367</x:v>
      </x:c>
      <x:c r="N74" s="62" t="n">
        <x:f>N30*Assumptions!$G$69</x:f>
        <x:v>3182.4871871076266</x:v>
      </x:c>
      <x:c r="O74" s="62" t="n">
        <x:f>O30*Assumptions!$G$69</x:f>
        <x:v>3540.2656658927535</x:v>
      </x:c>
      <x:c r="P74" s="62" t="n">
        <x:f>P30*Assumptions!$G$69</x:f>
        <x:v>3820.125611361516</x:v>
      </x:c>
      <x:c r="Q74" s="62" t="n">
        <x:f>Q30*Assumptions!$G$69</x:f>
        <x:v>4118.761564341141</x:v>
      </x:c>
      <x:c r="R74" s="62" t="n">
        <x:f>R30*Assumptions!$G$69</x:f>
        <x:v>4437.4293019008965</x:v>
      </x:c>
      <x:c r="S74" s="62" t="n">
        <x:f>S30*Assumptions!$G$69</x:f>
        <x:v>4777.525244871154</x:v>
      </x:c>
      <x:c r="T74" s="62" t="n">
        <x:f>T30*Assumptions!$G$69</x:f>
        <x:v>5140.529904354274</x:v>
      </x:c>
      <x:c r="U74" s="62" t="n">
        <x:f>U30*Assumptions!$G$69</x:f>
        <x:v>5528.019008474855</x:v>
      </x:c>
      <x:c r="V74" s="62" t="n">
        <x:f>V30*Assumptions!$G$69</x:f>
        <x:v>5941.724545887295</x:v>
      </x:c>
      <x:c r="W74" s="62" t="n">
        <x:f>W30*Assumptions!$G$69</x:f>
        <x:v>6383.518246229121</x:v>
      </x:c>
      <x:c r="X74" s="62" t="n">
        <x:f>X30*Assumptions!$G$69</x:f>
        <x:v>6855.4162281240615</x:v>
      </x:c>
      <x:c r="Y74" s="62" t="n">
        <x:f>Y30*Assumptions!$G$69</x:f>
        <x:v>7359.592285087856</x:v>
      </x:c>
      <x:c r="Z74" s="62" t="n">
        <x:f>Z30*Assumptions!$G$69</x:f>
        <x:v>7898.386658999177</x:v>
      </x:c>
      <x:c r="AA74" s="62" t="n">
        <x:f>AA30*Assumptions!$G$69</x:f>
        <x:v>8728.557112040793</x:v>
      </x:c>
      <x:c r="AB74" s="62" t="n">
        <x:f>AB30*Assumptions!$G$69</x:f>
        <x:v>9308.665014585551</x:v>
      </x:c>
      <x:c r="AC74" s="62" t="n">
        <x:f>AC30*Assumptions!$G$69</x:f>
        <x:v>9880.689868643858</x:v>
      </x:c>
      <x:c r="AD74" s="62" t="n">
        <x:f>AD30*Assumptions!$G$69</x:f>
        <x:v>10462.651313967173</x:v>
      </x:c>
      <x:c r="AE74" s="62" t="n">
        <x:f>AE30*Assumptions!$G$69</x:f>
        <x:v>11049.265331466078</x:v>
      </x:c>
      <x:c r="AF74" s="62" t="n">
        <x:f>AF30*Assumptions!$G$69</x:f>
        <x:v>11635.664115525213</x:v>
      </x:c>
      <x:c r="AG74" s="62" t="n">
        <x:f>AG30*Assumptions!$G$69</x:f>
        <x:v>12246.000677761624</x:v>
      </x:c>
      <x:c r="AH74" s="62" t="n">
        <x:f>AH30*Assumptions!$G$69</x:f>
        <x:v>12886.82318520248</x:v>
      </x:c>
      <x:c r="AI74" s="62" t="n">
        <x:f>AI30*Assumptions!$G$69</x:f>
        <x:v>13557.686322629499</x:v>
      </x:c>
      <x:c r="AJ74" s="62" t="n">
        <x:f>AJ30*Assumptions!$G$69</x:f>
        <x:v>14260.130658847986</x:v>
      </x:c>
      <x:c r="AK74" s="62" t="n">
        <x:f>AK30*Assumptions!$G$69</x:f>
        <x:v>14992.572127597572</x:v>
      </x:c>
      <x:c r="AL74" s="62" t="n">
        <x:f>AL30*Assumptions!$G$69</x:f>
        <x:v>15757.215436543987</x:v>
      </x:c>
      <x:c r="AM74" s="62" t="n">
        <x:f>AM30*Assumptions!$G$69</x:f>
        <x:v>17054.907006583548</x:v>
      </x:c>
      <x:c r="AN74" s="62" t="n">
        <x:f>AN30*Assumptions!$G$69</x:f>
        <x:v>17919.322863541554</x:v>
      </x:c>
      <x:c r="AO74" s="62" t="n">
        <x:f>AO30*Assumptions!$G$69</x:f>
        <x:v>18825.357410777924</x:v>
      </x:c>
      <x:c r="AP74" s="62" t="n">
        <x:f>AP30*Assumptions!$G$69</x:f>
        <x:v>19775.348184662078</x:v>
      </x:c>
      <x:c r="AQ74" s="62" t="n">
        <x:f>AQ30*Assumptions!$G$69</x:f>
        <x:v>20771.79485074803</x:v>
      </x:c>
      <x:c r="AR74" s="62" t="n">
        <x:f>AR30*Assumptions!$G$69</x:f>
        <x:v>21817.371445956785</x:v>
      </x:c>
      <x:c r="AS74" s="62" t="n">
        <x:f>AS30*Assumptions!$G$69</x:f>
        <x:v>22914.943789930112</x:v>
      </x:c>
      <x:c r="AT74" s="62" t="n">
        <x:f>AT30*Assumptions!$G$69</x:f>
        <x:v>24067.580398427053</x:v>
      </x:c>
      <x:c r="AU74" s="62" t="n">
        <x:f>AU30*Assumptions!$G$69</x:f>
        <x:v>25278.569974496975</x:v>
      </x:c>
      <x:c r="AV74" s="62" t="n">
        <x:f>AV30*Assumptions!$G$69</x:f>
        <x:v>26551.44117487191</x:v>
      </x:c>
      <x:c r="AW74" s="62" t="n">
        <x:f>AW30*Assumptions!$G$69</x:f>
        <x:v>27882.92449360321</x:v>
      </x:c>
      <x:c r="AX74" s="62" t="n">
        <x:f>AX30*Assumptions!$G$69</x:f>
        <x:v>29221.061656295886</x:v>
      </x:c>
      <x:c r="AY74" s="62" t="n">
        <x:f>AY30*Assumptions!$G$69</x:f>
        <x:v>31535.988880199635</x:v>
      </x:c>
      <x:c r="AZ74" s="62" t="n">
        <x:f>AZ30*Assumptions!$G$69</x:f>
        <x:v>32983.674108159714</x:v>
      </x:c>
      <x:c r="BA74" s="62" t="n">
        <x:f>BA30*Assumptions!$G$69</x:f>
        <x:v>34475.8620440169</x:v>
      </x:c>
      <x:c r="BB74" s="62" t="n">
        <x:f>BB30*Assumptions!$G$69</x:f>
        <x:v>36032.85045655951</x:v>
      </x:c>
      <x:c r="BC74" s="62" t="n">
        <x:f>BC30*Assumptions!$G$69</x:f>
        <x:v>37652.52400743622</x:v>
      </x:c>
      <x:c r="BD74" s="62" t="n">
        <x:f>BD30*Assumptions!$G$69</x:f>
        <x:v>39337.33235874479</x:v>
      </x:c>
      <x:c r="BE74" s="62" t="n">
        <x:f>BE30*Assumptions!$G$69</x:f>
        <x:v>41089.2029457986</x:v>
      </x:c>
      <x:c r="BF74" s="62" t="n">
        <x:f>BF30*Assumptions!$G$69</x:f>
        <x:v>42905.336273126624</x:v>
      </x:c>
      <x:c r="BG74" s="62" t="n">
        <x:f>BG30*Assumptions!$G$69</x:f>
        <x:v>44793.89872581153</x:v>
      </x:c>
      <x:c r="BH74" s="62" t="n">
        <x:f>BH30*Assumptions!$G$69</x:f>
        <x:v>46757.78667443129</x:v>
      </x:c>
      <x:c r="BI74" s="62" t="n">
        <x:f>BI30*Assumptions!$G$69</x:f>
        <x:v>48800.00670970014</x:v>
      </x:c>
      <x:c r="BJ74" s="62" t="n">
        <x:f>BJ30*Assumptions!$G$69</x:f>
        <x:v>50923.689735490145</x:v>
      </x:c>
    </x:row>
    <x:row r="75">
      <x:c r="A75" t="str">
        <x:v>Operating cash outflow</x:v>
      </x:c>
      <x:c r="B75" t="str">
        <x:v>$</x:v>
      </x:c>
      <x:c r="C75" s="62" t="n">
        <x:f>C46+C63</x:f>
        <x:v>194166.6666666667</x:v>
      </x:c>
      <x:c r="D75" s="62" t="n">
        <x:f>D46+D63</x:f>
        <x:v>199046.6666666667</x:v>
      </x:c>
      <x:c r="E75" s="62" t="n">
        <x:f>E46+E63</x:f>
        <x:v>206439.06666666668</x:v>
      </x:c>
      <x:c r="F75" s="62" t="n">
        <x:f>F46+F63</x:f>
        <x:v>211280.53007389867</x:v>
      </x:c>
      <x:c r="G75" s="62" t="n">
        <x:f>G46+G63</x:f>
        <x:v>217992.55587776948</x:v>
      </x:c>
      <x:c r="H75" s="62" t="n">
        <x:f>H46+H63</x:f>
        <x:v>238046.84273251973</x:v>
      </x:c>
      <x:c r="I75" s="62" t="n">
        <x:f>I46+I63</x:f>
        <x:v>241112.94773850573</x:v>
      </x:c>
      <x:c r="J75" s="62" t="n">
        <x:f>J46+J63</x:f>
        <x:v>271632.75732997304</x:v>
      </x:c>
      <x:c r="K75" s="62" t="n">
        <x:f>K46+K63</x:f>
        <x:v>274669.12083892606</x:v>
      </x:c>
      <x:c r="L75" s="62" t="n">
        <x:f>L46+L63</x:f>
        <x:v>290834.594261603</x:v>
      </x:c>
      <x:c r="M75" s="62" t="n">
        <x:f>M46+M63</x:f>
        <x:v>294700.7524952761</x:v>
      </x:c>
      <x:c r="N75" s="62" t="n">
        <x:f>N46+N63</x:f>
        <x:v>298732.41467231244</x:v>
      </x:c>
      <x:c r="O75" s="62" t="n">
        <x:f>O46+O63</x:f>
        <x:v>303352.8677885694</x:v>
      </x:c>
      <x:c r="P75" s="62" t="n">
        <x:f>P46+P63</x:f>
        <x:v>320589.6507579799</x:v>
      </x:c>
      <x:c r="Q75" s="62" t="n">
        <x:f>Q46+Q63</x:f>
        <x:v>325201.618843848</x:v>
      </x:c>
      <x:c r="R75" s="62" t="n">
        <x:f>R46+R63</x:f>
        <x:v>330125.173574131</x:v>
      </x:c>
      <x:c r="S75" s="62" t="n">
        <x:f>S46+S63</x:f>
        <x:v>335382.3044434625</x:v>
      </x:c>
      <x:c r="T75" s="62" t="n">
        <x:f>T46+T63</x:f>
        <x:v>340996.1479705376</x:v>
      </x:c>
      <x:c r="U75" s="62" t="n">
        <x:f>U46+U63</x:f>
        <x:v>382408.1344726189</x:v>
      </x:c>
      <x:c r="V75" s="62" t="n">
        <x:f>V46+V63</x:f>
        <x:v>388812.25588816544</x:v>
      </x:c>
      <x:c r="W75" s="62" t="n">
        <x:f>W46+W63</x:f>
        <x:v>395654.7409556943</x:v>
      </x:c>
      <x:c r="X75" s="62" t="n">
        <x:f>X46+X63</x:f>
        <x:v>402967.48144774744</x:v>
      </x:c>
      <x:c r="Y75" s="62" t="n">
        <x:f>Y46+Y63</x:f>
        <x:v>423701.5845201913</x:v>
      </x:c>
      <x:c r="Z75" s="62" t="n">
        <x:f>Z46+Z63</x:f>
        <x:v>432060.86560360185</x:v>
      </x:c>
      <x:c r="AA75" s="62" t="n">
        <x:f>AA46+AA63</x:f>
        <x:v>442527.56718982256</x:v>
      </x:c>
      <x:c r="AB75" s="62" t="n">
        <x:f>AB46+AB63</x:f>
        <x:v>451667.38035855064</x:v>
      </x:c>
      <x:c r="AC75" s="62" t="n">
        <x:f>AC46+AC63</x:f>
        <x:v>460633.09301018517</x:v>
      </x:c>
      <x:c r="AD75" s="62" t="n">
        <x:f>AD46+AD63</x:f>
        <x:v>482632.5299817018</x:v>
      </x:c>
      <x:c r="AE75" s="62" t="n">
        <x:f>AE46+AE63</x:f>
        <x:v>491647.09088231757</x:v>
      </x:c>
      <x:c r="AF75" s="62" t="n">
        <x:f>AF46+AF63</x:f>
        <x:v>513474.3549689479</x:v>
      </x:c>
      <x:c r="AG75" s="62" t="n">
        <x:f>AG46+AG63</x:f>
        <x:v>522760.48270000436</x:v>
      </x:c>
      <x:c r="AH75" s="62" t="n">
        <x:f>AH46+AH63</x:f>
        <x:v>532516.1235045588</x:v>
      </x:c>
      <x:c r="AI75" s="62" t="n">
        <x:f>AI46+AI63</x:f>
        <x:v>568154.7784588631</x:v>
      </x:c>
      <x:c r="AJ75" s="62" t="n">
        <x:f>AJ46+AJ63</x:f>
        <x:v>578867.327521496</x:v>
      </x:c>
      <x:c r="AK75" s="62" t="n">
        <x:f>AK46+AK63</x:f>
        <x:v>602968.4958286351</x:v>
      </x:c>
      <x:c r="AL75" s="62" t="n">
        <x:f>AL46+AL63</x:f>
        <x:v>626742.4347796817</x:v>
      </x:c>
      <x:c r="AM75" s="62" t="n">
        <x:f>AM46+AM63</x:f>
        <x:v>654897.1492704351</x:v>
      </x:c>
      <x:c r="AN75" s="62" t="n">
        <x:f>AN46+AN63</x:f>
        <x:v>667904.6608344133</x:v>
      </x:c>
      <x:c r="AO75" s="62" t="n">
        <x:f>AO46+AO63</x:f>
        <x:v>710302.2838802815</x:v>
      </x:c>
      <x:c r="AP75" s="62" t="n">
        <x:f>AP46+AP63</x:f>
        <x:v>724626.9653012836</x:v>
      </x:c>
      <x:c r="AQ75" s="62" t="n">
        <x:f>AQ46+AQ63</x:f>
        <x:v>752584.9409766503</x:v>
      </x:c>
      <x:c r="AR75" s="62" t="n">
        <x:f>AR46+AR63</x:f>
        <x:v>781301.9706739783</x:v>
      </x:c>
      <x:c r="AS75" s="62" t="n">
        <x:f>AS46+AS63</x:f>
        <x:v>810406.9457142954</x:v>
      </x:c>
      <x:c r="AT75" s="62" t="n">
        <x:f>AT46+AT63</x:f>
        <x:v>840782.072433362</x:v>
      </x:c>
      <x:c r="AU75" s="62" t="n">
        <x:f>AU46+AU63</x:f>
        <x:v>882063.164087328</x:v>
      </x:c>
      <x:c r="AV75" s="62" t="n">
        <x:f>AV46+AV63</x:f>
        <x:v>914306.6365118641</x:v>
      </x:c>
      <x:c r="AW75" s="62" t="n">
        <x:f>AW46+AW63</x:f>
        <x:v>959533.4229524783</x:v>
      </x:c>
      <x:c r="AX75" s="62" t="n">
        <x:f>AX46+AX63</x:f>
        <x:v>979748.414417541</x:v>
      </x:c>
      <x:c r="AY75" s="62" t="n">
        <x:f>AY46+AY63</x:f>
        <x:v>1019255.8893737544</x:v>
      </x:c>
      <x:c r="AZ75" s="62" t="n">
        <x:f>AZ46+AZ63</x:f>
        <x:v>1081708.3937055564</x:v>
      </x:c>
      <x:c r="BA75" s="62" t="n">
        <x:f>BA46+BA63</x:f>
        <x:v>1116496.5886906632</x:v>
      </x:c>
      <x:c r="BB75" s="62" t="n">
        <x:f>BB46+BB63</x:f>
        <x:v>1152228.8081767694</x:v>
      </x:c>
      <x:c r="BC75" s="62" t="n">
        <x:f>BC46+BC63</x:f>
        <x:v>1188880.67337464</x:v>
      </x:c>
      <x:c r="BD75" s="62" t="n">
        <x:f>BD46+BD63</x:f>
        <x:v>1238571.006200678</x:v>
      </x:c>
      <x:c r="BE75" s="62" t="n">
        <x:f>BE46+BE63</x:f>
        <x:v>1277162.043877426</x:v>
      </x:c>
      <x:c r="BF75" s="62" t="n">
        <x:f>BF46+BF63</x:f>
        <x:v>1339202.736890958</x:v>
      </x:c>
      <x:c r="BG75" s="62" t="n">
        <x:f>BG46+BG63</x:f>
        <x:v>1379805.9738451096</x:v>
      </x:c>
      <x:c r="BH75" s="62" t="n">
        <x:f>BH46+BH63</x:f>
        <x:v>1437347.6299863323</x:v>
      </x:c>
      <x:c r="BI75" s="62" t="n">
        <x:f>BI46+BI63</x:f>
        <x:v>1505205.1297403262</x:v>
      </x:c>
      <x:c r="BJ75" s="62" t="n">
        <x:f>BJ46+BJ63</x:f>
        <x:v>1561757.7214147588</x:v>
      </x:c>
    </x:row>
    <x:row r="76">
      <x:c r="A76" t="str">
        <x:v>Financing inflow</x:v>
      </x:c>
      <x:c r="B76" t="str">
        <x:v>$</x:v>
      </x:c>
      <x:c r="C76" s="62" t="n">
        <x:f>IF(C$5=Assumptions!$G$8,Assumptions!$G$9,0)</x:f>
        <x:v>0</x:v>
      </x:c>
      <x:c r="D76" s="62" t="n">
        <x:f>IF(D$5=Assumptions!$G$8,Assumptions!$G$9,0)</x:f>
        <x:v>0</x:v>
      </x:c>
      <x:c r="E76" s="62" t="n">
        <x:f>IF(E$5=Assumptions!$G$8,Assumptions!$G$9,0)</x:f>
        <x:v>0</x:v>
      </x:c>
      <x:c r="F76" s="62" t="n">
        <x:f>IF(F$5=Assumptions!$G$8,Assumptions!$G$9,0)</x:f>
        <x:v>0</x:v>
      </x:c>
      <x:c r="G76" s="62" t="n">
        <x:f>IF(G$5=Assumptions!$G$8,Assumptions!$G$9,0)</x:f>
        <x:v>0</x:v>
      </x:c>
      <x:c r="H76" s="62" t="n">
        <x:f>IF(H$5=Assumptions!$G$8,Assumptions!$G$9,0)</x:f>
        <x:v>0</x:v>
      </x:c>
      <x:c r="I76" s="62" t="n">
        <x:f>IF(I$5=Assumptions!$G$8,Assumptions!$G$9,0)</x:f>
        <x:v>0</x:v>
      </x:c>
      <x:c r="J76" s="62" t="n">
        <x:f>IF(J$5=Assumptions!$G$8,Assumptions!$G$9,0)</x:f>
        <x:v>0</x:v>
      </x:c>
      <x:c r="K76" s="62" t="n">
        <x:f>IF(K$5=Assumptions!$G$8,Assumptions!$G$9,0)</x:f>
        <x:v>0</x:v>
      </x:c>
      <x:c r="L76" s="62" t="n">
        <x:f>IF(L$5=Assumptions!$G$8,Assumptions!$G$9,0)</x:f>
        <x:v>5000000</x:v>
      </x:c>
      <x:c r="M76" s="62" t="n">
        <x:f>IF(M$5=Assumptions!$G$8,Assumptions!$G$9,0)</x:f>
        <x:v>0</x:v>
      </x:c>
      <x:c r="N76" s="62" t="n">
        <x:f>IF(N$5=Assumptions!$G$8,Assumptions!$G$9,0)</x:f>
        <x:v>0</x:v>
      </x:c>
      <x:c r="O76" s="62" t="n">
        <x:f>IF(O$5=Assumptions!$G$8,Assumptions!$G$9,0)</x:f>
        <x:v>0</x:v>
      </x:c>
      <x:c r="P76" s="62" t="n">
        <x:f>IF(P$5=Assumptions!$G$8,Assumptions!$G$9,0)</x:f>
        <x:v>0</x:v>
      </x:c>
      <x:c r="Q76" s="62" t="n">
        <x:f>IF(Q$5=Assumptions!$G$8,Assumptions!$G$9,0)</x:f>
        <x:v>0</x:v>
      </x:c>
      <x:c r="R76" s="62" t="n">
        <x:f>IF(R$5=Assumptions!$G$8,Assumptions!$G$9,0)</x:f>
        <x:v>0</x:v>
      </x:c>
      <x:c r="S76" s="62" t="n">
        <x:f>IF(S$5=Assumptions!$G$8,Assumptions!$G$9,0)</x:f>
        <x:v>0</x:v>
      </x:c>
      <x:c r="T76" s="62" t="n">
        <x:f>IF(T$5=Assumptions!$G$8,Assumptions!$G$9,0)</x:f>
        <x:v>0</x:v>
      </x:c>
      <x:c r="U76" s="62" t="n">
        <x:f>IF(U$5=Assumptions!$G$8,Assumptions!$G$9,0)</x:f>
        <x:v>0</x:v>
      </x:c>
      <x:c r="V76" s="62" t="n">
        <x:f>IF(V$5=Assumptions!$G$8,Assumptions!$G$9,0)</x:f>
        <x:v>0</x:v>
      </x:c>
      <x:c r="W76" s="62" t="n">
        <x:f>IF(W$5=Assumptions!$G$8,Assumptions!$G$9,0)</x:f>
        <x:v>0</x:v>
      </x:c>
      <x:c r="X76" s="62" t="n">
        <x:f>IF(X$5=Assumptions!$G$8,Assumptions!$G$9,0)</x:f>
        <x:v>0</x:v>
      </x:c>
      <x:c r="Y76" s="62" t="n">
        <x:f>IF(Y$5=Assumptions!$G$8,Assumptions!$G$9,0)</x:f>
        <x:v>0</x:v>
      </x:c>
      <x:c r="Z76" s="62" t="n">
        <x:f>IF(Z$5=Assumptions!$G$8,Assumptions!$G$9,0)</x:f>
        <x:v>0</x:v>
      </x:c>
      <x:c r="AA76" s="62" t="n">
        <x:f>IF(AA$5=Assumptions!$G$8,Assumptions!$G$9,0)</x:f>
        <x:v>0</x:v>
      </x:c>
      <x:c r="AB76" s="62" t="n">
        <x:f>IF(AB$5=Assumptions!$G$8,Assumptions!$G$9,0)</x:f>
        <x:v>0</x:v>
      </x:c>
      <x:c r="AC76" s="62" t="n">
        <x:f>IF(AC$5=Assumptions!$G$8,Assumptions!$G$9,0)</x:f>
        <x:v>0</x:v>
      </x:c>
      <x:c r="AD76" s="62" t="n">
        <x:f>IF(AD$5=Assumptions!$G$8,Assumptions!$G$9,0)</x:f>
        <x:v>0</x:v>
      </x:c>
      <x:c r="AE76" s="62" t="n">
        <x:f>IF(AE$5=Assumptions!$G$8,Assumptions!$G$9,0)</x:f>
        <x:v>0</x:v>
      </x:c>
      <x:c r="AF76" s="62" t="n">
        <x:f>IF(AF$5=Assumptions!$G$8,Assumptions!$G$9,0)</x:f>
        <x:v>0</x:v>
      </x:c>
      <x:c r="AG76" s="62" t="n">
        <x:f>IF(AG$5=Assumptions!$G$8,Assumptions!$G$9,0)</x:f>
        <x:v>0</x:v>
      </x:c>
      <x:c r="AH76" s="62" t="n">
        <x:f>IF(AH$5=Assumptions!$G$8,Assumptions!$G$9,0)</x:f>
        <x:v>0</x:v>
      </x:c>
      <x:c r="AI76" s="62" t="n">
        <x:f>IF(AI$5=Assumptions!$G$8,Assumptions!$G$9,0)</x:f>
        <x:v>0</x:v>
      </x:c>
      <x:c r="AJ76" s="62" t="n">
        <x:f>IF(AJ$5=Assumptions!$G$8,Assumptions!$G$9,0)</x:f>
        <x:v>0</x:v>
      </x:c>
      <x:c r="AK76" s="62" t="n">
        <x:f>IF(AK$5=Assumptions!$G$8,Assumptions!$G$9,0)</x:f>
        <x:v>0</x:v>
      </x:c>
      <x:c r="AL76" s="62" t="n">
        <x:f>IF(AL$5=Assumptions!$G$8,Assumptions!$G$9,0)</x:f>
        <x:v>0</x:v>
      </x:c>
      <x:c r="AM76" s="62" t="n">
        <x:f>IF(AM$5=Assumptions!$G$8,Assumptions!$G$9,0)</x:f>
        <x:v>0</x:v>
      </x:c>
      <x:c r="AN76" s="62" t="n">
        <x:f>IF(AN$5=Assumptions!$G$8,Assumptions!$G$9,0)</x:f>
        <x:v>0</x:v>
      </x:c>
      <x:c r="AO76" s="62" t="n">
        <x:f>IF(AO$5=Assumptions!$G$8,Assumptions!$G$9,0)</x:f>
        <x:v>0</x:v>
      </x:c>
      <x:c r="AP76" s="62" t="n">
        <x:f>IF(AP$5=Assumptions!$G$8,Assumptions!$G$9,0)</x:f>
        <x:v>0</x:v>
      </x:c>
      <x:c r="AQ76" s="62" t="n">
        <x:f>IF(AQ$5=Assumptions!$G$8,Assumptions!$G$9,0)</x:f>
        <x:v>0</x:v>
      </x:c>
      <x:c r="AR76" s="62" t="n">
        <x:f>IF(AR$5=Assumptions!$G$8,Assumptions!$G$9,0)</x:f>
        <x:v>0</x:v>
      </x:c>
      <x:c r="AS76" s="62" t="n">
        <x:f>IF(AS$5=Assumptions!$G$8,Assumptions!$G$9,0)</x:f>
        <x:v>0</x:v>
      </x:c>
      <x:c r="AT76" s="62" t="n">
        <x:f>IF(AT$5=Assumptions!$G$8,Assumptions!$G$9,0)</x:f>
        <x:v>0</x:v>
      </x:c>
      <x:c r="AU76" s="62" t="n">
        <x:f>IF(AU$5=Assumptions!$G$8,Assumptions!$G$9,0)</x:f>
        <x:v>0</x:v>
      </x:c>
      <x:c r="AV76" s="62" t="n">
        <x:f>IF(AV$5=Assumptions!$G$8,Assumptions!$G$9,0)</x:f>
        <x:v>0</x:v>
      </x:c>
      <x:c r="AW76" s="62" t="n">
        <x:f>IF(AW$5=Assumptions!$G$8,Assumptions!$G$9,0)</x:f>
        <x:v>0</x:v>
      </x:c>
      <x:c r="AX76" s="62" t="n">
        <x:f>IF(AX$5=Assumptions!$G$8,Assumptions!$G$9,0)</x:f>
        <x:v>0</x:v>
      </x:c>
      <x:c r="AY76" s="62" t="n">
        <x:f>IF(AY$5=Assumptions!$G$8,Assumptions!$G$9,0)</x:f>
        <x:v>0</x:v>
      </x:c>
      <x:c r="AZ76" s="62" t="n">
        <x:f>IF(AZ$5=Assumptions!$G$8,Assumptions!$G$9,0)</x:f>
        <x:v>0</x:v>
      </x:c>
      <x:c r="BA76" s="62" t="n">
        <x:f>IF(BA$5=Assumptions!$G$8,Assumptions!$G$9,0)</x:f>
        <x:v>0</x:v>
      </x:c>
      <x:c r="BB76" s="62" t="n">
        <x:f>IF(BB$5=Assumptions!$G$8,Assumptions!$G$9,0)</x:f>
        <x:v>0</x:v>
      </x:c>
      <x:c r="BC76" s="62" t="n">
        <x:f>IF(BC$5=Assumptions!$G$8,Assumptions!$G$9,0)</x:f>
        <x:v>0</x:v>
      </x:c>
      <x:c r="BD76" s="62" t="n">
        <x:f>IF(BD$5=Assumptions!$G$8,Assumptions!$G$9,0)</x:f>
        <x:v>0</x:v>
      </x:c>
      <x:c r="BE76" s="62" t="n">
        <x:f>IF(BE$5=Assumptions!$G$8,Assumptions!$G$9,0)</x:f>
        <x:v>0</x:v>
      </x:c>
      <x:c r="BF76" s="62" t="n">
        <x:f>IF(BF$5=Assumptions!$G$8,Assumptions!$G$9,0)</x:f>
        <x:v>0</x:v>
      </x:c>
      <x:c r="BG76" s="62" t="n">
        <x:f>IF(BG$5=Assumptions!$G$8,Assumptions!$G$9,0)</x:f>
        <x:v>0</x:v>
      </x:c>
      <x:c r="BH76" s="62" t="n">
        <x:f>IF(BH$5=Assumptions!$G$8,Assumptions!$G$9,0)</x:f>
        <x:v>0</x:v>
      </x:c>
      <x:c r="BI76" s="62" t="n">
        <x:f>IF(BI$5=Assumptions!$G$8,Assumptions!$G$9,0)</x:f>
        <x:v>0</x:v>
      </x:c>
      <x:c r="BJ76" s="62" t="n">
        <x:f>IF(BJ$5=Assumptions!$G$8,Assumptions!$G$9,0)</x:f>
        <x:v>0</x:v>
      </x:c>
    </x:row>
    <x:row r="77">
      <x:c r="A77" t="str">
        <x:v>Net Cash Flow</x:v>
      </x:c>
      <x:c r="B77" t="str">
        <x:v>$</x:v>
      </x:c>
      <x:c r="C77" s="62" t="n">
        <x:f>C73-C75-C74+C76</x:f>
        <x:v>-194166.6666666667</x:v>
      </x:c>
      <x:c r="D77" s="62" t="n">
        <x:f>D73-D75-D74+D76</x:f>
        <x:v>-175526.6666666667</x:v>
      </x:c>
      <x:c r="E77" s="62" t="n">
        <x:f>E73-E75-E74+E76</x:f>
        <x:v>-145927.46666666667</x:v>
      </x:c>
      <x:c r="F77" s="62" t="n">
        <x:f>F73-F75-F74+F76</x:f>
        <x:v>-122885.18348177068</x:v>
      </x:c>
      <x:c r="G77" s="62" t="n">
        <x:f>G73-G75-G74+G76</x:f>
        <x:v>-103818.93853488094</x:v>
      </x:c>
      <x:c r="H77" s="62" t="n">
        <x:f>H73-H75-H74+H76</x:f>
        <x:v>-93529.30716909193</x:v>
      </x:c>
      <x:c r="I77" s="62" t="n">
        <x:f>I73-I75-I74+I76</x:f>
        <x:v>-73919.26505474842</x:v>
      </x:c>
      <x:c r="J77" s="62" t="n">
        <x:f>J73-J75-J74+J76</x:f>
        <x:v>-68247.83019006994</x:v>
      </x:c>
      <x:c r="K77" s="62" t="n">
        <x:f>K73-K75-K74+K76</x:f>
        <x:v>-40443.08890112406</x:v>
      </x:c>
      <x:c r="L77" s="62" t="n">
        <x:f>L73-L75-L74+L76</x:f>
        <x:v>4959149.0297898725</x:v>
      </x:c>
      <x:c r="M77" s="62" t="n">
        <x:f>M73-M75-M74+M76</x:f>
        <x:v>-26474.728845493784</x:v>
      </x:c>
      <x:c r="N77" s="62" t="n">
        <x:f>N73-N75-N74+N76</x:f>
        <x:v>-10370.711964749275</x:v>
      </x:c>
      <x:c r="O77" s="62" t="n">
        <x:f>O73-O75-O74+O76</x:f>
        <x:v>11571.239101848905</x:v>
      </x:c>
      <x:c r="P77" s="62" t="n">
        <x:f>P73-P75-P74+P76</x:f>
        <x:v>18928.425213632123</x:v>
      </x:c>
      <x:c r="Q77" s="62" t="n">
        <x:f>Q73-Q75-Q74+Q76</x:f>
        <x:v>37420.36798902112</x:v>
      </x:c>
      <x:c r="R77" s="62" t="n">
        <x:f>R73-R75-R74+R76</x:f>
        <x:v>57178.162502540516</x:v>
      </x:c>
      <x:c r="S77" s="62" t="n">
        <x:f>S73-S75-S74+S76</x:f>
        <x:v>78285.60522786574</x:v>
      </x:c>
      <x:c r="T77" s="62" t="n">
        <x:f>T73-T75-T74+T76</x:f>
        <x:v>100836.78478616502</x:v>
      </x:c>
      <x:c r="U77" s="62" t="n">
        <x:f>U73-U75-U74+U76</x:f>
        <x:v>89516.1213160874</x:v>
      </x:c>
      <x:c r="V77" s="62" t="n">
        <x:f>V73-V75-V74+V76</x:f>
        <x:v>136290.97680476765</x:v>
      </x:c>
      <x:c r="W77" s="62" t="n">
        <x:f>W73-W75-W74+W76</x:f>
        <x:v>181134.9378755983</x:v>
      </x:c>
      <x:c r="X77" s="62" t="n">
        <x:f>X73-X75-X74+X76</x:f>
        <x:v>213070.1952938768</x:v>
      </x:c>
      <x:c r="Y77" s="62" t="n">
        <x:f>Y73-Y75-Y74+Y76</x:f>
        <x:v>234319.9083572005</x:v>
      </x:c>
      <x:c r="Z77" s="62" t="n">
        <x:f>Z73-Z75-Z74+Z76</x:f>
        <x:v>270897.36511174205</x:v>
      </x:c>
      <x:c r="AA77" s="62" t="n">
        <x:f>AA73-AA75-AA74+AA76</x:f>
        <x:v>324281.37820542534</x:v>
      </x:c>
      <x:c r="AB77" s="62" t="n">
        <x:f>AB73-AB75-AB74+AB76</x:f>
        <x:v>372258.94620924233</x:v>
      </x:c>
      <x:c r="AC77" s="62" t="n">
        <x:f>AC73-AC75-AC74+AC76</x:f>
        <x:v>413012.95443748217</x:v>
      </x:c>
      <x:c r="AD77" s="62" t="n">
        <x:f>AD73-AD75-AD74+AD76</x:f>
        <x:v>441157.8178930083</x:v>
      </x:c>
      <x:c r="AE77" s="62" t="n">
        <x:f>AE73-AE75-AE74+AE76</x:f>
        <x:v>483069.58048033825</x:v>
      </x:c>
      <x:c r="AF77" s="62" t="n">
        <x:f>AF73-AF75-AF74+AF76</x:f>
        <x:v>512555.9817889168</x:v>
      </x:c>
      <x:c r="AG77" s="62" t="n">
        <x:f>AG73-AG75-AG74+AG76</x:f>
        <x:v>556015.3322549892</x:v>
      </x:c>
      <x:c r="AH77" s="62" t="n">
        <x:f>AH73-AH75-AH74+AH76</x:f>
        <x:v>599031.3295913693</x:v>
      </x:c>
      <x:c r="AI77" s="62" t="n">
        <x:f>AI73-AI75-AI74+AI76</x:f>
        <x:v>616945.4504766547</x:v>
      </x:c>
      <x:c r="AJ77" s="62" t="n">
        <x:f>AJ73-AJ75-AJ74+AJ76</x:f>
        <x:v>662539.5276733025</x:v>
      </x:c>
      <x:c r="AK77" s="62" t="n">
        <x:f>AK73-AK75-AK74+AK76</x:f>
        <x:v>697490.0584553437</x:v>
      </x:c>
      <x:c r="AL77" s="62" t="n">
        <x:f>AL73-AL75-AL74+AL76</x:f>
        <x:v>735583.6095085819</x:v>
      </x:c>
      <x:c r="AM77" s="62" t="n">
        <x:f>AM73-AM75-AM74+AM76</x:f>
        <x:v>802630.2319528376</x:v>
      </x:c>
      <x:c r="AN77" s="62" t="n">
        <x:f>AN73-AN75-AN74+AN76</x:f>
        <x:v>872622.3490177735</x:v>
      </x:c>
      <x:c r="AO77" s="62" t="n">
        <x:f>AO73-AO75-AO74+AO76</x:f>
        <x:v>904306.1810578642</x:v>
      </x:c>
      <x:c r="AP77" s="62" t="n">
        <x:f>AP73-AP75-AP74+AP76</x:f>
        <x:v>967964.5323933795</x:v>
      </x:c>
      <x:c r="AQ77" s="62" t="n">
        <x:f>AQ73-AQ75-AQ74+AQ76</x:f>
        <x:v>1022130.3232047489</x:v>
      </x:c>
      <x:c r="AR77" s="62" t="n">
        <x:f>AR73-AR75-AR74+AR76</x:f>
        <x:v>1079935.1258969717</x:v>
      </x:c>
      <x:c r="AS77" s="62" t="n">
        <x:f>AS73-AS75-AS74+AS76</x:f>
        <x:v>1142027.5550052254</x:v>
      </x:c>
      <x:c r="AT77" s="62" t="n">
        <x:f>AT73-AT75-AT74+AT76</x:f>
        <x:v>1205328.489554809</x:v>
      </x:c>
      <x:c r="AU77" s="62" t="n">
        <x:f>AU73-AU75-AU74+AU76</x:f>
        <x:v>1260827.2100269175</x:v>
      </x:c>
      <x:c r="AV77" s="62" t="n">
        <x:f>AV73-AV75-AV74+AV76</x:f>
        <x:v>1330463.4123740525</x:v>
      </x:c>
      <x:c r="AW77" s="62" t="n">
        <x:f>AW73-AW75-AW74+AW76</x:f>
        <x:v>1392186.3922060628</x:v>
      </x:c>
      <x:c r="AX77" s="62" t="n">
        <x:f>AX73-AX75-AX74+AX76</x:f>
        <x:v>1481346.6155206142</x:v>
      </x:c>
      <x:c r="AY77" s="62" t="n">
        <x:f>AY73-AY75-AY74+AY76</x:f>
        <x:v>1609300.5209730566</x:v>
      </x:c>
      <x:c r="AZ77" s="62" t="n">
        <x:f>AZ73-AZ75-AZ74+AZ76</x:f>
        <x:v>1687848.7119954063</x:v>
      </x:c>
      <x:c r="BA77" s="62" t="n">
        <x:f>BA73-BA75-BA74+BA76</x:f>
        <x:v>1774400.0391235962</x:v>
      </x:c>
      <x:c r="BB77" s="62" t="n">
        <x:f>BB73-BB75-BB74+BB76</x:f>
        <x:v>1864356.8640524447</x:v>
      </x:c>
      <x:c r="BC77" s="62" t="n">
        <x:f>BC73-BC75-BC74+BC76</x:f>
        <x:v>1954075.7424435914</x:v>
      </x:c>
      <x:c r="BD77" s="62" t="n">
        <x:f>BD73-BD75-BD74+BD76</x:f>
        <x:v>2036074.1283215377</x:v>
      </x:c>
      <x:c r="BE77" s="62" t="n">
        <x:f>BE73-BE75-BE74+BE76</x:f>
        <x:v>2134681.7125029657</x:v>
      </x:c>
      <x:c r="BF77" s="62" t="n">
        <x:f>BF73-BF75-BF74+BF76</x:f>
        <x:v>2215287.6779199797</x:v>
      </x:c>
      <x:c r="BG77" s="62" t="n">
        <x:f>BG73-BG75-BG74+BG76</x:f>
        <x:v>2323101.448587768</x:v>
      </x:c>
      <x:c r="BH77" s="62" t="n">
        <x:f>BH73-BH75-BH74+BH76</x:f>
        <x:v>2420182.394437194</x:v>
      </x:c>
      <x:c r="BI77" s="62" t="n">
        <x:f>BI73-BI75-BI74+BI76</x:f>
        <x:v>2513419.488088716</x:v>
      </x:c>
      <x:c r="BJ77" s="62" t="n">
        <x:f>BJ73-BJ75-BJ74+BJ76</x:f>
        <x:v>2624715.108611847</x:v>
      </x:c>
    </x:row>
    <x:row r="78">
      <x:c r="A78" t="str">
        <x:v>Ending Cash</x:v>
      </x:c>
      <x:c r="B78" t="str">
        <x:v>$</x:v>
      </x:c>
      <x:c r="C78" s="62" t="n">
        <x:f>Assumptions!$G$7+C77</x:f>
        <x:v>2305833.3333333335</x:v>
      </x:c>
      <x:c r="D78" s="62" t="n">
        <x:f>C78+D77</x:f>
        <x:v>2130306.666666667</x:v>
      </x:c>
      <x:c r="E78" s="62" t="n">
        <x:f>D78+E77</x:f>
        <x:v>1984379.2000000002</x:v>
      </x:c>
      <x:c r="F78" s="62" t="n">
        <x:f>E78+F77</x:f>
        <x:v>1861494.0165182296</x:v>
      </x:c>
      <x:c r="G78" s="62" t="n">
        <x:f>F78+G77</x:f>
        <x:v>1757675.0779833486</x:v>
      </x:c>
      <x:c r="H78" s="62" t="n">
        <x:f>G78+H77</x:f>
        <x:v>1664145.7708142567</x:v>
      </x:c>
      <x:c r="I78" s="62" t="n">
        <x:f>H78+I77</x:f>
        <x:v>1590226.5057595083</x:v>
      </x:c>
      <x:c r="J78" s="62" t="n">
        <x:f>I78+J77</x:f>
        <x:v>1521978.6755694384</x:v>
      </x:c>
      <x:c r="K78" s="62" t="n">
        <x:f>J78+K77</x:f>
        <x:v>1481535.5866683144</x:v>
      </x:c>
      <x:c r="L78" s="62" t="n">
        <x:f>K78+L77</x:f>
        <x:v>6440684.616458187</x:v>
      </x:c>
      <x:c r="M78" s="62" t="n">
        <x:f>L78+M77</x:f>
        <x:v>6414209.887612693</x:v>
      </x:c>
      <x:c r="N78" s="62" t="n">
        <x:f>M78+N77</x:f>
        <x:v>6403839.175647943</x:v>
      </x:c>
      <x:c r="O78" s="62" t="n">
        <x:f>N78+O77</x:f>
        <x:v>6415410.414749792</x:v>
      </x:c>
      <x:c r="P78" s="62" t="n">
        <x:f>O78+P77</x:f>
        <x:v>6434338.839963424</x:v>
      </x:c>
      <x:c r="Q78" s="62" t="n">
        <x:f>P78+Q77</x:f>
        <x:v>6471759.207952445</x:v>
      </x:c>
      <x:c r="R78" s="62" t="n">
        <x:f>Q78+R77</x:f>
        <x:v>6528937.370454986</x:v>
      </x:c>
      <x:c r="S78" s="62" t="n">
        <x:f>R78+S77</x:f>
        <x:v>6607222.975682851</x:v>
      </x:c>
      <x:c r="T78" s="62" t="n">
        <x:f>S78+T77</x:f>
        <x:v>6708059.760469016</x:v>
      </x:c>
      <x:c r="U78" s="62" t="n">
        <x:f>T78+U77</x:f>
        <x:v>6797575.881785103</x:v>
      </x:c>
      <x:c r="V78" s="62" t="n">
        <x:f>U78+V77</x:f>
        <x:v>6933866.858589871</x:v>
      </x:c>
      <x:c r="W78" s="62" t="n">
        <x:f>V78+W77</x:f>
        <x:v>7115001.7964654695</x:v>
      </x:c>
      <x:c r="X78" s="62" t="n">
        <x:f>W78+X77</x:f>
        <x:v>7328071.991759347</x:v>
      </x:c>
      <x:c r="Y78" s="62" t="n">
        <x:f>X78+Y77</x:f>
        <x:v>7562391.900116547</x:v>
      </x:c>
      <x:c r="Z78" s="62" t="n">
        <x:f>Y78+Z77</x:f>
        <x:v>7833289.265228289</x:v>
      </x:c>
      <x:c r="AA78" s="62" t="n">
        <x:f>Z78+AA77</x:f>
        <x:v>8157570.643433714</x:v>
      </x:c>
      <x:c r="AB78" s="62" t="n">
        <x:f>AA78+AB77</x:f>
        <x:v>8529829.589642957</x:v>
      </x:c>
      <x:c r="AC78" s="62" t="n">
        <x:f>AB78+AC77</x:f>
        <x:v>8942842.54408044</x:v>
      </x:c>
      <x:c r="AD78" s="62" t="n">
        <x:f>AC78+AD77</x:f>
        <x:v>9384000.361973448</x:v>
      </x:c>
      <x:c r="AE78" s="62" t="n">
        <x:f>AD78+AE77</x:f>
        <x:v>9867069.942453787</x:v>
      </x:c>
      <x:c r="AF78" s="62" t="n">
        <x:f>AE78+AF77</x:f>
        <x:v>10379625.924242703</x:v>
      </x:c>
      <x:c r="AG78" s="62" t="n">
        <x:f>AF78+AG77</x:f>
        <x:v>10935641.256497692</x:v>
      </x:c>
      <x:c r="AH78" s="62" t="n">
        <x:f>AG78+AH77</x:f>
        <x:v>11534672.586089062</x:v>
      </x:c>
      <x:c r="AI78" s="62" t="n">
        <x:f>AH78+AI77</x:f>
        <x:v>12151618.036565715</x:v>
      </x:c>
      <x:c r="AJ78" s="62" t="n">
        <x:f>AI78+AJ77</x:f>
        <x:v>12814157.564239018</x:v>
      </x:c>
      <x:c r="AK78" s="62" t="n">
        <x:f>AJ78+AK77</x:f>
        <x:v>13511647.622694362</x:v>
      </x:c>
      <x:c r="AL78" s="62" t="n">
        <x:f>AK78+AL77</x:f>
        <x:v>14247231.232202943</x:v>
      </x:c>
      <x:c r="AM78" s="62" t="n">
        <x:f>AL78+AM77</x:f>
        <x:v>15049861.46415578</x:v>
      </x:c>
      <x:c r="AN78" s="62" t="n">
        <x:f>AM78+AN77</x:f>
        <x:v>15922483.813173553</x:v>
      </x:c>
      <x:c r="AO78" s="62" t="n">
        <x:f>AN78+AO77</x:f>
        <x:v>16826789.994231418</x:v>
      </x:c>
      <x:c r="AP78" s="62" t="n">
        <x:f>AO78+AP77</x:f>
        <x:v>17794754.5266248</x:v>
      </x:c>
      <x:c r="AQ78" s="62" t="n">
        <x:f>AP78+AQ77</x:f>
        <x:v>18816884.849829547</x:v>
      </x:c>
      <x:c r="AR78" s="62" t="n">
        <x:f>AQ78+AR77</x:f>
        <x:v>19896819.97572652</x:v>
      </x:c>
      <x:c r="AS78" s="62" t="n">
        <x:f>AR78+AS77</x:f>
        <x:v>21038847.530731745</x:v>
      </x:c>
      <x:c r="AT78" s="62" t="n">
        <x:f>AS78+AT77</x:f>
        <x:v>22244176.020286553</x:v>
      </x:c>
      <x:c r="AU78" s="62" t="n">
        <x:f>AT78+AU77</x:f>
        <x:v>23505003.23031347</x:v>
      </x:c>
      <x:c r="AV78" s="62" t="n">
        <x:f>AU78+AV77</x:f>
        <x:v>24835466.642687522</x:v>
      </x:c>
      <x:c r="AW78" s="62" t="n">
        <x:f>AV78+AW77</x:f>
        <x:v>26227653.034893584</x:v>
      </x:c>
      <x:c r="AX78" s="62" t="n">
        <x:f>AW78+AX77</x:f>
        <x:v>27708999.6504142</x:v>
      </x:c>
      <x:c r="AY78" s="62" t="n">
        <x:f>AX78+AY77</x:f>
        <x:v>29318300.171387255</x:v>
      </x:c>
      <x:c r="AZ78" s="62" t="n">
        <x:f>AY78+AZ77</x:f>
        <x:v>31006148.883382663</x:v>
      </x:c>
      <x:c r="BA78" s="62" t="n">
        <x:f>AZ78+BA77</x:f>
        <x:v>32780548.922506258</x:v>
      </x:c>
      <x:c r="BB78" s="62" t="n">
        <x:f>BA78+BB77</x:f>
        <x:v>34644905.7865587</x:v>
      </x:c>
      <x:c r="BC78" s="62" t="n">
        <x:f>BB78+BC77</x:f>
        <x:v>36598981.529002294</x:v>
      </x:c>
      <x:c r="BD78" s="62" t="n">
        <x:f>BC78+BD77</x:f>
        <x:v>38635055.65732383</x:v>
      </x:c>
      <x:c r="BE78" s="62" t="n">
        <x:f>BD78+BE77</x:f>
        <x:v>40769737.36982679</x:v>
      </x:c>
      <x:c r="BF78" s="62" t="n">
        <x:f>BE78+BF77</x:f>
        <x:v>42985025.04774677</x:v>
      </x:c>
      <x:c r="BG78" s="62" t="n">
        <x:f>BF78+BG77</x:f>
        <x:v>45308126.49633454</x:v>
      </x:c>
      <x:c r="BH78" s="62" t="n">
        <x:f>BG78+BH77</x:f>
        <x:v>47728308.89077173</x:v>
      </x:c>
      <x:c r="BI78" s="62" t="n">
        <x:f>BH78+BI77</x:f>
        <x:v>50241728.378860444</x:v>
      </x:c>
      <x:c r="BJ78" s="62" t="n">
        <x:f>BI78+BJ77</x:f>
        <x:v>52866443.48747229</x:v>
      </x:c>
    </x:row>
    <x:row r="79">
      <x:c r="A79" t="str">
        <x:v>Minimum Cash to Date</x:v>
      </x:c>
      <x:c r="B79" t="str">
        <x:v>$</x:v>
      </x:c>
      <x:c r="C79" s="62" t="n">
        <x:f>C78</x:f>
        <x:v>2305833.3333333335</x:v>
      </x:c>
      <x:c r="D79" s="62" t="n">
        <x:f>MIN(C79,D78)</x:f>
        <x:v>2130306.666666667</x:v>
      </x:c>
      <x:c r="E79" s="62" t="n">
        <x:f>MIN(D79,E78)</x:f>
        <x:v>1984379.2000000002</x:v>
      </x:c>
      <x:c r="F79" s="62" t="n">
        <x:f>MIN(E79,F78)</x:f>
        <x:v>1861494.0165182296</x:v>
      </x:c>
      <x:c r="G79" s="62" t="n">
        <x:f>MIN(F79,G78)</x:f>
        <x:v>1757675.0779833486</x:v>
      </x:c>
      <x:c r="H79" s="62" t="n">
        <x:f>MIN(G79,H78)</x:f>
        <x:v>1664145.7708142567</x:v>
      </x:c>
      <x:c r="I79" s="62" t="n">
        <x:f>MIN(H79,I78)</x:f>
        <x:v>1590226.5057595083</x:v>
      </x:c>
      <x:c r="J79" s="62" t="n">
        <x:f>MIN(I79,J78)</x:f>
        <x:v>1521978.6755694384</x:v>
      </x:c>
      <x:c r="K79" s="62" t="n">
        <x:f>MIN(J79,K78)</x:f>
        <x:v>1481535.5866683144</x:v>
      </x:c>
      <x:c r="L79" s="62" t="n">
        <x:f>MIN(K79,L78)</x:f>
        <x:v>1481535.5866683144</x:v>
      </x:c>
      <x:c r="M79" s="62" t="n">
        <x:f>MIN(L79,M78)</x:f>
        <x:v>1481535.5866683144</x:v>
      </x:c>
      <x:c r="N79" s="62" t="n">
        <x:f>MIN(M79,N78)</x:f>
        <x:v>1481535.5866683144</x:v>
      </x:c>
      <x:c r="O79" s="62" t="n">
        <x:f>MIN(N79,O78)</x:f>
        <x:v>1481535.5866683144</x:v>
      </x:c>
      <x:c r="P79" s="62" t="n">
        <x:f>MIN(O79,P78)</x:f>
        <x:v>1481535.5866683144</x:v>
      </x:c>
      <x:c r="Q79" s="62" t="n">
        <x:f>MIN(P79,Q78)</x:f>
        <x:v>1481535.5866683144</x:v>
      </x:c>
      <x:c r="R79" s="62" t="n">
        <x:f>MIN(Q79,R78)</x:f>
        <x:v>1481535.5866683144</x:v>
      </x:c>
      <x:c r="S79" s="62" t="n">
        <x:f>MIN(R79,S78)</x:f>
        <x:v>1481535.5866683144</x:v>
      </x:c>
      <x:c r="T79" s="62" t="n">
        <x:f>MIN(S79,T78)</x:f>
        <x:v>1481535.5866683144</x:v>
      </x:c>
      <x:c r="U79" s="62" t="n">
        <x:f>MIN(T79,U78)</x:f>
        <x:v>1481535.5866683144</x:v>
      </x:c>
      <x:c r="V79" s="62" t="n">
        <x:f>MIN(U79,V78)</x:f>
        <x:v>1481535.5866683144</x:v>
      </x:c>
      <x:c r="W79" s="62" t="n">
        <x:f>MIN(V79,W78)</x:f>
        <x:v>1481535.5866683144</x:v>
      </x:c>
      <x:c r="X79" s="62" t="n">
        <x:f>MIN(W79,X78)</x:f>
        <x:v>1481535.5866683144</x:v>
      </x:c>
      <x:c r="Y79" s="62" t="n">
        <x:f>MIN(X79,Y78)</x:f>
        <x:v>1481535.5866683144</x:v>
      </x:c>
      <x:c r="Z79" s="62" t="n">
        <x:f>MIN(Y79,Z78)</x:f>
        <x:v>1481535.5866683144</x:v>
      </x:c>
      <x:c r="AA79" s="62" t="n">
        <x:f>MIN(Z79,AA78)</x:f>
        <x:v>1481535.5866683144</x:v>
      </x:c>
      <x:c r="AB79" s="62" t="n">
        <x:f>MIN(AA79,AB78)</x:f>
        <x:v>1481535.5866683144</x:v>
      </x:c>
      <x:c r="AC79" s="62" t="n">
        <x:f>MIN(AB79,AC78)</x:f>
        <x:v>1481535.5866683144</x:v>
      </x:c>
      <x:c r="AD79" s="62" t="n">
        <x:f>MIN(AC79,AD78)</x:f>
        <x:v>1481535.5866683144</x:v>
      </x:c>
      <x:c r="AE79" s="62" t="n">
        <x:f>MIN(AD79,AE78)</x:f>
        <x:v>1481535.5866683144</x:v>
      </x:c>
      <x:c r="AF79" s="62" t="n">
        <x:f>MIN(AE79,AF78)</x:f>
        <x:v>1481535.5866683144</x:v>
      </x:c>
      <x:c r="AG79" s="62" t="n">
        <x:f>MIN(AF79,AG78)</x:f>
        <x:v>1481535.5866683144</x:v>
      </x:c>
      <x:c r="AH79" s="62" t="n">
        <x:f>MIN(AG79,AH78)</x:f>
        <x:v>1481535.5866683144</x:v>
      </x:c>
      <x:c r="AI79" s="62" t="n">
        <x:f>MIN(AH79,AI78)</x:f>
        <x:v>1481535.5866683144</x:v>
      </x:c>
      <x:c r="AJ79" s="62" t="n">
        <x:f>MIN(AI79,AJ78)</x:f>
        <x:v>1481535.5866683144</x:v>
      </x:c>
      <x:c r="AK79" s="62" t="n">
        <x:f>MIN(AJ79,AK78)</x:f>
        <x:v>1481535.5866683144</x:v>
      </x:c>
      <x:c r="AL79" s="62" t="n">
        <x:f>MIN(AK79,AL78)</x:f>
        <x:v>1481535.5866683144</x:v>
      </x:c>
      <x:c r="AM79" s="62" t="n">
        <x:f>MIN(AL79,AM78)</x:f>
        <x:v>1481535.5866683144</x:v>
      </x:c>
      <x:c r="AN79" s="62" t="n">
        <x:f>MIN(AM79,AN78)</x:f>
        <x:v>1481535.5866683144</x:v>
      </x:c>
      <x:c r="AO79" s="62" t="n">
        <x:f>MIN(AN79,AO78)</x:f>
        <x:v>1481535.5866683144</x:v>
      </x:c>
      <x:c r="AP79" s="62" t="n">
        <x:f>MIN(AO79,AP78)</x:f>
        <x:v>1481535.5866683144</x:v>
      </x:c>
      <x:c r="AQ79" s="62" t="n">
        <x:f>MIN(AP79,AQ78)</x:f>
        <x:v>1481535.5866683144</x:v>
      </x:c>
      <x:c r="AR79" s="62" t="n">
        <x:f>MIN(AQ79,AR78)</x:f>
        <x:v>1481535.5866683144</x:v>
      </x:c>
      <x:c r="AS79" s="62" t="n">
        <x:f>MIN(AR79,AS78)</x:f>
        <x:v>1481535.5866683144</x:v>
      </x:c>
      <x:c r="AT79" s="62" t="n">
        <x:f>MIN(AS79,AT78)</x:f>
        <x:v>1481535.5866683144</x:v>
      </x:c>
      <x:c r="AU79" s="62" t="n">
        <x:f>MIN(AT79,AU78)</x:f>
        <x:v>1481535.5866683144</x:v>
      </x:c>
      <x:c r="AV79" s="62" t="n">
        <x:f>MIN(AU79,AV78)</x:f>
        <x:v>1481535.5866683144</x:v>
      </x:c>
      <x:c r="AW79" s="62" t="n">
        <x:f>MIN(AV79,AW78)</x:f>
        <x:v>1481535.5866683144</x:v>
      </x:c>
      <x:c r="AX79" s="62" t="n">
        <x:f>MIN(AW79,AX78)</x:f>
        <x:v>1481535.5866683144</x:v>
      </x:c>
      <x:c r="AY79" s="62" t="n">
        <x:f>MIN(AX79,AY78)</x:f>
        <x:v>1481535.5866683144</x:v>
      </x:c>
      <x:c r="AZ79" s="62" t="n">
        <x:f>MIN(AY79,AZ78)</x:f>
        <x:v>1481535.5866683144</x:v>
      </x:c>
      <x:c r="BA79" s="62" t="n">
        <x:f>MIN(AZ79,BA78)</x:f>
        <x:v>1481535.5866683144</x:v>
      </x:c>
      <x:c r="BB79" s="62" t="n">
        <x:f>MIN(BA79,BB78)</x:f>
        <x:v>1481535.5866683144</x:v>
      </x:c>
      <x:c r="BC79" s="62" t="n">
        <x:f>MIN(BB79,BC78)</x:f>
        <x:v>1481535.5866683144</x:v>
      </x:c>
      <x:c r="BD79" s="62" t="n">
        <x:f>MIN(BC79,BD78)</x:f>
        <x:v>1481535.5866683144</x:v>
      </x:c>
      <x:c r="BE79" s="62" t="n">
        <x:f>MIN(BD79,BE78)</x:f>
        <x:v>1481535.5866683144</x:v>
      </x:c>
      <x:c r="BF79" s="62" t="n">
        <x:f>MIN(BE79,BF78)</x:f>
        <x:v>1481535.5866683144</x:v>
      </x:c>
      <x:c r="BG79" s="62" t="n">
        <x:f>MIN(BF79,BG78)</x:f>
        <x:v>1481535.5866683144</x:v>
      </x:c>
      <x:c r="BH79" s="62" t="n">
        <x:f>MIN(BG79,BH78)</x:f>
        <x:v>1481535.5866683144</x:v>
      </x:c>
      <x:c r="BI79" s="62" t="n">
        <x:f>MIN(BH79,BI78)</x:f>
        <x:v>1481535.5866683144</x:v>
      </x:c>
      <x:c r="BJ79" s="62" t="n">
        <x:f>MIN(BI79,BJ78)</x:f>
        <x:v>1481535.5866683144</x:v>
      </x:c>
    </x:row>
    <x:row r="81">
      <x:c r="A81" s="3" t="str">
        <x:v>Customer &amp; Efficiency Metrics</x:v>
      </x:c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  <x:c r="BG81" s="3"/>
      <x:c r="BH81" s="3"/>
      <x:c r="BI81" s="3"/>
      <x:c r="BJ81" s="3"/>
    </x:row>
    <x:row r="82">
      <x:c r="A82" t="str">
        <x:v>New core engagements</x:v>
      </x:c>
      <x:c r="B82" t="str">
        <x:v>count</x:v>
      </x:c>
      <x:c r="C82" s="68" t="n">
        <x:f>C16+C18+C19</x:f>
        <x:v>0</x:v>
      </x:c>
      <x:c r="D82" s="68" t="n">
        <x:f>D16+D18+D19</x:f>
        <x:v>0</x:v>
      </x:c>
      <x:c r="E82" s="68" t="n">
        <x:f>E16+E18+E19</x:f>
        <x:v>0.48</x:v>
      </x:c>
      <x:c r="F82" s="68" t="n">
        <x:f>F16+F18+F19</x:f>
        <x:v>0.87550246912</x:v>
      </x:c>
      <x:c r="G82" s="68" t="n">
        <x:f>G16+G18+G19</x:f>
        <x:v>1.0769976822615148</x:v>
      </x:c>
      <x:c r="H82" s="68" t="n">
        <x:f>H16+H18+H19</x:f>
        <x:v>1.2576446544743187</x:v>
      </x:c>
      <x:c r="I82" s="68" t="n">
        <x:f>I16+I18+I19</x:f>
        <x:v>1.3421082729689815</x:v>
      </x:c>
      <x:c r="J82" s="68" t="n">
        <x:f>J16+J18+J19</x:f>
        <x:v>1.4978467983540023</x:v>
      </x:c>
      <x:c r="K82" s="68" t="n">
        <x:f>K16+K18+K19</x:f>
        <x:v>1.6490857855059613</x:v>
      </x:c>
      <x:c r="L82" s="68" t="n">
        <x:f>L16+L18+L19</x:f>
        <x:v>1.76188248724444</x:v>
      </x:c>
      <x:c r="M82" s="68" t="n">
        <x:f>M16+M18+M19</x:f>
        <x:v>1.8826651375250942</x:v>
      </x:c>
      <x:c r="N82" s="68" t="n">
        <x:f>N16+N18+N19</x:f>
        <x:v>2.0119767275197042</x:v>
      </x:c>
      <x:c r="O82" s="68" t="n">
        <x:f>O16+O18+O19</x:f>
        <x:v>2.15027912433515</x:v>
      </x:c>
      <x:c r="P82" s="68" t="n">
        <x:f>P16+P18+P19</x:f>
        <x:v>2.29820412900137</x:v>
      </x:c>
      <x:c r="Q82" s="68" t="n">
        <x:f>Q16+Q18+Q19</x:f>
        <x:v>2.45646698199202</x:v>
      </x:c>
      <x:c r="R82" s="68" t="n">
        <x:f>R16+R18+R19</x:f>
        <x:v>2.6257358520240177</x:v>
      </x:c>
      <x:c r="S82" s="68" t="n">
        <x:f>S16+S18+S19</x:f>
        <x:v>2.806784847692629</x:v>
      </x:c>
      <x:c r="T82" s="68" t="n">
        <x:f>T16+T18+T19</x:f>
        <x:v>3.0004661973576083</x:v>
      </x:c>
      <x:c r="U82" s="68" t="n">
        <x:f>U16+U18+U19</x:f>
        <x:v>3.20771119883351</x:v>
      </x:c>
      <x:c r="V82" s="68" t="n">
        <x:f>V16+V18+V19</x:f>
        <x:v>3.4295385137462766</x:v>
      </x:c>
      <x:c r="W82" s="68" t="n">
        <x:f>W16+W18+W19</x:f>
        <x:v>3.6670404428294536</x:v>
      </x:c>
      <x:c r="X82" s="68" t="n">
        <x:f>X16+X18+X19</x:f>
        <x:v>3.9214042030373855</x:v>
      </x:c>
      <x:c r="Y82" s="68" t="n">
        <x:f>Y16+Y18+Y19</x:f>
        <x:v>4.193922873716867</x:v>
      </x:c>
      <x:c r="Z82" s="68" t="n">
        <x:f>Z16+Z18+Z19</x:f>
        <x:v>4.486001466929087</x:v>
      </x:c>
      <x:c r="AA82" s="68" t="n">
        <x:f>AA16+AA18+AA19</x:f>
        <x:v>4.799168246711702</x:v>
      </x:c>
      <x:c r="AB82" s="68" t="n">
        <x:f>AB16+AB18+AB19</x:f>
        <x:v>5.135087445939915</x:v>
      </x:c>
      <x:c r="AC82" s="68" t="n">
        <x:f>AC16+AC18+AC19</x:f>
        <x:v>5.441865678365894</x:v>
      </x:c>
      <x:c r="AD82" s="68" t="n">
        <x:f>AD16+AD18+AD19</x:f>
        <x:v>5.727997823899437</x:v>
      </x:c>
      <x:c r="AE82" s="68" t="n">
        <x:f>AE16+AE18+AE19</x:f>
        <x:v>6.015001545074652</x:v>
      </x:c>
      <x:c r="AF82" s="68" t="n">
        <x:f>AF16+AF18+AF19</x:f>
        <x:v>6.305909924437415</x:v>
      </x:c>
      <x:c r="AG82" s="68" t="n">
        <x:f>AG16+AG18+AG19</x:f>
        <x:v>6.612440902887905</x:v>
      </x:c>
      <x:c r="AH82" s="68" t="n">
        <x:f>AH16+AH18+AH19</x:f>
        <x:v>6.928202639861157</x:v>
      </x:c>
      <x:c r="AI82" s="68" t="n">
        <x:f>AI16+AI18+AI19</x:f>
        <x:v>7.25501184169865</x:v>
      </x:c>
      <x:c r="AJ82" s="68" t="n">
        <x:f>AJ16+AJ18+AJ19</x:f>
        <x:v>7.5986924395929245</x:v>
      </x:c>
      <x:c r="AK82" s="68" t="n">
        <x:f>AK16+AK18+AK19</x:f>
        <x:v>7.960228819459208</x:v>
      </x:c>
      <x:c r="AL82" s="68" t="n">
        <x:f>AL16+AL18+AL19</x:f>
        <x:v>8.340658108730262</x:v>
      </x:c>
      <x:c r="AM82" s="68" t="n">
        <x:f>AM16+AM18+AM19</x:f>
        <x:v>8.741113702102135</x:v>
      </x:c>
      <x:c r="AN82" s="68" t="n">
        <x:f>AN16+AN18+AN19</x:f>
        <x:v>9.162822359805228</x:v>
      </x:c>
      <x:c r="AO82" s="68" t="n">
        <x:f>AO16+AO18+AO19</x:f>
        <x:v>9.607099146929231</x:v>
      </x:c>
      <x:c r="AP82" s="68" t="n">
        <x:f>AP16+AP18+AP19</x:f>
        <x:v>10.075370295780793</x:v>
      </x:c>
      <x:c r="AQ82" s="68" t="n">
        <x:f>AQ16+AQ18+AQ19</x:f>
        <x:v>10.569172421736319</x:v>
      </x:c>
      <x:c r="AR82" s="68" t="n">
        <x:f>AR16+AR18+AR19</x:f>
        <x:v>11.090162792010005</x:v>
      </x:c>
      <x:c r="AS82" s="68" t="n">
        <x:f>AS16+AS18+AS19</x:f>
        <x:v>11.640130417599316</x:v>
      </x:c>
      <x:c r="AT82" s="68" t="n">
        <x:f>AT16+AT18+AT19</x:f>
        <x:v>12.221005633307895</x:v>
      </x:c>
      <x:c r="AU82" s="68" t="n">
        <x:f>AU16+AU18+AU19</x:f>
        <x:v>12.834874671505268</x:v>
      </x:c>
      <x:c r="AV82" s="68" t="n">
        <x:f>AV16+AV18+AV19</x:f>
        <x:v>13.48399414588792</x:v>
      </x:c>
      <x:c r="AW82" s="68" t="n">
        <x:f>AW16+AW18+AW19</x:f>
        <x:v>14.1600407437922</x:v>
      </x:c>
      <x:c r="AX82" s="68" t="n">
        <x:f>AX16+AX18+AX19</x:f>
        <x:v>14.780199650411426</x:v>
      </x:c>
      <x:c r="AY82" s="68" t="n">
        <x:f>AY16+AY18+AY19</x:f>
        <x:v>15.425858153621927</x:v>
      </x:c>
      <x:c r="AZ82" s="68" t="n">
        <x:f>AZ16+AZ18+AZ19</x:f>
        <x:v>16.072887770267794</x:v>
      </x:c>
      <x:c r="BA82" s="68" t="n">
        <x:f>BA16+BA18+BA19</x:f>
        <x:v>16.747286310326917</x:v>
      </x:c>
      <x:c r="BB82" s="68" t="n">
        <x:f>BB16+BB18+BB19</x:f>
        <x:v>17.448720204579033</x:v>
      </x:c>
      <x:c r="BC82" s="68" t="n">
        <x:f>BC16+BC18+BC19</x:f>
        <x:v>18.16683905255675</x:v>
      </x:c>
      <x:c r="BD82" s="68" t="n">
        <x:f>BD16+BD18+BD19</x:f>
        <x:v>18.913901147979182</x:v>
      </x:c>
      <x:c r="BE82" s="68" t="n">
        <x:f>BE16+BE18+BE19</x:f>
        <x:v>19.691028736929763</x:v>
      </x:c>
      <x:c r="BF82" s="68" t="n">
        <x:f>BF16+BF18+BF19</x:f>
        <x:v>20.499391755820703</x:v>
      </x:c>
      <x:c r="BG82" s="68" t="n">
        <x:f>BG16+BG18+BG19</x:f>
        <x:v>21.340222536792663</x:v>
      </x:c>
      <x:c r="BH82" s="68" t="n">
        <x:f>BH16+BH18+BH19</x:f>
        <x:v>22.214817179861925</x:v>
      </x:c>
      <x:c r="BI82" s="68" t="n">
        <x:f>BI16+BI18+BI19</x:f>
        <x:v>23.124506283297663</x:v>
      </x:c>
      <x:c r="BJ82" s="68" t="n">
        <x:f>BJ16+BJ18+BJ19</x:f>
        <x:v>24.07068156533347</x:v>
      </x:c>
    </x:row>
    <x:row r="83">
      <x:c r="A83" t="str">
        <x:v>Cumulative core engagements</x:v>
      </x:c>
      <x:c r="B83" t="str">
        <x:v>count</x:v>
      </x:c>
      <x:c r="C83" s="68" t="n">
        <x:f>C82</x:f>
        <x:v>0</x:v>
      </x:c>
      <x:c r="D83" s="68" t="n">
        <x:f>C83+D82</x:f>
        <x:v>0</x:v>
      </x:c>
      <x:c r="E83" s="68" t="n">
        <x:f>D83+E82</x:f>
        <x:v>0.48</x:v>
      </x:c>
      <x:c r="F83" s="68" t="n">
        <x:f>E83+F82</x:f>
        <x:v>1.35550246912</x:v>
      </x:c>
      <x:c r="G83" s="68" t="n">
        <x:f>F83+G82</x:f>
        <x:v>2.4325001513815145</x:v>
      </x:c>
      <x:c r="H83" s="68" t="n">
        <x:f>G83+H82</x:f>
        <x:v>3.6901448058558333</x:v>
      </x:c>
      <x:c r="I83" s="68" t="n">
        <x:f>H83+I82</x:f>
        <x:v>5.032253078824815</x:v>
      </x:c>
      <x:c r="J83" s="68" t="n">
        <x:f>I83+J82</x:f>
        <x:v>6.5300998771788175</x:v>
      </x:c>
      <x:c r="K83" s="68" t="n">
        <x:f>J83+K82</x:f>
        <x:v>8.179185662684779</x:v>
      </x:c>
      <x:c r="L83" s="68" t="n">
        <x:f>K83+L82</x:f>
        <x:v>9.941068149929219</x:v>
      </x:c>
      <x:c r="M83" s="68" t="n">
        <x:f>L83+M82</x:f>
        <x:v>11.823733287454314</x:v>
      </x:c>
      <x:c r="N83" s="68" t="n">
        <x:f>M83+N82</x:f>
        <x:v>13.835710014974017</x:v>
      </x:c>
      <x:c r="O83" s="68" t="n">
        <x:f>N83+O82</x:f>
        <x:v>15.985989139309167</x:v>
      </x:c>
      <x:c r="P83" s="68" t="n">
        <x:f>O83+P82</x:f>
        <x:v>18.28419326831054</x:v>
      </x:c>
      <x:c r="Q83" s="68" t="n">
        <x:f>P83+Q82</x:f>
        <x:v>20.740660250302557</x:v>
      </x:c>
      <x:c r="R83" s="68" t="n">
        <x:f>Q83+R82</x:f>
        <x:v>23.366396102326576</x:v>
      </x:c>
      <x:c r="S83" s="68" t="n">
        <x:f>R83+S82</x:f>
        <x:v>26.173180950019205</x:v>
      </x:c>
      <x:c r="T83" s="68" t="n">
        <x:f>S83+T82</x:f>
        <x:v>29.173647147376812</x:v>
      </x:c>
      <x:c r="U83" s="68" t="n">
        <x:f>T83+U82</x:f>
        <x:v>32.38135834621032</x:v>
      </x:c>
      <x:c r="V83" s="68" t="n">
        <x:f>U83+V82</x:f>
        <x:v>35.8108968599566</x:v>
      </x:c>
      <x:c r="W83" s="68" t="n">
        <x:f>V83+W82</x:f>
        <x:v>39.47793730278605</x:v>
      </x:c>
      <x:c r="X83" s="68" t="n">
        <x:f>W83+X82</x:f>
        <x:v>43.399341505823436</x:v>
      </x:c>
      <x:c r="Y83" s="68" t="n">
        <x:f>X83+Y82</x:f>
        <x:v>47.5932643795403</x:v>
      </x:c>
      <x:c r="Z83" s="68" t="n">
        <x:f>Y83+Z82</x:f>
        <x:v>52.07926584646939</x:v>
      </x:c>
      <x:c r="AA83" s="68" t="n">
        <x:f>Z83+AA82</x:f>
        <x:v>56.87843409318109</x:v>
      </x:c>
      <x:c r="AB83" s="68" t="n">
        <x:f>AA83+AB82</x:f>
        <x:v>62.01352153912101</x:v>
      </x:c>
      <x:c r="AC83" s="68" t="n">
        <x:f>AB83+AC82</x:f>
        <x:v>67.4553872174869</x:v>
      </x:c>
      <x:c r="AD83" s="68" t="n">
        <x:f>AC83+AD82</x:f>
        <x:v>73.18338504138634</x:v>
      </x:c>
      <x:c r="AE83" s="68" t="n">
        <x:f>AD83+AE82</x:f>
        <x:v>79.198386586461</x:v>
      </x:c>
      <x:c r="AF83" s="68" t="n">
        <x:f>AE83+AF82</x:f>
        <x:v>85.50429651089841</x:v>
      </x:c>
      <x:c r="AG83" s="68" t="n">
        <x:f>AF83+AG82</x:f>
        <x:v>92.11673741378632</x:v>
      </x:c>
      <x:c r="AH83" s="68" t="n">
        <x:f>AG83+AH82</x:f>
        <x:v>99.04494005364748</x:v>
      </x:c>
      <x:c r="AI83" s="68" t="n">
        <x:f>AH83+AI82</x:f>
        <x:v>106.29995189534613</x:v>
      </x:c>
      <x:c r="AJ83" s="68" t="n">
        <x:f>AI83+AJ82</x:f>
        <x:v>113.89864433493905</x:v>
      </x:c>
      <x:c r="AK83" s="68" t="n">
        <x:f>AJ83+AK82</x:f>
        <x:v>121.85887315439825</x:v>
      </x:c>
      <x:c r="AL83" s="68" t="n">
        <x:f>AK83+AL82</x:f>
        <x:v>130.1995312631285</x:v>
      </x:c>
      <x:c r="AM83" s="68" t="n">
        <x:f>AL83+AM82</x:f>
        <x:v>138.94064496523063</x:v>
      </x:c>
      <x:c r="AN83" s="68" t="n">
        <x:f>AM83+AN82</x:f>
        <x:v>148.10346732503587</x:v>
      </x:c>
      <x:c r="AO83" s="68" t="n">
        <x:f>AN83+AO82</x:f>
        <x:v>157.7105664719651</x:v>
      </x:c>
      <x:c r="AP83" s="68" t="n">
        <x:f>AO83+AP82</x:f>
        <x:v>167.7859367677459</x:v>
      </x:c>
      <x:c r="AQ83" s="68" t="n">
        <x:f>AP83+AQ82</x:f>
        <x:v>178.35510918948222</x:v>
      </x:c>
      <x:c r="AR83" s="68" t="n">
        <x:f>AQ83+AR82</x:f>
        <x:v>189.44527198149223</x:v>
      </x:c>
      <x:c r="AS83" s="68" t="n">
        <x:f>AR83+AS82</x:f>
        <x:v>201.08540239909155</x:v>
      </x:c>
      <x:c r="AT83" s="68" t="n">
        <x:f>AS83+AT82</x:f>
        <x:v>213.30640803239945</x:v>
      </x:c>
      <x:c r="AU83" s="68" t="n">
        <x:f>AT83+AU82</x:f>
        <x:v>226.14128270390472</x:v>
      </x:c>
      <x:c r="AV83" s="68" t="n">
        <x:f>AU83+AV82</x:f>
        <x:v>239.62527684979264</x:v>
      </x:c>
      <x:c r="AW83" s="68" t="n">
        <x:f>AV83+AW82</x:f>
        <x:v>253.78531759358484</x:v>
      </x:c>
      <x:c r="AX83" s="68" t="n">
        <x:f>AW83+AX82</x:f>
        <x:v>268.5655172439963</x:v>
      </x:c>
      <x:c r="AY83" s="68" t="n">
        <x:f>AX83+AY82</x:f>
        <x:v>283.9913753976182</x:v>
      </x:c>
      <x:c r="AZ83" s="68" t="n">
        <x:f>AY83+AZ82</x:f>
        <x:v>300.064263167886</x:v>
      </x:c>
      <x:c r="BA83" s="68" t="n">
        <x:f>AZ83+BA82</x:f>
        <x:v>316.8115494782129</x:v>
      </x:c>
      <x:c r="BB83" s="68" t="n">
        <x:f>BA83+BB82</x:f>
        <x:v>334.26026968279194</x:v>
      </x:c>
      <x:c r="BC83" s="68" t="n">
        <x:f>BB83+BC82</x:f>
        <x:v>352.42710873534867</x:v>
      </x:c>
      <x:c r="BD83" s="68" t="n">
        <x:f>BC83+BD82</x:f>
        <x:v>371.34100988332784</x:v>
      </x:c>
      <x:c r="BE83" s="68" t="n">
        <x:f>BD83+BE82</x:f>
        <x:v>391.0320386202576</x:v>
      </x:c>
      <x:c r="BF83" s="68" t="n">
        <x:f>BE83+BF82</x:f>
        <x:v>411.5314303760783</x:v>
      </x:c>
      <x:c r="BG83" s="68" t="n">
        <x:f>BF83+BG82</x:f>
        <x:v>432.87165291287096</x:v>
      </x:c>
      <x:c r="BH83" s="68" t="n">
        <x:f>BG83+BH82</x:f>
        <x:v>455.0864700927329</x:v>
      </x:c>
      <x:c r="BI83" s="68" t="n">
        <x:f>BH83+BI82</x:f>
        <x:v>478.21097637603054</x:v>
      </x:c>
      <x:c r="BJ83" s="68" t="n">
        <x:f>BI83+BJ82</x:f>
        <x:v>502.281657941364</x:v>
      </x:c>
    </x:row>
    <x:row r="84">
      <x:c r="A84" t="str">
        <x:v>Repeat purchase count</x:v>
      </x:c>
      <x:c r="B84" t="str">
        <x:v>count</x:v>
      </x:c>
      <x:c r="C84" s="68" t="n">
        <x:f>C17</x:f>
        <x:v>0</x:v>
      </x:c>
      <x:c r="D84" s="68" t="n">
        <x:f>D17</x:f>
        <x:v>0</x:v>
      </x:c>
      <x:c r="E84" s="68" t="n">
        <x:f>E17</x:f>
        <x:v>0</x:v>
      </x:c>
      <x:c r="F84" s="68" t="n">
        <x:f>F17</x:f>
        <x:v>0</x:v>
      </x:c>
      <x:c r="G84" s="68" t="n">
        <x:f>G17</x:f>
        <x:v>0</x:v>
      </x:c>
      <x:c r="H84" s="68" t="n">
        <x:f>H17</x:f>
        <x:v>0.1536</x:v>
      </x:c>
      <x:c r="I84" s="68" t="n">
        <x:f>I17</x:f>
        <x:v>0.2801607901184</x:v>
      </x:c>
      <x:c r="J84" s="68" t="n">
        <x:f>J17</x:f>
        <x:v>0.29855925832368474</x:v>
      </x:c>
      <x:c r="K84" s="68" t="n">
        <x:f>K17</x:f>
        <x:v>0.318398052396262</x:v>
      </x:c>
      <x:c r="L84" s="68" t="n">
        <x:f>L17</x:f>
        <x:v>0.3399068698529687</x:v>
      </x:c>
      <x:c r="M84" s="68" t="n">
        <x:f>M17</x:f>
        <x:v>0.40913555975440213</x:v>
      </x:c>
      <x:c r="N84" s="68" t="n">
        <x:f>N17</x:f>
        <x:v>0.47196192077555305</x:v>
      </x:c>
      <x:c r="O84" s="68" t="n">
        <x:f>O17</x:f>
        <x:v>0.5041480056153081</x:v>
      </x:c>
      <x:c r="P84" s="68" t="n">
        <x:f>P17</x:f>
        <x:v>0.5386144175314034</x:v>
      </x:c>
      <x:c r="Q84" s="68" t="n">
        <x:f>Q17</x:f>
        <x:v>0.5755431178965844</x:v>
      </x:c>
      <x:c r="R84" s="68" t="n">
        <x:f>R17</x:f>
        <x:v>0.6150649866029668</x:v>
      </x:c>
      <x:c r="S84" s="68" t="n">
        <x:f>S17</x:f>
        <x:v>0.6573597620153359</x:v>
      </x:c>
      <x:c r="T84" s="68" t="n">
        <x:f>T17</x:f>
        <x:v>0.702630676273956</x:v>
      </x:c>
      <x:c r="U84" s="68" t="n">
        <x:f>U17</x:f>
        <x:v>0.7510504508787545</x:v>
      </x:c>
      <x:c r="V84" s="68" t="n">
        <x:f>V17</x:f>
        <x:v>0.8028333933053072</x:v>
      </x:c>
      <x:c r="W84" s="68" t="n">
        <x:f>W17</x:f>
        <x:v>0.8582270706355821</x:v>
      </x:c>
      <x:c r="X84" s="68" t="n">
        <x:f>X17</x:f>
        <x:v>0.9175015941471923</x:v>
      </x:c>
      <x:c r="Y84" s="68" t="n">
        <x:f>Y17</x:f>
        <x:v>0.9809498921823838</x:v>
      </x:c>
      <x:c r="Z84" s="68" t="n">
        <x:f>Z17</x:f>
        <x:v>1.0488812943869412</x:v>
      </x:c>
      <x:c r="AA84" s="68" t="n">
        <x:f>AA17</x:f>
        <x:v>1.121633214599524</x:v>
      </x:c>
      <x:c r="AB84" s="68" t="n">
        <x:f>AB17</x:f>
        <x:v>1.1995750316838418</x:v>
      </x:c>
      <x:c r="AC84" s="68" t="n">
        <x:f>AC17</x:f>
        <x:v>1.2831080649155968</x:v>
      </x:c>
      <x:c r="AD84" s="68" t="n">
        <x:f>AD17</x:f>
        <x:v>1.3726687913176128</x:v>
      </x:c>
      <x:c r="AE84" s="68" t="n">
        <x:f>AE17</x:f>
        <x:v>1.468732470995484</x:v>
      </x:c>
      <x:c r="AF84" s="68" t="n">
        <x:f>AF17</x:f>
        <x:v>1.5546306992024552</x:v>
      </x:c>
      <x:c r="AG84" s="68" t="n">
        <x:f>AG17</x:f>
        <x:v>1.633013528948675</x:v>
      </x:c>
      <x:c r="AH84" s="68" t="n">
        <x:f>AH17</x:f>
        <x:v>1.7158478367247387</x:v>
      </x:c>
      <x:c r="AI84" s="68" t="n">
        <x:f>AI17</x:f>
        <x:v>1.803396981991816</x:v>
      </x:c>
      <x:c r="AJ84" s="68" t="n">
        <x:f>AJ17</x:f>
        <x:v>1.8959162491325496</x:v>
      </x:c>
      <x:c r="AK84" s="68" t="n">
        <x:f>AK17</x:f>
        <x:v>1.9885497108888197</x:v>
      </x:c>
      <x:c r="AL84" s="68" t="n">
        <x:f>AL17</x:f>
        <x:v>2.082259879290078</x:v>
      </x:c>
      <x:c r="AM84" s="68" t="n">
        <x:f>AM17</x:f>
        <x:v>2.180817357772417</x:v>
      </x:c>
      <x:c r="AN84" s="68" t="n">
        <x:f>AN17</x:f>
        <x:v>2.28450401861702</x:v>
      </x:c>
      <x:c r="AO84" s="68" t="n">
        <x:f>AO17</x:f>
        <x:v>2.3936110205063037</x:v>
      </x:c>
      <x:c r="AP84" s="68" t="n">
        <x:f>AP17</x:f>
        <x:v>2.508458421544258</x:v>
      </x:c>
      <x:c r="AQ84" s="68" t="n">
        <x:f>AQ17</x:f>
        <x:v>2.6293959020846915</x:v>
      </x:c>
      <x:c r="AR84" s="68" t="n">
        <x:f>AR17</x:f>
        <x:v>2.7567983314557214</x:v>
      </x:c>
      <x:c r="AS84" s="68" t="n">
        <x:f>AS17</x:f>
        <x:v>2.8910736481792325</x:v>
      </x:c>
      <x:c r="AT84" s="68" t="n">
        <x:f>AT17</x:f>
        <x:v>3.03266136618866</x:v>
      </x:c>
      <x:c r="AU84" s="68" t="n">
        <x:f>AU17</x:f>
        <x:v>3.1820350274827622</x:v>
      </x:c>
      <x:c r="AV84" s="68" t="n">
        <x:f>AV17</x:f>
        <x:v>3.3397058235350516</x:v>
      </x:c>
      <x:c r="AW84" s="68" t="n">
        <x:f>AW17</x:f>
        <x:v>3.5062250377723814</x:v>
      </x:c>
      <x:c r="AX84" s="68" t="n">
        <x:f>AX17</x:f>
        <x:v>3.6821887537119293</x:v>
      </x:c>
      <x:c r="AY84" s="68" t="n">
        <x:f>AY17</x:f>
        <x:v>3.8682418834036376</x:v>
      </x:c>
      <x:c r="AZ84" s="68" t="n">
        <x:f>AZ17</x:f>
        <x:v>4.061637311222713</x:v>
      </x:c>
      <x:c r="BA84" s="68" t="n">
        <x:f>BA17</x:f>
        <x:v>4.235783557022867</x:v>
      </x:c>
      <x:c r="BB84" s="68" t="n">
        <x:f>BB17</x:f>
        <x:v>4.41765957649049</x:v>
      </x:c>
      <x:c r="BC84" s="68" t="n">
        <x:f>BC17</x:f>
        <x:v>4.607641506092229</x:v>
      </x:c>
      <x:c r="BD84" s="68" t="n">
        <x:f>BD17</x:f>
        <x:v>4.806084530103217</x:v>
      </x:c>
      <x:c r="BE84" s="68" t="n">
        <x:f>BE17</x:f>
        <x:v>5.012340888026607</x:v>
      </x:c>
      <x:c r="BF84" s="68" t="n">
        <x:f>BF17</x:f>
        <x:v>5.218631524028606</x:v>
      </x:c>
      <x:c r="BG84" s="68" t="n">
        <x:f>BG17</x:f>
        <x:v>5.433244440866845</x:v>
      </x:c>
      <x:c r="BH84" s="68" t="n">
        <x:f>BH17</x:f>
        <x:v>5.656505361232199</x:v>
      </x:c>
      <x:c r="BI84" s="68" t="n">
        <x:f>BI17</x:f>
        <x:v>5.888750103830022</x:v>
      </x:c>
      <x:c r="BJ84" s="68" t="n">
        <x:f>BJ17</x:f>
        <x:v>6.130330723159988</x:v>
      </x:c>
    </x:row>
    <x:row r="85">
      <x:c r="A85" t="str">
        <x:v>Repeat purchase rate</x:v>
      </x:c>
      <x:c r="B85" t="str">
        <x:v>%</x:v>
      </x:c>
      <x:c r="C85" s="66" t="n">
        <x:f>0</x:f>
        <x:v>0</x:v>
      </x:c>
      <x:c r="D85" s="66" t="n">
        <x:f>0</x:f>
        <x:v>0</x:v>
      </x:c>
      <x:c r="E85" s="66" t="n">
        <x:f>0</x:f>
        <x:v>0</x:v>
      </x:c>
      <x:c r="F85" s="66" t="n">
        <x:f>IF(C16=0,0,F17/C16)</x:f>
        <x:v>0</x:v>
      </x:c>
      <x:c r="G85" s="66" t="n">
        <x:f>IF(D16=0,0,G17/D16)</x:f>
        <x:v>0</x:v>
      </x:c>
      <x:c r="H85" s="66" t="n">
        <x:f>IF(E16=0,0,H17/E16)</x:f>
        <x:v>0.32</x:v>
      </x:c>
      <x:c r="I85" s="66" t="n">
        <x:f>IF((F16+C18)=0,0,I17/(F16+C18))</x:f>
        <x:v>0.32</x:v>
      </x:c>
      <x:c r="J85" s="66" t="n">
        <x:f>IF((G16+D18)=0,0,J17/(G16+D18))</x:f>
        <x:v>0.32</x:v>
      </x:c>
      <x:c r="K85" s="66" t="n">
        <x:f>IF((H16+E18)=0,0,K17/(H16+E18))</x:f>
        <x:v>0.32</x:v>
      </x:c>
      <x:c r="L85" s="66" t="n">
        <x:f>IF((I16+F18)=0,0,L17/(I16+F18))</x:f>
        <x:v>0.32</x:v>
      </x:c>
      <x:c r="M85" s="66" t="n">
        <x:f>IF((J16+G18)=0,0,M17/(J16+G18))</x:f>
        <x:v>0.32</x:v>
      </x:c>
      <x:c r="N85" s="66" t="n">
        <x:f>IF((K16+H18)=0,0,N17/(K16+H18))</x:f>
        <x:v>0.32</x:v>
      </x:c>
      <x:c r="O85" s="66" t="n">
        <x:f>IF((L16+I18)=0,0,O17/(L16+I18))</x:f>
        <x:v>0.32</x:v>
      </x:c>
      <x:c r="P85" s="66" t="n">
        <x:f>IF((M16+J18)=0,0,P17/(M16+J18))</x:f>
        <x:v>0.32</x:v>
      </x:c>
      <x:c r="Q85" s="66" t="n">
        <x:f>IF((N16+K18)=0,0,Q17/(N16+K18))</x:f>
        <x:v>0.32</x:v>
      </x:c>
      <x:c r="R85" s="66" t="n">
        <x:f>IF((O16+L18)=0,0,R17/(O16+L18))</x:f>
        <x:v>0.31999999999999995</x:v>
      </x:c>
      <x:c r="S85" s="66" t="n">
        <x:f>IF((P16+M18)=0,0,S17/(P16+M18))</x:f>
        <x:v>0.32000000000000006</x:v>
      </x:c>
      <x:c r="T85" s="66" t="n">
        <x:f>IF((Q16+N18)=0,0,T17/(Q16+N18))</x:f>
        <x:v>0.32</x:v>
      </x:c>
      <x:c r="U85" s="66" t="n">
        <x:f>IF((R16+O18)=0,0,U17/(R16+O18))</x:f>
        <x:v>0.32</x:v>
      </x:c>
      <x:c r="V85" s="66" t="n">
        <x:f>IF((S16+P18)=0,0,V17/(S16+P18))</x:f>
        <x:v>0.32</x:v>
      </x:c>
      <x:c r="W85" s="66" t="n">
        <x:f>IF((T16+Q18)=0,0,W17/(T16+Q18))</x:f>
        <x:v>0.32</x:v>
      </x:c>
      <x:c r="X85" s="66" t="n">
        <x:f>IF((U16+R18)=0,0,X17/(U16+R18))</x:f>
        <x:v>0.32</x:v>
      </x:c>
      <x:c r="Y85" s="66" t="n">
        <x:f>IF((V16+S18)=0,0,Y17/(V16+S18))</x:f>
        <x:v>0.32</x:v>
      </x:c>
      <x:c r="Z85" s="66" t="n">
        <x:f>IF((W16+T18)=0,0,Z17/(W16+T18))</x:f>
        <x:v>0.32</x:v>
      </x:c>
      <x:c r="AA85" s="66" t="n">
        <x:f>IF((X16+U18)=0,0,AA17/(X16+U18))</x:f>
        <x:v>0.32</x:v>
      </x:c>
      <x:c r="AB85" s="66" t="n">
        <x:f>IF((Y16+V18)=0,0,AB17/(Y16+V18))</x:f>
        <x:v>0.32000000000000006</x:v>
      </x:c>
      <x:c r="AC85" s="66" t="n">
        <x:f>IF((Z16+W18)=0,0,AC17/(Z16+W18))</x:f>
        <x:v>0.32</x:v>
      </x:c>
      <x:c r="AD85" s="66" t="n">
        <x:f>IF((AA16+X18)=0,0,AD17/(AA16+X18))</x:f>
        <x:v>0.32</x:v>
      </x:c>
      <x:c r="AE85" s="66" t="n">
        <x:f>IF((AB16+Y18)=0,0,AE17/(AB16+Y18))</x:f>
        <x:v>0.31999999999999995</x:v>
      </x:c>
      <x:c r="AF85" s="66" t="n">
        <x:f>IF((AC16+Z18)=0,0,AF17/(AC16+Z18))</x:f>
        <x:v>0.32</x:v>
      </x:c>
      <x:c r="AG85" s="66" t="n">
        <x:f>IF((AD16+AA18)=0,0,AG17/(AD16+AA18))</x:f>
        <x:v>0.31999999999999995</x:v>
      </x:c>
      <x:c r="AH85" s="66" t="n">
        <x:f>IF((AE16+AB18)=0,0,AH17/(AE16+AB18))</x:f>
        <x:v>0.31999999999999995</x:v>
      </x:c>
      <x:c r="AI85" s="66" t="n">
        <x:f>IF((AF16+AC18)=0,0,AI17/(AF16+AC18))</x:f>
        <x:v>0.32</x:v>
      </x:c>
      <x:c r="AJ85" s="66" t="n">
        <x:f>IF((AG16+AD18)=0,0,AJ17/(AG16+AD18))</x:f>
        <x:v>0.32</x:v>
      </x:c>
      <x:c r="AK85" s="66" t="n">
        <x:f>IF((AH16+AE18)=0,0,AK17/(AH16+AE18))</x:f>
        <x:v>0.32</x:v>
      </x:c>
      <x:c r="AL85" s="66" t="n">
        <x:f>IF((AI16+AF18)=0,0,AL17/(AI16+AF18))</x:f>
        <x:v>0.32</x:v>
      </x:c>
      <x:c r="AM85" s="66" t="n">
        <x:f>IF((AJ16+AG18)=0,0,AM17/(AJ16+AG18))</x:f>
        <x:v>0.32</x:v>
      </x:c>
      <x:c r="AN85" s="66" t="n">
        <x:f>IF((AK16+AH18)=0,0,AN17/(AK16+AH18))</x:f>
        <x:v>0.32000000000000006</x:v>
      </x:c>
      <x:c r="AO85" s="66" t="n">
        <x:f>IF((AL16+AI18)=0,0,AO17/(AL16+AI18))</x:f>
        <x:v>0.32000000000000006</x:v>
      </x:c>
      <x:c r="AP85" s="66" t="n">
        <x:f>IF((AM16+AJ18)=0,0,AP17/(AM16+AJ18))</x:f>
        <x:v>0.32</x:v>
      </x:c>
      <x:c r="AQ85" s="66" t="n">
        <x:f>IF((AN16+AK18)=0,0,AQ17/(AN16+AK18))</x:f>
        <x:v>0.32</x:v>
      </x:c>
      <x:c r="AR85" s="66" t="n">
        <x:f>IF((AO16+AL18)=0,0,AR17/(AO16+AL18))</x:f>
        <x:v>0.31999999999999995</x:v>
      </x:c>
      <x:c r="AS85" s="66" t="n">
        <x:f>IF((AP16+AM18)=0,0,AS17/(AP16+AM18))</x:f>
        <x:v>0.32000000000000006</x:v>
      </x:c>
      <x:c r="AT85" s="66" t="n">
        <x:f>IF((AQ16+AN18)=0,0,AT17/(AQ16+AN18))</x:f>
        <x:v>0.32</x:v>
      </x:c>
      <x:c r="AU85" s="66" t="n">
        <x:f>IF((AR16+AO18)=0,0,AU17/(AR16+AO18))</x:f>
        <x:v>0.32</x:v>
      </x:c>
      <x:c r="AV85" s="66" t="n">
        <x:f>IF((AS16+AP18)=0,0,AV17/(AS16+AP18))</x:f>
        <x:v>0.32</x:v>
      </x:c>
      <x:c r="AW85" s="66" t="n">
        <x:f>IF((AT16+AQ18)=0,0,AW17/(AT16+AQ18))</x:f>
        <x:v>0.32</x:v>
      </x:c>
      <x:c r="AX85" s="66" t="n">
        <x:f>IF((AU16+AR18)=0,0,AX17/(AU16+AR18))</x:f>
        <x:v>0.32</x:v>
      </x:c>
      <x:c r="AY85" s="66" t="n">
        <x:f>IF((AV16+AS18)=0,0,AY17/(AV16+AS18))</x:f>
        <x:v>0.32</x:v>
      </x:c>
      <x:c r="AZ85" s="66" t="n">
        <x:f>IF((AW16+AT18)=0,0,AZ17/(AW16+AT18))</x:f>
        <x:v>0.31999999999999995</x:v>
      </x:c>
      <x:c r="BA85" s="66" t="n">
        <x:f>IF((AX16+AU18)=0,0,BA17/(AX16+AU18))</x:f>
        <x:v>0.31999999999999995</x:v>
      </x:c>
      <x:c r="BB85" s="66" t="n">
        <x:f>IF((AY16+AV18)=0,0,BB17/(AY16+AV18))</x:f>
        <x:v>0.32</x:v>
      </x:c>
      <x:c r="BC85" s="66" t="n">
        <x:f>IF((AZ16+AW18)=0,0,BC17/(AZ16+AW18))</x:f>
        <x:v>0.32</x:v>
      </x:c>
      <x:c r="BD85" s="66" t="n">
        <x:f>IF((BA16+AX18)=0,0,BD17/(BA16+AX18))</x:f>
        <x:v>0.32000000000000006</x:v>
      </x:c>
      <x:c r="BE85" s="66" t="n">
        <x:f>IF((BB16+AY18)=0,0,BE17/(BB16+AY18))</x:f>
        <x:v>0.32</x:v>
      </x:c>
      <x:c r="BF85" s="66" t="n">
        <x:f>IF((BC16+AZ18)=0,0,BF17/(BC16+AZ18))</x:f>
        <x:v>0.32000000000000006</x:v>
      </x:c>
      <x:c r="BG85" s="66" t="n">
        <x:f>IF((BD16+BA18)=0,0,BG17/(BD16+BA18))</x:f>
        <x:v>0.32000000000000006</x:v>
      </x:c>
      <x:c r="BH85" s="66" t="n">
        <x:f>IF((BE16+BB18)=0,0,BH17/(BE16+BB18))</x:f>
        <x:v>0.32</x:v>
      </x:c>
      <x:c r="BI85" s="66" t="n">
        <x:f>IF((BF16+BC18)=0,0,BI17/(BF16+BC18))</x:f>
        <x:v>0.32000000000000006</x:v>
      </x:c>
      <x:c r="BJ85" s="66" t="n">
        <x:f>IF((BG16+BD18)=0,0,BJ17/(BG16+BD18))</x:f>
        <x:v>0.31999999999999995</x:v>
      </x:c>
    </x:row>
    <x:row r="86">
      <x:c r="A86" t="str">
        <x:v>Subscription logo retention</x:v>
      </x:c>
      <x:c r="B86" t="str">
        <x:v>%</x:v>
      </x:c>
      <x:c r="C86" s="66" t="n">
        <x:f>1-Assumptions!$G$35</x:f>
        <x:v>0.9</x:v>
      </x:c>
      <x:c r="D86" s="66" t="n">
        <x:f>1-Assumptions!$G$35</x:f>
        <x:v>0.9</x:v>
      </x:c>
      <x:c r="E86" s="66" t="n">
        <x:f>1-Assumptions!$G$35</x:f>
        <x:v>0.9</x:v>
      </x:c>
      <x:c r="F86" s="66" t="n">
        <x:f>1-Assumptions!$G$35</x:f>
        <x:v>0.9</x:v>
      </x:c>
      <x:c r="G86" s="66" t="n">
        <x:f>1-Assumptions!$G$35</x:f>
        <x:v>0.9</x:v>
      </x:c>
      <x:c r="H86" s="66" t="n">
        <x:f>1-Assumptions!$G$35</x:f>
        <x:v>0.9</x:v>
      </x:c>
      <x:c r="I86" s="66" t="n">
        <x:f>1-Assumptions!$G$35</x:f>
        <x:v>0.9</x:v>
      </x:c>
      <x:c r="J86" s="66" t="n">
        <x:f>1-Assumptions!$G$35</x:f>
        <x:v>0.9</x:v>
      </x:c>
      <x:c r="K86" s="66" t="n">
        <x:f>1-Assumptions!$G$35</x:f>
        <x:v>0.9</x:v>
      </x:c>
      <x:c r="L86" s="66" t="n">
        <x:f>1-Assumptions!$G$35</x:f>
        <x:v>0.9</x:v>
      </x:c>
      <x:c r="M86" s="66" t="n">
        <x:f>1-Assumptions!$G$35</x:f>
        <x:v>0.9</x:v>
      </x:c>
      <x:c r="N86" s="66" t="n">
        <x:f>1-Assumptions!$G$35</x:f>
        <x:v>0.9</x:v>
      </x:c>
      <x:c r="O86" s="66" t="n">
        <x:f>1-Assumptions!$G$35</x:f>
        <x:v>0.9</x:v>
      </x:c>
      <x:c r="P86" s="66" t="n">
        <x:f>1-Assumptions!$G$35</x:f>
        <x:v>0.9</x:v>
      </x:c>
      <x:c r="Q86" s="66" t="n">
        <x:f>1-Assumptions!$G$35</x:f>
        <x:v>0.9</x:v>
      </x:c>
      <x:c r="R86" s="66" t="n">
        <x:f>1-Assumptions!$G$35</x:f>
        <x:v>0.9</x:v>
      </x:c>
      <x:c r="S86" s="66" t="n">
        <x:f>1-Assumptions!$G$35</x:f>
        <x:v>0.9</x:v>
      </x:c>
      <x:c r="T86" s="66" t="n">
        <x:f>1-Assumptions!$G$35</x:f>
        <x:v>0.9</x:v>
      </x:c>
      <x:c r="U86" s="66" t="n">
        <x:f>1-Assumptions!$G$35</x:f>
        <x:v>0.9</x:v>
      </x:c>
      <x:c r="V86" s="66" t="n">
        <x:f>1-Assumptions!$G$35</x:f>
        <x:v>0.9</x:v>
      </x:c>
      <x:c r="W86" s="66" t="n">
        <x:f>1-Assumptions!$G$35</x:f>
        <x:v>0.9</x:v>
      </x:c>
      <x:c r="X86" s="66" t="n">
        <x:f>1-Assumptions!$G$35</x:f>
        <x:v>0.9</x:v>
      </x:c>
      <x:c r="Y86" s="66" t="n">
        <x:f>1-Assumptions!$G$35</x:f>
        <x:v>0.9</x:v>
      </x:c>
      <x:c r="Z86" s="66" t="n">
        <x:f>1-Assumptions!$G$35</x:f>
        <x:v>0.9</x:v>
      </x:c>
      <x:c r="AA86" s="66" t="n">
        <x:f>1-Assumptions!$G$35</x:f>
        <x:v>0.9</x:v>
      </x:c>
      <x:c r="AB86" s="66" t="n">
        <x:f>1-Assumptions!$G$35</x:f>
        <x:v>0.9</x:v>
      </x:c>
      <x:c r="AC86" s="66" t="n">
        <x:f>1-Assumptions!$G$35</x:f>
        <x:v>0.9</x:v>
      </x:c>
      <x:c r="AD86" s="66" t="n">
        <x:f>1-Assumptions!$G$35</x:f>
        <x:v>0.9</x:v>
      </x:c>
      <x:c r="AE86" s="66" t="n">
        <x:f>1-Assumptions!$G$35</x:f>
        <x:v>0.9</x:v>
      </x:c>
      <x:c r="AF86" s="66" t="n">
        <x:f>1-Assumptions!$G$35</x:f>
        <x:v>0.9</x:v>
      </x:c>
      <x:c r="AG86" s="66" t="n">
        <x:f>1-Assumptions!$G$35</x:f>
        <x:v>0.9</x:v>
      </x:c>
      <x:c r="AH86" s="66" t="n">
        <x:f>1-Assumptions!$G$35</x:f>
        <x:v>0.9</x:v>
      </x:c>
      <x:c r="AI86" s="66" t="n">
        <x:f>1-Assumptions!$G$35</x:f>
        <x:v>0.9</x:v>
      </x:c>
      <x:c r="AJ86" s="66" t="n">
        <x:f>1-Assumptions!$G$35</x:f>
        <x:v>0.9</x:v>
      </x:c>
      <x:c r="AK86" s="66" t="n">
        <x:f>1-Assumptions!$G$35</x:f>
        <x:v>0.9</x:v>
      </x:c>
      <x:c r="AL86" s="66" t="n">
        <x:f>1-Assumptions!$G$35</x:f>
        <x:v>0.9</x:v>
      </x:c>
      <x:c r="AM86" s="66" t="n">
        <x:f>1-Assumptions!$G$35</x:f>
        <x:v>0.9</x:v>
      </x:c>
      <x:c r="AN86" s="66" t="n">
        <x:f>1-Assumptions!$G$35</x:f>
        <x:v>0.9</x:v>
      </x:c>
      <x:c r="AO86" s="66" t="n">
        <x:f>1-Assumptions!$G$35</x:f>
        <x:v>0.9</x:v>
      </x:c>
      <x:c r="AP86" s="66" t="n">
        <x:f>1-Assumptions!$G$35</x:f>
        <x:v>0.9</x:v>
      </x:c>
      <x:c r="AQ86" s="66" t="n">
        <x:f>1-Assumptions!$G$35</x:f>
        <x:v>0.9</x:v>
      </x:c>
      <x:c r="AR86" s="66" t="n">
        <x:f>1-Assumptions!$G$35</x:f>
        <x:v>0.9</x:v>
      </x:c>
      <x:c r="AS86" s="66" t="n">
        <x:f>1-Assumptions!$G$35</x:f>
        <x:v>0.9</x:v>
      </x:c>
      <x:c r="AT86" s="66" t="n">
        <x:f>1-Assumptions!$G$35</x:f>
        <x:v>0.9</x:v>
      </x:c>
      <x:c r="AU86" s="66" t="n">
        <x:f>1-Assumptions!$G$35</x:f>
        <x:v>0.9</x:v>
      </x:c>
      <x:c r="AV86" s="66" t="n">
        <x:f>1-Assumptions!$G$35</x:f>
        <x:v>0.9</x:v>
      </x:c>
      <x:c r="AW86" s="66" t="n">
        <x:f>1-Assumptions!$G$35</x:f>
        <x:v>0.9</x:v>
      </x:c>
      <x:c r="AX86" s="66" t="n">
        <x:f>1-Assumptions!$G$35</x:f>
        <x:v>0.9</x:v>
      </x:c>
      <x:c r="AY86" s="66" t="n">
        <x:f>1-Assumptions!$G$35</x:f>
        <x:v>0.9</x:v>
      </x:c>
      <x:c r="AZ86" s="66" t="n">
        <x:f>1-Assumptions!$G$35</x:f>
        <x:v>0.9</x:v>
      </x:c>
      <x:c r="BA86" s="66" t="n">
        <x:f>1-Assumptions!$G$35</x:f>
        <x:v>0.9</x:v>
      </x:c>
      <x:c r="BB86" s="66" t="n">
        <x:f>1-Assumptions!$G$35</x:f>
        <x:v>0.9</x:v>
      </x:c>
      <x:c r="BC86" s="66" t="n">
        <x:f>1-Assumptions!$G$35</x:f>
        <x:v>0.9</x:v>
      </x:c>
      <x:c r="BD86" s="66" t="n">
        <x:f>1-Assumptions!$G$35</x:f>
        <x:v>0.9</x:v>
      </x:c>
      <x:c r="BE86" s="66" t="n">
        <x:f>1-Assumptions!$G$35</x:f>
        <x:v>0.9</x:v>
      </x:c>
      <x:c r="BF86" s="66" t="n">
        <x:f>1-Assumptions!$G$35</x:f>
        <x:v>0.9</x:v>
      </x:c>
      <x:c r="BG86" s="66" t="n">
        <x:f>1-Assumptions!$G$35</x:f>
        <x:v>0.9</x:v>
      </x:c>
      <x:c r="BH86" s="66" t="n">
        <x:f>1-Assumptions!$G$35</x:f>
        <x:v>0.9</x:v>
      </x:c>
      <x:c r="BI86" s="66" t="n">
        <x:f>1-Assumptions!$G$35</x:f>
        <x:v>0.9</x:v>
      </x:c>
      <x:c r="BJ86" s="66" t="n">
        <x:f>1-Assumptions!$G$35</x:f>
        <x:v>0.9</x:v>
      </x:c>
    </x:row>
    <x:row r="87">
      <x:c r="A87" t="str">
        <x:v>Active subscription customers</x:v>
      </x:c>
      <x:c r="B87" t="str">
        <x:v>count</x:v>
      </x:c>
      <x:c r="C87" s="68" t="n">
        <x:f>C21</x:f>
        <x:v>0</x:v>
      </x:c>
      <x:c r="D87" s="68" t="n">
        <x:f>D21</x:f>
        <x:v>0</x:v>
      </x:c>
      <x:c r="E87" s="68" t="n">
        <x:f>E21</x:f>
        <x:v>0</x:v>
      </x:c>
      <x:c r="F87" s="68" t="n">
        <x:f>F21</x:f>
        <x:v>0</x:v>
      </x:c>
      <x:c r="G87" s="68" t="n">
        <x:f>G21</x:f>
        <x:v>0</x:v>
      </x:c>
      <x:c r="H87" s="68" t="n">
        <x:f>H21</x:f>
        <x:v>0</x:v>
      </x:c>
      <x:c r="I87" s="68" t="n">
        <x:f>I21</x:f>
        <x:v>0</x:v>
      </x:c>
      <x:c r="J87" s="68" t="n">
        <x:f>J21</x:f>
        <x:v>0.0648</x:v>
      </x:c>
      <x:c r="K87" s="68" t="n">
        <x:f>K21</x:f>
        <x:v>0.18245283333119997</x:v>
      </x:c>
      <x:c r="L87" s="68" t="n">
        <x:f>L21</x:f>
        <x:v>0.30688708015874444</x:v>
      </x:c>
      <x:c r="M87" s="68" t="n">
        <x:f>M21</x:f>
        <x:v>0.4386538661787613</x:v>
      </x:c>
      <x:c r="N87" s="68" t="n">
        <x:f>N21</x:f>
        <x:v>0.5783966280131594</x:v>
      </x:c>
      <x:c r="O87" s="68" t="n">
        <x:f>O21</x:f>
        <x:v>0.7267407203844382</x:v>
      </x:c>
      <x:c r="P87" s="68" t="n">
        <x:f>P21</x:f>
        <x:v>0.8843356330423943</x:v>
      </x:c>
      <x:c r="Q87" s="68" t="n">
        <x:f>Q21</x:f>
        <x:v>1.0518672031710745</x:v>
      </x:c>
      <x:c r="R87" s="68" t="n">
        <x:f>R21</x:f>
        <x:v>1.2300323470343077</x:v>
      </x:c>
      <x:c r="S87" s="68" t="n">
        <x:f>S21</x:f>
        <x:v>1.4195698671225436</x:v>
      </x:c>
      <x:c r="T87" s="68" t="n">
        <x:f>T21</x:f>
        <x:v>1.6212714401715658</x:v>
      </x:c>
      <x:c r="U87" s="68" t="n">
        <x:f>U21</x:f>
        <x:v>1.8359891688386747</x:v>
      </x:c>
      <x:c r="V87" s="68" t="n">
        <x:f>V21</x:f>
        <x:v>2.0646412655302173</x:v>
      </x:c>
      <x:c r="W87" s="68" t="n">
        <x:f>W21</x:f>
        <x:v>2.308206119448376</x:v>
      </x:c>
      <x:c r="X87" s="68" t="n">
        <x:f>X21</x:f>
        <x:v>2.567730069359593</x:v>
      </x:c>
      <x:c r="Y87" s="68" t="n">
        <x:f>Y21</x:f>
        <x:v>2.8443374676234696</x:v>
      </x:c>
      <x:c r="Z87" s="68" t="n">
        <x:f>Z21</x:f>
        <x:v>3.1392371432235593</x:v>
      </x:c>
      <x:c r="AA87" s="68" t="n">
        <x:f>AA21</x:f>
        <x:v>3.4537294675315797</x:v>
      </x:c>
      <x:c r="AB87" s="68" t="n">
        <x:f>AB21</x:f>
        <x:v>3.789214125365701</x:v>
      </x:c>
      <x:c r="AC87" s="68" t="n">
        <x:f>AC21</x:f>
        <x:v>4.147198653124842</x:v>
      </x:c>
      <x:c r="AD87" s="68" t="n">
        <x:f>AD21</x:f>
        <x:v>4.5293078361878605</x:v>
      </x:c>
      <x:c r="AE87" s="68" t="n">
        <x:f>AE21</x:f>
        <x:v>4.93729407275681</x:v>
      </x:c>
      <x:c r="AF87" s="68" t="n">
        <x:f>AF21</x:f>
        <x:v>5.373048811670489</x:v>
      </x:c>
      <x:c r="AG87" s="68" t="n">
        <x:f>AG21</x:f>
        <x:v>5.838615195088723</x:v>
      </x:c>
      <x:c r="AH87" s="68" t="n">
        <x:f>AH21</x:f>
        <x:v>6.328951501047863</x:v>
      </x:c>
      <x:c r="AI87" s="68" t="n">
        <x:f>AI21</x:f>
        <x:v>6.840137069512635</x:v>
      </x:c>
      <x:c r="AJ87" s="68" t="n">
        <x:f>AJ21</x:f>
        <x:v>7.373290092823791</x:v>
      </x:c>
      <x:c r="AK87" s="68" t="n">
        <x:f>AK21</x:f>
        <x:v>7.929584453638728</x:v>
      </x:c>
      <x:c r="AL87" s="68" t="n">
        <x:f>AL21</x:f>
        <x:v>8.510241713739886</x:v>
      </x:c>
      <x:c r="AM87" s="68" t="n">
        <x:f>AM21</x:f>
        <x:v>9.116545012297811</x:v>
      </x:c>
      <x:c r="AN87" s="68" t="n">
        <x:f>AN21</x:f>
        <x:v>9.749849141145447</x:v>
      </x:c>
      <x:c r="AO87" s="68" t="n">
        <x:f>AO21</x:f>
        <x:v>10.411586471445677</x:v>
      </x:c>
      <x:c r="AP87" s="68" t="n">
        <x:f>AP21</x:f>
        <x:v>11.103276850227811</x:v>
      </x:c>
      <x:c r="AQ87" s="68" t="n">
        <x:f>AQ21</x:f>
        <x:v>11.82653305325423</x:v>
      </x:c>
      <x:c r="AR87" s="68" t="n">
        <x:f>AR21</x:f>
        <x:v>12.583067913881036</x:v>
      </x:c>
      <x:c r="AS87" s="68" t="n">
        <x:f>AS21</x:f>
        <x:v>13.374702809605639</x:v>
      </x:c>
      <x:c r="AT87" s="68" t="n">
        <x:f>AT21</x:f>
        <x:v>14.203375426998875</x:v>
      </x:c>
      <x:c r="AU87" s="68" t="n">
        <x:f>AU21</x:f>
        <x:v>15.071149580619577</x:v>
      </x:c>
      <x:c r="AV87" s="68" t="n">
        <x:f>AV21</x:f>
        <x:v>15.980225628275093</x:v>
      </x:c>
      <x:c r="AW87" s="68" t="n">
        <x:f>AW21</x:f>
        <x:v>16.93295131777091</x:v>
      </x:c>
      <x:c r="AX87" s="68" t="n">
        <x:f>AX21</x:f>
        <x:v>17.931833645924588</x:v>
      </x:c>
      <x:c r="AY87" s="68" t="n">
        <x:f>AY21</x:f>
        <x:v>18.979551844443453</x:v>
      </x:c>
      <x:c r="AZ87" s="68" t="n">
        <x:f>AZ21</x:f>
        <x:v>20.078971608224936</x:v>
      </x:c>
      <x:c r="BA87" s="68" t="n">
        <x:f>BA21</x:f>
        <x:v>21.233160701135766</x:v>
      </x:c>
      <x:c r="BB87" s="68" t="n">
        <x:f>BB21</x:f>
        <x:v>22.443952665045618</x:v>
      </x:c>
      <x:c r="BC87" s="68" t="n">
        <x:f>BC21</x:f>
        <x:v>23.70189383754873</x:v>
      </x:c>
      <x:c r="BD87" s="68" t="n">
        <x:f>BD21</x:f>
        <x:v>25.008933145730612</x:v>
      </x:c>
      <x:c r="BE87" s="68" t="n">
        <x:f>BE21</x:f>
        <x:v>26.367099321153297</x:v>
      </x:c>
      <x:c r="BF87" s="68" t="n">
        <x:f>BF21</x:f>
        <x:v>27.7784862477205</x:v>
      </x:c>
      <x:c r="BG87" s="68" t="n">
        <x:f>BG21</x:f>
        <x:v>29.24525968353326</x:v>
      </x:c>
      <x:c r="BH87" s="68" t="n">
        <x:f>BH21</x:f>
        <x:v>30.769667126956502</x:v>
      </x:c>
      <x:c r="BI87" s="68" t="n">
        <x:f>BI21</x:f>
        <x:v>32.354036705674126</x:v>
      </x:c>
      <x:c r="BJ87" s="68" t="n">
        <x:f>BJ21</x:f>
        <x:v>34.00078574690554</x:v>
      </x:c>
    </x:row>
    <x:row r="88">
      <x:c r="A88" t="str">
        <x:v>Revenue / delivery FTE</x:v>
      </x:c>
      <x:c r="B88" t="str">
        <x:v>$ / FTE / month</x:v>
      </x:c>
      <x:c r="C88" s="62" t="n">
        <x:f>IF(C44=0,0,C30/C44)</x:f>
        <x:v>0</x:v>
      </x:c>
      <x:c r="D88" s="62" t="n">
        <x:f>IF(D44=0,0,D30/D44)</x:f>
        <x:v>20000</x:v>
      </x:c>
      <x:c r="E88" s="62" t="n">
        <x:f>IF(E44=0,0,E30/E44)</x:f>
        <x:v>37850</x:v>
      </x:c>
      <x:c r="F88" s="62" t="n">
        <x:f>IF(F44=0,0,F30/F44)</x:f>
        <x:v>49417.811728</x:v>
      </x:c>
      <x:c r="G88" s="62" t="n">
        <x:f>IF(G44=0,0,G30/G44)</x:f>
        <x:v>63468.850306537875</x:v>
      </x:c>
      <x:c r="H88" s="62" t="n">
        <x:f>IF(H44=0,0,H30/H44)</x:f>
        <x:v>53141.981472901076</x:v>
      </x:c>
      <x:c r="I88" s="62" t="n">
        <x:f>IF(I44=0,0,I30/I44)</x:f>
        <x:v>58629.991449136054</x:v>
      </x:c>
      <x:c r="J88" s="62" t="n">
        <x:f>IF(J44=0,0,J30/J44)</x:f>
        <x:v>63198.94410484116</x:v>
      </x:c>
      <x:c r="K88" s="62" t="n">
        <x:f>IF(K44=0,0,K30/K44)</x:f>
        <x:v>68576.3786447668</x:v>
      </x:c>
      <x:c r="L88" s="62" t="n">
        <x:f>IF(L44=0,0,L30/L44)</x:f>
        <x:v>55742.759133733256</x:v>
      </x:c>
      <x:c r="M88" s="62" t="n">
        <x:f>IF(M44=0,0,M30/M44)</x:f>
        <x:v>60918.76638534035</x:v>
      </x:c>
      <x:c r="N88" s="62" t="n">
        <x:f>IF(N44=0,0,N30/N44)</x:f>
        <x:v>66301.81639807555</x:v>
      </x:c>
      <x:c r="O88" s="62" t="n">
        <x:f>IF(O44=0,0,O30/O44)</x:f>
        <x:v>73755.53470609903</x:v>
      </x:c>
      <x:c r="P88" s="62" t="n">
        <x:f>IF(P44=0,0,P30/P44)</x:f>
        <x:v>63668.760189358596</x:v>
      </x:c>
      <x:c r="Q88" s="62" t="n">
        <x:f>IF(Q44=0,0,Q30/Q44)</x:f>
        <x:v>68646.02607235234</x:v>
      </x:c>
      <x:c r="R88" s="62" t="n">
        <x:f>IF(R44=0,0,R30/R44)</x:f>
        <x:v>73957.15503168161</x:v>
      </x:c>
      <x:c r="S88" s="62" t="n">
        <x:f>IF(S44=0,0,S30/S44)</x:f>
        <x:v>79625.42074785256</x:v>
      </x:c>
      <x:c r="T88" s="62" t="n">
        <x:f>IF(T44=0,0,T30/T44)</x:f>
        <x:v>85675.49840590455</x:v>
      </x:c>
      <x:c r="U88" s="62" t="n">
        <x:f>IF(U44=0,0,U30/U44)</x:f>
        <x:v>76778.04178437298</x:v>
      </x:c>
      <x:c r="V88" s="62" t="n">
        <x:f>IF(V44=0,0,V30/V44)</x:f>
        <x:v>82523.95202621243</x:v>
      </x:c>
      <x:c r="W88" s="62" t="n">
        <x:f>IF(W44=0,0,W30/W44)</x:f>
        <x:v>88659.97564207112</x:v>
      </x:c>
      <x:c r="X88" s="62" t="n">
        <x:f>IF(X44=0,0,X30/X44)</x:f>
        <x:v>95214.11427950085</x:v>
      </x:c>
      <x:c r="Y88" s="62" t="n">
        <x:f>IF(Y44=0,0,Y30/Y44)</x:f>
        <x:v>87614.19387009353</x:v>
      </x:c>
      <x:c r="Z88" s="62" t="n">
        <x:f>IF(Z44=0,0,Z30/Z44)</x:f>
        <x:v>94028.41260713305</x:v>
      </x:c>
      <x:c r="AA88" s="62" t="n">
        <x:f>IF(AA44=0,0,AA30/AA44)</x:f>
        <x:v>103911.39419096182</x:v>
      </x:c>
      <x:c r="AB88" s="62" t="n">
        <x:f>IF(AB44=0,0,AB30/AB44)</x:f>
        <x:v>110817.44064982797</x:v>
      </x:c>
      <x:c r="AC88" s="62" t="n">
        <x:f>IF(AC44=0,0,AC30/AC44)</x:f>
        <x:v>117627.2603409983</x:v>
      </x:c>
      <x:c r="AD88" s="62" t="n">
        <x:f>IF(AD44=0,0,AD30/AD44)</x:f>
        <x:v>108985.95118715805</x:v>
      </x:c>
      <x:c r="AE88" s="62" t="n">
        <x:f>IF(AE44=0,0,AE30/AE44)</x:f>
        <x:v>115096.51386943832</x:v>
      </x:c>
      <x:c r="AF88" s="62" t="n">
        <x:f>IF(AF44=0,0,AF30/AF44)</x:f>
        <x:v>107737.63069930753</x:v>
      </x:c>
      <x:c r="AG88" s="62" t="n">
        <x:f>IF(AG44=0,0,AG30/AG44)</x:f>
        <x:v>113388.89516445948</x:v>
      </x:c>
      <x:c r="AH88" s="62" t="n">
        <x:f>IF(AH44=0,0,AH30/AH44)</x:f>
        <x:v>119322.43690002296</x:v>
      </x:c>
      <x:c r="AI88" s="62" t="n">
        <x:f>IF(AI44=0,0,AI30/AI44)</x:f>
        <x:v>112980.71935524582</x:v>
      </x:c>
      <x:c r="AJ88" s="62" t="n">
        <x:f>IF(AJ44=0,0,AJ30/AJ44)</x:f>
        <x:v>118834.42215706655</x:v>
      </x:c>
      <x:c r="AK88" s="62" t="n">
        <x:f>IF(AK44=0,0,AK30/AK44)</x:f>
        <x:v>113580.09187573918</x:v>
      </x:c>
      <x:c r="AL88" s="62" t="n">
        <x:f>IF(AL44=0,0,AL30/AL44)</x:f>
        <x:v>119372.84421624233</x:v>
      </x:c>
      <x:c r="AM88" s="62" t="n">
        <x:f>IF(AM44=0,0,AM30/AM44)</x:f>
        <x:v>118436.85421238576</x:v>
      </x:c>
      <x:c r="AN88" s="62" t="n">
        <x:f>IF(AN44=0,0,AN30/AN44)</x:f>
        <x:v>124439.74210792745</x:v>
      </x:c>
      <x:c r="AO88" s="62" t="n">
        <x:f>IF(AO44=0,0,AO30/AO44)</x:f>
        <x:v>120675.36801780721</x:v>
      </x:c>
      <x:c r="AP88" s="62" t="n">
        <x:f>IF(AP44=0,0,AP30/AP44)</x:f>
        <x:v>126765.05246578256</x:v>
      </x:c>
      <x:c r="AQ88" s="62" t="n">
        <x:f>IF(AQ44=0,0,AQ30/AQ44)</x:f>
        <x:v>123641.63601635731</x:v>
      </x:c>
      <x:c r="AR88" s="62" t="n">
        <x:f>IF(AR44=0,0,AR30/AR44)</x:f>
        <x:v>121207.61914420435</x:v>
      </x:c>
      <x:c r="AS88" s="62" t="n">
        <x:f>IF(AS44=0,0,AS30/AS44)</x:f>
        <x:v>127305.24327738951</x:v>
      </x:c>
      <x:c r="AT88" s="62" t="n">
        <x:f>IF(AT44=0,0,AT30/AT44)</x:f>
        <x:v>125351.98124180757</x:v>
      </x:c>
      <x:c r="AU88" s="62" t="n">
        <x:f>IF(AU44=0,0,AU30/AU44)</x:f>
        <x:v>123914.5586985146</x:v>
      </x:c>
      <x:c r="AV88" s="62" t="n">
        <x:f>IF(AV44=0,0,AV30/AV44)</x:f>
        <x:v>122923.33877255514</x:v>
      </x:c>
      <x:c r="AW88" s="62" t="n">
        <x:f>IF(AW44=0,0,AW30/AW44)</x:f>
        <x:v>122293.52848071583</x:v>
      </x:c>
      <x:c r="AX88" s="62" t="n">
        <x:f>IF(AX44=0,0,AX30/AX44)</x:f>
        <x:v>128162.55112410476</x:v>
      </x:c>
      <x:c r="AY88" s="62" t="n">
        <x:f>IF(AY44=0,0,AY30/AY44)</x:f>
        <x:v>131399.95366749848</x:v>
      </x:c>
      <x:c r="AZ88" s="62" t="n">
        <x:f>IF(AZ44=0,0,AZ30/AZ44)</x:f>
        <x:v>130887.59566730045</x:v>
      </x:c>
      <x:c r="BA88" s="62" t="n">
        <x:f>IF(BA44=0,0,BA30/BA44)</x:f>
        <x:v>130590.38653036705</x:v>
      </x:c>
      <x:c r="BB88" s="62" t="n">
        <x:f>IF(BB44=0,0,BB30/BB44)</x:f>
        <x:v>130553.8060020272</x:v>
      </x:c>
      <x:c r="BC88" s="62" t="n">
        <x:f>IF(BC44=0,0,BC30/BC44)</x:f>
        <x:v>130737.93058137577</x:v>
      </x:c>
      <x:c r="BD88" s="62" t="n">
        <x:f>IF(BD44=0,0,BD30/BD44)</x:f>
        <x:v>131124.44119581595</x:v>
      </x:c>
      <x:c r="BE88" s="62" t="n">
        <x:f>IF(BE44=0,0,BE30/BE44)</x:f>
        <x:v>131696.16328781602</x:v>
      </x:c>
      <x:c r="BF88" s="62" t="n">
        <x:f>IF(BF44=0,0,BF30/BF44)</x:f>
        <x:v>132423.8773861933</x:v>
      </x:c>
      <x:c r="BG88" s="62" t="n">
        <x:f>IF(BG44=0,0,BG30/BG44)</x:f>
        <x:v>133315.17477920098</x:v>
      </x:c>
      <x:c r="BH88" s="62" t="n">
        <x:f>IF(BH44=0,0,BH30/BH44)</x:f>
        <x:v>134361.45596100946</x:v>
      </x:c>
      <x:c r="BI88" s="62" t="n">
        <x:f>IF(BI44=0,0,BI30/BI44)</x:f>
        <x:v>131182.81373575306</x:v>
      </x:c>
      <x:c r="BJ88" s="62" t="n">
        <x:f>IF(BJ44=0,0,BJ30/BJ44)</x:f>
        <x:v>132613.77535283891</x:v>
      </x:c>
    </x:row>
    <x:row r="89">
      <x:c r="A89" t="str">
        <x:v>Verified work efficiency</x:v>
      </x:c>
      <x:c r="B89" t="str">
        <x:v>$ GP / delivery hour</x:v>
      </x:c>
      <x:c r="C89" s="62" t="n">
        <x:f>IF(C43=0,0,C47/C43)</x:f>
        <x:v>0</x:v>
      </x:c>
      <x:c r="D89" s="62" t="n">
        <x:f>IF(D43=0,0,D47/D43)</x:f>
        <x:v>248.5021786492375</x:v>
      </x:c>
      <x:c r="E89" s="62" t="n">
        <x:f>IF(E43=0,0,E47/E43)</x:f>
        <x:v>346.81630528590506</x:v>
      </x:c>
      <x:c r="F89" s="62" t="n">
        <x:f>IF(F43=0,0,F47/F43)</x:f>
        <x:v>371.31928783946614</x:v>
      </x:c>
      <x:c r="G89" s="62" t="n">
        <x:f>IF(G43=0,0,G47/G43)</x:f>
        <x:v>370.3299539342922</x:v>
      </x:c>
      <x:c r="H89" s="62" t="n">
        <x:f>IF(H43=0,0,H47/H43)</x:f>
        <x:v>338.66968049441175</x:v>
      </x:c>
      <x:c r="I89" s="62" t="n">
        <x:f>IF(I43=0,0,I47/I43)</x:f>
        <x:v>356.37750045897747</x:v>
      </x:c>
      <x:c r="J89" s="62" t="n">
        <x:f>IF(J43=0,0,J47/J43)</x:f>
        <x:v>370.44209496479243</x:v>
      </x:c>
      <x:c r="K89" s="62" t="n">
        <x:f>IF(K43=0,0,K47/K43)</x:f>
        <x:v>386.6753237023387</x:v>
      </x:c>
      <x:c r="L89" s="62" t="n">
        <x:f>IF(L43=0,0,L47/L43)</x:f>
        <x:v>369.3665355198468</x:v>
      </x:c>
      <x:c r="M89" s="62" t="n">
        <x:f>IF(M43=0,0,M47/M43)</x:f>
        <x:v>388.67993665258695</x:v>
      </x:c>
      <x:c r="N89" s="62" t="n">
        <x:f>IF(N43=0,0,N47/N43)</x:f>
        <x:v>406.92562433695633</x:v>
      </x:c>
      <x:c r="O89" s="62" t="n">
        <x:f>IF(O43=0,0,O47/O43)</x:f>
        <x:v>441.716595117785</x:v>
      </x:c>
      <x:c r="P89" s="62" t="n">
        <x:f>IF(P43=0,0,P47/P43)</x:f>
        <x:v>432.844962913253</x:v>
      </x:c>
      <x:c r="Q89" s="62" t="n">
        <x:f>IF(Q43=0,0,Q47/Q43)</x:f>
        <x:v>451.19428144397034</x:v>
      </x:c>
      <x:c r="R89" s="62" t="n">
        <x:f>IF(R43=0,0,R47/R43)</x:f>
        <x:v>469.64362187319654</x:v>
      </x:c>
      <x:c r="S89" s="62" t="n">
        <x:f>IF(S43=0,0,S47/S43)</x:f>
        <x:v>488.3613235360793</x:v>
      </x:c>
      <x:c r="T89" s="62" t="n">
        <x:f>IF(T43=0,0,T47/T43)</x:f>
        <x:v>507.53160781040975</x:v>
      </x:c>
      <x:c r="U89" s="62" t="n">
        <x:f>IF(U43=0,0,U47/U43)</x:f>
        <x:v>507.5032638355539</x:v>
      </x:c>
      <x:c r="V89" s="62" t="n">
        <x:f>IF(V43=0,0,V47/V43)</x:f>
        <x:v>529.1198908999795</x:v>
      </x:c>
      <x:c r="W89" s="62" t="n">
        <x:f>IF(W43=0,0,W47/W43)</x:f>
        <x:v>551.8022327130394</x:v>
      </x:c>
      <x:c r="X89" s="62" t="n">
        <x:f>IF(X43=0,0,X47/X43)</x:f>
        <x:v>575.8613743346828</x:v>
      </x:c>
      <x:c r="Y89" s="62" t="n">
        <x:f>IF(Y43=0,0,Y47/Y43)</x:f>
        <x:v>584.9691083697455</x:v>
      </x:c>
      <x:c r="Z89" s="62" t="n">
        <x:f>IF(Z43=0,0,Z47/Z43)</x:f>
        <x:v>613.5671848231076</x:v>
      </x:c>
      <x:c r="AA89" s="62" t="n">
        <x:f>IF(AA43=0,0,AA47/AA43)</x:f>
        <x:v>670.3825184661619</x:v>
      </x:c>
      <x:c r="AB89" s="62" t="n">
        <x:f>IF(AB43=0,0,AB47/AB43)</x:f>
        <x:v>703.957904578395</x:v>
      </x:c>
      <x:c r="AC89" s="62" t="n">
        <x:f>IF(AC43=0,0,AC47/AC43)</x:f>
        <x:v>741.6317129597877</x:v>
      </x:c>
      <x:c r="AD89" s="62" t="n">
        <x:f>IF(AD43=0,0,AD47/AD43)</x:f>
        <x:v>734.5898084824365</x:v>
      </x:c>
      <x:c r="AE89" s="62" t="n">
        <x:f>IF(AE43=0,0,AE47/AE43)</x:f>
        <x:v>742.8967689092818</x:v>
      </x:c>
      <x:c r="AF89" s="62" t="n">
        <x:f>IF(AF43=0,0,AF47/AF43)</x:f>
        <x:v>738.4832520083323</x:v>
      </x:c>
      <x:c r="AG89" s="62" t="n">
        <x:f>IF(AG43=0,0,AG47/AG43)</x:f>
        <x:v>747.0687828716937</x:v>
      </x:c>
      <x:c r="AH89" s="62" t="n">
        <x:f>IF(AH43=0,0,AH47/AH43)</x:f>
        <x:v>755.2641989381201</x:v>
      </x:c>
      <x:c r="AI89" s="62" t="n">
        <x:f>IF(AI43=0,0,AI47/AI43)</x:f>
        <x:v>751.8964142418381</x:v>
      </x:c>
      <x:c r="AJ89" s="62" t="n">
        <x:f>IF(AJ43=0,0,AJ47/AJ43)</x:f>
        <x:v>759.7231475512776</x:v>
      </x:c>
      <x:c r="AK89" s="62" t="n">
        <x:f>IF(AK43=0,0,AK47/AK43)</x:f>
        <x:v>756.9715373455002</x:v>
      </x:c>
      <x:c r="AL89" s="62" t="n">
        <x:f>IF(AL43=0,0,AL47/AL43)</x:f>
        <x:v>764.3532518197457</x:v>
      </x:c>
      <x:c r="AM89" s="62" t="n">
        <x:f>IF(AM43=0,0,AM47/AM43)</x:f>
        <x:v>791.601112274059</x:v>
      </x:c>
      <x:c r="AN89" s="62" t="n">
        <x:f>IF(AN43=0,0,AN47/AN43)</x:f>
        <x:v>798.677486162071</x:v>
      </x:c>
      <x:c r="AO89" s="62" t="n">
        <x:f>IF(AO43=0,0,AO47/AO43)</x:f>
        <x:v>796.9945476626169</x:v>
      </x:c>
      <x:c r="AP89" s="62" t="n">
        <x:f>IF(AP43=0,0,AP47/AP43)</x:f>
        <x:v>803.688172296365</x:v>
      </x:c>
      <x:c r="AQ89" s="62" t="n">
        <x:f>IF(AQ43=0,0,AQ47/AQ43)</x:f>
        <x:v>802.3967788006115</x:v>
      </x:c>
      <x:c r="AR89" s="62" t="n">
        <x:f>IF(AR43=0,0,AR47/AR43)</x:f>
        <x:v>801.4522160676694</x:v>
      </x:c>
      <x:c r="AS89" s="62" t="n">
        <x:f>IF(AS43=0,0,AS47/AS43)</x:f>
        <x:v>807.740135782458</x:v>
      </x:c>
      <x:c r="AT89" s="62" t="n">
        <x:f>IF(AT43=0,0,AT47/AT43)</x:f>
        <x:v>807.0736936910557</x:v>
      </x:c>
      <x:c r="AU89" s="62" t="n">
        <x:f>IF(AU43=0,0,AU47/AU43)</x:f>
        <x:v>806.6795592717973</x:v>
      </x:c>
      <x:c r="AV89" s="62" t="n">
        <x:f>IF(AV43=0,0,AV47/AV43)</x:f>
        <x:v>806.531117395165</x:v>
      </x:c>
      <x:c r="AW89" s="62" t="n">
        <x:f>IF(AW43=0,0,AW47/AW43)</x:f>
        <x:v>806.6410319338581</x:v>
      </x:c>
      <x:c r="AX89" s="62" t="n">
        <x:f>IF(AX43=0,0,AX47/AX43)</x:f>
        <x:v>812.7223385320095</x:v>
      </x:c>
      <x:c r="AY89" s="62" t="n">
        <x:f>IF(AY43=0,0,AY47/AY43)</x:f>
        <x:v>844.274318421623</x:v>
      </x:c>
      <x:c r="AZ89" s="62" t="n">
        <x:f>IF(AZ43=0,0,AZ47/AZ43)</x:f>
        <x:v>845.8617978461094</x:v>
      </x:c>
      <x:c r="BA89" s="62" t="n">
        <x:f>IF(BA43=0,0,BA47/BA43)</x:f>
        <x:v>847.5432268434583</x:v>
      </x:c>
      <x:c r="BB89" s="62" t="n">
        <x:f>IF(BB43=0,0,BB47/BB43)</x:f>
        <x:v>849.4048913261662</x:v>
      </x:c>
      <x:c r="BC89" s="62" t="n">
        <x:f>IF(BC43=0,0,BC47/BC43)</x:f>
        <x:v>851.3534896395316</x:v>
      </x:c>
      <x:c r="BD89" s="62" t="n">
        <x:f>IF(BD43=0,0,BD47/BD43)</x:f>
        <x:v>853.3799554430506</x:v>
      </x:c>
      <x:c r="BE89" s="62" t="n">
        <x:f>IF(BE43=0,0,BE47/BE43)</x:f>
        <x:v>855.4722979963171</x:v>
      </x:c>
      <x:c r="BF89" s="62" t="n">
        <x:f>IF(BF43=0,0,BF47/BF43)</x:f>
        <x:v>857.5994485942412</x:v>
      </x:c>
      <x:c r="BG89" s="62" t="n">
        <x:f>IF(BG43=0,0,BG47/BG43)</x:f>
        <x:v>859.7787238873799</x:v>
      </x:c>
      <x:c r="BH89" s="62" t="n">
        <x:f>IF(BH43=0,0,BH47/BH43)</x:f>
        <x:v>862.0025121832467</x:v>
      </x:c>
      <x:c r="BI89" s="62" t="n">
        <x:f>IF(BI43=0,0,BI47/BI43)</x:f>
        <x:v>860.8308217751945</x:v>
      </x:c>
      <x:c r="BJ89" s="62" t="n">
        <x:f>IF(BJ43=0,0,BJ47/BJ43)</x:f>
        <x:v>863.2617270223518</x:v>
      </x:c>
    </x:row>
    <x:row r="91">
      <x:c r="A91" s="3" t="str">
        <x:v>Valuation Operating Metrics</x:v>
      </x:c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  <x:c r="AL91" s="3"/>
      <x:c r="AM91" s="3"/>
      <x:c r="AN91" s="3"/>
      <x:c r="AO91" s="3"/>
      <x:c r="AP91" s="3"/>
      <x:c r="AQ91" s="3"/>
      <x:c r="AR91" s="3"/>
      <x:c r="AS91" s="3"/>
      <x:c r="AT91" s="3"/>
      <x:c r="AU91" s="3"/>
      <x:c r="AV91" s="3"/>
      <x:c r="AW91" s="3"/>
      <x:c r="AX91" s="3"/>
      <x:c r="AY91" s="3"/>
      <x:c r="AZ91" s="3"/>
      <x:c r="BA91" s="3"/>
      <x:c r="BB91" s="3"/>
      <x:c r="BC91" s="3"/>
      <x:c r="BD91" s="3"/>
      <x:c r="BE91" s="3"/>
      <x:c r="BF91" s="3"/>
      <x:c r="BG91" s="3"/>
      <x:c r="BH91" s="3"/>
      <x:c r="BI91" s="3"/>
      <x:c r="BJ91" s="3"/>
    </x:row>
    <x:row r="92">
      <x:c r="A92" t="str">
        <x:v>Annualized revenue run rate</x:v>
      </x:c>
      <x:c r="B92" t="str">
        <x:v>$</x:v>
      </x:c>
      <x:c r="C92" s="62" t="n">
        <x:f>C30*12</x:f>
        <x:v>0</x:v>
      </x:c>
      <x:c r="D92" s="62" t="n">
        <x:f>D30*12</x:f>
        <x:v>480000</x:v>
      </x:c>
      <x:c r="E92" s="62" t="n">
        <x:f>E30*12</x:f>
        <x:v>908400</x:v>
      </x:c>
      <x:c r="F92" s="62" t="n">
        <x:f>F30*12</x:f>
        <x:v>1186027.481472</x:v>
      </x:c>
      <x:c r="G92" s="62" t="n">
        <x:f>G30*12</x:f>
        <x:v>1523252.407356909</x:v>
      </x:c>
      <x:c r="H92" s="62" t="n">
        <x:f>H30*12</x:f>
        <x:v>1913111.333024439</x:v>
      </x:c>
      <x:c r="I92" s="62" t="n">
        <x:f>I30*12</x:f>
        <x:v>2110679.692168898</x:v>
      </x:c>
      <x:c r="J92" s="62" t="n">
        <x:f>J30*12</x:f>
        <x:v>2275161.9877742818</x:v>
      </x:c>
      <x:c r="K92" s="62" t="n">
        <x:f>K30*12</x:f>
        <x:v>2468749.6312116045</x:v>
      </x:c>
      <x:c r="L92" s="62" t="n">
        <x:f>L30*12</x:f>
        <x:v>2675652.4384191963</x:v>
      </x:c>
      <x:c r="M92" s="62" t="n">
        <x:f>M30*12</x:f>
        <x:v>2924100.7864963366</x:v>
      </x:c>
      <x:c r="N92" s="62" t="n">
        <x:f>N30*12</x:f>
        <x:v>3182487.1871076263</x:v>
      </x:c>
      <x:c r="O92" s="62" t="n">
        <x:f>O30*12</x:f>
        <x:v>3540265.6658927538</x:v>
      </x:c>
      <x:c r="P92" s="62" t="n">
        <x:f>P30*12</x:f>
        <x:v>3820125.6113615157</x:v>
      </x:c>
      <x:c r="Q92" s="62" t="n">
        <x:f>Q30*12</x:f>
        <x:v>4118761.564341141</x:v>
      </x:c>
      <x:c r="R92" s="62" t="n">
        <x:f>R30*12</x:f>
        <x:v>4437429.301900896</x:v>
      </x:c>
      <x:c r="S92" s="62" t="n">
        <x:f>S30*12</x:f>
        <x:v>4777525.244871154</x:v>
      </x:c>
      <x:c r="T92" s="62" t="n">
        <x:f>T30*12</x:f>
        <x:v>5140529.904354273</x:v>
      </x:c>
      <x:c r="U92" s="62" t="n">
        <x:f>U30*12</x:f>
        <x:v>5528019.008474855</x:v>
      </x:c>
      <x:c r="V92" s="62" t="n">
        <x:f>V30*12</x:f>
        <x:v>5941724.545887294</x:v>
      </x:c>
      <x:c r="W92" s="62" t="n">
        <x:f>W30*12</x:f>
        <x:v>6383518.246229121</x:v>
      </x:c>
      <x:c r="X92" s="62" t="n">
        <x:f>X30*12</x:f>
        <x:v>6855416.228124062</x:v>
      </x:c>
      <x:c r="Y92" s="62" t="n">
        <x:f>Y30*12</x:f>
        <x:v>7359592.2850878555</x:v>
      </x:c>
      <x:c r="Z92" s="62" t="n">
        <x:f>Z30*12</x:f>
        <x:v>7898386.658999177</x:v>
      </x:c>
      <x:c r="AA92" s="62" t="n">
        <x:f>AA30*12</x:f>
        <x:v>8728557.112040792</x:v>
      </x:c>
      <x:c r="AB92" s="62" t="n">
        <x:f>AB30*12</x:f>
        <x:v>9308665.01458555</x:v>
      </x:c>
      <x:c r="AC92" s="62" t="n">
        <x:f>AC30*12</x:f>
        <x:v>9880689.868643858</x:v>
      </x:c>
      <x:c r="AD92" s="62" t="n">
        <x:f>AD30*12</x:f>
        <x:v>10462651.313967172</x:v>
      </x:c>
      <x:c r="AE92" s="62" t="n">
        <x:f>AE30*12</x:f>
        <x:v>11049265.331466079</x:v>
      </x:c>
      <x:c r="AF92" s="62" t="n">
        <x:f>AF30*12</x:f>
        <x:v>11635664.115525212</x:v>
      </x:c>
      <x:c r="AG92" s="62" t="n">
        <x:f>AG30*12</x:f>
        <x:v>12246000.677761624</x:v>
      </x:c>
      <x:c r="AH92" s="62" t="n">
        <x:f>AH30*12</x:f>
        <x:v>12886823.18520248</x:v>
      </x:c>
      <x:c r="AI92" s="62" t="n">
        <x:f>AI30*12</x:f>
        <x:v>13557686.322629498</x:v>
      </x:c>
      <x:c r="AJ92" s="62" t="n">
        <x:f>AJ30*12</x:f>
        <x:v>14260130.658847986</x:v>
      </x:c>
      <x:c r="AK92" s="62" t="n">
        <x:f>AK30*12</x:f>
        <x:v>14992572.127597572</x:v>
      </x:c>
      <x:c r="AL92" s="62" t="n">
        <x:f>AL30*12</x:f>
        <x:v>15757215.436543986</x:v>
      </x:c>
      <x:c r="AM92" s="62" t="n">
        <x:f>AM30*12</x:f>
        <x:v>17054907.00658355</x:v>
      </x:c>
      <x:c r="AN92" s="62" t="n">
        <x:f>AN30*12</x:f>
        <x:v>17919322.86354155</x:v>
      </x:c>
      <x:c r="AO92" s="62" t="n">
        <x:f>AO30*12</x:f>
        <x:v>18825357.410777926</x:v>
      </x:c>
      <x:c r="AP92" s="62" t="n">
        <x:f>AP30*12</x:f>
        <x:v>19775348.184662078</x:v>
      </x:c>
      <x:c r="AQ92" s="62" t="n">
        <x:f>AQ30*12</x:f>
        <x:v>20771794.85074803</x:v>
      </x:c>
      <x:c r="AR92" s="62" t="n">
        <x:f>AR30*12</x:f>
        <x:v>21817371.44595678</x:v>
      </x:c>
      <x:c r="AS92" s="62" t="n">
        <x:f>AS30*12</x:f>
        <x:v>22914943.789930113</x:v>
      </x:c>
      <x:c r="AT92" s="62" t="n">
        <x:f>AT30*12</x:f>
        <x:v>24067580.398427054</x:v>
      </x:c>
      <x:c r="AU92" s="62" t="n">
        <x:f>AU30*12</x:f>
        <x:v>25278569.974496976</x:v>
      </x:c>
      <x:c r="AV92" s="62" t="n">
        <x:f>AV30*12</x:f>
        <x:v>26551441.17487191</x:v>
      </x:c>
      <x:c r="AW92" s="62" t="n">
        <x:f>AW30*12</x:f>
        <x:v>27882924.493603207</x:v>
      </x:c>
      <x:c r="AX92" s="62" t="n">
        <x:f>AX30*12</x:f>
        <x:v>29221061.656295888</x:v>
      </x:c>
      <x:c r="AY92" s="62" t="n">
        <x:f>AY30*12</x:f>
        <x:v>31535988.880199634</x:v>
      </x:c>
      <x:c r="AZ92" s="62" t="n">
        <x:f>AZ30*12</x:f>
        <x:v>32983674.108159713</x:v>
      </x:c>
      <x:c r="BA92" s="62" t="n">
        <x:f>BA30*12</x:f>
        <x:v>34475862.0440169</x:v>
      </x:c>
      <x:c r="BB92" s="62" t="n">
        <x:f>BB30*12</x:f>
        <x:v>36032850.45655951</x:v>
      </x:c>
      <x:c r="BC92" s="62" t="n">
        <x:f>BC30*12</x:f>
        <x:v>37652524.007436216</x:v>
      </x:c>
      <x:c r="BD92" s="62" t="n">
        <x:f>BD30*12</x:f>
        <x:v>39337332.358744785</x:v>
      </x:c>
      <x:c r="BE92" s="62" t="n">
        <x:f>BE30*12</x:f>
        <x:v>41089202.9457986</x:v>
      </x:c>
      <x:c r="BF92" s="62" t="n">
        <x:f>BF30*12</x:f>
        <x:v>42905336.273126625</x:v>
      </x:c>
      <x:c r="BG92" s="62" t="n">
        <x:f>BG30*12</x:f>
        <x:v>44793898.725811526</x:v>
      </x:c>
      <x:c r="BH92" s="62" t="n">
        <x:f>BH30*12</x:f>
        <x:v>46757786.674431294</x:v>
      </x:c>
      <x:c r="BI92" s="62" t="n">
        <x:f>BI30*12</x:f>
        <x:v>48800006.70970014</x:v>
      </x:c>
      <x:c r="BJ92" s="62" t="n">
        <x:f>BJ30*12</x:f>
        <x:v>50923689.73549014</x:v>
      </x:c>
    </x:row>
    <x:row r="93">
      <x:c r="A93" t="str">
        <x:v>ARR mix of run rate</x:v>
      </x:c>
      <x:c r="B93" t="str">
        <x:v>%</x:v>
      </x:c>
      <x:c r="C93" s="66" t="n">
        <x:f>IF(C92=0,0,C32/C92)</x:f>
        <x:v>0</x:v>
      </x:c>
      <x:c r="D93" s="66" t="n">
        <x:f>IF(D92=0,0,D32/D92)</x:f>
        <x:v>0</x:v>
      </x:c>
      <x:c r="E93" s="66" t="n">
        <x:f>IF(E92=0,0,E32/E92)</x:f>
        <x:v>0</x:v>
      </x:c>
      <x:c r="F93" s="66" t="n">
        <x:f>IF(F92=0,0,F32/F92)</x:f>
        <x:v>0</x:v>
      </x:c>
      <x:c r="G93" s="66" t="n">
        <x:f>IF(G92=0,0,G32/G92)</x:f>
        <x:v>0</x:v>
      </x:c>
      <x:c r="H93" s="66" t="n">
        <x:f>IF(H92=0,0,H32/H92)</x:f>
        <x:v>0</x:v>
      </x:c>
      <x:c r="I93" s="66" t="n">
        <x:f>IF(I92=0,0,I32/I92)</x:f>
        <x:v>0</x:v>
      </x:c>
      <x:c r="J93" s="66" t="n">
        <x:f>IF(J92=0,0,J32/J92)</x:f>
        <x:v>0.00996852097647215</x:v>
      </x:c>
      <x:c r="K93" s="66" t="n">
        <x:f>IF(K92=0,0,K32/K92)</x:f>
        <x:v>0.025866734665426456</x:v>
      </x:c>
      <x:c r="L93" s="66" t="n">
        <x:f>IF(L92=0,0,L32/L92)</x:f>
        <x:v>0.04014365861323147</x:v>
      </x:c>
      <x:c r="M93" s="66" t="n">
        <x:f>IF(M92=0,0,M32/M92)</x:f>
        <x:v>0.05250463796308644</x:v>
      </x:c>
      <x:c r="N93" s="66" t="n">
        <x:f>IF(N92=0,0,N32/N92)</x:f>
        <x:v>0.06361025446534176</x:v>
      </x:c>
      <x:c r="O93" s="66" t="n">
        <x:f>IF(O92=0,0,O32/O92)</x:f>
        <x:v>0.07400292927805563</x:v>
      </x:c>
      <x:c r="P93" s="66" t="n">
        <x:f>IF(P92=0,0,P32/P92)</x:f>
        <x:v>0.08345353743437767</x:v>
      </x:c>
      <x:c r="Q93" s="66" t="n">
        <x:f>IF(Q92=0,0,Q32/Q92)</x:f>
        <x:v>0.09206605452137431</x:v>
      </x:c>
      <x:c r="R93" s="66" t="n">
        <x:f>IF(R92=0,0,R32/R92)</x:f>
        <x:v>0.09992872695817684</x:v>
      </x:c>
      <x:c r="S93" s="66" t="n">
        <x:f>IF(S92=0,0,S32/S92)</x:f>
        <x:v>0.1071171602174294</x:v>
      </x:c>
      <x:c r="T93" s="66" t="n">
        <x:f>IF(T92=0,0,T32/T92)</x:f>
        <x:v>0.11369807491768057</x:v>
      </x:c>
      <x:c r="U93" s="66" t="n">
        <x:f>IF(U92=0,0,U32/U92)</x:f>
        <x:v>0.11973079223346395</x:v>
      </x:c>
      <x:c r="V93" s="66" t="n">
        <x:f>IF(V92=0,0,V32/V92)</x:f>
        <x:v>0.12526719649749338</x:v>
      </x:c>
      <x:c r="W93" s="66" t="n">
        <x:f>IF(W92=0,0,W32/W92)</x:f>
        <x:v>0.1303526165297144</x:v>
      </x:c>
      <x:c r="X93" s="66" t="n">
        <x:f>IF(X92=0,0,X32/X92)</x:f>
        <x:v>0.1350270587811465</x:v>
      </x:c>
      <x:c r="Y93" s="66" t="n">
        <x:f>IF(Y92=0,0,Y32/Y92)</x:f>
        <x:v>0.1393261497863017</x:v>
      </x:c>
      <x:c r="Z93" s="66" t="n">
        <x:f>IF(Z92=0,0,Z32/Z92)</x:f>
        <x:v>0.14328179145834483</x:v>
      </x:c>
      <x:c r="AA93" s="66" t="n">
        <x:f>IF(AA92=0,0,AA32/AA92)</x:f>
        <x:v>0.14692251431424158</x:v>
      </x:c>
      <x:c r="AB93" s="66" t="n">
        <x:f>IF(AB92=0,0,AB32/AB92)</x:f>
        <x:v>0.15114863847346305</x:v>
      </x:c>
      <x:c r="AC93" s="66" t="n">
        <x:f>IF(AC92=0,0,AC32/AC92)</x:f>
        <x:v>0.1558511691346514</x:v>
      </x:c>
      <x:c r="AD93" s="66" t="n">
        <x:f>IF(AD92=0,0,AD32/AD92)</x:f>
        <x:v>0.1607431891521576</x:v>
      </x:c>
      <x:c r="AE93" s="66" t="n">
        <x:f>IF(AE92=0,0,AE32/AE92)</x:f>
        <x:v>0.16591975064666525</x:v>
      </x:c>
      <x:c r="AF93" s="66" t="n">
        <x:f>IF(AF92=0,0,AF32/AF92)</x:f>
        <x:v>0.17146366547685213</x:v>
      </x:c>
      <x:c r="AG93" s="66" t="n">
        <x:f>IF(AG92=0,0,AG32/AG92)</x:f>
        <x:v>0.1770345648519627</x:v>
      </x:c>
      <x:c r="AH93" s="66" t="n">
        <x:f>IF(AH92=0,0,AH32/AH92)</x:f>
        <x:v>0.18235949953205347</x:v>
      </x:c>
      <x:c r="AI93" s="66" t="n">
        <x:f>IF(AI92=0,0,AI32/AI92)</x:f>
        <x:v>0.18733620438811596</x:v>
      </x:c>
      <x:c r="AJ93" s="66" t="n">
        <x:f>IF(AJ92=0,0,AJ32/AJ92)</x:f>
        <x:v>0.19199075214069897</x:v>
      </x:c>
      <x:c r="AK93" s="66" t="n">
        <x:f>IF(AK92=0,0,AK32/AK92)</x:f>
        <x:v>0.19638882683665795</x:v>
      </x:c>
      <x:c r="AL93" s="66" t="n">
        <x:f>IF(AL92=0,0,AL32/AL92)</x:f>
        <x:v>0.2005418035098212</x:v>
      </x:c>
      <x:c r="AM93" s="66" t="n">
        <x:f>IF(AM92=0,0,AM32/AM92)</x:f>
        <x:v>0.2044375385472743</x:v>
      </x:c>
      <x:c r="AN93" s="66" t="n">
        <x:f>IF(AN92=0,0,AN32/AN92)</x:f>
        <x:v>0.20809230456171293</x:v>
      </x:c>
      <x:c r="AO93" s="66" t="n">
        <x:f>IF(AO92=0,0,AO32/AO92)</x:f>
        <x:v>0.21152095499044496</x:v>
      </x:c>
      <x:c r="AP93" s="66" t="n">
        <x:f>IF(AP92=0,0,AP32/AP92)</x:f>
        <x:v>0.21473693415144157</x:v>
      </x:c>
      <x:c r="AQ93" s="66" t="n">
        <x:f>IF(AQ92=0,0,AQ32/AQ92)</x:f>
        <x:v>0.2177524969213858</x:v>
      </x:c>
      <x:c r="AR93" s="66" t="n">
        <x:f>IF(AR92=0,0,AR32/AR92)</x:f>
        <x:v>0.22057883234177908</x:v>
      </x:c>
      <x:c r="AS93" s="66" t="n">
        <x:f>IF(AS92=0,0,AS32/AS92)</x:f>
        <x:v>0.2232261468260307</x:v>
      </x:c>
      <x:c r="AT93" s="66" t="n">
        <x:f>IF(AT92=0,0,AT32/AT92)</x:f>
        <x:v>0.22570379103964228</x:v>
      </x:c>
      <x:c r="AU93" s="66" t="n">
        <x:f>IF(AU92=0,0,AU32/AU92)</x:f>
        <x:v>0.22802034409141023</x:v>
      </x:c>
      <x:c r="AV93" s="66" t="n">
        <x:f>IF(AV92=0,0,AV32/AV92)</x:f>
        <x:v>0.23018367866682626</x:v>
      </x:c>
      <x:c r="AW93" s="66" t="n">
        <x:f>IF(AW92=0,0,AW32/AW92)</x:f>
        <x:v>0.23225980418949838</x:v>
      </x:c>
      <x:c r="AX93" s="66" t="n">
        <x:f>IF(AX92=0,0,AX32/AX92)</x:f>
        <x:v>0.23469748139920693</x:v>
      </x:c>
      <x:c r="AY93" s="66" t="n">
        <x:f>IF(AY92=0,0,AY32/AY92)</x:f>
        <x:v>0.23708083206690836</x:v>
      </x:c>
      <x:c r="AZ93" s="66" t="n">
        <x:f>IF(AZ92=0,0,AZ32/AZ92)</x:f>
        <x:v>0.23980563166922075</x:v>
      </x:c>
      <x:c r="BA93" s="66" t="n">
        <x:f>IF(BA92=0,0,BA32/BA92)</x:f>
        <x:v>0.2426143337900238</x:v>
      </x:c>
      <x:c r="BB93" s="66" t="n">
        <x:f>IF(BB92=0,0,BB32/BB92)</x:f>
        <x:v>0.24536785592816301</x:v>
      </x:c>
      <x:c r="BC93" s="66" t="n">
        <x:f>IF(BC92=0,0,BC32/BC92)</x:f>
        <x:v>0.24797385728781537</x:v>
      </x:c>
      <x:c r="BD93" s="66" t="n">
        <x:f>IF(BD92=0,0,BD32/BD92)</x:f>
        <x:v>0.250442023232092</x:v>
      </x:c>
      <x:c r="BE93" s="66" t="n">
        <x:f>IF(BE92=0,0,BE32/BE92)</x:f>
        <x:v>0.25278516394531625</x:v>
      </x:c>
      <x:c r="BF93" s="66" t="n">
        <x:f>IF(BF92=0,0,BF32/BF92)</x:f>
        <x:v>0.2550434701277361</x:v>
      </x:c>
      <x:c r="BG93" s="66" t="n">
        <x:f>IF(BG92=0,0,BG32/BG92)</x:f>
        <x:v>0.25718969382666423</x:v>
      </x:c>
      <x:c r="BH93" s="66" t="n">
        <x:f>IF(BH92=0,0,BH32/BH92)</x:f>
        <x:v>0.25923031998182905</x:v>
      </x:c>
      <x:c r="BI93" s="66" t="n">
        <x:f>IF(BI92=0,0,BI32/BI92)</x:f>
        <x:v>0.2611713508314224</x:v>
      </x:c>
      <x:c r="BJ93" s="66" t="n">
        <x:f>IF(BJ92=0,0,BJ32/BJ92)</x:f>
        <x:v>0.2630183405079946</x:v>
      </x:c>
    </x:row>
    <x:row r="94">
      <x:c r="A94" t="str">
        <x:v>Rule of 40</x:v>
      </x:c>
      <x:c r="B94" t="str">
        <x:v>points</x:v>
      </x:c>
      <x:c r="C94" s="68" t="n">
        <x:f>C65*100</x:f>
        <x:v>0</x:v>
      </x:c>
      <x:c r="D94" s="68" t="n">
        <x:f>D65*100</x:f>
        <x:v>-397.61666666666673</x:v>
      </x:c>
      <x:c r="E94" s="68" t="n">
        <x:f>E65*100</x:f>
        <x:v>-172.70682518714221</x:v>
      </x:c>
      <x:c r="F94" s="68" t="n">
        <x:f>F65*100</x:f>
        <x:v>-113.76961330947368</x:v>
      </x:c>
      <x:c r="G94" s="68" t="n">
        <x:f>G65*100</x:f>
        <x:v>-71.73192426278615</x:v>
      </x:c>
      <x:c r="H94" s="68" t="n">
        <x:f>H65*100</x:f>
        <x:v>-49.31499612593357</x:v>
      </x:c>
      <x:c r="I94" s="68" t="n">
        <x:f>I65*100</x:f>
        <x:v>-37.08168906902718</x:v>
      </x:c>
      <x:c r="J94" s="68" t="n">
        <x:f>J65*100</x:f>
        <x:v>-43.26861583813783</x:v>
      </x:c>
      <x:c r="K94" s="68" t="n">
        <x:f>K65*100</x:f>
        <x:v>-33.510073617691994</x:v>
      </x:c>
      <x:c r="L94" s="68" t="n">
        <x:f>L65*100</x:f>
        <x:v>-30.43604173048627</x:v>
      </x:c>
      <x:c r="M94" s="68" t="n">
        <x:f>M65*100</x:f>
        <x:v>-20.940052623173965</x:v>
      </x:c>
      <x:c r="N94" s="68" t="n">
        <x:f>N65*100</x:f>
        <x:v>-12.64111260494191</x:v>
      </x:c>
      <x:c r="O94" s="68" t="n">
        <x:f>IF(C30=0,0,((O30/C30)-1)*100+O65*100)</x:f>
        <x:v>0</x:v>
      </x:c>
      <x:c r="P94" s="68" t="n">
        <x:f>IF(D30=0,0,((P30/D30)-1)*100+P65*100)</x:f>
        <x:v>695.1540230064586</x:v>
      </x:c>
      <x:c r="Q94" s="68" t="n">
        <x:f>IF(E30=0,0,((Q30/E30)-1)*100+Q65*100)</x:f>
        <x:v>358.6609640909093</x:v>
      </x:c>
      <x:c r="R94" s="68" t="n">
        <x:f>IF(F30=0,0,((R30/F30)-1)*100+R65*100)</x:f>
        <x:v>284.8674904701115</x:v>
      </x:c>
      <x:c r="S94" s="68" t="n">
        <x:f>IF(G30=0,0,((S30/G30)-1)*100+S65*100)</x:f>
        <x:v>229.39975519707545</x:v>
      </x:c>
      <x:c r="T94" s="68" t="n">
        <x:f>IF(H30=0,0,((T30/H30)-1)*100+T65*100)</x:f>
        <x:v>189.09819791408017</x:v>
      </x:c>
      <x:c r="U94" s="68" t="n">
        <x:f>IF(I30=0,0,((U30/I30)-1)*100+U65*100)</x:f>
        <x:v>178.89544373934626</x:v>
      </x:c>
      <x:c r="V94" s="68" t="n">
        <x:f>IF(J30=0,0,((V30/J30)-1)*100+V65*100)</x:f>
        <x:v>182.63097763628997</x:v>
      </x:c>
      <x:c r="W94" s="68" t="n">
        <x:f>IF(K30=0,0,((W30/K30)-1)*100+W65*100)</x:f>
        <x:v>184.196125030581</x:v>
      </x:c>
      <x:c r="X94" s="68" t="n">
        <x:f>IF(L30=0,0,((X30/L30)-1)*100+X65*100)</x:f>
        <x:v>185.67768033587961</x:v>
      </x:c>
      <x:c r="Y94" s="68" t="n">
        <x:f>IF(M30=0,0,((Y30/M30)-1)*100+Y65*100)</x:f>
        <x:v>182.60176008938603</x:v>
      </x:c>
      <x:c r="Z94" s="68" t="n">
        <x:f>IF(N30=0,0,((Z30/N30)-1)*100+Z65*100)</x:f>
        <x:v>182.53992246668605</x:v>
      </x:c>
      <x:c r="AA94" s="68" t="n">
        <x:f>IF(O30=0,0,((AA30/O30)-1)*100+AA65*100)</x:f>
        <x:v>185.7123201434208</x:v>
      </x:c>
      <x:c r="AB94" s="68" t="n">
        <x:f>IF(P30=0,0,((AB30/P30)-1)*100+AB65*100)</x:f>
        <x:v>185.44890550607124</x:v>
      </x:c>
      <x:c r="AC94" s="68" t="n">
        <x:f>IF(Q30=0,0,((AC30/Q30)-1)*100+AC65*100)</x:f>
        <x:v>183.9512468568724</x:v>
      </x:c>
      <x:c r="AD94" s="68" t="n">
        <x:f>IF(R30=0,0,((AD30/R30)-1)*100+AD65*100)</x:f>
        <x:v>180.4269124544856</x:v>
      </x:c>
      <x:c r="AE94" s="68" t="n">
        <x:f>IF(S30=0,0,((AE30/S30)-1)*100+AE65*100)</x:f>
        <x:v>177.88082794166093</x:v>
      </x:c>
      <x:c r="AF94" s="68" t="n">
        <x:f>IF(T30=0,0,((AF30/T30)-1)*100+AF65*100)</x:f>
        <x:v>173.39622644711676</x:v>
      </x:c>
      <x:c r="AG94" s="68" t="n">
        <x:f>IF(U30=0,0,((AG30/U30)-1)*100+AG65*100)</x:f>
        <x:v>170.30010918149028</x:v>
      </x:c>
      <x:c r="AH94" s="68" t="n">
        <x:f>IF(V30=0,0,((AH30/V30)-1)*100+AH65*100)</x:f>
        <x:v>167.29988233630002</x:v>
      </x:c>
      <x:c r="AI94" s="68" t="n">
        <x:f>IF(W30=0,0,((AI30/W30)-1)*100+AI65*100)</x:f>
        <x:v>162.09803613357803</x:v>
      </x:c>
      <x:c r="AJ94" s="68" t="n">
        <x:f>IF(X30=0,0,((AJ30/X30)-1)*100+AJ65*100)</x:f>
        <x:v>159.30052461488725</x:v>
      </x:c>
      <x:c r="AK94" s="68" t="n">
        <x:f>IF(Y30=0,0,((AK30/Y30)-1)*100+AK65*100)</x:f>
        <x:v>155.4533323462789</x:v>
      </x:c>
      <x:c r="AL94" s="68" t="n">
        <x:f>IF(Z30=0,0,((AL30/Z30)-1)*100+AL65*100)</x:f>
        <x:v>151.76922666843305</x:v>
      </x:c>
      <x:c r="AM94" s="68" t="n">
        <x:f>IF(AA30=0,0,((AM30/AA30)-1)*100+AM65*100)</x:f>
        <x:v>149.31284743663906</x:v>
      </x:c>
      <x:c r="AN94" s="68" t="n">
        <x:f>IF(AB30=0,0,((AN30/AB30)-1)*100+AN65*100)</x:f>
        <x:v>147.77408445501285</x:v>
      </x:c>
      <x:c r="AO94" s="68" t="n">
        <x:f>IF(AC30=0,0,((AO30/AC30)-1)*100+AO65*100)</x:f>
        <x:v>145.24937767918897</x:v>
      </x:c>
      <x:c r="AP94" s="68" t="n">
        <x:f>IF(AD30=0,0,((AP30/AD30)-1)*100+AP65*100)</x:f>
        <x:v>145.03742544458197</x:v>
      </x:c>
      <x:c r="AQ94" s="68" t="n">
        <x:f>IF(AE30=0,0,((AQ30/AE30)-1)*100+AQ65*100)</x:f>
        <x:v>144.51522478773094</x:v>
      </x:c>
      <x:c r="AR94" s="68" t="n">
        <x:f>IF(AF30=0,0,((AR30/AF30)-1)*100+AR65*100)</x:f>
        <x:v>144.53110319823622</x:v>
      </x:c>
      <x:c r="AS94" s="68" t="n">
        <x:f>IF(AG30=0,0,((AS30/AG30)-1)*100+AS65*100)</x:f>
        <x:v>144.68281111082047</x:v>
      </x:c>
      <x:c r="AT94" s="68" t="n">
        <x:f>IF(AH30=0,0,((AT30/AH30)-1)*100+AT65*100)</x:f>
        <x:v>144.8400992543869</x:v>
      </x:c>
      <x:c r="AU94" s="68" t="n">
        <x:f>IF(AI30=0,0,((AU30/AI30)-1)*100+AU65*100)</x:f>
        <x:v>144.57949042963858</x:v>
      </x:c>
      <x:c r="AV94" s="68" t="n">
        <x:f>IF(AJ30=0,0,((AV30/AJ30)-1)*100+AV65*100)</x:f>
        <x:v>144.871182936526</x:v>
      </x:c>
      <x:c r="AW94" s="68" t="n">
        <x:f>IF(AK30=0,0,((AW30/AK30)-1)*100+AW65*100)</x:f>
        <x:v>144.6827294823545</x:v>
      </x:c>
      <x:c r="AX94" s="68" t="n">
        <x:f>IF(AL30=0,0,((AX30/AL30)-1)*100+AX65*100)</x:f>
        <x:v>145.21098065389597</x:v>
      </x:c>
      <x:c r="AY94" s="68" t="n">
        <x:f>IF(AM30=0,0,((AY30/AM30)-1)*100+AY65*100)</x:f>
        <x:v>146.1241103886719</x:v>
      </x:c>
      <x:c r="AZ94" s="68" t="n">
        <x:f>IF(AN30=0,0,((AZ30/AN30)-1)*100+AZ65*100)</x:f>
        <x:v>144.71331649660456</x:v>
      </x:c>
      <x:c r="BA94" s="68" t="n">
        <x:f>IF(AO30=0,0,((BA30/AO30)-1)*100+BA65*100)</x:f>
        <x:v>144.2733787128949</x:v>
      </x:c>
      <x:c r="BB94" s="68" t="n">
        <x:f>IF(AP30=0,0,((BB30/AP30)-1)*100+BB65*100)</x:f>
        <x:v>143.83834191044818</x:v>
      </x:c>
      <x:c r="BC94" s="68" t="n">
        <x:f>IF(AQ30=0,0,((BC30/AQ30)-1)*100+BC65*100)</x:f>
        <x:v>143.3774808776686</x:v>
      </x:c>
      <x:c r="BD94" s="68" t="n">
        <x:f>IF(AR30=0,0,((BD30/AR30)-1)*100+BD65*100)</x:f>
        <x:v>142.5197328182584</x:v>
      </x:c>
      <x:c r="BE94" s="68" t="n">
        <x:f>IF(AS30=0,0,((BE30/AS30)-1)*100+BE65*100)</x:f>
        <x:v>142.01261948584926</x:v>
      </x:c>
      <x:c r="BF94" s="68" t="n">
        <x:f>IF(AT30=0,0,((BF30/AT30)-1)*100+BF65*100)</x:f>
        <x:v>140.8146948231282</x:v>
      </x:c>
      <x:c r="BG94" s="68" t="n">
        <x:f>IF(AU30=0,0,((BG30/AU30)-1)*100+BG65*100)</x:f>
        <x:v>140.2369562042141</x:v>
      </x:c>
      <x:c r="BH94" s="68" t="n">
        <x:f>IF(AV30=0,0,((BH30/AV30)-1)*100+BH65*100)</x:f>
        <x:v>139.21429123982907</x:v>
      </x:c>
      <x:c r="BI94" s="68" t="n">
        <x:f>IF(AW30=0,0,((BI30/AW30)-1)*100+BI65*100)</x:f>
        <x:v>138.00429766991152</x:v>
      </x:c>
      <x:c r="BJ94" s="68" t="n">
        <x:f>IF(AX30=0,0,((BJ30/AX30)-1)*100+BJ65*100)</x:f>
        <x:v>137.46819117777807</x:v>
      </x:c>
    </x:row>
    <x:row r="95">
      <x:c r="A95" t="str">
        <x:v>Operating phase</x:v>
      </x:c>
      <x:c r="B95" t="str">
        <x:v>text</x:v>
      </x:c>
      <x:c r="C95" t="str">
        <x:f>IF(C64&gt;=0,"PROFITABLE","INVESTMENT PHASE")</x:f>
        <x:v>INVESTMENT PHASE</x:v>
      </x:c>
      <x:c r="D95" t="str">
        <x:f>IF(D64&gt;=0,"PROFITABLE","INVESTMENT PHASE")</x:f>
        <x:v>INVESTMENT PHASE</x:v>
      </x:c>
      <x:c r="E95" t="str">
        <x:f>IF(E64&gt;=0,"PROFITABLE","INVESTMENT PHASE")</x:f>
        <x:v>INVESTMENT PHASE</x:v>
      </x:c>
      <x:c r="F95" t="str">
        <x:f>IF(F64&gt;=0,"PROFITABLE","INVESTMENT PHASE")</x:f>
        <x:v>INVESTMENT PHASE</x:v>
      </x:c>
      <x:c r="G95" t="str">
        <x:f>IF(G64&gt;=0,"PROFITABLE","INVESTMENT PHASE")</x:f>
        <x:v>INVESTMENT PHASE</x:v>
      </x:c>
      <x:c r="H95" t="str">
        <x:f>IF(H64&gt;=0,"PROFITABLE","INVESTMENT PHASE")</x:f>
        <x:v>INVESTMENT PHASE</x:v>
      </x:c>
      <x:c r="I95" t="str">
        <x:f>IF(I64&gt;=0,"PROFITABLE","INVESTMENT PHASE")</x:f>
        <x:v>INVESTMENT PHASE</x:v>
      </x:c>
      <x:c r="J95" t="str">
        <x:f>IF(J64&gt;=0,"PROFITABLE","INVESTMENT PHASE")</x:f>
        <x:v>INVESTMENT PHASE</x:v>
      </x:c>
      <x:c r="K95" t="str">
        <x:f>IF(K64&gt;=0,"PROFITABLE","INVESTMENT PHASE")</x:f>
        <x:v>INVESTMENT PHASE</x:v>
      </x:c>
      <x:c r="L95" t="str">
        <x:f>IF(L64&gt;=0,"PROFITABLE","INVESTMENT PHASE")</x:f>
        <x:v>INVESTMENT PHASE</x:v>
      </x:c>
      <x:c r="M95" t="str">
        <x:f>IF(M64&gt;=0,"PROFITABLE","INVESTMENT PHASE")</x:f>
        <x:v>INVESTMENT PHASE</x:v>
      </x:c>
      <x:c r="N95" t="str">
        <x:f>IF(N64&gt;=0,"PROFITABLE","INVESTMENT PHASE")</x:f>
        <x:v>INVESTMENT PHASE</x:v>
      </x:c>
      <x:c r="O95" t="str">
        <x:f>IF(O64&gt;=0,"PROFITABLE","INVESTMENT PHASE")</x:f>
        <x:v>INVESTMENT PHASE</x:v>
      </x:c>
      <x:c r="P95" t="str">
        <x:f>IF(P64&gt;=0,"PROFITABLE","INVESTMENT PHASE")</x:f>
        <x:v>INVESTMENT PHASE</x:v>
      </x:c>
      <x:c r="Q95" t="str">
        <x:f>IF(Q64&gt;=0,"PROFITABLE","INVESTMENT PHASE")</x:f>
        <x:v>PROFITABLE</x:v>
      </x:c>
      <x:c r="R95" t="str">
        <x:f>IF(R64&gt;=0,"PROFITABLE","INVESTMENT PHASE")</x:f>
        <x:v>PROFITABLE</x:v>
      </x:c>
      <x:c r="S95" t="str">
        <x:f>IF(S64&gt;=0,"PROFITABLE","INVESTMENT PHASE")</x:f>
        <x:v>PROFITABLE</x:v>
      </x:c>
      <x:c r="T95" t="str">
        <x:f>IF(T64&gt;=0,"PROFITABLE","INVESTMENT PHASE")</x:f>
        <x:v>PROFITABLE</x:v>
      </x:c>
      <x:c r="U95" t="str">
        <x:f>IF(U64&gt;=0,"PROFITABLE","INVESTMENT PHASE")</x:f>
        <x:v>PROFITABLE</x:v>
      </x:c>
      <x:c r="V95" t="str">
        <x:f>IF(V64&gt;=0,"PROFITABLE","INVESTMENT PHASE")</x:f>
        <x:v>PROFITABLE</x:v>
      </x:c>
      <x:c r="W95" t="str">
        <x:f>IF(W64&gt;=0,"PROFITABLE","INVESTMENT PHASE")</x:f>
        <x:v>PROFITABLE</x:v>
      </x:c>
      <x:c r="X95" t="str">
        <x:f>IF(X64&gt;=0,"PROFITABLE","INVESTMENT PHASE")</x:f>
        <x:v>PROFITABLE</x:v>
      </x:c>
      <x:c r="Y95" t="str">
        <x:f>IF(Y64&gt;=0,"PROFITABLE","INVESTMENT PHASE")</x:f>
        <x:v>PROFITABLE</x:v>
      </x:c>
      <x:c r="Z95" t="str">
        <x:f>IF(Z64&gt;=0,"PROFITABLE","INVESTMENT PHASE")</x:f>
        <x:v>PROFITABLE</x:v>
      </x:c>
      <x:c r="AA95" t="str">
        <x:f>IF(AA64&gt;=0,"PROFITABLE","INVESTMENT PHASE")</x:f>
        <x:v>PROFITABLE</x:v>
      </x:c>
      <x:c r="AB95" t="str">
        <x:f>IF(AB64&gt;=0,"PROFITABLE","INVESTMENT PHASE")</x:f>
        <x:v>PROFITABLE</x:v>
      </x:c>
      <x:c r="AC95" t="str">
        <x:f>IF(AC64&gt;=0,"PROFITABLE","INVESTMENT PHASE")</x:f>
        <x:v>PROFITABLE</x:v>
      </x:c>
      <x:c r="AD95" t="str">
        <x:f>IF(AD64&gt;=0,"PROFITABLE","INVESTMENT PHASE")</x:f>
        <x:v>PROFITABLE</x:v>
      </x:c>
      <x:c r="AE95" t="str">
        <x:f>IF(AE64&gt;=0,"PROFITABLE","INVESTMENT PHASE")</x:f>
        <x:v>PROFITABLE</x:v>
      </x:c>
      <x:c r="AF95" t="str">
        <x:f>IF(AF64&gt;=0,"PROFITABLE","INVESTMENT PHASE")</x:f>
        <x:v>PROFITABLE</x:v>
      </x:c>
      <x:c r="AG95" t="str">
        <x:f>IF(AG64&gt;=0,"PROFITABLE","INVESTMENT PHASE")</x:f>
        <x:v>PROFITABLE</x:v>
      </x:c>
      <x:c r="AH95" t="str">
        <x:f>IF(AH64&gt;=0,"PROFITABLE","INVESTMENT PHASE")</x:f>
        <x:v>PROFITABLE</x:v>
      </x:c>
      <x:c r="AI95" t="str">
        <x:f>IF(AI64&gt;=0,"PROFITABLE","INVESTMENT PHASE")</x:f>
        <x:v>PROFITABLE</x:v>
      </x:c>
      <x:c r="AJ95" t="str">
        <x:f>IF(AJ64&gt;=0,"PROFITABLE","INVESTMENT PHASE")</x:f>
        <x:v>PROFITABLE</x:v>
      </x:c>
      <x:c r="AK95" t="str">
        <x:f>IF(AK64&gt;=0,"PROFITABLE","INVESTMENT PHASE")</x:f>
        <x:v>PROFITABLE</x:v>
      </x:c>
      <x:c r="AL95" t="str">
        <x:f>IF(AL64&gt;=0,"PROFITABLE","INVESTMENT PHASE")</x:f>
        <x:v>PROFITABLE</x:v>
      </x:c>
      <x:c r="AM95" t="str">
        <x:f>IF(AM64&gt;=0,"PROFITABLE","INVESTMENT PHASE")</x:f>
        <x:v>PROFITABLE</x:v>
      </x:c>
      <x:c r="AN95" t="str">
        <x:f>IF(AN64&gt;=0,"PROFITABLE","INVESTMENT PHASE")</x:f>
        <x:v>PROFITABLE</x:v>
      </x:c>
      <x:c r="AO95" t="str">
        <x:f>IF(AO64&gt;=0,"PROFITABLE","INVESTMENT PHASE")</x:f>
        <x:v>PROFITABLE</x:v>
      </x:c>
      <x:c r="AP95" t="str">
        <x:f>IF(AP64&gt;=0,"PROFITABLE","INVESTMENT PHASE")</x:f>
        <x:v>PROFITABLE</x:v>
      </x:c>
      <x:c r="AQ95" t="str">
        <x:f>IF(AQ64&gt;=0,"PROFITABLE","INVESTMENT PHASE")</x:f>
        <x:v>PROFITABLE</x:v>
      </x:c>
      <x:c r="AR95" t="str">
        <x:f>IF(AR64&gt;=0,"PROFITABLE","INVESTMENT PHASE")</x:f>
        <x:v>PROFITABLE</x:v>
      </x:c>
      <x:c r="AS95" t="str">
        <x:f>IF(AS64&gt;=0,"PROFITABLE","INVESTMENT PHASE")</x:f>
        <x:v>PROFITABLE</x:v>
      </x:c>
      <x:c r="AT95" t="str">
        <x:f>IF(AT64&gt;=0,"PROFITABLE","INVESTMENT PHASE")</x:f>
        <x:v>PROFITABLE</x:v>
      </x:c>
      <x:c r="AU95" t="str">
        <x:f>IF(AU64&gt;=0,"PROFITABLE","INVESTMENT PHASE")</x:f>
        <x:v>PROFITABLE</x:v>
      </x:c>
      <x:c r="AV95" t="str">
        <x:f>IF(AV64&gt;=0,"PROFITABLE","INVESTMENT PHASE")</x:f>
        <x:v>PROFITABLE</x:v>
      </x:c>
      <x:c r="AW95" t="str">
        <x:f>IF(AW64&gt;=0,"PROFITABLE","INVESTMENT PHASE")</x:f>
        <x:v>PROFITABLE</x:v>
      </x:c>
      <x:c r="AX95" t="str">
        <x:f>IF(AX64&gt;=0,"PROFITABLE","INVESTMENT PHASE")</x:f>
        <x:v>PROFITABLE</x:v>
      </x:c>
      <x:c r="AY95" t="str">
        <x:f>IF(AY64&gt;=0,"PROFITABLE","INVESTMENT PHASE")</x:f>
        <x:v>PROFITABLE</x:v>
      </x:c>
      <x:c r="AZ95" t="str">
        <x:f>IF(AZ64&gt;=0,"PROFITABLE","INVESTMENT PHASE")</x:f>
        <x:v>PROFITABLE</x:v>
      </x:c>
      <x:c r="BA95" t="str">
        <x:f>IF(BA64&gt;=0,"PROFITABLE","INVESTMENT PHASE")</x:f>
        <x:v>PROFITABLE</x:v>
      </x:c>
      <x:c r="BB95" t="str">
        <x:f>IF(BB64&gt;=0,"PROFITABLE","INVESTMENT PHASE")</x:f>
        <x:v>PROFITABLE</x:v>
      </x:c>
      <x:c r="BC95" t="str">
        <x:f>IF(BC64&gt;=0,"PROFITABLE","INVESTMENT PHASE")</x:f>
        <x:v>PROFITABLE</x:v>
      </x:c>
      <x:c r="BD95" t="str">
        <x:f>IF(BD64&gt;=0,"PROFITABLE","INVESTMENT PHASE")</x:f>
        <x:v>PROFITABLE</x:v>
      </x:c>
      <x:c r="BE95" t="str">
        <x:f>IF(BE64&gt;=0,"PROFITABLE","INVESTMENT PHASE")</x:f>
        <x:v>PROFITABLE</x:v>
      </x:c>
      <x:c r="BF95" t="str">
        <x:f>IF(BF64&gt;=0,"PROFITABLE","INVESTMENT PHASE")</x:f>
        <x:v>PROFITABLE</x:v>
      </x:c>
      <x:c r="BG95" t="str">
        <x:f>IF(BG64&gt;=0,"PROFITABLE","INVESTMENT PHASE")</x:f>
        <x:v>PROFITABLE</x:v>
      </x:c>
      <x:c r="BH95" t="str">
        <x:f>IF(BH64&gt;=0,"PROFITABLE","INVESTMENT PHASE")</x:f>
        <x:v>PROFITABLE</x:v>
      </x:c>
      <x:c r="BI95" t="str">
        <x:f>IF(BI64&gt;=0,"PROFITABLE","INVESTMENT PHASE")</x:f>
        <x:v>PROFITABLE</x:v>
      </x:c>
      <x:c r="BJ95" t="str">
        <x:f>IF(BJ64&gt;=0,"PROFITABLE","INVESTMENT PHASE")</x:f>
        <x:v>PROFITABLE</x:v>
      </x:c>
    </x:row>
    <x:row r="97">
      <x:c r="A97" s="60" t="str">
        <x:v>Model Helpers</x:v>
      </x:c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  <x:c r="AA97" s="60"/>
      <x:c r="AB97" s="60"/>
      <x:c r="AC97" s="60"/>
      <x:c r="AD97" s="60"/>
      <x:c r="AE97" s="60"/>
      <x:c r="AF97" s="60"/>
      <x:c r="AG97" s="60"/>
      <x:c r="AH97" s="60"/>
      <x:c r="AI97" s="60"/>
      <x:c r="AJ97" s="60"/>
      <x:c r="AK97" s="60"/>
      <x:c r="AL97" s="60"/>
      <x:c r="AM97" s="60"/>
      <x:c r="AN97" s="60"/>
      <x:c r="AO97" s="60"/>
      <x:c r="AP97" s="60"/>
      <x:c r="AQ97" s="60"/>
      <x:c r="AR97" s="60"/>
      <x:c r="AS97" s="60"/>
      <x:c r="AT97" s="60"/>
      <x:c r="AU97" s="60"/>
      <x:c r="AV97" s="60"/>
      <x:c r="AW97" s="60"/>
      <x:c r="AX97" s="60"/>
      <x:c r="AY97" s="60"/>
      <x:c r="AZ97" s="60"/>
      <x:c r="BA97" s="60"/>
      <x:c r="BB97" s="60"/>
      <x:c r="BC97" s="60"/>
      <x:c r="BD97" s="60"/>
      <x:c r="BE97" s="60"/>
      <x:c r="BF97" s="60"/>
      <x:c r="BG97" s="60"/>
      <x:c r="BH97" s="60"/>
      <x:c r="BI97" s="60"/>
      <x:c r="BJ97" s="60"/>
    </x:row>
    <x:row r="98">
      <x:c r="A98" s="57" t="str">
        <x:v>Price factor</x:v>
      </x:c>
      <x:c r="B98" s="57" t="str">
        <x:v>multiple</x:v>
      </x:c>
      <x:c r="C98" s="70" t="n">
        <x:f>(1+Assumptions!$G$34)^INT((C$5-1)/12)</x:f>
        <x:v>1</x:v>
      </x:c>
      <x:c r="D98" s="70" t="n">
        <x:f>(1+Assumptions!$G$34)^INT((D$5-1)/12)</x:f>
        <x:v>1</x:v>
      </x:c>
      <x:c r="E98" s="70" t="n">
        <x:f>(1+Assumptions!$G$34)^INT((E$5-1)/12)</x:f>
        <x:v>1</x:v>
      </x:c>
      <x:c r="F98" s="70" t="n">
        <x:f>(1+Assumptions!$G$34)^INT((F$5-1)/12)</x:f>
        <x:v>1</x:v>
      </x:c>
      <x:c r="G98" s="70" t="n">
        <x:f>(1+Assumptions!$G$34)^INT((G$5-1)/12)</x:f>
        <x:v>1</x:v>
      </x:c>
      <x:c r="H98" s="70" t="n">
        <x:f>(1+Assumptions!$G$34)^INT((H$5-1)/12)</x:f>
        <x:v>1</x:v>
      </x:c>
      <x:c r="I98" s="70" t="n">
        <x:f>(1+Assumptions!$G$34)^INT((I$5-1)/12)</x:f>
        <x:v>1</x:v>
      </x:c>
      <x:c r="J98" s="70" t="n">
        <x:f>(1+Assumptions!$G$34)^INT((J$5-1)/12)</x:f>
        <x:v>1</x:v>
      </x:c>
      <x:c r="K98" s="70" t="n">
        <x:f>(1+Assumptions!$G$34)^INT((K$5-1)/12)</x:f>
        <x:v>1</x:v>
      </x:c>
      <x:c r="L98" s="70" t="n">
        <x:f>(1+Assumptions!$G$34)^INT((L$5-1)/12)</x:f>
        <x:v>1</x:v>
      </x:c>
      <x:c r="M98" s="70" t="n">
        <x:f>(1+Assumptions!$G$34)^INT((M$5-1)/12)</x:f>
        <x:v>1</x:v>
      </x:c>
      <x:c r="N98" s="70" t="n">
        <x:f>(1+Assumptions!$G$34)^INT((N$5-1)/12)</x:f>
        <x:v>1</x:v>
      </x:c>
      <x:c r="O98" s="70" t="n">
        <x:f>(1+Assumptions!$G$34)^INT((O$5-1)/12)</x:f>
        <x:v>1.03</x:v>
      </x:c>
      <x:c r="P98" s="70" t="n">
        <x:f>(1+Assumptions!$G$34)^INT((P$5-1)/12)</x:f>
        <x:v>1.03</x:v>
      </x:c>
      <x:c r="Q98" s="70" t="n">
        <x:f>(1+Assumptions!$G$34)^INT((Q$5-1)/12)</x:f>
        <x:v>1.03</x:v>
      </x:c>
      <x:c r="R98" s="70" t="n">
        <x:f>(1+Assumptions!$G$34)^INT((R$5-1)/12)</x:f>
        <x:v>1.03</x:v>
      </x:c>
      <x:c r="S98" s="70" t="n">
        <x:f>(1+Assumptions!$G$34)^INT((S$5-1)/12)</x:f>
        <x:v>1.03</x:v>
      </x:c>
      <x:c r="T98" s="70" t="n">
        <x:f>(1+Assumptions!$G$34)^INT((T$5-1)/12)</x:f>
        <x:v>1.03</x:v>
      </x:c>
      <x:c r="U98" s="70" t="n">
        <x:f>(1+Assumptions!$G$34)^INT((U$5-1)/12)</x:f>
        <x:v>1.03</x:v>
      </x:c>
      <x:c r="V98" s="70" t="n">
        <x:f>(1+Assumptions!$G$34)^INT((V$5-1)/12)</x:f>
        <x:v>1.03</x:v>
      </x:c>
      <x:c r="W98" s="70" t="n">
        <x:f>(1+Assumptions!$G$34)^INT((W$5-1)/12)</x:f>
        <x:v>1.03</x:v>
      </x:c>
      <x:c r="X98" s="70" t="n">
        <x:f>(1+Assumptions!$G$34)^INT((X$5-1)/12)</x:f>
        <x:v>1.03</x:v>
      </x:c>
      <x:c r="Y98" s="70" t="n">
        <x:f>(1+Assumptions!$G$34)^INT((Y$5-1)/12)</x:f>
        <x:v>1.03</x:v>
      </x:c>
      <x:c r="Z98" s="70" t="n">
        <x:f>(1+Assumptions!$G$34)^INT((Z$5-1)/12)</x:f>
        <x:v>1.03</x:v>
      </x:c>
      <x:c r="AA98" s="70" t="n">
        <x:f>(1+Assumptions!$G$34)^INT((AA$5-1)/12)</x:f>
        <x:v>1.0609</x:v>
      </x:c>
      <x:c r="AB98" s="70" t="n">
        <x:f>(1+Assumptions!$G$34)^INT((AB$5-1)/12)</x:f>
        <x:v>1.0609</x:v>
      </x:c>
      <x:c r="AC98" s="70" t="n">
        <x:f>(1+Assumptions!$G$34)^INT((AC$5-1)/12)</x:f>
        <x:v>1.0609</x:v>
      </x:c>
      <x:c r="AD98" s="70" t="n">
        <x:f>(1+Assumptions!$G$34)^INT((AD$5-1)/12)</x:f>
        <x:v>1.0609</x:v>
      </x:c>
      <x:c r="AE98" s="70" t="n">
        <x:f>(1+Assumptions!$G$34)^INT((AE$5-1)/12)</x:f>
        <x:v>1.0609</x:v>
      </x:c>
      <x:c r="AF98" s="70" t="n">
        <x:f>(1+Assumptions!$G$34)^INT((AF$5-1)/12)</x:f>
        <x:v>1.0609</x:v>
      </x:c>
      <x:c r="AG98" s="70" t="n">
        <x:f>(1+Assumptions!$G$34)^INT((AG$5-1)/12)</x:f>
        <x:v>1.0609</x:v>
      </x:c>
      <x:c r="AH98" s="70" t="n">
        <x:f>(1+Assumptions!$G$34)^INT((AH$5-1)/12)</x:f>
        <x:v>1.0609</x:v>
      </x:c>
      <x:c r="AI98" s="70" t="n">
        <x:f>(1+Assumptions!$G$34)^INT((AI$5-1)/12)</x:f>
        <x:v>1.0609</x:v>
      </x:c>
      <x:c r="AJ98" s="70" t="n">
        <x:f>(1+Assumptions!$G$34)^INT((AJ$5-1)/12)</x:f>
        <x:v>1.0609</x:v>
      </x:c>
      <x:c r="AK98" s="70" t="n">
        <x:f>(1+Assumptions!$G$34)^INT((AK$5-1)/12)</x:f>
        <x:v>1.0609</x:v>
      </x:c>
      <x:c r="AL98" s="70" t="n">
        <x:f>(1+Assumptions!$G$34)^INT((AL$5-1)/12)</x:f>
        <x:v>1.0609</x:v>
      </x:c>
      <x:c r="AM98" s="70" t="n">
        <x:f>(1+Assumptions!$G$34)^INT((AM$5-1)/12)</x:f>
        <x:v>1.092727</x:v>
      </x:c>
      <x:c r="AN98" s="70" t="n">
        <x:f>(1+Assumptions!$G$34)^INT((AN$5-1)/12)</x:f>
        <x:v>1.092727</x:v>
      </x:c>
      <x:c r="AO98" s="70" t="n">
        <x:f>(1+Assumptions!$G$34)^INT((AO$5-1)/12)</x:f>
        <x:v>1.092727</x:v>
      </x:c>
      <x:c r="AP98" s="70" t="n">
        <x:f>(1+Assumptions!$G$34)^INT((AP$5-1)/12)</x:f>
        <x:v>1.092727</x:v>
      </x:c>
      <x:c r="AQ98" s="70" t="n">
        <x:f>(1+Assumptions!$G$34)^INT((AQ$5-1)/12)</x:f>
        <x:v>1.092727</x:v>
      </x:c>
      <x:c r="AR98" s="70" t="n">
        <x:f>(1+Assumptions!$G$34)^INT((AR$5-1)/12)</x:f>
        <x:v>1.092727</x:v>
      </x:c>
      <x:c r="AS98" s="70" t="n">
        <x:f>(1+Assumptions!$G$34)^INT((AS$5-1)/12)</x:f>
        <x:v>1.092727</x:v>
      </x:c>
      <x:c r="AT98" s="70" t="n">
        <x:f>(1+Assumptions!$G$34)^INT((AT$5-1)/12)</x:f>
        <x:v>1.092727</x:v>
      </x:c>
      <x:c r="AU98" s="70" t="n">
        <x:f>(1+Assumptions!$G$34)^INT((AU$5-1)/12)</x:f>
        <x:v>1.092727</x:v>
      </x:c>
      <x:c r="AV98" s="70" t="n">
        <x:f>(1+Assumptions!$G$34)^INT((AV$5-1)/12)</x:f>
        <x:v>1.092727</x:v>
      </x:c>
      <x:c r="AW98" s="70" t="n">
        <x:f>(1+Assumptions!$G$34)^INT((AW$5-1)/12)</x:f>
        <x:v>1.092727</x:v>
      </x:c>
      <x:c r="AX98" s="70" t="n">
        <x:f>(1+Assumptions!$G$34)^INT((AX$5-1)/12)</x:f>
        <x:v>1.092727</x:v>
      </x:c>
      <x:c r="AY98" s="70" t="n">
        <x:f>(1+Assumptions!$G$34)^INT((AY$5-1)/12)</x:f>
        <x:v>1.12550881</x:v>
      </x:c>
      <x:c r="AZ98" s="70" t="n">
        <x:f>(1+Assumptions!$G$34)^INT((AZ$5-1)/12)</x:f>
        <x:v>1.12550881</x:v>
      </x:c>
      <x:c r="BA98" s="70" t="n">
        <x:f>(1+Assumptions!$G$34)^INT((BA$5-1)/12)</x:f>
        <x:v>1.12550881</x:v>
      </x:c>
      <x:c r="BB98" s="70" t="n">
        <x:f>(1+Assumptions!$G$34)^INT((BB$5-1)/12)</x:f>
        <x:v>1.12550881</x:v>
      </x:c>
      <x:c r="BC98" s="70" t="n">
        <x:f>(1+Assumptions!$G$34)^INT((BC$5-1)/12)</x:f>
        <x:v>1.12550881</x:v>
      </x:c>
      <x:c r="BD98" s="70" t="n">
        <x:f>(1+Assumptions!$G$34)^INT((BD$5-1)/12)</x:f>
        <x:v>1.12550881</x:v>
      </x:c>
      <x:c r="BE98" s="70" t="n">
        <x:f>(1+Assumptions!$G$34)^INT((BE$5-1)/12)</x:f>
        <x:v>1.12550881</x:v>
      </x:c>
      <x:c r="BF98" s="70" t="n">
        <x:f>(1+Assumptions!$G$34)^INT((BF$5-1)/12)</x:f>
        <x:v>1.12550881</x:v>
      </x:c>
      <x:c r="BG98" s="70" t="n">
        <x:f>(1+Assumptions!$G$34)^INT((BG$5-1)/12)</x:f>
        <x:v>1.12550881</x:v>
      </x:c>
      <x:c r="BH98" s="70" t="n">
        <x:f>(1+Assumptions!$G$34)^INT((BH$5-1)/12)</x:f>
        <x:v>1.12550881</x:v>
      </x:c>
      <x:c r="BI98" s="70" t="n">
        <x:f>(1+Assumptions!$G$34)^INT((BI$5-1)/12)</x:f>
        <x:v>1.12550881</x:v>
      </x:c>
      <x:c r="BJ98" s="70" t="n">
        <x:f>(1+Assumptions!$G$34)^INT((BJ$5-1)/12)</x:f>
        <x:v>1.12550881</x:v>
      </x:c>
    </x:row>
    <x:row r="99">
      <x:c r="A99" s="57" t="str">
        <x:v>Renewal customer count</x:v>
      </x:c>
      <x:c r="B99" s="57" t="str">
        <x:v>count</x:v>
      </x:c>
      <x:c r="C99" s="70" t="n">
        <x:f>0</x:f>
        <x:v>0</x:v>
      </x:c>
      <x:c r="D99" s="70" t="n">
        <x:f>0</x:f>
        <x:v>0</x:v>
      </x:c>
      <x:c r="E99" s="70" t="n">
        <x:f>0</x:f>
        <x:v>0</x:v>
      </x:c>
      <x:c r="F99" s="70" t="n">
        <x:f>0</x:f>
        <x:v>0</x:v>
      </x:c>
      <x:c r="G99" s="70" t="n">
        <x:f>0</x:f>
        <x:v>0</x:v>
      </x:c>
      <x:c r="H99" s="70" t="n">
        <x:f>0</x:f>
        <x:v>0</x:v>
      </x:c>
      <x:c r="I99" s="70" t="n">
        <x:f>0</x:f>
        <x:v>0</x:v>
      </x:c>
      <x:c r="J99" s="70" t="n">
        <x:f>0</x:f>
        <x:v>0</x:v>
      </x:c>
      <x:c r="K99" s="70" t="n">
        <x:f>0</x:f>
        <x:v>0</x:v>
      </x:c>
      <x:c r="L99" s="70" t="n">
        <x:f>0</x:f>
        <x:v>0</x:v>
      </x:c>
      <x:c r="M99" s="70" t="n">
        <x:f>0</x:f>
        <x:v>0</x:v>
      </x:c>
      <x:c r="N99" s="70" t="n">
        <x:f>0</x:f>
        <x:v>0</x:v>
      </x:c>
      <x:c r="O99" s="70" t="n">
        <x:f>C19*(1-Assumptions!$G$35)</x:f>
        <x:v>0</x:v>
      </x:c>
      <x:c r="P99" s="70" t="n">
        <x:f>D19*(1-Assumptions!$G$35)</x:f>
        <x:v>0</x:v>
      </x:c>
      <x:c r="Q99" s="70" t="n">
        <x:f>E19*(1-Assumptions!$G$35)</x:f>
        <x:v>0</x:v>
      </x:c>
      <x:c r="R99" s="70" t="n">
        <x:f>F19*(1-Assumptions!$G$35)</x:f>
        <x:v>0</x:v>
      </x:c>
      <x:c r="S99" s="70" t="n">
        <x:f>G19*(1-Assumptions!$G$35)</x:f>
        <x:v>0</x:v>
      </x:c>
      <x:c r="T99" s="70" t="n">
        <x:f>H19*(1-Assumptions!$G$35)</x:f>
        <x:v>0</x:v>
      </x:c>
      <x:c r="U99" s="70" t="n">
        <x:f>I19*(1-Assumptions!$G$35)</x:f>
        <x:v>0</x:v>
      </x:c>
      <x:c r="V99" s="70" t="n">
        <x:f>J19*(1-Assumptions!$G$35)</x:f>
        <x:v>0.05832</x:v>
      </x:c>
      <x:c r="W99" s="70" t="n">
        <x:f>K19*(1-Assumptions!$G$35)</x:f>
        <x:v>0.10637354999807999</x:v>
      </x:c>
      <x:c r="X99" s="70" t="n">
        <x:f>L19*(1-Assumptions!$G$35)</x:f>
        <x:v>0.11335921839477404</x:v>
      </x:c>
      <x:c r="Y99" s="70" t="n">
        <x:f>M19*(1-Assumptions!$G$35)</x:f>
        <x:v>0.12089176051920575</x:v>
      </x:c>
      <x:c r="Z99" s="70" t="n">
        <x:f>N19*(1-Assumptions!$G$35)</x:f>
        <x:v>0.12905838964729904</x:v>
      </x:c>
      <x:c r="AA99" s="70" t="n">
        <x:f>O19*(1-Assumptions!$G$35)</x:f>
        <x:v>0.13784765784424957</x:v>
      </x:c>
      <x:c r="AB99" s="70" t="n">
        <x:f>P19*(1-Assumptions!$G$35)</x:f>
        <x:v>0.14728597679504382</x:v>
      </x:c>
      <x:c r="AC99" s="70" t="n">
        <x:f>Q19*(1-Assumptions!$G$35)</x:f>
        <x:v>0.1574109303636301</x:v>
      </x:c>
      <x:c r="AD99" s="70" t="n">
        <x:f>R19*(1-Assumptions!$G$35)</x:f>
        <x:v>0.168237633500693</x:v>
      </x:c>
      <x:c r="AE99" s="70" t="n">
        <x:f>S19*(1-Assumptions!$G$35)</x:f>
        <x:v>0.17980901068216967</x:v>
      </x:c>
      <x:c r="AF99" s="70" t="n">
        <x:f>T19*(1-Assumptions!$G$35)</x:f>
        <x:v>0.19217818974753914</x:v>
      </x:c>
      <x:c r="AG99" s="70" t="n">
        <x:f>U19*(1-Assumptions!$G$35)</x:f>
        <x:v>0.20540549160168467</x:v>
      </x:c>
      <x:c r="AH99" s="70" t="n">
        <x:f>V19*(1-Assumptions!$G$35)</x:f>
        <x:v>0.21955680578867864</x:v>
      </x:c>
      <x:c r="AI99" s="70" t="n">
        <x:f>W19*(1-Assumptions!$G$35)</x:f>
        <x:v>0.2346931780178192</x:v>
      </x:c>
      <x:c r="AJ99" s="70" t="n">
        <x:f>X19*(1-Assumptions!$G$35)</x:f>
        <x:v>0.25088310081595794</x:v>
      </x:c>
      <x:c r="AK99" s="70" t="n">
        <x:f>Y19*(1-Assumptions!$G$35)</x:f>
        <x:v>0.26820463395768585</x:v>
      </x:c>
      <x:c r="AL99" s="70" t="n">
        <x:f>Z19*(1-Assumptions!$G$35)</x:f>
        <x:v>0.2867422390472567</x:v>
      </x:c>
      <x:c r="AM99" s="70" t="n">
        <x:f>AA19*(1-Assumptions!$G$35)</x:f>
        <x:v>0.3065873704513953</x:v>
      </x:c>
      <x:c r="AN99" s="70" t="n">
        <x:f>AB19*(1-Assumptions!$G$35)</x:f>
        <x:v>0.327839163057196</x:v>
      </x:c>
      <x:c r="AO99" s="70" t="n">
        <x:f>AC19*(1-Assumptions!$G$35)</x:f>
        <x:v>0.35060518092346943</x:v>
      </x:c>
      <x:c r="AP99" s="70" t="n">
        <x:f>AD19*(1-Assumptions!$G$35)</x:f>
        <x:v>0.3750022546551529</x:v>
      </x:c>
      <x:c r="AQ99" s="70" t="n">
        <x:f>AE19*(1-Assumptions!$G$35)</x:f>
        <x:v>0.40115742168346363</x:v>
      </x:c>
      <x:c r="AR99" s="70" t="n">
        <x:f>AF19*(1-Assumptions!$G$35)</x:f>
        <x:v>0.42920897056798746</x:v>
      </x:c>
      <x:c r="AS99" s="70" t="n">
        <x:f>AG19*(1-Assumptions!$G$35)</x:f>
        <x:v>0.4593076111639391</x:v>
      </x:c>
      <x:c r="AT99" s="70" t="n">
        <x:f>AH19*(1-Assumptions!$G$35)</x:f>
        <x:v>0.4850922893263914</x:v>
      </x:c>
      <x:c r="AU99" s="70" t="n">
        <x:f>AI19*(1-Assumptions!$G$35)</x:f>
        <x:v>0.5075341478761543</x:v>
      </x:c>
      <x:c r="AV99" s="70" t="n">
        <x:f>AJ19*(1-Assumptions!$G$35)</x:f>
        <x:v>0.5311387490013852</x:v>
      </x:c>
      <x:c r="AW99" s="70" t="n">
        <x:f>AK19*(1-Assumptions!$G$35)</x:f>
        <x:v>0.5559646004296215</x:v>
      </x:c>
      <x:c r="AX99" s="70" t="n">
        <x:f>AL19*(1-Assumptions!$G$35)</x:f>
        <x:v>0.5820634174933331</x:v>
      </x:c>
      <x:c r="AY99" s="70" t="n">
        <x:f>AM19*(1-Assumptions!$G$35)</x:f>
        <x:v>0.6094997815551814</x:v>
      </x:c>
      <x:c r="AZ99" s="70" t="n">
        <x:f>AN19*(1-Assumptions!$G$35)</x:f>
        <x:v>0.6383478035551052</x:v>
      </x:c>
      <x:c r="BA99" s="70" t="n">
        <x:f>AO19*(1-Assumptions!$G$35)</x:f>
        <x:v>0.668687465828799</x:v>
      </x:c>
      <x:c r="BB99" s="70" t="n">
        <x:f>AP19*(1-Assumptions!$G$35)</x:f>
        <x:v>0.7006082394397632</x:v>
      </x:c>
      <x:c r="BC99" s="70" t="n">
        <x:f>AQ19*(1-Assumptions!$G$35)</x:f>
        <x:v>0.7342051591004872</x:v>
      </x:c>
      <x:c r="BD99" s="70" t="n">
        <x:f>AR19*(1-Assumptions!$G$35)</x:f>
        <x:v>0.769580372463531</x:v>
      </x:c>
      <x:c r="BE99" s="70" t="n">
        <x:f>AS19*(1-Assumptions!$G$35)</x:f>
        <x:v>0.8068444155062497</x:v>
      </x:c>
      <x:c r="BF99" s="70" t="n">
        <x:f>AT19*(1-Assumptions!$G$35)</x:f>
        <x:v>0.8461156267259544</x:v>
      </x:c>
      <x:c r="BG99" s="70" t="n">
        <x:f>AU19*(1-Assumptions!$G$35)</x:f>
        <x:v>0.8875220539611234</x:v>
      </x:c>
      <x:c r="BH99" s="70" t="n">
        <x:f>AV19*(1-Assumptions!$G$35)</x:f>
        <x:v>0.9312020647446106</x:v>
      </x:c>
      <x:c r="BI99" s="70" t="n">
        <x:f>AW19*(1-Assumptions!$G$35)</x:f>
        <x:v>0.9773048127583019</x:v>
      </x:c>
      <x:c r="BJ99" s="70" t="n">
        <x:f>AX19*(1-Assumptions!$G$35)</x:f>
        <x:v>1.0259912302215901</x:v>
      </x:c>
    </x:row>
    <x:row r="100">
      <x:c r="A100" s="57" t="str">
        <x:v>First 3 engagements flag</x:v>
      </x:c>
      <x:c r="B100" s="57" t="str">
        <x:v>0/1</x:v>
      </x:c>
      <x:c r="C100" s="70" t="n">
        <x:f>IF(C83&gt;=3,1,0)</x:f>
        <x:v>0</x:v>
      </x:c>
      <x:c r="D100" s="70" t="n">
        <x:f>IF(D83&gt;=3,1,0)</x:f>
        <x:v>0</x:v>
      </x:c>
      <x:c r="E100" s="70" t="n">
        <x:f>IF(E83&gt;=3,1,0)</x:f>
        <x:v>0</x:v>
      </x:c>
      <x:c r="F100" s="70" t="n">
        <x:f>IF(F83&gt;=3,1,0)</x:f>
        <x:v>0</x:v>
      </x:c>
      <x:c r="G100" s="70" t="n">
        <x:f>IF(G83&gt;=3,1,0)</x:f>
        <x:v>0</x:v>
      </x:c>
      <x:c r="H100" s="70" t="n">
        <x:f>IF(H83&gt;=3,1,0)</x:f>
        <x:v>1</x:v>
      </x:c>
      <x:c r="I100" s="70" t="n">
        <x:f>IF(I83&gt;=3,1,0)</x:f>
        <x:v>1</x:v>
      </x:c>
      <x:c r="J100" s="70" t="n">
        <x:f>IF(J83&gt;=3,1,0)</x:f>
        <x:v>1</x:v>
      </x:c>
      <x:c r="K100" s="70" t="n">
        <x:f>IF(K83&gt;=3,1,0)</x:f>
        <x:v>1</x:v>
      </x:c>
      <x:c r="L100" s="70" t="n">
        <x:f>IF(L83&gt;=3,1,0)</x:f>
        <x:v>1</x:v>
      </x:c>
      <x:c r="M100" s="70" t="n">
        <x:f>IF(M83&gt;=3,1,0)</x:f>
        <x:v>1</x:v>
      </x:c>
      <x:c r="N100" s="70" t="n">
        <x:f>IF(N83&gt;=3,1,0)</x:f>
        <x:v>1</x:v>
      </x:c>
      <x:c r="O100" s="70" t="n">
        <x:f>IF(O83&gt;=3,1,0)</x:f>
        <x:v>1</x:v>
      </x:c>
      <x:c r="P100" s="70" t="n">
        <x:f>IF(P83&gt;=3,1,0)</x:f>
        <x:v>1</x:v>
      </x:c>
      <x:c r="Q100" s="70" t="n">
        <x:f>IF(Q83&gt;=3,1,0)</x:f>
        <x:v>1</x:v>
      </x:c>
      <x:c r="R100" s="70" t="n">
        <x:f>IF(R83&gt;=3,1,0)</x:f>
        <x:v>1</x:v>
      </x:c>
      <x:c r="S100" s="70" t="n">
        <x:f>IF(S83&gt;=3,1,0)</x:f>
        <x:v>1</x:v>
      </x:c>
      <x:c r="T100" s="70" t="n">
        <x:f>IF(T83&gt;=3,1,0)</x:f>
        <x:v>1</x:v>
      </x:c>
      <x:c r="U100" s="70" t="n">
        <x:f>IF(U83&gt;=3,1,0)</x:f>
        <x:v>1</x:v>
      </x:c>
      <x:c r="V100" s="70" t="n">
        <x:f>IF(V83&gt;=3,1,0)</x:f>
        <x:v>1</x:v>
      </x:c>
      <x:c r="W100" s="70" t="n">
        <x:f>IF(W83&gt;=3,1,0)</x:f>
        <x:v>1</x:v>
      </x:c>
      <x:c r="X100" s="70" t="n">
        <x:f>IF(X83&gt;=3,1,0)</x:f>
        <x:v>1</x:v>
      </x:c>
      <x:c r="Y100" s="70" t="n">
        <x:f>IF(Y83&gt;=3,1,0)</x:f>
        <x:v>1</x:v>
      </x:c>
      <x:c r="Z100" s="70" t="n">
        <x:f>IF(Z83&gt;=3,1,0)</x:f>
        <x:v>1</x:v>
      </x:c>
      <x:c r="AA100" s="70" t="n">
        <x:f>IF(AA83&gt;=3,1,0)</x:f>
        <x:v>1</x:v>
      </x:c>
      <x:c r="AB100" s="70" t="n">
        <x:f>IF(AB83&gt;=3,1,0)</x:f>
        <x:v>1</x:v>
      </x:c>
      <x:c r="AC100" s="70" t="n">
        <x:f>IF(AC83&gt;=3,1,0)</x:f>
        <x:v>1</x:v>
      </x:c>
      <x:c r="AD100" s="70" t="n">
        <x:f>IF(AD83&gt;=3,1,0)</x:f>
        <x:v>1</x:v>
      </x:c>
      <x:c r="AE100" s="70" t="n">
        <x:f>IF(AE83&gt;=3,1,0)</x:f>
        <x:v>1</x:v>
      </x:c>
      <x:c r="AF100" s="70" t="n">
        <x:f>IF(AF83&gt;=3,1,0)</x:f>
        <x:v>1</x:v>
      </x:c>
      <x:c r="AG100" s="70" t="n">
        <x:f>IF(AG83&gt;=3,1,0)</x:f>
        <x:v>1</x:v>
      </x:c>
      <x:c r="AH100" s="70" t="n">
        <x:f>IF(AH83&gt;=3,1,0)</x:f>
        <x:v>1</x:v>
      </x:c>
      <x:c r="AI100" s="70" t="n">
        <x:f>IF(AI83&gt;=3,1,0)</x:f>
        <x:v>1</x:v>
      </x:c>
      <x:c r="AJ100" s="70" t="n">
        <x:f>IF(AJ83&gt;=3,1,0)</x:f>
        <x:v>1</x:v>
      </x:c>
      <x:c r="AK100" s="70" t="n">
        <x:f>IF(AK83&gt;=3,1,0)</x:f>
        <x:v>1</x:v>
      </x:c>
      <x:c r="AL100" s="70" t="n">
        <x:f>IF(AL83&gt;=3,1,0)</x:f>
        <x:v>1</x:v>
      </x:c>
      <x:c r="AM100" s="70" t="n">
        <x:f>IF(AM83&gt;=3,1,0)</x:f>
        <x:v>1</x:v>
      </x:c>
      <x:c r="AN100" s="70" t="n">
        <x:f>IF(AN83&gt;=3,1,0)</x:f>
        <x:v>1</x:v>
      </x:c>
      <x:c r="AO100" s="70" t="n">
        <x:f>IF(AO83&gt;=3,1,0)</x:f>
        <x:v>1</x:v>
      </x:c>
      <x:c r="AP100" s="70" t="n">
        <x:f>IF(AP83&gt;=3,1,0)</x:f>
        <x:v>1</x:v>
      </x:c>
      <x:c r="AQ100" s="70" t="n">
        <x:f>IF(AQ83&gt;=3,1,0)</x:f>
        <x:v>1</x:v>
      </x:c>
      <x:c r="AR100" s="70" t="n">
        <x:f>IF(AR83&gt;=3,1,0)</x:f>
        <x:v>1</x:v>
      </x:c>
      <x:c r="AS100" s="70" t="n">
        <x:f>IF(AS83&gt;=3,1,0)</x:f>
        <x:v>1</x:v>
      </x:c>
      <x:c r="AT100" s="70" t="n">
        <x:f>IF(AT83&gt;=3,1,0)</x:f>
        <x:v>1</x:v>
      </x:c>
      <x:c r="AU100" s="70" t="n">
        <x:f>IF(AU83&gt;=3,1,0)</x:f>
        <x:v>1</x:v>
      </x:c>
      <x:c r="AV100" s="70" t="n">
        <x:f>IF(AV83&gt;=3,1,0)</x:f>
        <x:v>1</x:v>
      </x:c>
      <x:c r="AW100" s="70" t="n">
        <x:f>IF(AW83&gt;=3,1,0)</x:f>
        <x:v>1</x:v>
      </x:c>
      <x:c r="AX100" s="70" t="n">
        <x:f>IF(AX83&gt;=3,1,0)</x:f>
        <x:v>1</x:v>
      </x:c>
      <x:c r="AY100" s="70" t="n">
        <x:f>IF(AY83&gt;=3,1,0)</x:f>
        <x:v>1</x:v>
      </x:c>
      <x:c r="AZ100" s="70" t="n">
        <x:f>IF(AZ83&gt;=3,1,0)</x:f>
        <x:v>1</x:v>
      </x:c>
      <x:c r="BA100" s="70" t="n">
        <x:f>IF(BA83&gt;=3,1,0)</x:f>
        <x:v>1</x:v>
      </x:c>
      <x:c r="BB100" s="70" t="n">
        <x:f>IF(BB83&gt;=3,1,0)</x:f>
        <x:v>1</x:v>
      </x:c>
      <x:c r="BC100" s="70" t="n">
        <x:f>IF(BC83&gt;=3,1,0)</x:f>
        <x:v>1</x:v>
      </x:c>
      <x:c r="BD100" s="70" t="n">
        <x:f>IF(BD83&gt;=3,1,0)</x:f>
        <x:v>1</x:v>
      </x:c>
      <x:c r="BE100" s="70" t="n">
        <x:f>IF(BE83&gt;=3,1,0)</x:f>
        <x:v>1</x:v>
      </x:c>
      <x:c r="BF100" s="70" t="n">
        <x:f>IF(BF83&gt;=3,1,0)</x:f>
        <x:v>1</x:v>
      </x:c>
      <x:c r="BG100" s="70" t="n">
        <x:f>IF(BG83&gt;=3,1,0)</x:f>
        <x:v>1</x:v>
      </x:c>
      <x:c r="BH100" s="70" t="n">
        <x:f>IF(BH83&gt;=3,1,0)</x:f>
        <x:v>1</x:v>
      </x:c>
      <x:c r="BI100" s="70" t="n">
        <x:f>IF(BI83&gt;=3,1,0)</x:f>
        <x:v>1</x:v>
      </x:c>
      <x:c r="BJ100" s="70" t="n">
        <x:f>IF(BJ83&gt;=3,1,0)</x:f>
        <x:v>1</x:v>
      </x:c>
    </x:row>
    <x:row r="101">
      <x:c r="A101" s="57" t="str">
        <x:v>First repeat purchase flag</x:v>
      </x:c>
      <x:c r="B101" s="57" t="str">
        <x:v>0/1</x:v>
      </x:c>
      <x:c r="C101" s="70" t="n">
        <x:f>IF(C17&gt;=1,1,0)</x:f>
        <x:v>0</x:v>
      </x:c>
      <x:c r="D101" s="70" t="n">
        <x:f>IF(D17&gt;=1,1,0)</x:f>
        <x:v>0</x:v>
      </x:c>
      <x:c r="E101" s="70" t="n">
        <x:f>IF(E17&gt;=1,1,0)</x:f>
        <x:v>0</x:v>
      </x:c>
      <x:c r="F101" s="70" t="n">
        <x:f>IF(F17&gt;=1,1,0)</x:f>
        <x:v>0</x:v>
      </x:c>
      <x:c r="G101" s="70" t="n">
        <x:f>IF(G17&gt;=1,1,0)</x:f>
        <x:v>0</x:v>
      </x:c>
      <x:c r="H101" s="70" t="n">
        <x:f>IF(H17&gt;=1,1,0)</x:f>
        <x:v>0</x:v>
      </x:c>
      <x:c r="I101" s="70" t="n">
        <x:f>IF(I17&gt;=1,1,0)</x:f>
        <x:v>0</x:v>
      </x:c>
      <x:c r="J101" s="70" t="n">
        <x:f>IF(J17&gt;=1,1,0)</x:f>
        <x:v>0</x:v>
      </x:c>
      <x:c r="K101" s="70" t="n">
        <x:f>IF(K17&gt;=1,1,0)</x:f>
        <x:v>0</x:v>
      </x:c>
      <x:c r="L101" s="70" t="n">
        <x:f>IF(L17&gt;=1,1,0)</x:f>
        <x:v>0</x:v>
      </x:c>
      <x:c r="M101" s="70" t="n">
        <x:f>IF(M17&gt;=1,1,0)</x:f>
        <x:v>0</x:v>
      </x:c>
      <x:c r="N101" s="70" t="n">
        <x:f>IF(N17&gt;=1,1,0)</x:f>
        <x:v>0</x:v>
      </x:c>
      <x:c r="O101" s="70" t="n">
        <x:f>IF(O17&gt;=1,1,0)</x:f>
        <x:v>0</x:v>
      </x:c>
      <x:c r="P101" s="70" t="n">
        <x:f>IF(P17&gt;=1,1,0)</x:f>
        <x:v>0</x:v>
      </x:c>
      <x:c r="Q101" s="70" t="n">
        <x:f>IF(Q17&gt;=1,1,0)</x:f>
        <x:v>0</x:v>
      </x:c>
      <x:c r="R101" s="70" t="n">
        <x:f>IF(R17&gt;=1,1,0)</x:f>
        <x:v>0</x:v>
      </x:c>
      <x:c r="S101" s="70" t="n">
        <x:f>IF(S17&gt;=1,1,0)</x:f>
        <x:v>0</x:v>
      </x:c>
      <x:c r="T101" s="70" t="n">
        <x:f>IF(T17&gt;=1,1,0)</x:f>
        <x:v>0</x:v>
      </x:c>
      <x:c r="U101" s="70" t="n">
        <x:f>IF(U17&gt;=1,1,0)</x:f>
        <x:v>0</x:v>
      </x:c>
      <x:c r="V101" s="70" t="n">
        <x:f>IF(V17&gt;=1,1,0)</x:f>
        <x:v>0</x:v>
      </x:c>
      <x:c r="W101" s="70" t="n">
        <x:f>IF(W17&gt;=1,1,0)</x:f>
        <x:v>0</x:v>
      </x:c>
      <x:c r="X101" s="70" t="n">
        <x:f>IF(X17&gt;=1,1,0)</x:f>
        <x:v>0</x:v>
      </x:c>
      <x:c r="Y101" s="70" t="n">
        <x:f>IF(Y17&gt;=1,1,0)</x:f>
        <x:v>0</x:v>
      </x:c>
      <x:c r="Z101" s="70" t="n">
        <x:f>IF(Z17&gt;=1,1,0)</x:f>
        <x:v>1</x:v>
      </x:c>
      <x:c r="AA101" s="70" t="n">
        <x:f>IF(AA17&gt;=1,1,0)</x:f>
        <x:v>1</x:v>
      </x:c>
      <x:c r="AB101" s="70" t="n">
        <x:f>IF(AB17&gt;=1,1,0)</x:f>
        <x:v>1</x:v>
      </x:c>
      <x:c r="AC101" s="70" t="n">
        <x:f>IF(AC17&gt;=1,1,0)</x:f>
        <x:v>1</x:v>
      </x:c>
      <x:c r="AD101" s="70" t="n">
        <x:f>IF(AD17&gt;=1,1,0)</x:f>
        <x:v>1</x:v>
      </x:c>
      <x:c r="AE101" s="70" t="n">
        <x:f>IF(AE17&gt;=1,1,0)</x:f>
        <x:v>1</x:v>
      </x:c>
      <x:c r="AF101" s="70" t="n">
        <x:f>IF(AF17&gt;=1,1,0)</x:f>
        <x:v>1</x:v>
      </x:c>
      <x:c r="AG101" s="70" t="n">
        <x:f>IF(AG17&gt;=1,1,0)</x:f>
        <x:v>1</x:v>
      </x:c>
      <x:c r="AH101" s="70" t="n">
        <x:f>IF(AH17&gt;=1,1,0)</x:f>
        <x:v>1</x:v>
      </x:c>
      <x:c r="AI101" s="70" t="n">
        <x:f>IF(AI17&gt;=1,1,0)</x:f>
        <x:v>1</x:v>
      </x:c>
      <x:c r="AJ101" s="70" t="n">
        <x:f>IF(AJ17&gt;=1,1,0)</x:f>
        <x:v>1</x:v>
      </x:c>
      <x:c r="AK101" s="70" t="n">
        <x:f>IF(AK17&gt;=1,1,0)</x:f>
        <x:v>1</x:v>
      </x:c>
      <x:c r="AL101" s="70" t="n">
        <x:f>IF(AL17&gt;=1,1,0)</x:f>
        <x:v>1</x:v>
      </x:c>
      <x:c r="AM101" s="70" t="n">
        <x:f>IF(AM17&gt;=1,1,0)</x:f>
        <x:v>1</x:v>
      </x:c>
      <x:c r="AN101" s="70" t="n">
        <x:f>IF(AN17&gt;=1,1,0)</x:f>
        <x:v>1</x:v>
      </x:c>
      <x:c r="AO101" s="70" t="n">
        <x:f>IF(AO17&gt;=1,1,0)</x:f>
        <x:v>1</x:v>
      </x:c>
      <x:c r="AP101" s="70" t="n">
        <x:f>IF(AP17&gt;=1,1,0)</x:f>
        <x:v>1</x:v>
      </x:c>
      <x:c r="AQ101" s="70" t="n">
        <x:f>IF(AQ17&gt;=1,1,0)</x:f>
        <x:v>1</x:v>
      </x:c>
      <x:c r="AR101" s="70" t="n">
        <x:f>IF(AR17&gt;=1,1,0)</x:f>
        <x:v>1</x:v>
      </x:c>
      <x:c r="AS101" s="70" t="n">
        <x:f>IF(AS17&gt;=1,1,0)</x:f>
        <x:v>1</x:v>
      </x:c>
      <x:c r="AT101" s="70" t="n">
        <x:f>IF(AT17&gt;=1,1,0)</x:f>
        <x:v>1</x:v>
      </x:c>
      <x:c r="AU101" s="70" t="n">
        <x:f>IF(AU17&gt;=1,1,0)</x:f>
        <x:v>1</x:v>
      </x:c>
      <x:c r="AV101" s="70" t="n">
        <x:f>IF(AV17&gt;=1,1,0)</x:f>
        <x:v>1</x:v>
      </x:c>
      <x:c r="AW101" s="70" t="n">
        <x:f>IF(AW17&gt;=1,1,0)</x:f>
        <x:v>1</x:v>
      </x:c>
      <x:c r="AX101" s="70" t="n">
        <x:f>IF(AX17&gt;=1,1,0)</x:f>
        <x:v>1</x:v>
      </x:c>
      <x:c r="AY101" s="70" t="n">
        <x:f>IF(AY17&gt;=1,1,0)</x:f>
        <x:v>1</x:v>
      </x:c>
      <x:c r="AZ101" s="70" t="n">
        <x:f>IF(AZ17&gt;=1,1,0)</x:f>
        <x:v>1</x:v>
      </x:c>
      <x:c r="BA101" s="70" t="n">
        <x:f>IF(BA17&gt;=1,1,0)</x:f>
        <x:v>1</x:v>
      </x:c>
      <x:c r="BB101" s="70" t="n">
        <x:f>IF(BB17&gt;=1,1,0)</x:f>
        <x:v>1</x:v>
      </x:c>
      <x:c r="BC101" s="70" t="n">
        <x:f>IF(BC17&gt;=1,1,0)</x:f>
        <x:v>1</x:v>
      </x:c>
      <x:c r="BD101" s="70" t="n">
        <x:f>IF(BD17&gt;=1,1,0)</x:f>
        <x:v>1</x:v>
      </x:c>
      <x:c r="BE101" s="70" t="n">
        <x:f>IF(BE17&gt;=1,1,0)</x:f>
        <x:v>1</x:v>
      </x:c>
      <x:c r="BF101" s="70" t="n">
        <x:f>IF(BF17&gt;=1,1,0)</x:f>
        <x:v>1</x:v>
      </x:c>
      <x:c r="BG101" s="70" t="n">
        <x:f>IF(BG17&gt;=1,1,0)</x:f>
        <x:v>1</x:v>
      </x:c>
      <x:c r="BH101" s="70" t="n">
        <x:f>IF(BH17&gt;=1,1,0)</x:f>
        <x:v>1</x:v>
      </x:c>
      <x:c r="BI101" s="70" t="n">
        <x:f>IF(BI17&gt;=1,1,0)</x:f>
        <x:v>1</x:v>
      </x:c>
      <x:c r="BJ101" s="70" t="n">
        <x:f>IF(BJ17&gt;=1,1,0)</x:f>
        <x:v>1</x:v>
      </x:c>
    </x:row>
    <x:row r="102">
      <x:c r="A102" s="57" t="str">
        <x:v>EBITDA break-even flag</x:v>
      </x:c>
      <x:c r="B102" s="57" t="str">
        <x:v>0/1</x:v>
      </x:c>
      <x:c r="C102" s="70" t="n">
        <x:f>IF(C64&gt;=0,1,0)</x:f>
        <x:v>0</x:v>
      </x:c>
      <x:c r="D102" s="70" t="n">
        <x:f>IF(D64&gt;=0,1,0)</x:f>
        <x:v>0</x:v>
      </x:c>
      <x:c r="E102" s="70" t="n">
        <x:f>IF(E64&gt;=0,1,0)</x:f>
        <x:v>0</x:v>
      </x:c>
      <x:c r="F102" s="70" t="n">
        <x:f>IF(F64&gt;=0,1,0)</x:f>
        <x:v>0</x:v>
      </x:c>
      <x:c r="G102" s="70" t="n">
        <x:f>IF(G64&gt;=0,1,0)</x:f>
        <x:v>0</x:v>
      </x:c>
      <x:c r="H102" s="70" t="n">
        <x:f>IF(H64&gt;=0,1,0)</x:f>
        <x:v>0</x:v>
      </x:c>
      <x:c r="I102" s="70" t="n">
        <x:f>IF(I64&gt;=0,1,0)</x:f>
        <x:v>0</x:v>
      </x:c>
      <x:c r="J102" s="70" t="n">
        <x:f>IF(J64&gt;=0,1,0)</x:f>
        <x:v>0</x:v>
      </x:c>
      <x:c r="K102" s="70" t="n">
        <x:f>IF(K64&gt;=0,1,0)</x:f>
        <x:v>0</x:v>
      </x:c>
      <x:c r="L102" s="70" t="n">
        <x:f>IF(L64&gt;=0,1,0)</x:f>
        <x:v>0</x:v>
      </x:c>
      <x:c r="M102" s="70" t="n">
        <x:f>IF(M64&gt;=0,1,0)</x:f>
        <x:v>0</x:v>
      </x:c>
      <x:c r="N102" s="70" t="n">
        <x:f>IF(N64&gt;=0,1,0)</x:f>
        <x:v>0</x:v>
      </x:c>
      <x:c r="O102" s="70" t="n">
        <x:f>IF(O64&gt;=0,1,0)</x:f>
        <x:v>0</x:v>
      </x:c>
      <x:c r="P102" s="70" t="n">
        <x:f>IF(P64&gt;=0,1,0)</x:f>
        <x:v>0</x:v>
      </x:c>
      <x:c r="Q102" s="70" t="n">
        <x:f>IF(Q64&gt;=0,1,0)</x:f>
        <x:v>1</x:v>
      </x:c>
      <x:c r="R102" s="70" t="n">
        <x:f>IF(R64&gt;=0,1,0)</x:f>
        <x:v>1</x:v>
      </x:c>
      <x:c r="S102" s="70" t="n">
        <x:f>IF(S64&gt;=0,1,0)</x:f>
        <x:v>1</x:v>
      </x:c>
      <x:c r="T102" s="70" t="n">
        <x:f>IF(T64&gt;=0,1,0)</x:f>
        <x:v>1</x:v>
      </x:c>
      <x:c r="U102" s="70" t="n">
        <x:f>IF(U64&gt;=0,1,0)</x:f>
        <x:v>1</x:v>
      </x:c>
      <x:c r="V102" s="70" t="n">
        <x:f>IF(V64&gt;=0,1,0)</x:f>
        <x:v>1</x:v>
      </x:c>
      <x:c r="W102" s="70" t="n">
        <x:f>IF(W64&gt;=0,1,0)</x:f>
        <x:v>1</x:v>
      </x:c>
      <x:c r="X102" s="70" t="n">
        <x:f>IF(X64&gt;=0,1,0)</x:f>
        <x:v>1</x:v>
      </x:c>
      <x:c r="Y102" s="70" t="n">
        <x:f>IF(Y64&gt;=0,1,0)</x:f>
        <x:v>1</x:v>
      </x:c>
      <x:c r="Z102" s="70" t="n">
        <x:f>IF(Z64&gt;=0,1,0)</x:f>
        <x:v>1</x:v>
      </x:c>
      <x:c r="AA102" s="70" t="n">
        <x:f>IF(AA64&gt;=0,1,0)</x:f>
        <x:v>1</x:v>
      </x:c>
      <x:c r="AB102" s="70" t="n">
        <x:f>IF(AB64&gt;=0,1,0)</x:f>
        <x:v>1</x:v>
      </x:c>
      <x:c r="AC102" s="70" t="n">
        <x:f>IF(AC64&gt;=0,1,0)</x:f>
        <x:v>1</x:v>
      </x:c>
      <x:c r="AD102" s="70" t="n">
        <x:f>IF(AD64&gt;=0,1,0)</x:f>
        <x:v>1</x:v>
      </x:c>
      <x:c r="AE102" s="70" t="n">
        <x:f>IF(AE64&gt;=0,1,0)</x:f>
        <x:v>1</x:v>
      </x:c>
      <x:c r="AF102" s="70" t="n">
        <x:f>IF(AF64&gt;=0,1,0)</x:f>
        <x:v>1</x:v>
      </x:c>
      <x:c r="AG102" s="70" t="n">
        <x:f>IF(AG64&gt;=0,1,0)</x:f>
        <x:v>1</x:v>
      </x:c>
      <x:c r="AH102" s="70" t="n">
        <x:f>IF(AH64&gt;=0,1,0)</x:f>
        <x:v>1</x:v>
      </x:c>
      <x:c r="AI102" s="70" t="n">
        <x:f>IF(AI64&gt;=0,1,0)</x:f>
        <x:v>1</x:v>
      </x:c>
      <x:c r="AJ102" s="70" t="n">
        <x:f>IF(AJ64&gt;=0,1,0)</x:f>
        <x:v>1</x:v>
      </x:c>
      <x:c r="AK102" s="70" t="n">
        <x:f>IF(AK64&gt;=0,1,0)</x:f>
        <x:v>1</x:v>
      </x:c>
      <x:c r="AL102" s="70" t="n">
        <x:f>IF(AL64&gt;=0,1,0)</x:f>
        <x:v>1</x:v>
      </x:c>
      <x:c r="AM102" s="70" t="n">
        <x:f>IF(AM64&gt;=0,1,0)</x:f>
        <x:v>1</x:v>
      </x:c>
      <x:c r="AN102" s="70" t="n">
        <x:f>IF(AN64&gt;=0,1,0)</x:f>
        <x:v>1</x:v>
      </x:c>
      <x:c r="AO102" s="70" t="n">
        <x:f>IF(AO64&gt;=0,1,0)</x:f>
        <x:v>1</x:v>
      </x:c>
      <x:c r="AP102" s="70" t="n">
        <x:f>IF(AP64&gt;=0,1,0)</x:f>
        <x:v>1</x:v>
      </x:c>
      <x:c r="AQ102" s="70" t="n">
        <x:f>IF(AQ64&gt;=0,1,0)</x:f>
        <x:v>1</x:v>
      </x:c>
      <x:c r="AR102" s="70" t="n">
        <x:f>IF(AR64&gt;=0,1,0)</x:f>
        <x:v>1</x:v>
      </x:c>
      <x:c r="AS102" s="70" t="n">
        <x:f>IF(AS64&gt;=0,1,0)</x:f>
        <x:v>1</x:v>
      </x:c>
      <x:c r="AT102" s="70" t="n">
        <x:f>IF(AT64&gt;=0,1,0)</x:f>
        <x:v>1</x:v>
      </x:c>
      <x:c r="AU102" s="70" t="n">
        <x:f>IF(AU64&gt;=0,1,0)</x:f>
        <x:v>1</x:v>
      </x:c>
      <x:c r="AV102" s="70" t="n">
        <x:f>IF(AV64&gt;=0,1,0)</x:f>
        <x:v>1</x:v>
      </x:c>
      <x:c r="AW102" s="70" t="n">
        <x:f>IF(AW64&gt;=0,1,0)</x:f>
        <x:v>1</x:v>
      </x:c>
      <x:c r="AX102" s="70" t="n">
        <x:f>IF(AX64&gt;=0,1,0)</x:f>
        <x:v>1</x:v>
      </x:c>
      <x:c r="AY102" s="70" t="n">
        <x:f>IF(AY64&gt;=0,1,0)</x:f>
        <x:v>1</x:v>
      </x:c>
      <x:c r="AZ102" s="70" t="n">
        <x:f>IF(AZ64&gt;=0,1,0)</x:f>
        <x:v>1</x:v>
      </x:c>
      <x:c r="BA102" s="70" t="n">
        <x:f>IF(BA64&gt;=0,1,0)</x:f>
        <x:v>1</x:v>
      </x:c>
      <x:c r="BB102" s="70" t="n">
        <x:f>IF(BB64&gt;=0,1,0)</x:f>
        <x:v>1</x:v>
      </x:c>
      <x:c r="BC102" s="70" t="n">
        <x:f>IF(BC64&gt;=0,1,0)</x:f>
        <x:v>1</x:v>
      </x:c>
      <x:c r="BD102" s="70" t="n">
        <x:f>IF(BD64&gt;=0,1,0)</x:f>
        <x:v>1</x:v>
      </x:c>
      <x:c r="BE102" s="70" t="n">
        <x:f>IF(BE64&gt;=0,1,0)</x:f>
        <x:v>1</x:v>
      </x:c>
      <x:c r="BF102" s="70" t="n">
        <x:f>IF(BF64&gt;=0,1,0)</x:f>
        <x:v>1</x:v>
      </x:c>
      <x:c r="BG102" s="70" t="n">
        <x:f>IF(BG64&gt;=0,1,0)</x:f>
        <x:v>1</x:v>
      </x:c>
      <x:c r="BH102" s="70" t="n">
        <x:f>IF(BH64&gt;=0,1,0)</x:f>
        <x:v>1</x:v>
      </x:c>
      <x:c r="BI102" s="70" t="n">
        <x:f>IF(BI64&gt;=0,1,0)</x:f>
        <x:v>1</x:v>
      </x:c>
      <x:c r="BJ102" s="70" t="n">
        <x:f>IF(BJ64&gt;=0,1,0)</x:f>
        <x:v>1</x:v>
      </x:c>
    </x:row>
    <x:row r="103">
      <x:c r="A103" s="57" t="str">
        <x:v>Service revenue</x:v>
      </x:c>
      <x:c r="B103" s="57" t="str">
        <x:v>$</x:v>
      </x:c>
      <x:c r="C103" s="64" t="n">
        <x:f>SUM(C24:C28)</x:f>
        <x:v>0</x:v>
      </x:c>
      <x:c r="D103" s="64" t="n">
        <x:f>SUM(D24:D28)</x:f>
        <x:v>40000</x:v>
      </x:c>
      <x:c r="E103" s="64" t="n">
        <x:f>SUM(E24:E28)</x:f>
        <x:v>75700</x:v>
      </x:c>
      <x:c r="F103" s="64" t="n">
        <x:f>SUM(F24:F28)</x:f>
        <x:v>98835.623456</x:v>
      </x:c>
      <x:c r="G103" s="64" t="n">
        <x:f>SUM(G24:G28)</x:f>
        <x:v>126937.70061307575</x:v>
      </x:c>
      <x:c r="H103" s="64" t="n">
        <x:f>SUM(H24:H28)</x:f>
        <x:v>159425.94441870323</x:v>
      </x:c>
      <x:c r="I103" s="64" t="n">
        <x:f>SUM(I24:I28)</x:f>
        <x:v>175889.97434740816</x:v>
      </x:c>
      <x:c r="J103" s="64" t="n">
        <x:f>SUM(J24:J28)</x:f>
        <x:v>187706.8323145235</x:v>
      </x:c>
      <x:c r="K103" s="64" t="n">
        <x:f>SUM(K24:K28)</x:f>
        <x:v>200407.59496214037</x:v>
      </x:c>
      <x:c r="L103" s="64" t="n">
        <x:f>SUM(L24:L28)</x:f>
        <x:v>214020.16336363633</x:v>
      </x:c>
      <x:c r="M103" s="64" t="n">
        <x:f>SUM(M24:M28)</x:f>
        <x:v>230880.99444448086</x:v>
      </x:c>
      <x:c r="N103" s="64" t="n">
        <x:f>SUM(N24:N28)</x:f>
        <x:v>248337.3639419184</x:v>
      </x:c>
      <x:c r="O103" s="64" t="n">
        <x:f>SUM(O24:O28)</x:f>
        <x:v>273189.6363495136</x:v>
      </x:c>
      <x:c r="P103" s="64" t="n">
        <x:f>SUM(P24:P28)</x:f>
        <x:v>291776.88463747775</x:v>
      </x:c>
      <x:c r="Q103" s="64" t="n">
        <x:f>SUM(Q24:Q28)</x:f>
        <x:v>311630.28646649735</x:v>
      </x:c>
      <x:c r="R103" s="64" t="n">
        <x:f>SUM(R24:R28)</x:f>
        <x:v>332833.5533995857</x:v>
      </x:c>
      <x:c r="S103" s="64" t="n">
        <x:f>SUM(S24:S28)</x:f>
        <x:v>355480.8589811231</x:v>
      </x:c>
      <x:c r="T103" s="64" t="n">
        <x:f>SUM(T24:T28)</x:f>
        <x:v>379671.79584770196</x:v>
      </x:c>
      <x:c r="U103" s="64" t="n">
        <x:f>SUM(U24:U28)</x:f>
        <x:v>405512.0760923761</x:v>
      </x:c>
      <x:c r="V103" s="64" t="n">
        <x:f>SUM(V24:V28)</x:f>
        <x:v>433118.4474719709</x:v>
      </x:c>
      <x:c r="W103" s="64" t="n">
        <x:f>SUM(W24:W28)</x:f>
        <x:v>462617.4950139985</x:v>
      </x:c>
      <x:c r="X103" s="64" t="n">
        <x:f>SUM(X24:X28)</x:f>
        <x:v>494145.7948433273</x:v>
      </x:c>
      <x:c r="Y103" s="64" t="n">
        <x:f>SUM(Y24:Y28)</x:f>
        <x:v>527850.7190007996</x:v>
      </x:c>
      <x:c r="Z103" s="64" t="n">
        <x:f>SUM(Z24:Z28)</x:f>
        <x:v>563890.9724055903</x:v>
      </x:c>
      <x:c r="AA103" s="64" t="n">
        <x:f>SUM(AA24:AA28)</x:f>
        <x:v>620511.296233692</x:v>
      </x:c>
      <x:c r="AB103" s="64" t="n">
        <x:f>SUM(AB24:AB28)</x:f>
        <x:v>658472.7476354487</x:v>
      </x:c>
      <x:c r="AC103" s="64" t="n">
        <x:f>SUM(AC24:AC28)</x:f>
        <x:v>695064.4000632339</x:v>
      </x:c>
      <x:c r="AD103" s="64" t="n">
        <x:f>SUM(AD24:AD28)</x:f>
        <x:v>731737.6145644231</x:v>
      </x:c>
      <x:c r="AE103" s="64" t="n">
        <x:f>SUM(AE24:AE28)</x:f>
        <x:v>767997.8319033653</x:v>
      </x:c>
      <x:c r="AF103" s="64" t="n">
        <x:f>SUM(AF24:AF28)</x:f>
        <x:v>803380.8746683155</x:v>
      </x:c>
      <x:c r="AG103" s="64" t="n">
        <x:f>SUM(AG24:AG28)</x:f>
        <x:v>839836.2730497712</x:v>
      </x:c>
      <x:c r="AH103" s="64" t="n">
        <x:f>SUM(AH24:AH28)</x:f>
        <x:v>878065.7132159076</x:v>
      </x:c>
      <x:c r="AI103" s="64" t="n">
        <x:f>SUM(AI24:AI28)</x:f>
        <x:v>918153.4022219513</x:v>
      </x:c>
      <x:c r="AJ103" s="64" t="n">
        <x:f>SUM(AJ24:AJ28)</x:f>
        <x:v>960193.1206692599</x:v>
      </x:c>
      <x:c r="AK103" s="64" t="n">
        <x:f>SUM(AK24:AK28)</x:f>
        <x:v>1004016.5396828924</x:v>
      </x:c>
      <x:c r="AL103" s="64" t="n">
        <x:f>SUM(AL24:AL28)</x:f>
        <x:v>1049769.5862172218</x:v>
      </x:c>
      <x:c r="AM103" s="64" t="n">
        <x:f>SUM(AM24:AM28)</x:f>
        <x:v>1130686.9831670788</x:v>
      </x:c>
      <x:c r="AN103" s="64" t="n">
        <x:f>SUM(AN24:AN28)</x:f>
        <x:v>1182537.4727234833</x:v>
      </x:c>
      <x:c r="AO103" s="64" t="n">
        <x:f>SUM(AO24:AO28)</x:f>
        <x:v>1236949.986101144</x:v>
      </x:c>
      <x:c r="AP103" s="64" t="n">
        <x:f>SUM(AP24:AP28)</x:f>
        <x:v>1294070.878642539</x:v>
      </x:c>
      <x:c r="AQ103" s="64" t="n">
        <x:f>SUM(AQ24:AQ28)</x:f>
        <x:v>1354057.054704905</x:v>
      </x:c>
      <x:c r="AR103" s="64" t="n">
        <x:f>SUM(AR24:AR28)</x:f>
        <x:v>1417076.7606367304</x:v>
      </x:c>
      <x:c r="AS103" s="64" t="n">
        <x:f>SUM(AS24:AS28)</x:f>
        <x:v>1483310.765247411</x:v>
      </x:c>
      <x:c r="AT103" s="64" t="n">
        <x:f>SUM(AT24:AT28)</x:f>
        <x:v>1552953.0217792236</x:v>
      </x:c>
      <x:c r="AU103" s="64" t="n">
        <x:f>SUM(AU24:AU28)</x:f>
        <x:v>1626211.8125644487</x:v>
      </x:c>
      <x:c r="AV103" s="64" t="n">
        <x:f>SUM(AV24:AV28)</x:f>
        <x:v>1703311.064277838</x:v>
      </x:c>
      <x:c r="AW103" s="64" t="n">
        <x:f>SUM(AW24:AW28)</x:f>
        <x:v>1783903.4925406966</x:v>
      </x:c>
      <x:c r="AX103" s="64" t="n">
        <x:f>SUM(AX24:AX28)</x:f>
        <x:v>1863579.3401460252</x:v>
      </x:c>
      <x:c r="AY103" s="64" t="n">
        <x:f>SUM(AY24:AY28)</x:f>
        <x:v>2004950.8663690947</x:v>
      </x:c>
      <x:c r="AZ103" s="64" t="n">
        <x:f>SUM(AZ24:AZ28)</x:f>
        <x:v>2089500.275323396</x:v>
      </x:c>
      <x:c r="BA103" s="64" t="n">
        <x:f>SUM(BA24:BA28)</x:f>
        <x:v>2175960.3118642475</x:v>
      </x:c>
      <x:c r="BB103" s="64" t="n">
        <x:f>SUM(BB24:BB28)</x:f>
        <x:v>2265962.266421114</x:v>
      </x:c>
      <x:c r="BC103" s="64" t="n">
        <x:f>SUM(BC24:BC28)</x:f>
        <x:v>2359640.199390849</x:v>
      </x:c>
      <x:c r="BD103" s="64" t="n">
        <x:f>SUM(BD24:BD28)</x:f>
        <x:v>2457134.271188958</x:v>
      </x:c>
      <x:c r="BE103" s="64" t="n">
        <x:f>SUM(BE24:BE28)</x:f>
        <x:v>2558538.503563544</x:v>
      </x:c>
      <x:c r="BF103" s="64" t="n">
        <x:f>SUM(BF24:BF28)</x:f>
        <x:v>2663550.8685859153</x:v>
      </x:c>
      <x:c r="BG103" s="64" t="n">
        <x:f>SUM(BG24:BG28)</x:f>
        <x:v>2772780.8022681214</x:v>
      </x:c>
      <x:c r="BH103" s="64" t="n">
        <x:f>SUM(BH24:BH28)</x:f>
        <x:v>2886395.889431364</x:v>
      </x:c>
      <x:c r="BI103" s="64" t="n">
        <x:f>SUM(BI24:BI28)</x:f>
        <x:v>3004570.2530621067</x:v>
      </x:c>
      <x:c r="BJ103" s="64" t="n">
        <x:f>SUM(BJ24:BJ28)</x:f>
        <x:v>3127485.447393127</x:v>
      </x:c>
    </x:row>
  </x:sheetData>
  <x:mergeCells>
    <x:mergeCell ref="A1:BJ1"/>
    <x:mergeCell ref="A2:BJ2"/>
    <x:mergeCell ref="A8:BJ8"/>
    <x:mergeCell ref="A23:BJ23"/>
    <x:mergeCell ref="A34:BJ34"/>
    <x:mergeCell ref="A40:BJ40"/>
    <x:mergeCell ref="A50:BJ50"/>
    <x:mergeCell ref="A68:BJ68"/>
    <x:mergeCell ref="A81:BJ81"/>
    <x:mergeCell ref="A91:BJ91"/>
    <x:mergeCell ref="A97:BJ97"/>
  </x:mergeCells>
  <x:conditionalFormatting sqref="C64:BJ64">
    <x:cfRule type="expression" dxfId="0" priority="1">
      <x:formula>C64&lt;0</x:formula>
    </x:cfRule>
  </x:conditionalFormatting>
  <x:conditionalFormatting sqref="C78:BJ78">
    <x:cfRule type="expression" dxfId="1" priority="2">
      <x:formula>C78&lt;0</x:formula>
    </x:cfRule>
  </x:conditionalFormatting>
  <x:conditionalFormatting sqref="C48:BJ48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C65:BJ65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7" t="str">
        <x:v>GoalOS Autonomous Money Machine Ω — Five-Year Financial Summary</x:v>
      </x:c>
      <x:c r="B1" s="7"/>
      <x:c r="C1" s="7"/>
      <x:c r="D1" s="7"/>
      <x:c r="E1" s="7"/>
      <x:c r="F1" s="7"/>
      <x:c r="G1" s="7"/>
    </x:row>
    <x:row r="2" ht="28" customHeight="1">
      <x:c r="A2" s="11" t="str">
        <x:v>Selected scenario summary. USD unless otherwise noted.</x:v>
      </x:c>
      <x:c r="B2" s="11"/>
      <x:c r="C2" s="11"/>
      <x:c r="D2" s="11"/>
      <x:c r="E2" s="11"/>
      <x:c r="F2" s="11"/>
      <x:c r="G2" s="11"/>
    </x:row>
    <x:row r="4" ht="26" customHeight="1">
      <x:c r="A4" s="18" t="str">
        <x:v>Metric</x:v>
      </x:c>
      <x:c r="B4" s="18" t="str">
        <x:v>Unit</x:v>
      </x:c>
      <x:c r="C4" s="18" t="str">
        <x:v>Year 1</x:v>
      </x:c>
      <x:c r="D4" s="18" t="str">
        <x:v>Year 2</x:v>
      </x:c>
      <x:c r="E4" s="18" t="str">
        <x:v>Year 3</x:v>
      </x:c>
      <x:c r="F4" s="18" t="str">
        <x:v>Year 4</x:v>
      </x:c>
      <x:c r="G4" s="18" t="str">
        <x:v>Year 5</x:v>
      </x:c>
    </x:row>
    <x:row r="5">
      <x:c r="A5" s="3" t="str">
        <x:v>Revenue</x:v>
      </x:c>
      <x:c r="B5" s="3"/>
      <x:c r="C5" s="3"/>
      <x:c r="D5" s="3"/>
      <x:c r="E5" s="3"/>
      <x:c r="F5" s="3"/>
      <x:c r="G5" s="3"/>
    </x:row>
    <x:row r="6">
      <x:c r="A6" t="str">
        <x:v>Private MasterClass revenue</x:v>
      </x:c>
      <x:c r="B6" t="str">
        <x:v>$</x:v>
      </x:c>
      <x:c r="C6" s="123" t="n">
        <x:f>SUM('Monthly Model'!C24:N24)</x:f>
        <x:v>433285.7060842288</x:v>
      </x:c>
      <x:c r="D6" s="123" t="n">
        <x:f>SUM('Monthly Model'!O24:Z24)</x:f>
        <x:v>1027261.3924346545</x:v>
      </x:c>
      <x:c r="E6" s="123" t="n">
        <x:f>SUM('Monthly Model'!AA24:AL24)</x:f>
        <x:v>1980813.5381214037</x:v>
      </x:c>
      <x:c r="F6" s="123" t="n">
        <x:f>SUM('Monthly Model'!AM24:AX24)</x:f>
        <x:v>3322634.7545109233</x:v>
      </x:c>
      <x:c r="G6" s="123" t="n">
        <x:f>SUM('Monthly Model'!AY24:BJ24)</x:f>
        <x:v>5553558.872150035</x:v>
      </x:c>
    </x:row>
    <x:row r="7">
      <x:c r="A7" t="str">
        <x:v>Proof Diagnostic revenue</x:v>
      </x:c>
      <x:c r="B7" t="str">
        <x:v>$</x:v>
      </x:c>
      <x:c r="C7" s="123" t="n">
        <x:f>SUM('Monthly Model'!C25:N25)</x:f>
        <x:v>309177.0039774178</x:v>
      </x:c>
      <x:c r="D7" s="123" t="n">
        <x:f>SUM('Monthly Model'!O25:Z25)</x:f>
        <x:v>753330.6870189458</x:v>
      </x:c>
      <x:c r="E7" s="123" t="n">
        <x:f>SUM('Monthly Model'!AA25:AL25)</x:f>
        <x:v>1466006.484413046</x:v>
      </x:c>
      <x:c r="F7" s="123" t="n">
        <x:f>SUM('Monthly Model'!AM25:AX25)</x:f>
        <x:v>2460990.190452431</x:v>
      </x:c>
      <x:c r="G7" s="123" t="n">
        <x:f>SUM('Monthly Model'!AY25:BJ25)</x:f>
        <x:v>4113894.5809214306</x:v>
      </x:c>
    </x:row>
    <x:row r="8">
      <x:c r="A8" t="str">
        <x:v>Proof Mission Sprint revenue</x:v>
      </x:c>
      <x:c r="B8" t="str">
        <x:v>$</x:v>
      </x:c>
      <x:c r="C8" s="123" t="n">
        <x:f>SUM('Monthly Model'!C26:N26)</x:f>
        <x:v>542631.3282901831</x:v>
      </x:c>
      <x:c r="D8" s="123" t="n">
        <x:f>SUM('Monthly Model'!O26:Z26)</x:f>
        <x:v>1449144.3130204603</x:v>
      </x:c>
      <x:c r="E8" s="123" t="n">
        <x:f>SUM('Monthly Model'!AA26:AL26)</x:f>
        <x:v>3013156.058382815</x:v>
      </x:c>
      <x:c r="F8" s="123" t="n">
        <x:f>SUM('Monthly Model'!AM26:AX26)</x:f>
        <x:v>5482800.791830565</x:v>
      </x:c>
      <x:c r="G8" s="123" t="n">
        <x:f>SUM('Monthly Model'!AY26:BJ26)</x:f>
        <x:v>9484238.83874727</x:v>
      </x:c>
    </x:row>
    <x:row r="9">
      <x:c r="A9" t="str">
        <x:v>Repeat mission revenue</x:v>
      </x:c>
      <x:c r="B9" t="str">
        <x:v>$</x:v>
      </x:c>
      <x:c r="C9" s="123" t="n">
        <x:f>SUM('Monthly Model'!C27:N27)</x:f>
        <x:v>113586.12256106353</x:v>
      </x:c>
      <x:c r="D9" s="123" t="n">
        <x:f>SUM('Monthly Model'!O27:Z27)</x:f>
        <x:v>461069.44006579346</x:v>
      </x:c>
      <x:c r="E9" s="123" t="n">
        <x:f>SUM('Monthly Model'!AA27:AL27)</x:f>
        <x:v>1014184.9903243192</x:v>
      </x:c>
      <x:c r="F9" s="123" t="n">
        <x:f>SUM('Monthly Model'!AM27:AX27)</x:f>
        <x:v>1878806.1038088999</x:v>
      </x:c>
      <x:c r="G9" s="123" t="n">
        <x:f>SUM('Monthly Model'!AY27:BJ27)</x:f>
        <x:v>3339207.4507263973</x:v>
      </x:c>
    </x:row>
    <x:row r="10">
      <x:c r="A10" t="str">
        <x:v>Enterprise pilot revenue</x:v>
      </x:c>
      <x:c r="B10" t="str">
        <x:v>$</x:v>
      </x:c>
      <x:c r="C10" s="123" t="n">
        <x:f>SUM('Monthly Model'!C28:N28)</x:f>
        <x:v>359462.0309489934</x:v>
      </x:c>
      <x:c r="D10" s="123" t="n">
        <x:f>SUM('Monthly Model'!O28:Z28)</x:f>
        <x:v>1140912.687970108</x:v>
      </x:c>
      <x:c r="E10" s="123" t="n">
        <x:f>SUM('Monthly Model'!AA28:AL28)</x:f>
        <x:v>2453038.3288838994</x:v>
      </x:c>
      <x:c r="F10" s="123" t="n">
        <x:f>SUM('Monthly Model'!AM28:AX28)</x:f>
        <x:v>4483416.791928703</x:v>
      </x:c>
      <x:c r="G10" s="123" t="n">
        <x:f>SUM('Monthly Model'!AY28:BJ28)</x:f>
        <x:v>7875570.212316702</x:v>
      </x:c>
    </x:row>
    <x:row r="11">
      <x:c r="A11" t="str">
        <x:v>Proof OS recurring revenue</x:v>
      </x:c>
      <x:c r="B11" t="str">
        <x:v>$</x:v>
      </x:c>
      <x:c r="C11" s="123" t="n">
        <x:f>SUM('Monthly Model'!C29:N29)</x:f>
        <x:v>45826.38689072107</x:v>
      </x:c>
      <x:c r="D11" s="123" t="n">
        <x:f>SUM('Monthly Model'!O29:Z29)</x:f>
        <x:v>651722.6682837126</x:v>
      </x:c>
      <x:c r="E11" s="123" t="n">
        <x:f>SUM('Monthly Model'!AA29:AL29)</x:f>
        <x:v>2136627.363608835</x:v>
      </x:c>
      <x:c r="F11" s="123" t="n">
        <x:f>SUM('Monthly Model'!AM29:AX29)</x:f>
        <x:v>5044736.638293064</x:v>
      </x:c>
      <x:c r="G11" s="123" t="n">
        <x:f>SUM('Monthly Model'!AY29:BJ29)</x:f>
        <x:v>10240876.121761085</x:v>
      </x:c>
    </x:row>
    <x:row r="12">
      <x:c r="A12" t="str">
        <x:v>Total Revenue</x:v>
      </x:c>
      <x:c r="B12" t="str">
        <x:v>$</x:v>
      </x:c>
      <x:c r="C12" s="123" t="n">
        <x:f>SUM('Monthly Model'!C30:N30)</x:f>
        <x:v>1803968.5787526076</x:v>
      </x:c>
      <x:c r="D12" s="123" t="n">
        <x:f>SUM('Monthly Model'!O30:Z30)</x:f>
        <x:v>5483441.188793674</x:v>
      </x:c>
      <x:c r="E12" s="123" t="n">
        <x:f>SUM('Monthly Model'!AA30:AL30)</x:f>
        <x:v>12063826.763734316</x:v>
      </x:c>
      <x:c r="F12" s="123" t="n">
        <x:f>SUM('Monthly Model'!AM30:AX30)</x:f>
        <x:v>22673385.27082459</x:v>
      </x:c>
      <x:c r="G12" s="123" t="n">
        <x:f>SUM('Monthly Model'!AY30:BJ30)</x:f>
        <x:v>40607346.07662292</x:v>
      </x:c>
    </x:row>
    <x:row r="13">
      <x:c r="A13" t="str">
        <x:v>Revenue Growth</x:v>
      </x:c>
      <x:c r="B13" t="str">
        <x:v>%</x:v>
      </x:c>
      <x:c r="C13" s="125" t="n">
        <x:f>0</x:f>
        <x:v>0</x:v>
      </x:c>
      <x:c r="D13" s="125" t="n">
        <x:f>IF(C12=0,0,D12/C12-1)</x:f>
        <x:v>2.039654489206966</x:v>
      </x:c>
      <x:c r="E13" s="125" t="n">
        <x:f>IF(D12=0,0,E12/D12-1)</x:f>
        <x:v>1.2000467130729433</x:v>
      </x:c>
      <x:c r="F13" s="125" t="n">
        <x:f>IF(E12=0,0,F12/E12-1)</x:f>
        <x:v>0.8794521601540406</x:v>
      </x:c>
      <x:c r="G13" s="125" t="n">
        <x:f>IF(F12=0,0,G12/F12-1)</x:f>
        <x:v>0.7909697026528806</x:v>
      </x:c>
    </x:row>
    <x:row r="14">
      <x:c r="C14" s="153"/>
      <x:c r="D14" s="153"/>
      <x:c r="E14" s="153"/>
      <x:c r="F14" s="153"/>
      <x:c r="G14" s="153"/>
    </x:row>
    <x:row r="15">
      <x:c r="A15" s="3" t="str">
        <x:v>Profitability</x:v>
      </x:c>
      <x:c r="B15" s="3"/>
      <x:c r="C15" s="28"/>
      <x:c r="D15" s="28"/>
      <x:c r="E15" s="28"/>
      <x:c r="F15" s="28"/>
      <x:c r="G15" s="28"/>
    </x:row>
    <x:row r="16">
      <x:c r="A16" t="str">
        <x:v>Total COGS</x:v>
      </x:c>
      <x:c r="B16" t="str">
        <x:v>$</x:v>
      </x:c>
      <x:c r="C16" s="123" t="n">
        <x:f>SUM('Monthly Model'!C46:N46)</x:f>
        <x:v>649185.8450172632</x:v>
      </x:c>
      <x:c r="D16" s="123" t="n">
        <x:f>SUM('Monthly Model'!O46:Z46)</x:f>
        <x:v>1496445.0606734029</x:v>
      </x:c>
      <x:c r="E16" s="123" t="n">
        <x:f>SUM('Monthly Model'!AA46:AL46)</x:f>
        <x:v>2718912.7988625607</x:v>
      </x:c>
      <x:c r="F16" s="123" t="n">
        <x:f>SUM('Monthly Model'!AM46:AX46)</x:f>
        <x:v>4828474.88755454</x:v>
      </x:c>
      <x:c r="G16" s="123" t="n">
        <x:f>SUM('Monthly Model'!AY46:BJ46)</x:f>
        <x:v>8255977.011093455</x:v>
      </x:c>
    </x:row>
    <x:row r="17">
      <x:c r="A17" t="str">
        <x:v>Gross Profit</x:v>
      </x:c>
      <x:c r="B17" t="str">
        <x:v>$</x:v>
      </x:c>
      <x:c r="C17" s="123" t="n">
        <x:f>SUM('Monthly Model'!C47:N47)</x:f>
        <x:v>1154782.7337353444</x:v>
      </x:c>
      <x:c r="D17" s="123" t="n">
        <x:f>SUM('Monthly Model'!O47:Z47)</x:f>
        <x:v>3986996.1281202724</x:v>
      </x:c>
      <x:c r="E17" s="123" t="n">
        <x:f>SUM('Monthly Model'!AA47:AL47)</x:f>
        <x:v>9344913.964871759</x:v>
      </x:c>
      <x:c r="F17" s="123" t="n">
        <x:f>SUM('Monthly Model'!AM47:AX47)</x:f>
        <x:v>17844910.383270048</x:v>
      </x:c>
      <x:c r="G17" s="123" t="n">
        <x:f>SUM('Monthly Model'!AY47:BJ47)</x:f>
        <x:v>32351369.065529466</x:v>
      </x:c>
    </x:row>
    <x:row r="18">
      <x:c r="A18" t="str">
        <x:v>Gross Margin</x:v>
      </x:c>
      <x:c r="B18" t="str">
        <x:v>%</x:v>
      </x:c>
      <x:c r="C18" s="125" t="n">
        <x:f>IF(C12=0,0,C17/C12)</x:f>
        <x:v>0.6401346161660108</x:v>
      </x:c>
      <x:c r="D18" s="125" t="n">
        <x:f>IF(D12=0,0,D17/D12)</x:f>
        <x:v>0.7270974541075345</x:v>
      </x:c>
      <x:c r="E18" s="125" t="n">
        <x:f>IF(E12=0,0,E17/E12)</x:f>
        <x:v>0.7746226921099348</x:v>
      </x:c>
      <x:c r="F18" s="125" t="n">
        <x:f>IF(F12=0,0,F17/F12)</x:f>
        <x:v>0.7870421716968893</x:v>
      </x:c>
      <x:c r="G18" s="125" t="n">
        <x:f>IF(G12=0,0,G17/G12)</x:f>
        <x:v>0.7966875994428431</x:v>
      </x:c>
    </x:row>
    <x:row r="19">
      <x:c r="A19" t="str">
        <x:v>Total OpEx</x:v>
      </x:c>
      <x:c r="B19" t="str">
        <x:v>$</x:v>
      </x:c>
      <x:c r="C19" s="123" t="n">
        <x:f>SUM('Monthly Model'!C63:N63)</x:f>
        <x:v>2289469.071003521</x:v>
      </x:c>
      <x:c r="D19" s="123" t="n">
        <x:f>SUM('Monthly Model'!O63:Z63)</x:f>
        <x:v>2884807.765593145</x:v>
      </x:c>
      <x:c r="E19" s="123" t="n">
        <x:f>SUM('Monthly Model'!AA63:AL63)</x:f>
        <x:v>3555678.860322205</x:v>
      </x:c>
      <x:c r="F19" s="123" t="n">
        <x:f>SUM('Monthly Model'!AM63:AX63)</x:f>
        <x:v>4849983.739499371</x:v>
      </x:c>
      <x:c r="G19" s="123" t="n">
        <x:f>SUM('Monthly Model'!AY63:BJ63)</x:f>
        <x:v>7041645.584183516</x:v>
      </x:c>
    </x:row>
    <x:row r="20">
      <x:c r="A20" t="str">
        <x:v>EBITDA</x:v>
      </x:c>
      <x:c r="B20" t="str">
        <x:v>$</x:v>
      </x:c>
      <x:c r="C20" s="123" t="n">
        <x:f>SUM('Monthly Model'!C64:N64)</x:f>
        <x:v>-1134686.337268177</x:v>
      </x:c>
      <x:c r="D20" s="123" t="n">
        <x:f>SUM('Monthly Model'!O64:Z64)</x:f>
        <x:v>1102188.3625271274</x:v>
      </x:c>
      <x:c r="E20" s="123" t="n">
        <x:f>SUM('Monthly Model'!AA64:AL64)</x:f>
        <x:v>5789235.104549553</x:v>
      </x:c>
      <x:c r="F20" s="123" t="n">
        <x:f>SUM('Monthly Model'!AM64:AX64)</x:f>
        <x:v>12994926.643770676</x:v>
      </x:c>
      <x:c r="G20" s="123" t="n">
        <x:f>SUM('Monthly Model'!AY64:BJ64)</x:f>
        <x:v>25309723.48134595</x:v>
      </x:c>
    </x:row>
    <x:row r="21">
      <x:c r="A21" t="str">
        <x:v>EBITDA Margin</x:v>
      </x:c>
      <x:c r="B21" t="str">
        <x:v>%</x:v>
      </x:c>
      <x:c r="C21" s="125" t="n">
        <x:f>IF(C12=0,0,C20/C12)</x:f>
        <x:v>-0.6289945127829111</x:v>
      </x:c>
      <x:c r="D21" s="125" t="n">
        <x:f>IF(D12=0,0,D20/D12)</x:f>
        <x:v>0.20100304253825735</x:v>
      </x:c>
      <x:c r="E21" s="125" t="n">
        <x:f>IF(E12=0,0,E20/E12)</x:f>
        <x:v>0.47988380618601617</x:v>
      </x:c>
      <x:c r="F21" s="125" t="n">
        <x:f>IF(F12=0,0,F20/F12)</x:f>
        <x:v>0.5731357046401071</x:v>
      </x:c>
      <x:c r="G21" s="125" t="n">
        <x:f>IF(G12=0,0,G20/G12)</x:f>
        <x:v>0.623279429135518</x:v>
      </x:c>
    </x:row>
    <x:row r="22">
      <x:c r="C22" s="153"/>
      <x:c r="D22" s="153"/>
      <x:c r="E22" s="153"/>
      <x:c r="F22" s="153"/>
      <x:c r="G22" s="153"/>
    </x:row>
    <x:row r="23">
      <x:c r="A23" s="3" t="str">
        <x:v>Cash &amp; Capital</x:v>
      </x:c>
      <x:c r="B23" s="3"/>
      <x:c r="C23" s="28"/>
      <x:c r="D23" s="28"/>
      <x:c r="E23" s="28"/>
      <x:c r="F23" s="28"/>
      <x:c r="G23" s="28"/>
    </x:row>
    <x:row r="24">
      <x:c r="A24" t="str">
        <x:v>Total Cash Receipts</x:v>
      </x:c>
      <x:c r="B24" t="str">
        <x:v>$</x:v>
      </x:c>
      <x:c r="C24" s="123" t="n">
        <x:f>SUM('Monthly Model'!C73:N73)</x:f>
        <x:v>1864141.7146137587</x:v>
      </x:c>
      <x:c r="D24" s="123" t="n">
        <x:f>SUM('Monthly Model'!O73:Z73)</x:f>
        <x:v>5876504.210112417</x:v>
      </x:c>
      <x:c r="E24" s="123" t="n">
        <x:f>SUM('Monthly Model'!AA73:AL73)</x:f>
        <x:v>12833299.547324229</x:v>
      </x:c>
      <x:c r="F24" s="123" t="n">
        <x:f>SUM('Monthly Model'!AM73:AX73)</x:f>
        <x:v>23412307.668515064</x:v>
      </x:c>
      <x:c r="G24" s="123" t="n">
        <x:f>SUM('Monthly Model'!AY73:BJ73)</x:f>
        <x:v>40942354.58525455</x:v>
      </x:c>
    </x:row>
    <x:row r="25">
      <x:c r="A25" t="str">
        <x:v>Capital Expenditure</x:v>
      </x:c>
      <x:c r="B25" t="str">
        <x:v>$</x:v>
      </x:c>
      <x:c r="C25" s="123" t="n">
        <x:f>SUM('Monthly Model'!C74:N74)</x:f>
        <x:v>21647.62294503129</x:v>
      </x:c>
      <x:c r="D25" s="123" t="n">
        <x:f>SUM('Monthly Model'!O74:Z74)</x:f>
        <x:v>65801.2942655241</x:v>
      </x:c>
      <x:c r="E25" s="123" t="n">
        <x:f>SUM('Monthly Model'!AA74:AL74)</x:f>
        <x:v>144765.92116481182</x:v>
      </x:c>
      <x:c r="F25" s="123" t="n">
        <x:f>SUM('Monthly Model'!AM74:AX74)</x:f>
        <x:v>272080.62324989506</x:v>
      </x:c>
      <x:c r="G25" s="123" t="n">
        <x:f>SUM('Monthly Model'!AY74:BJ74)</x:f>
        <x:v>487288.15291947505</x:v>
      </x:c>
    </x:row>
    <x:row r="26">
      <x:c r="A26" t="str">
        <x:v>Financing Inflow</x:v>
      </x:c>
      <x:c r="B26" t="str">
        <x:v>$</x:v>
      </x:c>
      <x:c r="C26" s="123" t="n">
        <x:f>SUM('Monthly Model'!C76:N76)</x:f>
        <x:v>5000000</x:v>
      </x:c>
      <x:c r="D26" s="123" t="n">
        <x:f>SUM('Monthly Model'!O76:Z76)</x:f>
        <x:v>0</x:v>
      </x:c>
      <x:c r="E26" s="123" t="n">
        <x:f>SUM('Monthly Model'!AA76:AL76)</x:f>
        <x:v>0</x:v>
      </x:c>
      <x:c r="F26" s="123" t="n">
        <x:f>SUM('Monthly Model'!AM76:AX76)</x:f>
        <x:v>0</x:v>
      </x:c>
      <x:c r="G26" s="123" t="n">
        <x:f>SUM('Monthly Model'!AY76:BJ76)</x:f>
        <x:v>0</x:v>
      </x:c>
    </x:row>
    <x:row r="27">
      <x:c r="A27" t="str">
        <x:v>Ending Cash</x:v>
      </x:c>
      <x:c r="B27" t="str">
        <x:v>$</x:v>
      </x:c>
      <x:c r="C27" s="123" t="n">
        <x:f>'Monthly Model'!N78</x:f>
        <x:v>6403839.175647943</x:v>
      </x:c>
      <x:c r="D27" s="123" t="n">
        <x:f>'Monthly Model'!Z78</x:f>
        <x:v>7833289.265228289</x:v>
      </x:c>
      <x:c r="E27" s="123" t="n">
        <x:f>'Monthly Model'!AL78</x:f>
        <x:v>14247231.232202943</x:v>
      </x:c>
      <x:c r="F27" s="123" t="n">
        <x:f>'Monthly Model'!AX78</x:f>
        <x:v>27708999.6504142</x:v>
      </x:c>
      <x:c r="G27" s="123" t="n">
        <x:f>'Monthly Model'!BJ78</x:f>
        <x:v>52866443.48747229</x:v>
      </x:c>
    </x:row>
    <x:row r="28">
      <x:c r="A28" t="str">
        <x:v>Minimum Cash</x:v>
      </x:c>
      <x:c r="B28" t="str">
        <x:v>$</x:v>
      </x:c>
      <x:c r="C28" s="123" t="n">
        <x:f>'Monthly Model'!N79</x:f>
        <x:v>1481535.5866683144</x:v>
      </x:c>
      <x:c r="D28" s="123" t="n">
        <x:f>'Monthly Model'!Z79</x:f>
        <x:v>1481535.5866683144</x:v>
      </x:c>
      <x:c r="E28" s="123" t="n">
        <x:f>'Monthly Model'!AL79</x:f>
        <x:v>1481535.5866683144</x:v>
      </x:c>
      <x:c r="F28" s="123" t="n">
        <x:f>'Monthly Model'!AX79</x:f>
        <x:v>1481535.5866683144</x:v>
      </x:c>
      <x:c r="G28" s="123" t="n">
        <x:f>'Monthly Model'!BJ79</x:f>
        <x:v>1481535.5866683144</x:v>
      </x:c>
    </x:row>
    <x:row r="29">
      <x:c r="C29" s="153"/>
      <x:c r="D29" s="153"/>
      <x:c r="E29" s="153"/>
      <x:c r="F29" s="153"/>
      <x:c r="G29" s="153"/>
    </x:row>
    <x:row r="30">
      <x:c r="A30" s="3" t="str">
        <x:v>Operating Scale</x:v>
      </x:c>
      <x:c r="B30" s="3"/>
      <x:c r="C30" s="28"/>
      <x:c r="D30" s="28"/>
      <x:c r="E30" s="28"/>
      <x:c r="F30" s="28"/>
      <x:c r="G30" s="28"/>
    </x:row>
    <x:row r="31">
      <x:c r="A31" t="str">
        <x:v>Ending ARR</x:v>
      </x:c>
      <x:c r="B31" t="str">
        <x:v>$</x:v>
      </x:c>
      <x:c r="C31" s="123" t="n">
        <x:f>'Monthly Model'!N32</x:f>
        <x:v>202438.8198046058</x:v>
      </x:c>
      <x:c r="D31" s="123" t="n">
        <x:f>'Monthly Model'!Z32</x:f>
        <x:v>1131694.990132093</x:v>
      </x:c>
      <x:c r="E31" s="123" t="n">
        <x:f>'Monthly Model'!AL32</x:f>
        <x:v>3159980.4019373255</x:v>
      </x:c>
      <x:c r="F31" s="123" t="n">
        <x:f>'Monthly Model'!AX32</x:f>
        <x:v>6858109.574543583</x:v>
      </x:c>
      <x:c r="G31" s="123" t="n">
        <x:f>'Monthly Model'!BJ32</x:f>
        <x:v>13393864.366772616</x:v>
      </x:c>
    </x:row>
    <x:row r="32">
      <x:c r="A32" t="str">
        <x:v>Active Proof OS customers</x:v>
      </x:c>
      <x:c r="B32" t="str">
        <x:v>count</x:v>
      </x:c>
      <x:c r="C32" s="124" t="n">
        <x:f>'Monthly Model'!N21</x:f>
        <x:v>0.5783966280131594</x:v>
      </x:c>
      <x:c r="D32" s="124" t="n">
        <x:f>'Monthly Model'!Z21</x:f>
        <x:v>3.1392371432235593</x:v>
      </x:c>
      <x:c r="E32" s="124" t="n">
        <x:f>'Monthly Model'!AL21</x:f>
        <x:v>8.510241713739886</x:v>
      </x:c>
      <x:c r="F32" s="124" t="n">
        <x:f>'Monthly Model'!AX21</x:f>
        <x:v>17.931833645924588</x:v>
      </x:c>
      <x:c r="G32" s="124" t="n">
        <x:f>'Monthly Model'!BJ21</x:f>
        <x:v>34.00078574690554</x:v>
      </x:c>
    </x:row>
    <x:row r="33">
      <x:c r="A33" t="str">
        <x:v>Cumulative validated cases</x:v>
      </x:c>
      <x:c r="B33" t="str">
        <x:v>count</x:v>
      </x:c>
      <x:c r="C33" s="124" t="n">
        <x:f>'Monthly Model'!N36</x:f>
        <x:v>13.9686863010164</x:v>
      </x:c>
      <x:c r="D33" s="124" t="n">
        <x:f>'Monthly Model'!Z36</x:f>
        <x:v>53.99715589652437</x:v>
      </x:c>
      <x:c r="E33" s="124" t="n">
        <x:f>'Monthly Model'!AL36</x:f>
        <x:v>136.20129280861016</x:v>
      </x:c>
      <x:c r="F33" s="124" t="n">
        <x:f>'Monthly Model'!AX36</x:f>
        <x:v>282.0834984034959</x:v>
      </x:c>
      <x:c r="G33" s="124" t="n">
        <x:f>'Monthly Model'!BJ36</x:f>
        <x:v>529.1499380561775</x:v>
      </x:c>
    </x:row>
    <x:row r="34">
      <x:c r="A34" t="str">
        <x:v>Ending total company FTE</x:v>
      </x:c>
      <x:c r="B34" t="str">
        <x:v>FTE</x:v>
      </x:c>
      <x:c r="C34" s="124" t="n">
        <x:f>'Monthly Model'!N66</x:f>
        <x:v>13</x:v>
      </x:c>
      <x:c r="D34" s="124" t="n">
        <x:f>'Monthly Model'!Z66</x:f>
        <x:v>18</x:v>
      </x:c>
      <x:c r="E34" s="124" t="n">
        <x:f>'Monthly Model'!AL66</x:f>
        <x:v>24</x:v>
      </x:c>
      <x:c r="F34" s="124" t="n">
        <x:f>'Monthly Model'!AX66</x:f>
        <x:v>36</x:v>
      </x:c>
      <x:c r="G34" s="124" t="n">
        <x:f>'Monthly Model'!BJ66</x:f>
        <x:v>57</x:v>
      </x:c>
    </x:row>
    <x:row r="35">
      <x:c r="A35" t="str">
        <x:v>New core engagements</x:v>
      </x:c>
      <x:c r="B35" t="str">
        <x:v>count</x:v>
      </x:c>
      <x:c r="C35" s="124" t="n">
        <x:f>SUM('Monthly Model'!C82:N82)</x:f>
        <x:v>13.835710014974017</x:v>
      </x:c>
      <x:c r="D35" s="124" t="n">
        <x:f>SUM('Monthly Model'!O82:Z82)</x:f>
        <x:v>38.24355583149538</x:v>
      </x:c>
      <x:c r="E35" s="124" t="n">
        <x:f>SUM('Monthly Model'!AA82:AL82)</x:f>
        <x:v>78.12026541665912</x:v>
      </x:c>
      <x:c r="F35" s="124" t="n">
        <x:f>SUM('Monthly Model'!AM82:AX82)</x:f>
        <x:v>138.36598598086772</x:v>
      </x:c>
      <x:c r="G35" s="124" t="n">
        <x:f>SUM('Monthly Model'!AY82:BJ82)</x:f>
        <x:v>233.7161406973678</x:v>
      </x:c>
    </x:row>
    <x:row r="36">
      <x:c r="A36" t="str">
        <x:v>Repeat purchases</x:v>
      </x:c>
      <x:c r="B36" t="str">
        <x:v>count</x:v>
      </x:c>
      <x:c r="C36" s="124" t="n">
        <x:f>SUM('Monthly Model'!C84:N84)</x:f>
        <x:v>2.2717224512212706</x:v>
      </x:c>
      <x:c r="D36" s="124" t="n">
        <x:f>SUM('Monthly Model'!O84:Z84)</x:f>
        <x:v>8.952804661471717</x:v>
      </x:c>
      <x:c r="E36" s="124" t="n">
        <x:f>SUM('Monthly Model'!AA84:AL84)</x:f>
        <x:v>19.119332459691194</x:v>
      </x:c>
      <x:c r="F36" s="124" t="n">
        <x:f>SUM('Monthly Model'!AM84:AX84)</x:f>
        <x:v>34.38747470885043</x:v>
      </x:c>
      <x:c r="G36" s="124" t="n">
        <x:f>SUM('Monthly Model'!AY84:BJ84)</x:f>
        <x:v>59.336851405479415</x:v>
      </x:c>
    </x:row>
    <x:row r="37">
      <x:c r="A37" t="str">
        <x:v>Revenue / ending FTE</x:v>
      </x:c>
      <x:c r="B37" t="str">
        <x:v>$ / FTE</x:v>
      </x:c>
      <x:c r="C37" s="123" t="n">
        <x:f>IF(C34=0,0,C12/C34)</x:f>
        <x:v>138766.81375020058</x:v>
      </x:c>
      <x:c r="D37" s="123" t="n">
        <x:f>IF(D34=0,0,D12/D34)</x:f>
        <x:v>304635.62159964856</x:v>
      </x:c>
      <x:c r="E37" s="123" t="n">
        <x:f>IF(E34=0,0,E12/E34)</x:f>
        <x:v>502659.44848892983</x:v>
      </x:c>
      <x:c r="F37" s="123" t="n">
        <x:f>IF(F34=0,0,F12/F34)</x:f>
        <x:v>629816.2575229052</x:v>
      </x:c>
      <x:c r="G37" s="123" t="n">
        <x:f>IF(G34=0,0,G12/G34)</x:f>
        <x:v>712409.5802916301</x:v>
      </x:c>
    </x:row>
  </x:sheetData>
  <x:mergeCells>
    <x:mergeCell ref="A1:G1"/>
    <x:mergeCell ref="A2:G2"/>
    <x:mergeCell ref="A5:G5"/>
    <x:mergeCell ref="A15:G15"/>
    <x:mergeCell ref="A23:G23"/>
    <x:mergeCell ref="A30:G30"/>
  </x:mergeCells>
  <x:conditionalFormatting sqref="C20:G20">
    <x:cfRule type="expression" dxfId="2" priority="1">
      <x:formula>C20&lt;0</x:formula>
    </x:cfRule>
  </x:conditionalFormatting>
  <x:conditionalFormatting sqref="C27:G27">
    <x:cfRule type="expression" dxfId="3" priority="2">
      <x:formula>C27&lt;0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0" customHeight="1">
      <x:c r="A1" s="7" t="str">
        <x:v>Scenario Comparison — Initial Planning Snapshot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>
      <x:c r="A2" s="12" t="str">
        <x:v>This snapshot reflects the initial assumptions shipped with the model. Change Dashboard scenario for the fully dynamic selected-scenario model.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4">
      <x:c r="A4" s="114" t="str">
        <x:v>Scenario</x:v>
      </x:c>
      <x:c r="B4" s="114" t="str">
        <x:v>Y1 Revenue</x:v>
      </x:c>
      <x:c r="C4" s="114" t="str">
        <x:v>Y3 Revenue</x:v>
      </x:c>
      <x:c r="D4" s="114" t="str">
        <x:v>Y5 Revenue</x:v>
      </x:c>
      <x:c r="E4" s="114" t="str">
        <x:v>Y5 ARR</x:v>
      </x:c>
      <x:c r="F4" s="114" t="str">
        <x:v>Y5 EBITDA</x:v>
      </x:c>
      <x:c r="G4" s="114" t="str">
        <x:v>Y5 EBITDA Margin</x:v>
      </x:c>
      <x:c r="H4" s="114" t="str">
        <x:v>Y5 Ending Cash</x:v>
      </x:c>
      <x:c r="I4" s="114" t="str">
        <x:v>Y5 Active Accounts</x:v>
      </x:c>
      <x:c r="J4" s="114" t="str">
        <x:v>Y5 Validated Cases</x:v>
      </x:c>
      <x:c r="K4" s="114" t="str">
        <x:v>Break-Even Month</x:v>
      </x:c>
      <x:c r="L4" s="114" t="str">
        <x:v>First 3 Engagements</x:v>
      </x:c>
      <x:c r="M4" s="114" t="str">
        <x:v>First Repeat</x:v>
      </x:c>
      <x:c r="N4" s="114" t="str">
        <x:v>Minimum Cash</x:v>
      </x:c>
      <x:c r="O4" s="114" t="str">
        <x:v>Y5 FTE</x:v>
      </x:c>
    </x:row>
    <x:row r="5">
      <x:c r="A5" t="str">
        <x:v>Conservative</x:v>
      </x:c>
      <x:c r="B5" s="62" t="n">
        <x:v>679413.1987474185</x:v>
      </x:c>
      <x:c r="C5" s="62" t="n">
        <x:v>3228420.075593103</x:v>
      </x:c>
      <x:c r="D5" s="62" t="n">
        <x:v>8316673.017271351</x:v>
      </x:c>
      <x:c r="E5" s="62" t="n">
        <x:v>2325319.2202570997</x:v>
      </x:c>
      <x:c r="F5" s="62" t="n">
        <x:v>3414310.144902426</x:v>
      </x:c>
      <x:c r="G5" s="66" t="n">
        <x:v>0.41053798048953954</x:v>
      </x:c>
      <x:c r="H5" s="62" t="n">
        <x:v>7865856.158976733</x:v>
      </x:c>
      <x:c r="I5" s="68" t="n">
        <x:v>7.751064067523666</x:v>
      </x:c>
      <x:c r="J5" s="68" t="n">
        <x:v>144.17505718255356</x:v>
      </x:c>
      <x:c r="K5" s="68" t="n">
        <x:v>28</x:v>
      </x:c>
      <x:c r="L5" s="68" t="n">
        <x:v>8</x:v>
      </x:c>
      <x:c r="M5" s="68" t="n">
        <x:v>52</x:v>
      </x:c>
      <x:c r="N5" s="62" t="n">
        <x:v>573095.230867203</x:v>
      </x:c>
      <x:c r="O5" s="68" t="n">
        <x:v>23</x:v>
      </x:c>
    </x:row>
    <x:row r="6">
      <x:c r="A6" t="str">
        <x:v>Base</x:v>
      </x:c>
      <x:c r="B6" s="62" t="n">
        <x:v>1803968.5787526076</x:v>
      </x:c>
      <x:c r="C6" s="62" t="n">
        <x:v>12063826.763734318</x:v>
      </x:c>
      <x:c r="D6" s="62" t="n">
        <x:v>40607346.07662293</x:v>
      </x:c>
      <x:c r="E6" s="62" t="n">
        <x:v>13393864.366772618</x:v>
      </x:c>
      <x:c r="F6" s="62" t="n">
        <x:v>25309723.48134596</x:v>
      </x:c>
      <x:c r="G6" s="66" t="n">
        <x:v>0.623279429135518</x:v>
      </x:c>
      <x:c r="H6" s="62" t="n">
        <x:v>52866443.4874723</x:v>
      </x:c>
      <x:c r="I6" s="68" t="n">
        <x:v>34.00078574690554</x:v>
      </x:c>
      <x:c r="J6" s="68" t="n">
        <x:v>529.1499380561775</x:v>
      </x:c>
      <x:c r="K6" s="68" t="n">
        <x:v>15</x:v>
      </x:c>
      <x:c r="L6" s="68" t="n">
        <x:v>6</x:v>
      </x:c>
      <x:c r="M6" s="68" t="n">
        <x:v>24</x:v>
      </x:c>
      <x:c r="N6" s="62" t="n">
        <x:v>1481535.5866683144</x:v>
      </x:c>
      <x:c r="O6" s="68" t="n">
        <x:v>57</x:v>
      </x:c>
    </x:row>
    <x:row r="7">
      <x:c r="A7" t="str">
        <x:v>Upside</x:v>
      </x:c>
      <x:c r="B7" s="62" t="n">
        <x:v>6075726.037706846</x:v>
      </x:c>
      <x:c r="C7" s="62" t="n">
        <x:v>60646579.72852469</x:v>
      </x:c>
      <x:c r="D7" s="62" t="n">
        <x:v>246152032.59500325</x:v>
      </x:c>
      <x:c r="E7" s="62" t="n">
        <x:v>101209620.11896396</x:v>
      </x:c>
      <x:c r="F7" s="62" t="n">
        <x:v>180315418.05206326</x:v>
      </x:c>
      <x:c r="G7" s="66" t="n">
        <x:v>0.7325367828619083</x:v>
      </x:c>
      <x:c r="H7" s="62" t="n">
        <x:v>350762572.16479045</x:v>
      </x:c>
      <x:c r="I7" s="68" t="n">
        <x:v>185.03423321026196</x:v>
      </x:c>
      <x:c r="J7" s="68" t="n">
        <x:v>2166.453863332801</x:v>
      </x:c>
      <x:c r="K7" s="68" t="n">
        <x:v>5</x:v>
      </x:c>
      <x:c r="L7" s="68" t="n">
        <x:v>4</x:v>
      </x:c>
      <x:c r="M7" s="68" t="n">
        <x:v>8</x:v>
      </x:c>
      <x:c r="N7" s="62" t="n">
        <x:v>3197962.555515157</x:v>
      </x:c>
      <x:c r="O7" s="68" t="n">
        <x:v>167</x:v>
      </x:c>
    </x:row>
    <x:row r="9">
      <x:c r="A9" s="3" t="str">
        <x:v>Probability-Weighted View</x:v>
      </x:c>
      <x:c r="B9" s="3" t="str">
        <x:v>Probability</x:v>
      </x:c>
      <x:c r="C9" s="3" t="str">
        <x:v>Y5 Revenue</x:v>
      </x:c>
      <x:c r="D9" s="3" t="str">
        <x:v>Y5 ARR</x:v>
      </x:c>
      <x:c r="E9" s="3" t="str">
        <x:v>Y5 EBITDA</x:v>
      </x:c>
    </x:row>
    <x:row r="10">
      <x:c r="A10" t="str">
        <x:v>Conservative</x:v>
      </x:c>
      <x:c r="B10" s="119" t="n">
        <x:v>0.25</x:v>
      </x:c>
      <x:c r="C10" t="n">
        <x:f>D5</x:f>
        <x:v>8316673.017271351</x:v>
      </x:c>
      <x:c r="D10" t="n">
        <x:f>E5</x:f>
        <x:v>2325319.2202570997</x:v>
      </x:c>
      <x:c r="E10" t="n">
        <x:f>F5</x:f>
        <x:v>3414310.144902426</x:v>
      </x:c>
    </x:row>
    <x:row r="11">
      <x:c r="A11" t="str">
        <x:v>Base</x:v>
      </x:c>
      <x:c r="B11" s="119" t="n">
        <x:v>0.5</x:v>
      </x:c>
      <x:c r="C11" t="n">
        <x:f>D6</x:f>
        <x:v>40607346.07662293</x:v>
      </x:c>
      <x:c r="D11" t="n">
        <x:f>E6</x:f>
        <x:v>13393864.366772618</x:v>
      </x:c>
      <x:c r="E11" t="n">
        <x:f>F6</x:f>
        <x:v>25309723.48134596</x:v>
      </x:c>
    </x:row>
    <x:row r="12">
      <x:c r="A12" t="str">
        <x:v>Upside</x:v>
      </x:c>
      <x:c r="B12" s="119" t="n">
        <x:v>0.25</x:v>
      </x:c>
      <x:c r="C12" t="n">
        <x:f>D7</x:f>
        <x:v>246152032.59500325</x:v>
      </x:c>
      <x:c r="D12" t="n">
        <x:f>E7</x:f>
        <x:v>101209620.11896396</x:v>
      </x:c>
      <x:c r="E12" t="n">
        <x:f>F7</x:f>
        <x:v>180315418.05206326</x:v>
      </x:c>
    </x:row>
    <x:row r="14">
      <x:c r="A14" s="17" t="str">
        <x:v>Weighted Output</x:v>
      </x:c>
      <x:c r="B14" s="17" t="str">
        <x:v>Value</x:v>
      </x:c>
    </x:row>
    <x:row r="15">
      <x:c r="A15" t="str">
        <x:v>Y5 Revenue</x:v>
      </x:c>
      <x:c r="B15" s="62" t="n">
        <x:f>SUMPRODUCT(B10:B12,C10:C12)</x:f>
        <x:v>83920849.44138011</x:v>
      </x:c>
    </x:row>
    <x:row r="16">
      <x:c r="A16" t="str">
        <x:v>Y5 ARR</x:v>
      </x:c>
      <x:c r="B16" s="62" t="n">
        <x:f>SUMPRODUCT(B10:B12,D10:D12)</x:f>
        <x:v>32580667.018191572</x:v>
      </x:c>
    </x:row>
    <x:row r="17">
      <x:c r="A17" t="str">
        <x:v>Y5 EBITDA</x:v>
      </x:c>
      <x:c r="B17" s="62" t="n">
        <x:f>SUMPRODUCT(B10:B12,E10:E12)</x:f>
        <x:v>58587293.7899144</x:v>
      </x:c>
    </x:row>
  </x:sheetData>
  <x:mergeCells>
    <x:mergeCell ref="A1:O1"/>
    <x:mergeCell ref="A2:O2"/>
  </x:mergeCells>
  <x:pageMargins left="0.7" right="0.7" top="0.75" bottom="0.75" header="0.3" footer="0.3"/>
  <x:drawing xmlns:r="http://schemas.openxmlformats.org/officeDocument/2006/relationships" r:id="R142076c1b4224cd9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7" t="str">
        <x:v>GoalOS Unit Economics — Proof-Carrying Revenue Products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>
      <x:c r="A2" s="12" t="str">
        <x:v>Contribution economics are shown at launch and at Year 5 after modeled proof-gated delivery efficiency.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114" t="str">
        <x:v>Product</x:v>
      </x:c>
      <x:c r="B4" s="114" t="str">
        <x:v>Price / Unit</x:v>
      </x:c>
      <x:c r="C4" s="114" t="str">
        <x:v>Compute + Review</x:v>
      </x:c>
      <x:c r="D4" s="114" t="str">
        <x:v>Launch Hours</x:v>
      </x:c>
      <x:c r="E4" s="114" t="str">
        <x:v>Y5 Efficiency</x:v>
      </x:c>
      <x:c r="F4" s="114" t="str">
        <x:v>Y5 Hours</x:v>
      </x:c>
      <x:c r="G4" s="114" t="str">
        <x:v>Labor Cost / Hour</x:v>
      </x:c>
      <x:c r="H4" s="114" t="str">
        <x:v>Launch Contribution</x:v>
      </x:c>
      <x:c r="I4" s="114" t="str">
        <x:v>Launch Margin</x:v>
      </x:c>
      <x:c r="J4" s="114" t="str">
        <x:v>Y5 Contribution</x:v>
      </x:c>
      <x:c r="K4" s="114" t="str">
        <x:v>Y5 Margin</x:v>
      </x:c>
    </x:row>
    <x:row r="5">
      <x:c r="A5" t="str">
        <x:v>Private Frontier MasterClass</x:v>
      </x:c>
      <x:c r="B5" s="123" t="n">
        <x:f>Assumptions!$G$28</x:f>
        <x:v>25000</x:v>
      </x:c>
      <x:c r="C5" s="123" t="n">
        <x:f>Assumptions!$G$48</x:f>
        <x:v>500</x:v>
      </x:c>
      <x:c r="D5" s="124" t="n">
        <x:f>Assumptions!$G$37</x:f>
        <x:v>18</x:v>
      </x:c>
      <x:c r="E5" s="125" t="n">
        <x:f>'Monthly Model'!BJ38</x:f>
        <x:v>0.35</x:v>
      </x:c>
      <x:c r="F5" s="124" t="n">
        <x:f>D5*(1-E5)</x:f>
        <x:v>11.700000000000001</x:v>
      </x:c>
      <x:c r="G5" s="124" t="n">
        <x:f>Assumptions!$G$45/12/Assumptions!$G$43</x:f>
        <x:v>103.33333333333333</x:v>
      </x:c>
      <x:c r="H5" s="129" t="n">
        <x:f>B5-C5-D5*G5</x:f>
        <x:v>22640</x:v>
      </x:c>
      <x:c r="I5" s="130" t="n">
        <x:f>IF(B5=0,0,H5/B5)</x:f>
        <x:v>0.9056</x:v>
      </x:c>
      <x:c r="J5" s="129" t="n">
        <x:f>B5*'Monthly Model'!BJ98-C5-F5*G5</x:f>
        <x:v>26428.72025</x:v>
      </x:c>
      <x:c r="K5" s="130" t="n">
        <x:f>IF(B5=0,0,J5/(B5*'Monthly Model'!BJ98))</x:f>
        <x:v>0.9392630254044835</x:v>
      </x:c>
    </x:row>
    <x:row r="6">
      <x:c r="A6" t="str">
        <x:v>Executive Proof Diagnostic</x:v>
      </x:c>
      <x:c r="B6" s="123" t="n">
        <x:f>Assumptions!$G$29</x:f>
        <x:v>12500</x:v>
      </x:c>
      <x:c r="C6" s="123" t="n">
        <x:f>Assumptions!$G$49</x:f>
        <x:v>1500</x:v>
      </x:c>
      <x:c r="D6" s="124" t="n">
        <x:f>Assumptions!$G$38</x:f>
        <x:v>30</x:v>
      </x:c>
      <x:c r="E6" s="125" t="n">
        <x:f>'Monthly Model'!BJ38</x:f>
        <x:v>0.35</x:v>
      </x:c>
      <x:c r="F6" s="124" t="n">
        <x:f>D6*(1-E6)</x:f>
        <x:v>19.5</x:v>
      </x:c>
      <x:c r="G6" s="124" t="n">
        <x:f>Assumptions!$G$45/12/Assumptions!$G$43</x:f>
        <x:v>103.33333333333333</x:v>
      </x:c>
      <x:c r="H6" s="129" t="n">
        <x:f>B6-C6-D6*G6</x:f>
        <x:v>7900</x:v>
      </x:c>
      <x:c r="I6" s="130" t="n">
        <x:f>IF(B6=0,0,H6/B6)</x:f>
        <x:v>0.632</x:v>
      </x:c>
      <x:c r="J6" s="129" t="n">
        <x:f>B6*'Monthly Model'!BJ98-C6-F6*G6</x:f>
        <x:v>10553.860125</x:v>
      </x:c>
      <x:c r="K6" s="130" t="n">
        <x:f>IF(B6=0,0,J6/(B6*'Monthly Model'!BJ98))</x:f>
        <x:v>0.7501574421261082</x:v>
      </x:c>
    </x:row>
    <x:row r="7">
      <x:c r="A7" t="str">
        <x:v>Proof Mission Sprint</x:v>
      </x:c>
      <x:c r="B7" s="123" t="n">
        <x:f>Assumptions!$G$30</x:f>
        <x:v>50000</x:v>
      </x:c>
      <x:c r="C7" s="123" t="n">
        <x:f>Assumptions!$G$50</x:f>
        <x:v>7500</x:v>
      </x:c>
      <x:c r="D7" s="124" t="n">
        <x:f>Assumptions!$G$39</x:f>
        <x:v>105</x:v>
      </x:c>
      <x:c r="E7" s="125" t="n">
        <x:f>'Monthly Model'!BJ38</x:f>
        <x:v>0.35</x:v>
      </x:c>
      <x:c r="F7" s="124" t="n">
        <x:f>D7*(1-E7)</x:f>
        <x:v>68.25</x:v>
      </x:c>
      <x:c r="G7" s="124" t="n">
        <x:f>Assumptions!$G$45/12/Assumptions!$G$43</x:f>
        <x:v>103.33333333333333</x:v>
      </x:c>
      <x:c r="H7" s="129" t="n">
        <x:f>B7-C7-D7*G7</x:f>
        <x:v>31650</x:v>
      </x:c>
      <x:c r="I7" s="130" t="n">
        <x:f>IF(B7=0,0,H7/B7)</x:f>
        <x:v>0.633</x:v>
      </x:c>
      <x:c r="J7" s="129" t="n">
        <x:f>B7*'Monthly Model'!BJ98-C7-F7*G7</x:f>
        <x:v>41722.9405</x:v>
      </x:c>
      <x:c r="K7" s="130" t="n">
        <x:f>IF(B7=0,0,J7/(B7*'Monthly Model'!BJ98))</x:f>
        <x:v>0.7414058447041387</x:v>
      </x:c>
    </x:row>
    <x:row r="8">
      <x:c r="A8" t="str">
        <x:v>Repeat Proof Mission</x:v>
      </x:c>
      <x:c r="B8" s="123" t="n">
        <x:f>Assumptions!$G$31</x:f>
        <x:v>50000</x:v>
      </x:c>
      <x:c r="C8" s="123" t="n">
        <x:f>Assumptions!$G$51</x:f>
        <x:v>5000</x:v>
      </x:c>
      <x:c r="D8" s="124" t="n">
        <x:f>Assumptions!$G$40</x:f>
        <x:v>75</x:v>
      </x:c>
      <x:c r="E8" s="125" t="n">
        <x:f>'Monthly Model'!BJ38</x:f>
        <x:v>0.35</x:v>
      </x:c>
      <x:c r="F8" s="124" t="n">
        <x:f>D8*(1-E8)</x:f>
        <x:v>48.75</x:v>
      </x:c>
      <x:c r="G8" s="124" t="n">
        <x:f>Assumptions!$G$45/12/Assumptions!$G$43</x:f>
        <x:v>103.33333333333333</x:v>
      </x:c>
      <x:c r="H8" s="129" t="n">
        <x:f>B8-C8-D8*G8</x:f>
        <x:v>37250</x:v>
      </x:c>
      <x:c r="I8" s="130" t="n">
        <x:f>IF(B8=0,0,H8/B8)</x:f>
        <x:v>0.745</x:v>
      </x:c>
      <x:c r="J8" s="129" t="n">
        <x:f>B8*'Monthly Model'!BJ98-C8-F8*G8</x:f>
        <x:v>46237.9405</x:v>
      </x:c>
      <x:c r="K8" s="130" t="n">
        <x:f>IF(B8=0,0,J8/(B8*'Monthly Model'!BJ98))</x:f>
        <x:v>0.8216362251309255</x:v>
      </x:c>
    </x:row>
    <x:row r="9">
      <x:c r="A9" t="str">
        <x:v>Enterprise Pilot</x:v>
      </x:c>
      <x:c r="B9" s="123" t="n">
        <x:f>Assumptions!$G$32</x:f>
        <x:v>150000</x:v>
      </x:c>
      <x:c r="C9" s="123" t="n">
        <x:f>Assumptions!$G$52</x:f>
        <x:v>28000</x:v>
      </x:c>
      <x:c r="D9" s="124" t="n">
        <x:f>Assumptions!$G$41</x:f>
        <x:v>375</x:v>
      </x:c>
      <x:c r="E9" s="125" t="n">
        <x:f>'Monthly Model'!BJ38</x:f>
        <x:v>0.35</x:v>
      </x:c>
      <x:c r="F9" s="124" t="n">
        <x:f>D9*(1-E9)</x:f>
        <x:v>243.75</x:v>
      </x:c>
      <x:c r="G9" s="124" t="n">
        <x:f>Assumptions!$G$45/12/Assumptions!$G$43</x:f>
        <x:v>103.33333333333333</x:v>
      </x:c>
      <x:c r="H9" s="129" t="n">
        <x:f>B9-C9-D9*G9</x:f>
        <x:v>83250</x:v>
      </x:c>
      <x:c r="I9" s="130" t="n">
        <x:f>IF(B9=0,0,H9/B9)</x:f>
        <x:v>0.555</x:v>
      </x:c>
      <x:c r="J9" s="129" t="n">
        <x:f>B9*'Monthly Model'!BJ98-C9-F9*G9</x:f>
        <x:v>115638.82149999999</x:v>
      </x:c>
      <x:c r="K9" s="130" t="n">
        <x:f>IF(B9=0,0,J9/(B9*'Monthly Model'!BJ98))</x:f>
        <x:v>0.6849573009265619</x:v>
      </x:c>
    </x:row>
    <x:row r="10">
      <x:c r="A10" t="str">
        <x:v>Proof OS — monthly account</x:v>
      </x:c>
      <x:c r="B10" s="123" t="n">
        <x:f>Assumptions!$G$33/12</x:f>
        <x:v>29166.666666666668</x:v>
      </x:c>
      <x:c r="C10" s="123" t="n">
        <x:f>Assumptions!$G$53</x:f>
        <x:v>2800</x:v>
      </x:c>
      <x:c r="D10" s="124" t="n">
        <x:f>Assumptions!$G$42</x:f>
        <x:v>20</x:v>
      </x:c>
      <x:c r="E10" s="125" t="n">
        <x:f>'Monthly Model'!BJ38</x:f>
        <x:v>0.35</x:v>
      </x:c>
      <x:c r="F10" s="124" t="n">
        <x:f>D10*(1-E10)</x:f>
        <x:v>13</x:v>
      </x:c>
      <x:c r="G10" s="124" t="n">
        <x:f>Assumptions!$G$45/12/Assumptions!$G$43</x:f>
        <x:v>103.33333333333333</x:v>
      </x:c>
      <x:c r="H10" s="129" t="n">
        <x:f>B10-C10-D10*G10</x:f>
        <x:v>24300</x:v>
      </x:c>
      <x:c r="I10" s="130" t="n">
        <x:f>IF(B10=0,0,H10/B10)</x:f>
        <x:v>0.8331428571428571</x:v>
      </x:c>
      <x:c r="J10" s="129" t="n">
        <x:f>B10*'Monthly Model'!BJ98-C10-F10*G10</x:f>
        <x:v>28684.006958333335</x:v>
      </x:c>
      <x:c r="K10" s="130" t="n">
        <x:f>IF(B10=0,0,J10/(B10*'Monthly Model'!BJ98))</x:f>
        <x:v>0.8737840685075199</x:v>
      </x:c>
    </x:row>
    <x:row r="13">
      <x:c r="A13" s="3" t="str">
        <x:v>Company-Level Unit Economics</x:v>
      </x:c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>
      <x:c r="A14" s="18" t="str">
        <x:v>Metric</x:v>
      </x:c>
      <x:c r="B14" s="18" t="str">
        <x:v>Year 1</x:v>
      </x:c>
      <x:c r="C14" s="18" t="str">
        <x:v>Year 2</x:v>
      </x:c>
      <x:c r="D14" s="18" t="str">
        <x:v>Year 3</x:v>
      </x:c>
      <x:c r="E14" s="18" t="str">
        <x:v>Year 4</x:v>
      </x:c>
      <x:c r="F14" s="18" t="str">
        <x:v>Year 5</x:v>
      </x:c>
      <x:c r="G14" s="18" t="str">
        <x:v>Interpretation</x:v>
      </x:c>
    </x:row>
    <x:row r="15">
      <x:c r="A15" t="str">
        <x:v>Blended Gross Margin</x:v>
      </x:c>
      <x:c r="B15" s="66" t="n">
        <x:f>'Annual Summary'!C18</x:f>
        <x:v>0.6401346161660108</x:v>
      </x:c>
      <x:c r="C15" s="66" t="n">
        <x:f>'Annual Summary'!D18</x:f>
        <x:v>0.7270974541075345</x:v>
      </x:c>
      <x:c r="D15" s="66" t="n">
        <x:f>'Annual Summary'!E18</x:f>
        <x:v>0.7746226921099348</x:v>
      </x:c>
      <x:c r="E15" s="66" t="n">
        <x:f>'Annual Summary'!F18</x:f>
        <x:v>0.7870421716968893</x:v>
      </x:c>
      <x:c r="F15" s="66" t="n">
        <x:f>'Annual Summary'!G18</x:f>
        <x:v>0.7966875994428431</x:v>
      </x:c>
      <x:c r="G15" s="35" t="str">
        <x:v>Higher as reusable capability lowers direct delivery cost.</x:v>
      </x:c>
    </x:row>
    <x:row r="16">
      <x:c r="A16" t="str">
        <x:v>Blended CAC Proxy</x:v>
      </x:c>
      <x:c r="B16" s="62" t="n">
        <x:f>IF(SUM('Monthly Model'!C82:N82)=0,0,(SUM('Monthly Model'!C52:N52)+SUM('Monthly Model'!C53:N53))/SUM('Monthly Model'!C82:N82))</x:f>
        <x:v>36011.026119073525</x:v>
      </x:c>
      <x:c r="C16" s="62" t="n">
        <x:f>IF(SUM('Monthly Model'!O82:Z82)=0,0,(SUM('Monthly Model'!O52:Z52)+SUM('Monthly Model'!O53:Z53))/SUM('Monthly Model'!O82:Z82))</x:f>
        <x:v>20761.83697002669</x:v>
      </x:c>
      <x:c r="D16" s="62" t="n">
        <x:f>IF(SUM('Monthly Model'!AA82:AL82)=0,0,(SUM('Monthly Model'!AA52:AL52)+SUM('Monthly Model'!AA53:AL53))/SUM('Monthly Model'!AA82:AL82))</x:f>
        <x:v>16818.038172510933</x:v>
      </x:c>
      <x:c r="E16" s="62" t="n">
        <x:f>IF(SUM('Monthly Model'!AM82:AX82)=0,0,(SUM('Monthly Model'!AM52:AX52)+SUM('Monthly Model'!AM53:AX53))/SUM('Monthly Model'!AM82:AX82))</x:f>
        <x:v>15360.734079135324</x:v>
      </x:c>
      <x:c r="F16" s="62" t="n">
        <x:f>IF(SUM('Monthly Model'!AY82:BJ82)=0,0,(SUM('Monthly Model'!AY52:BJ52)+SUM('Monthly Model'!AY53:BJ53))/SUM('Monthly Model'!AY82:BJ82))</x:f>
        <x:v>14928.112171401559</x:v>
      </x:c>
      <x:c r="G16" s="35" t="str">
        <x:v>Proxy using commercial compensation + marketing divided by new core engagements.</x:v>
      </x:c>
    </x:row>
    <x:row r="17">
      <x:c r="A17" t="str">
        <x:v>Proof OS LTV</x:v>
      </x:c>
      <x:c r="B17" s="62" t="n">
        <x:f>Assumptions!$G$33*'Annual Summary'!C18/Assumptions!$G$35</x:f>
        <x:v>2240471.156581037</x:v>
      </x:c>
      <x:c r="C17" s="62" t="n">
        <x:f>Assumptions!$G$33*'Annual Summary'!D18/Assumptions!$G$35</x:f>
        <x:v>2544841.0893763704</x:v>
      </x:c>
      <x:c r="D17" s="62" t="n">
        <x:f>Assumptions!$G$33*'Annual Summary'!E18/Assumptions!$G$35</x:f>
        <x:v>2711179.4223847715</x:v>
      </x:c>
      <x:c r="E17" s="62" t="n">
        <x:f>Assumptions!$G$33*'Annual Summary'!F18/Assumptions!$G$35</x:f>
        <x:v>2754647.6009391122</x:v>
      </x:c>
      <x:c r="F17" s="62" t="n">
        <x:f>Assumptions!$G$33*'Annual Summary'!G18/Assumptions!$G$35</x:f>
        <x:v>2788406.5980499503</x:v>
      </x:c>
      <x:c r="G17" s="35" t="str">
        <x:v>Simplified recurring LTV; excludes expansion and cost of capital.</x:v>
      </x:c>
    </x:row>
    <x:row r="18">
      <x:c r="A18" t="str">
        <x:v>LTV / CAC</x:v>
      </x:c>
      <x:c r="B18" s="121" t="n">
        <x:f>IF(B16=0,0,B17/B16)</x:f>
        <x:v>62.216254243151205</x:v>
      </x:c>
      <x:c r="C18" s="121" t="n">
        <x:f>IF(C16=0,0,C17/C16)</x:f>
        <x:v>122.57302150336166</x:v>
      </x:c>
      <x:c r="D18" s="121" t="n">
        <x:f>IF(D16=0,0,D17/D16)</x:f>
        <x:v>161.20663983366333</x:v>
      </x:c>
      <x:c r="E18" s="121" t="n">
        <x:f>IF(E16=0,0,E17/E16)</x:f>
        <x:v>179.33046602771313</x:v>
      </x:c>
      <x:c r="F18" s="121" t="n">
        <x:f>IF(F16=0,0,F17/F16)</x:f>
        <x:v>186.78896340233987</x:v>
      </x:c>
      <x:c r="G18" s="35" t="str">
        <x:v>Illustrative sales efficiency, not a valuation claim.</x:v>
      </x:c>
    </x:row>
    <x:row r="19">
      <x:c r="A19" t="str">
        <x:v>Proof OS Payback</x:v>
      </x:c>
      <x:c r="B19" s="121" t="n">
        <x:f>IF(Assumptions!$G$33=0,0,B16/(Assumptions!$G$33/12*'Annual Summary'!C18))</x:f>
        <x:v>1.928756423217324</x:v>
      </x:c>
      <x:c r="C19" s="121" t="n">
        <x:f>IF(Assumptions!$G$33=0,0,C16/(Assumptions!$G$33/12*'Annual Summary'!D18))</x:f>
        <x:v>0.9790082558804254</x:v>
      </x:c>
      <x:c r="D19" s="121" t="n">
        <x:f>IF(Assumptions!$G$33=0,0,D16/(Assumptions!$G$33/12*'Annual Summary'!E18))</x:f>
        <x:v>0.7443862121549006</x:v>
      </x:c>
      <x:c r="E19" s="121" t="n">
        <x:f>IF(Assumptions!$G$33=0,0,E16/(Assumptions!$G$33/12*'Annual Summary'!F18))</x:f>
        <x:v>0.6691556803374147</x:v>
      </x:c>
      <x:c r="F19" s="121" t="n">
        <x:f>IF(Assumptions!$G$33=0,0,F16/(Assumptions!$G$33/12*'Annual Summary'!G18))</x:f>
        <x:v>0.6424362436313876</x:v>
      </x:c>
      <x:c r="G19" s="35" t="str">
        <x:v>Months of recurring gross profit to recover blended CAC proxy.</x:v>
      </x:c>
    </x:row>
    <x:row r="20">
      <x:c r="A20" t="str">
        <x:v>Revenue / Ending FTE</x:v>
      </x:c>
      <x:c r="B20" s="62" t="n">
        <x:f>'Annual Summary'!C37</x:f>
        <x:v>138766.81375020058</x:v>
      </x:c>
      <x:c r="C20" s="62" t="n">
        <x:f>'Annual Summary'!D37</x:f>
        <x:v>304635.62159964856</x:v>
      </x:c>
      <x:c r="D20" s="62" t="n">
        <x:f>'Annual Summary'!E37</x:f>
        <x:v>502659.44848892983</x:v>
      </x:c>
      <x:c r="E20" s="62" t="n">
        <x:f>'Annual Summary'!F37</x:f>
        <x:v>629816.2575229052</x:v>
      </x:c>
      <x:c r="F20" s="62" t="n">
        <x:f>'Annual Summary'!G37</x:f>
        <x:v>712409.5802916301</x:v>
      </x:c>
      <x:c r="G20" s="35" t="str">
        <x:v>Operating leverage as the institution compounds.</x:v>
      </x:c>
    </x:row>
    <x:row r="21">
      <x:c r="A21" t="str">
        <x:v>Gross Profit / Validated Case</x:v>
      </x:c>
      <x:c r="B21" s="62" t="n">
        <x:f>IF(SUM('Monthly Model'!C35:N35)=0,0,'Annual Summary'!C17/SUM('Monthly Model'!C35:N35))</x:f>
        <x:v>82669.38700250712</x:v>
      </x:c>
      <x:c r="C21" s="62" t="n">
        <x:f>IF(SUM('Monthly Model'!O35:Z35)=0,0,'Annual Summary'!D17/SUM('Monthly Model'!O35:Z35))</x:f>
        <x:v>99604.01105536387</x:v>
      </x:c>
      <x:c r="D21" s="62" t="n">
        <x:f>IF(SUM('Monthly Model'!AA35:AL35)=0,0,'Annual Summary'!E17/SUM('Monthly Model'!AA35:AL35))</x:f>
        <x:v>113679.36354426773</x:v>
      </x:c>
      <x:c r="E21" s="62" t="n">
        <x:f>IF(SUM('Monthly Model'!AM35:AX35)=0,0,'Annual Summary'!F17/SUM('Monthly Model'!AM35:AX35))</x:f>
        <x:v>122324.10601759957</x:v>
      </x:c>
      <x:c r="F21" s="62" t="n">
        <x:f>IF(SUM('Monthly Model'!AY35:BJ35)=0,0,'Annual Summary'!G17/SUM('Monthly Model'!AY35:BJ35))</x:f>
        <x:v>130941.98107605407</x:v>
      </x:c>
      <x:c r="G21" s="35" t="str">
        <x:v>Economic value created per validated proof-bearing case.</x:v>
      </x:c>
    </x:row>
    <x:row r="22">
      <x:c r="A22" t="str">
        <x:v>Ending Rule of 40</x:v>
      </x:c>
      <x:c r="B22" s="68" t="n">
        <x:f>'Monthly Model'!N94</x:f>
        <x:v>-12.64111260494191</x:v>
      </x:c>
      <x:c r="C22" s="68" t="n">
        <x:f>'Monthly Model'!Z94</x:f>
        <x:v>182.53992246668605</x:v>
      </x:c>
      <x:c r="D22" s="68" t="n">
        <x:f>'Monthly Model'!AL94</x:f>
        <x:v>151.76922666843305</x:v>
      </x:c>
      <x:c r="E22" s="68" t="n">
        <x:f>'Monthly Model'!AX94</x:f>
        <x:v>145.21098065389597</x:v>
      </x:c>
      <x:c r="F22" s="68" t="n">
        <x:f>'Monthly Model'!BJ94</x:f>
        <x:v>137.46819117777807</x:v>
      </x:c>
      <x:c r="G22" s="35" t="str">
        <x:v>Annualized growth plus EBITDA margin, measured at year-end.</x:v>
      </x:c>
    </x:row>
  </x:sheetData>
  <x:mergeCells>
    <x:mergeCell ref="A1:K1"/>
    <x:mergeCell ref="A2:K2"/>
    <x:mergeCell ref="A13:K13"/>
  </x:mergeCells>
  <x:conditionalFormatting sqref="I5:K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7" t="str">
        <x:v>Illustrative Valuation &amp; Capital Planning</x:v>
      </x:c>
      <x:c r="B1" s="7"/>
      <x:c r="C1" s="7"/>
      <x:c r="D1" s="7"/>
      <x:c r="E1" s="7"/>
      <x:c r="F1" s="7"/>
      <x:c r="G1" s="7"/>
      <x:c r="H1" s="7"/>
    </x:row>
    <x:row r="2" ht="38" customHeight="1">
      <x:c r="A2" s="135" t="str">
        <x:v>Not investment advice. Multiples are purely illustrative and should be replaced with observed comparable-company and transaction evidence.</x:v>
      </x:c>
      <x:c r="B2" s="135"/>
      <x:c r="C2" s="135"/>
      <x:c r="D2" s="135"/>
      <x:c r="E2" s="135"/>
      <x:c r="F2" s="135"/>
      <x:c r="G2" s="135"/>
      <x:c r="H2" s="135"/>
    </x:row>
    <x:row r="4">
      <x:c r="A4" s="17" t="str">
        <x:v>Selected Scenario — Year 5</x:v>
      </x:c>
      <x:c r="B4" s="17" t="str">
        <x:v>Value</x:v>
      </x:c>
    </x:row>
    <x:row r="5">
      <x:c r="A5" t="str">
        <x:v>Revenue</x:v>
      </x:c>
      <x:c r="B5" s="123" t="n">
        <x:f>'Annual Summary'!G12</x:f>
        <x:v>40607346.07662292</x:v>
      </x:c>
    </x:row>
    <x:row r="6">
      <x:c r="A6" t="str">
        <x:v>Ending ARR</x:v>
      </x:c>
      <x:c r="B6" s="123" t="n">
        <x:f>'Annual Summary'!G31</x:f>
        <x:v>13393864.366772616</x:v>
      </x:c>
    </x:row>
    <x:row r="7">
      <x:c r="A7" t="str">
        <x:v>EBITDA</x:v>
      </x:c>
      <x:c r="B7" s="123" t="n">
        <x:f>'Annual Summary'!G20</x:f>
        <x:v>25309723.48134595</x:v>
      </x:c>
    </x:row>
    <x:row r="10">
      <x:c r="A10" s="3" t="str">
        <x:v>ARR Multiple</x:v>
      </x:c>
      <x:c r="B10" s="3" t="str">
        <x:v>Implied Enterprise Value</x:v>
      </x:c>
      <x:c r="D10" s="3" t="str">
        <x:v>Revenue Multiple</x:v>
      </x:c>
      <x:c r="E10" s="3" t="str">
        <x:v>Implied Enterprise Value</x:v>
      </x:c>
      <x:c r="G10" s="3" t="str">
        <x:v>EBITDA Multiple</x:v>
      </x:c>
      <x:c r="H10" s="3" t="str">
        <x:v>Implied Enterprise Value</x:v>
      </x:c>
    </x:row>
    <x:row r="11">
      <x:c r="A11" s="165" t="n">
        <x:v>4</x:v>
      </x:c>
      <x:c r="B11" s="62" t="n">
        <x:f>$B$6*A11</x:f>
        <x:v>53575457.467090465</x:v>
      </x:c>
      <x:c r="D11" s="165" t="n">
        <x:v>2</x:v>
      </x:c>
      <x:c r="E11" s="62" t="n">
        <x:f>$B$5*D11</x:f>
        <x:v>81214692.15324584</x:v>
      </x:c>
      <x:c r="G11" s="165" t="n">
        <x:v>10</x:v>
      </x:c>
      <x:c r="H11" s="62" t="n">
        <x:f>MAX(0,$B$7)*G11</x:f>
        <x:v>253097234.81345952</x:v>
      </x:c>
    </x:row>
    <x:row r="12">
      <x:c r="A12" s="165" t="n">
        <x:v>6</x:v>
      </x:c>
      <x:c r="B12" s="62" t="n">
        <x:f>$B$6*A12</x:f>
        <x:v>80363186.2006357</x:v>
      </x:c>
      <x:c r="D12" s="165" t="n">
        <x:v>4</x:v>
      </x:c>
      <x:c r="E12" s="62" t="n">
        <x:f>$B$5*D12</x:f>
        <x:v>162429384.30649167</x:v>
      </x:c>
      <x:c r="G12" s="165" t="n">
        <x:v>15</x:v>
      </x:c>
      <x:c r="H12" s="62" t="n">
        <x:f>MAX(0,$B$7)*G12</x:f>
        <x:v>379645852.2201893</x:v>
      </x:c>
    </x:row>
    <x:row r="13">
      <x:c r="A13" s="165" t="n">
        <x:v>8</x:v>
      </x:c>
      <x:c r="B13" s="62" t="n">
        <x:f>$B$6*A13</x:f>
        <x:v>107150914.93418093</x:v>
      </x:c>
      <x:c r="D13" s="165" t="n">
        <x:v>6</x:v>
      </x:c>
      <x:c r="E13" s="62" t="n">
        <x:f>$B$5*D13</x:f>
        <x:v>243644076.4597375</x:v>
      </x:c>
      <x:c r="G13" s="165" t="n">
        <x:v>20</x:v>
      </x:c>
      <x:c r="H13" s="62" t="n">
        <x:f>MAX(0,$B$7)*G13</x:f>
        <x:v>506194469.62691903</x:v>
      </x:c>
    </x:row>
    <x:row r="14">
      <x:c r="A14" s="165" t="n">
        <x:v>10</x:v>
      </x:c>
      <x:c r="B14" s="62" t="n">
        <x:f>$B$6*A14</x:f>
        <x:v>133938643.66772616</x:v>
      </x:c>
      <x:c r="D14" s="165" t="n">
        <x:v>8</x:v>
      </x:c>
      <x:c r="E14" s="62" t="n">
        <x:f>$B$5*D14</x:f>
        <x:v>324858768.61298335</x:v>
      </x:c>
      <x:c r="G14" s="165" t="n">
        <x:v>25</x:v>
      </x:c>
      <x:c r="H14" s="62" t="n">
        <x:f>MAX(0,$B$7)*G14</x:f>
        <x:v>632743087.0336487</x:v>
      </x:c>
    </x:row>
    <x:row r="15">
      <x:c r="A15" s="165" t="n">
        <x:v>12</x:v>
      </x:c>
      <x:c r="B15" s="62" t="n">
        <x:f>$B$6*A15</x:f>
        <x:v>160726372.4012714</x:v>
      </x:c>
      <x:c r="D15" s="165" t="n">
        <x:v>10</x:v>
      </x:c>
      <x:c r="E15" s="62" t="n">
        <x:f>$B$5*D15</x:f>
        <x:v>406073460.76622915</x:v>
      </x:c>
      <x:c r="G15" s="165" t="n">
        <x:v>30</x:v>
      </x:c>
      <x:c r="H15" s="62" t="n">
        <x:f>MAX(0,$B$7)*G15</x:f>
        <x:v>759291704.4403785</x:v>
      </x:c>
    </x:row>
    <x:row r="18">
      <x:c r="A18" s="3" t="str">
        <x:v>Unicorn Math — Required Scale for $1.0B Enterprise Value</x:v>
      </x:c>
      <x:c r="B18" s="3"/>
      <x:c r="C18" s="3"/>
      <x:c r="D18" s="3"/>
      <x:c r="E18" s="3"/>
      <x:c r="F18" s="3"/>
      <x:c r="G18" s="3"/>
      <x:c r="H18" s="3"/>
    </x:row>
    <x:row r="19">
      <x:c r="A19" s="114" t="str">
        <x:v>ARR Multiple</x:v>
      </x:c>
      <x:c r="B19" s="114" t="str">
        <x:v>Required ARR</x:v>
      </x:c>
      <x:c r="C19" s="114" t="str">
        <x:v>Required Active Accounts at Current ACV</x:v>
      </x:c>
      <x:c r="E19" s="114" t="str">
        <x:v>Revenue Multiple</x:v>
      </x:c>
      <x:c r="F19" s="114" t="str">
        <x:v>Required Revenue</x:v>
      </x:c>
      <x:c r="G19" s="114" t="str">
        <x:v>Y5 Selected Scenario Coverage</x:v>
      </x:c>
    </x:row>
    <x:row r="20">
      <x:c r="A20" s="165" t="n">
        <x:v>6</x:v>
      </x:c>
      <x:c r="B20" s="62" t="n">
        <x:f>1000000000/A20</x:f>
        <x:v>166666666.66666666</x:v>
      </x:c>
      <x:c r="C20" s="68" t="n">
        <x:f>B20/Assumptions!$G$33</x:f>
        <x:v>476.19047619047615</x:v>
      </x:c>
      <x:c r="E20" s="165" t="n">
        <x:v>4</x:v>
      </x:c>
      <x:c r="F20" s="62" t="n">
        <x:f>1000000000/E20</x:f>
        <x:v>250000000</x:v>
      </x:c>
      <x:c r="G20" s="66" t="n">
        <x:f>IF(F20=0,0,$B$5/F20)</x:f>
        <x:v>0.16242938430649168</x:v>
      </x:c>
    </x:row>
    <x:row r="21">
      <x:c r="A21" s="165" t="n">
        <x:v>8</x:v>
      </x:c>
      <x:c r="B21" s="62" t="n">
        <x:f>1000000000/A21</x:f>
        <x:v>125000000</x:v>
      </x:c>
      <x:c r="C21" s="68" t="n">
        <x:f>B21/Assumptions!$G$33</x:f>
        <x:v>357.14285714285717</x:v>
      </x:c>
      <x:c r="E21" s="165" t="n">
        <x:v>6</x:v>
      </x:c>
      <x:c r="F21" s="62" t="n">
        <x:f>1000000000/E21</x:f>
        <x:v>166666666.66666666</x:v>
      </x:c>
      <x:c r="G21" s="66" t="n">
        <x:f>IF(F21=0,0,$B$5/F21)</x:f>
        <x:v>0.2436440764597375</x:v>
      </x:c>
    </x:row>
    <x:row r="22">
      <x:c r="A22" s="165" t="n">
        <x:v>10</x:v>
      </x:c>
      <x:c r="B22" s="62" t="n">
        <x:f>1000000000/A22</x:f>
        <x:v>100000000</x:v>
      </x:c>
      <x:c r="C22" s="68" t="n">
        <x:f>B22/Assumptions!$G$33</x:f>
        <x:v>285.7142857142857</x:v>
      </x:c>
      <x:c r="E22" s="165" t="n">
        <x:v>8</x:v>
      </x:c>
      <x:c r="F22" s="62" t="n">
        <x:f>1000000000/E22</x:f>
        <x:v>125000000</x:v>
      </x:c>
      <x:c r="G22" s="66" t="n">
        <x:f>IF(F22=0,0,$B$5/F22)</x:f>
        <x:v>0.32485876861298335</x:v>
      </x:c>
    </x:row>
    <x:row r="23">
      <x:c r="A23" s="165" t="n">
        <x:v>12</x:v>
      </x:c>
      <x:c r="B23" s="62" t="n">
        <x:f>1000000000/A23</x:f>
        <x:v>83333333.33333333</x:v>
      </x:c>
      <x:c r="C23" s="68" t="n">
        <x:f>B23/Assumptions!$G$33</x:f>
        <x:v>238.09523809523807</x:v>
      </x:c>
      <x:c r="E23" s="165" t="n">
        <x:v>10</x:v>
      </x:c>
      <x:c r="F23" s="62" t="n">
        <x:f>1000000000/E23</x:f>
        <x:v>100000000</x:v>
      </x:c>
      <x:c r="G23" s="66" t="n">
        <x:f>IF(F23=0,0,$B$5/F23)</x:f>
        <x:v>0.4060734607662292</x:v>
      </x:c>
    </x:row>
    <x:row r="26">
      <x:c r="A26" s="3" t="str">
        <x:v>Optional Financing &amp; Dilution Calculator</x:v>
      </x:c>
      <x:c r="B26" s="3"/>
      <x:c r="C26" s="3"/>
      <x:c r="D26" s="3"/>
      <x:c r="E26" s="3"/>
      <x:c r="F26" s="3"/>
      <x:c r="G26" s="3"/>
      <x:c r="H26" s="3"/>
    </x:row>
    <x:row r="27">
      <x:c r="A27" s="17" t="str">
        <x:v>Input</x:v>
      </x:c>
      <x:c r="B27" s="17" t="str">
        <x:v>Value</x:v>
      </x:c>
    </x:row>
    <x:row r="28">
      <x:c r="A28" t="str">
        <x:v>Pre-money valuation</x:v>
      </x:c>
      <x:c r="B28" s="139" t="n">
        <x:v>25000000</x:v>
      </x:c>
    </x:row>
    <x:row r="29">
      <x:c r="A29" t="str">
        <x:v>New capital</x:v>
      </x:c>
      <x:c r="B29" s="139" t="n">
        <x:v>5000000</x:v>
      </x:c>
    </x:row>
    <x:row r="30">
      <x:c r="A30" t="str">
        <x:v>Post-money valuation</x:v>
      </x:c>
      <x:c r="B30" s="62" t="n">
        <x:f>SUM(B28:B29)</x:f>
        <x:v>30000000</x:v>
      </x:c>
    </x:row>
    <x:row r="31">
      <x:c r="A31" t="str">
        <x:v>New investor ownership</x:v>
      </x:c>
      <x:c r="B31" s="66" t="n">
        <x:f>IF(B30=0,0,B29/B30)</x:f>
        <x:v>0.16666666666666666</x:v>
      </x:c>
    </x:row>
  </x:sheetData>
  <x:mergeCells>
    <x:mergeCell ref="A1:H1"/>
    <x:mergeCell ref="A2:H2"/>
    <x:mergeCell ref="A18:H18"/>
    <x:mergeCell ref="A26:H26"/>
  </x:mergeCells>
  <x:pageMargins left="0.7" right="0.7" top="0.75" bottom="0.75" header="0.3" footer="0.3"/>
  <x:legacyDrawing xmlns:r="http://schemas.openxmlformats.org/officeDocument/2006/relationships" r:id="Rdba912e85dd7430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7" t="str">
        <x:v>Financial Model Notes, Methodology &amp; Claim Boundary</x:v>
      </x:c>
      <x:c r="B1" s="7"/>
      <x:c r="C1" s="7"/>
      <x:c r="D1" s="7"/>
      <x:c r="E1" s="7"/>
      <x:c r="F1" s="7"/>
      <x:c r="G1" s="7"/>
      <x:c r="H1" s="7"/>
    </x:row>
    <x:row r="3">
      <x:c r="A3" s="3" t="str">
        <x:v>Purpose</x:v>
      </x:c>
      <x:c r="B3" s="3"/>
      <x:c r="C3" s="3"/>
      <x:c r="D3" s="3"/>
      <x:c r="E3" s="3"/>
      <x:c r="F3" s="3"/>
      <x:c r="G3" s="3"/>
      <x:c r="H3" s="3"/>
    </x:row>
    <x:row r="4">
      <x:c r="A4" s="143" t="str">
        <x:v>This workbook is a driver-based, five-year scenario model for the GoalOS Autonomous Money Machine Ω commercial institution. It is designed for planning, not prediction.</x:v>
      </x:c>
      <x:c r="B4" s="143"/>
      <x:c r="C4" s="143"/>
      <x:c r="D4" s="143"/>
      <x:c r="E4" s="143"/>
      <x:c r="F4" s="143"/>
      <x:c r="G4" s="143"/>
      <x:c r="H4" s="143"/>
    </x:row>
    <x:row r="5">
      <x:c r="A5" s="143"/>
      <x:c r="B5" s="143"/>
      <x:c r="C5" s="143"/>
      <x:c r="D5" s="143"/>
      <x:c r="E5" s="143"/>
      <x:c r="F5" s="143"/>
      <x:c r="G5" s="143"/>
      <x:c r="H5" s="143"/>
    </x:row>
    <x:row r="7">
      <x:c r="A7" s="3" t="str">
        <x:v>Core Revenue Architecture</x:v>
      </x:c>
      <x:c r="B7" s="3"/>
      <x:c r="C7" s="3"/>
      <x:c r="D7" s="3"/>
      <x:c r="E7" s="3"/>
      <x:c r="F7" s="3"/>
      <x:c r="G7" s="3"/>
      <x:c r="H7" s="3"/>
    </x:row>
    <x:row r="8">
      <x:c r="A8" s="143" t="str">
        <x:v>Private Frontier MasterClasses → Executive Proof Diagnostics → Proof Mission Sprints → Enterprise Pilots → recurring Enterprise Proof OS. Repeat missions are modeled as a separate proof of customer value.</x:v>
      </x:c>
      <x:c r="B8" s="143"/>
      <x:c r="C8" s="143"/>
      <x:c r="D8" s="143"/>
      <x:c r="E8" s="143"/>
      <x:c r="F8" s="143"/>
      <x:c r="G8" s="143"/>
      <x:c r="H8" s="143"/>
    </x:row>
    <x:row r="9">
      <x:c r="A9" s="143"/>
      <x:c r="B9" s="143"/>
      <x:c r="C9" s="143"/>
      <x:c r="D9" s="143"/>
      <x:c r="E9" s="143"/>
      <x:c r="F9" s="143"/>
      <x:c r="G9" s="143"/>
      <x:c r="H9" s="143"/>
    </x:row>
    <x:row r="11">
      <x:c r="A11" s="3" t="str">
        <x:v>Proof-Compounding Mechanism</x:v>
      </x:c>
      <x:c r="B11" s="3"/>
      <x:c r="C11" s="3"/>
      <x:c r="D11" s="3"/>
      <x:c r="E11" s="3"/>
      <x:c r="F11" s="3"/>
      <x:c r="G11" s="3"/>
      <x:c r="H11" s="3"/>
    </x:row>
    <x:row r="12">
      <x:c r="A12" s="143" t="str">
        <x:v>Validated cases may improve conversion, referrals, and delivery efficiency, subject to explicit caps. Unsupported claims and failed missions do not compound.</x:v>
      </x:c>
      <x:c r="B12" s="143"/>
      <x:c r="C12" s="143"/>
      <x:c r="D12" s="143"/>
      <x:c r="E12" s="143"/>
      <x:c r="F12" s="143"/>
      <x:c r="G12" s="143"/>
      <x:c r="H12" s="143"/>
    </x:row>
    <x:row r="13">
      <x:c r="A13" s="143"/>
      <x:c r="B13" s="143"/>
      <x:c r="C13" s="143"/>
      <x:c r="D13" s="143"/>
      <x:c r="E13" s="143"/>
      <x:c r="F13" s="143"/>
      <x:c r="G13" s="143"/>
      <x:c r="H13" s="143"/>
    </x:row>
    <x:row r="15">
      <x:c r="A15" s="3" t="str">
        <x:v>Revenue Recognition</x:v>
      </x:c>
      <x:c r="B15" s="3"/>
      <x:c r="C15" s="3"/>
      <x:c r="D15" s="3"/>
      <x:c r="E15" s="3"/>
      <x:c r="F15" s="3"/>
      <x:c r="G15" s="3"/>
      <x:c r="H15" s="3"/>
    </x:row>
    <x:row r="16">
      <x:c r="A16" s="143" t="str">
        <x:v>Services are recognized in the delivery month. Proof OS revenue is recognized monthly over the annual contract. New and renewed annual contracts are assumed billed upfront for cash-flow modeling.</x:v>
      </x:c>
      <x:c r="B16" s="143"/>
      <x:c r="C16" s="143"/>
      <x:c r="D16" s="143"/>
      <x:c r="E16" s="143"/>
      <x:c r="F16" s="143"/>
      <x:c r="G16" s="143"/>
      <x:c r="H16" s="143"/>
    </x:row>
    <x:row r="17">
      <x:c r="A17" s="143"/>
      <x:c r="B17" s="143"/>
      <x:c r="C17" s="143"/>
      <x:c r="D17" s="143"/>
      <x:c r="E17" s="143"/>
      <x:c r="F17" s="143"/>
      <x:c r="G17" s="143"/>
      <x:c r="H17" s="143"/>
    </x:row>
    <x:row r="19">
      <x:c r="A19" s="3" t="str">
        <x:v>Cash Collection</x:v>
      </x:c>
      <x:c r="B19" s="3"/>
      <x:c r="C19" s="3"/>
      <x:c r="D19" s="3"/>
      <x:c r="E19" s="3"/>
      <x:c r="F19" s="3"/>
      <x:c r="G19" s="3"/>
      <x:c r="H19" s="3"/>
    </x:row>
    <x:row r="20">
      <x:c r="A20" s="143" t="str">
        <x:v>A configurable portion of service revenue is collected in the current month; the balance is collected in the following month. This is a simplification of milestones, deposits, and accounts receivable.</x:v>
      </x:c>
      <x:c r="B20" s="143"/>
      <x:c r="C20" s="143"/>
      <x:c r="D20" s="143"/>
      <x:c r="E20" s="143"/>
      <x:c r="F20" s="143"/>
      <x:c r="G20" s="143"/>
      <x:c r="H20" s="143"/>
    </x:row>
    <x:row r="21">
      <x:c r="A21" s="143"/>
      <x:c r="B21" s="143"/>
      <x:c r="C21" s="143"/>
      <x:c r="D21" s="143"/>
      <x:c r="E21" s="143"/>
      <x:c r="F21" s="143"/>
      <x:c r="G21" s="143"/>
      <x:c r="H21" s="143"/>
    </x:row>
    <x:row r="23">
      <x:c r="A23" s="3" t="str">
        <x:v>Cost Structure</x:v>
      </x:c>
      <x:c r="B23" s="3"/>
      <x:c r="C23" s="3"/>
      <x:c r="D23" s="3"/>
      <x:c r="E23" s="3"/>
      <x:c r="F23" s="3"/>
      <x:c r="G23" s="3"/>
      <x:c r="H23" s="3"/>
    </x:row>
    <x:row r="24">
      <x:c r="A24" s="143" t="str">
        <x:v>COGS includes model/tool/reviewer costs and delivery-team labor. Operating expenses include commercial, marketing, R&amp;D, customer success, executive, and G&amp;A costs.</x:v>
      </x:c>
      <x:c r="B24" s="143"/>
      <x:c r="C24" s="143"/>
      <x:c r="D24" s="143"/>
      <x:c r="E24" s="143"/>
      <x:c r="F24" s="143"/>
      <x:c r="G24" s="143"/>
      <x:c r="H24" s="143"/>
    </x:row>
    <x:row r="25">
      <x:c r="A25" s="143"/>
      <x:c r="B25" s="143"/>
      <x:c r="C25" s="143"/>
      <x:c r="D25" s="143"/>
      <x:c r="E25" s="143"/>
      <x:c r="F25" s="143"/>
      <x:c r="G25" s="143"/>
      <x:c r="H25" s="143"/>
    </x:row>
    <x:row r="27">
      <x:c r="A27" s="3" t="str">
        <x:v>Taxes &amp; Accounting</x:v>
      </x:c>
      <x:c r="B27" s="3"/>
      <x:c r="C27" s="3"/>
      <x:c r="D27" s="3"/>
      <x:c r="E27" s="3"/>
      <x:c r="F27" s="3"/>
      <x:c r="G27" s="3"/>
      <x:c r="H27" s="3"/>
    </x:row>
    <x:row r="28">
      <x:c r="A28" s="143" t="str">
        <x:v>The model is pre-tax and simplified. It excludes stock-based compensation, depreciation, working-capital detail beyond collections, debt interest, foreign exchange, sales taxes, and jurisdiction-specific tax treatment.</x:v>
      </x:c>
      <x:c r="B28" s="143"/>
      <x:c r="C28" s="143"/>
      <x:c r="D28" s="143"/>
      <x:c r="E28" s="143"/>
      <x:c r="F28" s="143"/>
      <x:c r="G28" s="143"/>
      <x:c r="H28" s="143"/>
    </x:row>
    <x:row r="29">
      <x:c r="A29" s="143"/>
      <x:c r="B29" s="143"/>
      <x:c r="C29" s="143"/>
      <x:c r="D29" s="143"/>
      <x:c r="E29" s="143"/>
      <x:c r="F29" s="143"/>
      <x:c r="G29" s="143"/>
      <x:c r="H29" s="143"/>
    </x:row>
    <x:row r="31">
      <x:c r="A31" s="3" t="str">
        <x:v>Financing</x:v>
      </x:c>
      <x:c r="B31" s="3"/>
      <x:c r="C31" s="3"/>
      <x:c r="D31" s="3"/>
      <x:c r="E31" s="3"/>
      <x:c r="F31" s="3"/>
      <x:c r="G31" s="3"/>
      <x:c r="H31" s="3"/>
    </x:row>
    <x:row r="32">
      <x:c r="A32" s="143" t="str">
        <x:v>The optional equity raise is a planning assumption. Set the financing amount to zero to view the model without additional capital.</x:v>
      </x:c>
      <x:c r="B32" s="143"/>
      <x:c r="C32" s="143"/>
      <x:c r="D32" s="143"/>
      <x:c r="E32" s="143"/>
      <x:c r="F32" s="143"/>
      <x:c r="G32" s="143"/>
      <x:c r="H32" s="143"/>
    </x:row>
    <x:row r="33">
      <x:c r="A33" s="143"/>
      <x:c r="B33" s="143"/>
      <x:c r="C33" s="143"/>
      <x:c r="D33" s="143"/>
      <x:c r="E33" s="143"/>
      <x:c r="F33" s="143"/>
      <x:c r="G33" s="143"/>
      <x:c r="H33" s="143"/>
    </x:row>
    <x:row r="35">
      <x:c r="A35" s="3" t="str">
        <x:v>Valuation</x:v>
      </x:c>
      <x:c r="B35" s="3"/>
      <x:c r="C35" s="3"/>
      <x:c r="D35" s="3"/>
      <x:c r="E35" s="3"/>
      <x:c r="F35" s="3"/>
      <x:c r="G35" s="3"/>
      <x:c r="H35" s="3"/>
    </x:row>
    <x:row r="36">
      <x:c r="A36" s="143" t="str">
        <x:v>Valuation multiples are illustrative only. They are not market evidence, investment advice, a financing promise, or a claim that GoalOS will achieve a particular valuation.</x:v>
      </x:c>
      <x:c r="B36" s="143"/>
      <x:c r="C36" s="143"/>
      <x:c r="D36" s="143"/>
      <x:c r="E36" s="143"/>
      <x:c r="F36" s="143"/>
      <x:c r="G36" s="143"/>
      <x:c r="H36" s="143"/>
    </x:row>
    <x:row r="37">
      <x:c r="A37" s="143"/>
      <x:c r="B37" s="143"/>
      <x:c r="C37" s="143"/>
      <x:c r="D37" s="143"/>
      <x:c r="E37" s="143"/>
      <x:c r="F37" s="143"/>
      <x:c r="G37" s="143"/>
      <x:c r="H37" s="143"/>
    </x:row>
    <x:row r="39">
      <x:c r="A39" s="3" t="str">
        <x:v>Evidence Boundary</x:v>
      </x:c>
      <x:c r="B39" s="3"/>
      <x:c r="C39" s="3"/>
      <x:c r="D39" s="3"/>
      <x:c r="E39" s="3"/>
      <x:c r="F39" s="3"/>
      <x:c r="G39" s="3"/>
      <x:c r="H39" s="3"/>
    </x:row>
    <x:row r="40">
      <x:c r="A40" s="143" t="str">
        <x:v>Synthetic projections do not establish customer demand, external validation, profitability, ARR, repeat purchases, or compounding. Those states require real customers, contracts, payments, Evidence Dockets, independent review, and measured outcomes.</x:v>
      </x:c>
      <x:c r="B40" s="143"/>
      <x:c r="C40" s="143"/>
      <x:c r="D40" s="143"/>
      <x:c r="E40" s="143"/>
      <x:c r="F40" s="143"/>
      <x:c r="G40" s="143"/>
      <x:c r="H40" s="143"/>
    </x:row>
    <x:row r="41">
      <x:c r="A41" s="143"/>
      <x:c r="B41" s="143"/>
      <x:c r="C41" s="143"/>
      <x:c r="D41" s="143"/>
      <x:c r="E41" s="143"/>
      <x:c r="F41" s="143"/>
      <x:c r="G41" s="143"/>
      <x:c r="H41" s="143"/>
    </x:row>
    <x:row r="43">
      <x:c r="A43" s="3" t="str">
        <x:v>Recommended Update Cadence</x:v>
      </x:c>
      <x:c r="B43" s="3"/>
      <x:c r="C43" s="3"/>
      <x:c r="D43" s="3"/>
      <x:c r="E43" s="3"/>
      <x:c r="F43" s="3"/>
      <x:c r="G43" s="3"/>
      <x:c r="H43" s="3"/>
    </x:row>
    <x:row r="44">
      <x:c r="A44" s="143" t="str">
        <x:v>Replace funnel, pricing, hours, costs, churn, cash, and conversion assumptions monthly. Freeze historical months and compare actuals to plan.</x:v>
      </x:c>
      <x:c r="B44" s="143"/>
      <x:c r="C44" s="143"/>
      <x:c r="D44" s="143"/>
      <x:c r="E44" s="143"/>
      <x:c r="F44" s="143"/>
      <x:c r="G44" s="143"/>
      <x:c r="H44" s="143"/>
    </x:row>
    <x:row r="45">
      <x:c r="A45" s="143"/>
      <x:c r="B45" s="143"/>
      <x:c r="C45" s="143"/>
      <x:c r="D45" s="143"/>
      <x:c r="E45" s="143"/>
      <x:c r="F45" s="143"/>
      <x:c r="G45" s="143"/>
      <x:c r="H45" s="143"/>
    </x:row>
    <x:row r="47">
      <x:c r="A47" s="3" t="str">
        <x:v>Primary Internal Sources</x:v>
      </x:c>
      <x:c r="B47" s="3"/>
      <x:c r="C47" s="3"/>
      <x:c r="D47" s="3"/>
      <x:c r="E47" s="3"/>
      <x:c r="F47" s="3"/>
      <x:c r="G47" s="3"/>
      <x:c r="H47" s="3"/>
    </x:row>
    <x:row r="48">
      <x:c r="A48" s="143" t="str">
        <x:v>GoalOS Autonomous Money Machine Ω materials; GoalOS Executive / Frontier MasterClass commercialization plans; GoalOS Mission OS proof-to-action architecture; July 2026 internal product and business-development work.</x:v>
      </x:c>
      <x:c r="B48" s="143"/>
      <x:c r="C48" s="143"/>
      <x:c r="D48" s="143"/>
      <x:c r="E48" s="143"/>
      <x:c r="F48" s="143"/>
      <x:c r="G48" s="143"/>
      <x:c r="H48" s="143"/>
    </x:row>
    <x:row r="49">
      <x:c r="A49" s="143"/>
      <x:c r="B49" s="143"/>
      <x:c r="C49" s="143"/>
      <x:c r="D49" s="143"/>
      <x:c r="E49" s="143"/>
      <x:c r="F49" s="143"/>
      <x:c r="G49" s="143"/>
      <x:c r="H49" s="143"/>
    </x:row>
  </x:sheetData>
  <x:mergeCells>
    <x:mergeCell ref="A1:H1"/>
    <x:mergeCell ref="A3:H3"/>
    <x:mergeCell ref="A4:H5"/>
    <x:mergeCell ref="A7:H7"/>
    <x:mergeCell ref="A8:H9"/>
    <x:mergeCell ref="A11:H11"/>
    <x:mergeCell ref="A12:H13"/>
    <x:mergeCell ref="A15:H15"/>
    <x:mergeCell ref="A16:H17"/>
    <x:mergeCell ref="A19:H19"/>
    <x:mergeCell ref="A20:H21"/>
    <x:mergeCell ref="A23:H23"/>
    <x:mergeCell ref="A24:H25"/>
    <x:mergeCell ref="A27:H27"/>
    <x:mergeCell ref="A28:H29"/>
    <x:mergeCell ref="A31:H31"/>
    <x:mergeCell ref="A32:H33"/>
    <x:mergeCell ref="A35:H35"/>
    <x:mergeCell ref="A36:H37"/>
    <x:mergeCell ref="A39:H39"/>
    <x:mergeCell ref="A40:H41"/>
    <x:mergeCell ref="A43:H43"/>
    <x:mergeCell ref="A44:H45"/>
    <x:mergeCell ref="A47:H47"/>
    <x:mergeCell ref="A48:H4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0" customHeight="1">
      <x:c r="A1" s="7" t="str">
        <x:v>GoalOS Hiring &amp; Organizational Capacity Plan</x:v>
      </x:c>
      <x:c r="B1" s="7"/>
      <x:c r="C1" s="7"/>
      <x:c r="D1" s="7"/>
      <x:c r="E1" s="7"/>
      <x:c r="F1" s="7"/>
      <x:c r="G1" s="7"/>
    </x:row>
    <x:row r="2">
      <x:c r="A2" s="12" t="str">
        <x:v>Headcount is formula-driven from demand, delivery hours, active Proof OS accounts, and management staffing assumptions.</x:v>
      </x:c>
      <x:c r="B2" s="12"/>
      <x:c r="C2" s="12"/>
      <x:c r="D2" s="12"/>
      <x:c r="E2" s="12"/>
      <x:c r="F2" s="12"/>
      <x:c r="G2" s="12"/>
    </x:row>
    <x:row r="4">
      <x:c r="A4" s="18" t="str">
        <x:v>Year-End Headcount</x:v>
      </x:c>
      <x:c r="B4" s="18" t="str">
        <x:v>Unit</x:v>
      </x:c>
      <x:c r="C4" s="18" t="str">
        <x:v>Year 1</x:v>
      </x:c>
      <x:c r="D4" s="18" t="str">
        <x:v>Year 2</x:v>
      </x:c>
      <x:c r="E4" s="18" t="str">
        <x:v>Year 3</x:v>
      </x:c>
      <x:c r="F4" s="18" t="str">
        <x:v>Year 4</x:v>
      </x:c>
      <x:c r="G4" s="18" t="str">
        <x:v>Year 5</x:v>
      </x:c>
    </x:row>
    <x:row r="5">
      <x:c r="A5" s="147" t="str">
        <x:v>Executive</x:v>
      </x:c>
      <x:c r="B5" t="str">
        <x:v>FTE</x:v>
      </x:c>
      <x:c r="C5" s="68" t="n">
        <x:f>Assumptions!$G$55</x:f>
        <x:v>2</x:v>
      </x:c>
      <x:c r="D5" s="68" t="n">
        <x:f>Assumptions!$G$55</x:f>
        <x:v>2</x:v>
      </x:c>
      <x:c r="E5" s="68" t="n">
        <x:f>Assumptions!$G$55</x:f>
        <x:v>2</x:v>
      </x:c>
      <x:c r="F5" s="68" t="n">
        <x:f>Assumptions!$G$55</x:f>
        <x:v>2</x:v>
      </x:c>
      <x:c r="G5" s="68" t="n">
        <x:f>Assumptions!$G$55</x:f>
        <x:v>2</x:v>
      </x:c>
    </x:row>
    <x:row r="6">
      <x:c r="A6" s="147" t="str">
        <x:v>Commercial</x:v>
      </x:c>
      <x:c r="B6" t="str">
        <x:v>FTE</x:v>
      </x:c>
      <x:c r="C6" s="68" t="n">
        <x:f>'Monthly Model'!N51</x:f>
        <x:v>1</x:v>
      </x:c>
      <x:c r="D6" s="68" t="n">
        <x:f>'Monthly Model'!Z51</x:f>
        <x:v>2</x:v>
      </x:c>
      <x:c r="E6" s="68" t="n">
        <x:f>'Monthly Model'!AL51</x:f>
        <x:v>3</x:v>
      </x:c>
      <x:c r="F6" s="68" t="n">
        <x:f>'Monthly Model'!AX51</x:f>
        <x:v>4</x:v>
      </x:c>
      <x:c r="G6" s="68" t="n">
        <x:f>'Monthly Model'!BJ51</x:f>
        <x:v>7</x:v>
      </x:c>
    </x:row>
    <x:row r="7">
      <x:c r="A7" s="147" t="str">
        <x:v>R&amp;D / Product</x:v>
      </x:c>
      <x:c r="B7" t="str">
        <x:v>FTE</x:v>
      </x:c>
      <x:c r="C7" s="68" t="n">
        <x:f>'Monthly Model'!N54</x:f>
        <x:v>4</x:v>
      </x:c>
      <x:c r="D7" s="68" t="n">
        <x:f>'Monthly Model'!Z54</x:f>
        <x:v>4</x:v>
      </x:c>
      <x:c r="E7" s="68" t="n">
        <x:f>'Monthly Model'!AL54</x:f>
        <x:v>4</x:v>
      </x:c>
      <x:c r="F7" s="68" t="n">
        <x:f>'Monthly Model'!AX54</x:f>
        <x:v>5</x:v>
      </x:c>
      <x:c r="G7" s="68" t="n">
        <x:f>'Monthly Model'!BJ54</x:f>
        <x:v>7</x:v>
      </x:c>
    </x:row>
    <x:row r="8">
      <x:c r="A8" s="147" t="str">
        <x:v>Customer Success</x:v>
      </x:c>
      <x:c r="B8" t="str">
        <x:v>FTE</x:v>
      </x:c>
      <x:c r="C8" s="68" t="n">
        <x:f>'Monthly Model'!N57</x:f>
        <x:v>1</x:v>
      </x:c>
      <x:c r="D8" s="68" t="n">
        <x:f>'Monthly Model'!Z57</x:f>
        <x:v>1</x:v>
      </x:c>
      <x:c r="E8" s="68" t="n">
        <x:f>'Monthly Model'!AL57</x:f>
        <x:v>2</x:v>
      </x:c>
      <x:c r="F8" s="68" t="n">
        <x:f>'Monthly Model'!AX57</x:f>
        <x:v>3</x:v>
      </x:c>
      <x:c r="G8" s="68" t="n">
        <x:f>'Monthly Model'!BJ57</x:f>
        <x:v>5</x:v>
      </x:c>
    </x:row>
    <x:row r="9">
      <x:c r="A9" s="147" t="str">
        <x:v>Delivery</x:v>
      </x:c>
      <x:c r="B9" t="str">
        <x:v>FTE</x:v>
      </x:c>
      <x:c r="C9" s="68" t="n">
        <x:f>'Monthly Model'!N44</x:f>
        <x:v>4</x:v>
      </x:c>
      <x:c r="D9" s="68" t="n">
        <x:f>'Monthly Model'!Z44</x:f>
        <x:v>7</x:v>
      </x:c>
      <x:c r="E9" s="68" t="n">
        <x:f>'Monthly Model'!AL44</x:f>
        <x:v>11</x:v>
      </x:c>
      <x:c r="F9" s="68" t="n">
        <x:f>'Monthly Model'!AX44</x:f>
        <x:v>19</x:v>
      </x:c>
      <x:c r="G9" s="68" t="n">
        <x:f>'Monthly Model'!BJ44</x:f>
        <x:v>32</x:v>
      </x:c>
    </x:row>
    <x:row r="10">
      <x:c r="A10" s="147" t="str">
        <x:v>G&amp;A</x:v>
      </x:c>
      <x:c r="B10" t="str">
        <x:v>FTE</x:v>
      </x:c>
      <x:c r="C10" s="68" t="n">
        <x:f>'Monthly Model'!N60</x:f>
        <x:v>1</x:v>
      </x:c>
      <x:c r="D10" s="68" t="n">
        <x:f>'Monthly Model'!Z60</x:f>
        <x:v>2</x:v>
      </x:c>
      <x:c r="E10" s="68" t="n">
        <x:f>'Monthly Model'!AL60</x:f>
        <x:v>2</x:v>
      </x:c>
      <x:c r="F10" s="68" t="n">
        <x:f>'Monthly Model'!AX60</x:f>
        <x:v>3</x:v>
      </x:c>
      <x:c r="G10" s="68" t="n">
        <x:f>'Monthly Model'!BJ60</x:f>
        <x:v>4</x:v>
      </x:c>
    </x:row>
    <x:row r="11">
      <x:c r="A11" s="147" t="str">
        <x:v>Total Company</x:v>
      </x:c>
      <x:c r="B11" t="str">
        <x:v>FTE</x:v>
      </x:c>
      <x:c r="C11" s="68" t="n">
        <x:f>'Monthly Model'!N66</x:f>
        <x:v>13</x:v>
      </x:c>
      <x:c r="D11" s="68" t="n">
        <x:f>'Monthly Model'!Z66</x:f>
        <x:v>18</x:v>
      </x:c>
      <x:c r="E11" s="68" t="n">
        <x:f>'Monthly Model'!AL66</x:f>
        <x:v>24</x:v>
      </x:c>
      <x:c r="F11" s="68" t="n">
        <x:f>'Monthly Model'!AX66</x:f>
        <x:v>36</x:v>
      </x:c>
      <x:c r="G11" s="68" t="n">
        <x:f>'Monthly Model'!BJ66</x:f>
        <x:v>57</x:v>
      </x:c>
    </x:row>
    <x:row r="14">
      <x:c r="A14" s="3" t="str">
        <x:v>Annual Loaded Payroll</x:v>
      </x:c>
      <x:c r="B14" s="3"/>
      <x:c r="C14" s="3"/>
      <x:c r="D14" s="3"/>
      <x:c r="E14" s="3"/>
      <x:c r="F14" s="3"/>
      <x:c r="G14" s="3"/>
    </x:row>
    <x:row r="15">
      <x:c r="A15" s="18" t="str">
        <x:v>Payroll Category</x:v>
      </x:c>
      <x:c r="B15" s="18" t="str">
        <x:v>Unit</x:v>
      </x:c>
      <x:c r="C15" s="18" t="str">
        <x:v>Year 1</x:v>
      </x:c>
      <x:c r="D15" s="18" t="str">
        <x:v>Year 2</x:v>
      </x:c>
      <x:c r="E15" s="18" t="str">
        <x:v>Year 3</x:v>
      </x:c>
      <x:c r="F15" s="18" t="str">
        <x:v>Year 4</x:v>
      </x:c>
      <x:c r="G15" s="18" t="str">
        <x:v>Year 5</x:v>
      </x:c>
    </x:row>
    <x:row r="16">
      <x:c r="A16" t="str">
        <x:v>Executive</x:v>
      </x:c>
      <x:c r="B16" t="str">
        <x:v>$</x:v>
      </x:c>
      <x:c r="C16" s="62" t="n">
        <x:f>SUM('Monthly Model'!C59:N59)</x:f>
        <x:v>340000</x:v>
      </x:c>
      <x:c r="D16" s="62" t="n">
        <x:f>SUM('Monthly Model'!O59:Z59)</x:f>
        <x:v>340000</x:v>
      </x:c>
      <x:c r="E16" s="62" t="n">
        <x:f>SUM('Monthly Model'!AA59:AL59)</x:f>
        <x:v>340000</x:v>
      </x:c>
      <x:c r="F16" s="62" t="n">
        <x:f>SUM('Monthly Model'!AM59:AX59)</x:f>
        <x:v>340000</x:v>
      </x:c>
      <x:c r="G16" s="62" t="n">
        <x:f>SUM('Monthly Model'!AY59:BJ59)</x:f>
        <x:v>340000</x:v>
      </x:c>
    </x:row>
    <x:row r="17">
      <x:c r="A17" t="str">
        <x:v>Commercial</x:v>
      </x:c>
      <x:c r="B17" t="str">
        <x:v>$</x:v>
      </x:c>
      <x:c r="C17" s="62" t="n">
        <x:f>SUM('Monthly Model'!C52:N52)</x:f>
        <x:v>150000</x:v>
      </x:c>
      <x:c r="D17" s="62" t="n">
        <x:f>SUM('Monthly Model'!O52:Z52)</x:f>
        <x:v>225000</x:v>
      </x:c>
      <x:c r="E17" s="62" t="n">
        <x:f>SUM('Monthly Model'!AA52:AL52)</x:f>
        <x:v>350000</x:v>
      </x:c>
      <x:c r="F17" s="62" t="n">
        <x:f>SUM('Monthly Model'!AM52:AX52)</x:f>
        <x:v>525000</x:v>
      </x:c>
      <x:c r="G17" s="62" t="n">
        <x:f>SUM('Monthly Model'!AY52:BJ52)</x:f>
        <x:v>812500</x:v>
      </x:c>
    </x:row>
    <x:row r="18">
      <x:c r="A18" t="str">
        <x:v>R&amp;D / Product</x:v>
      </x:c>
      <x:c r="B18" t="str">
        <x:v>$</x:v>
      </x:c>
      <x:c r="C18" s="62" t="n">
        <x:f>SUM('Monthly Model'!C55:N55)</x:f>
        <x:v>649166.6666666666</x:v>
      </x:c>
      <x:c r="D18" s="62" t="n">
        <x:f>SUM('Monthly Model'!O55:Z55)</x:f>
        <x:v>760000.0000000001</x:v>
      </x:c>
      <x:c r="E18" s="62" t="n">
        <x:f>SUM('Monthly Model'!AA55:AL55)</x:f>
        <x:v>760000.0000000001</x:v>
      </x:c>
      <x:c r="F18" s="62" t="n">
        <x:f>SUM('Monthly Model'!AM55:AX55)</x:f>
        <x:v>918333.3333333333</x:v>
      </x:c>
      <x:c r="G18" s="62" t="n">
        <x:f>SUM('Monthly Model'!AY55:BJ55)</x:f>
        <x:v>1171666.6666666667</x:v>
      </x:c>
    </x:row>
    <x:row r="19">
      <x:c r="A19" t="str">
        <x:v>Customer Success</x:v>
      </x:c>
      <x:c r="B19" t="str">
        <x:v>$</x:v>
      </x:c>
      <x:c r="C19" s="62" t="n">
        <x:f>SUM('Monthly Model'!C58:N58)</x:f>
        <x:v>60416.66666666667</x:v>
      </x:c>
      <x:c r="D19" s="62" t="n">
        <x:f>SUM('Monthly Model'!O58:Z58)</x:f>
        <x:v>145000</x:v>
      </x:c>
      <x:c r="E19" s="62" t="n">
        <x:f>SUM('Monthly Model'!AA58:AL58)</x:f>
        <x:v>157083.3333333333</x:v>
      </x:c>
      <x:c r="F19" s="62" t="n">
        <x:f>SUM('Monthly Model'!AM58:AX58)</x:f>
        <x:v>314166.6666666666</x:v>
      </x:c>
      <x:c r="G19" s="62" t="n">
        <x:f>SUM('Monthly Model'!AY58:BJ58)</x:f>
        <x:v>543750</x:v>
      </x:c>
    </x:row>
    <x:row r="20">
      <x:c r="A20" t="str">
        <x:v>Delivery (COGS)</x:v>
      </x:c>
      <x:c r="B20" t="str">
        <x:v>$</x:v>
      </x:c>
      <x:c r="C20" s="62" t="n">
        <x:f>SUM('Monthly Model'!C45:N45)</x:f>
        <x:v>439166.6666666667</x:v>
      </x:c>
      <x:c r="D20" s="62" t="n">
        <x:f>SUM('Monthly Model'!O45:Z45)</x:f>
        <x:v>865416.6666666665</x:v>
      </x:c>
      <x:c r="E20" s="62" t="n">
        <x:f>SUM('Monthly Model'!AA45:AL45)</x:f>
        <x:v>1369166.6666666665</x:v>
      </x:c>
      <x:c r="F20" s="62" t="n">
        <x:f>SUM('Monthly Model'!AM45:AX45)</x:f>
        <x:v>2363749.9999999995</x:v>
      </x:c>
      <x:c r="G20" s="62" t="n">
        <x:f>SUM('Monthly Model'!AY45:BJ45)</x:f>
        <x:v>3978333.333333333</x:v>
      </x:c>
    </x:row>
    <x:row r="21">
      <x:c r="A21" t="str">
        <x:v>G&amp;A</x:v>
      </x:c>
      <x:c r="B21" t="str">
        <x:v>$</x:v>
      </x:c>
      <x:c r="C21" s="62" t="n">
        <x:f>SUM('Monthly Model'!C61:N61)</x:f>
        <x:v>120000</x:v>
      </x:c>
      <x:c r="D21" s="62" t="n">
        <x:f>SUM('Monthly Model'!O61:Z61)</x:f>
        <x:v>180000</x:v>
      </x:c>
      <x:c r="E21" s="62" t="n">
        <x:f>SUM('Monthly Model'!AA61:AL61)</x:f>
        <x:v>240000</x:v>
      </x:c>
      <x:c r="F21" s="62" t="n">
        <x:f>SUM('Monthly Model'!AM61:AX61)</x:f>
        <x:v>280000</x:v>
      </x:c>
      <x:c r="G21" s="62" t="n">
        <x:f>SUM('Monthly Model'!AY61:BJ61)</x:f>
        <x:v>410000</x:v>
      </x:c>
    </x:row>
    <x:row r="22">
      <x:c r="A22" t="str">
        <x:v>Total Loaded Payroll</x:v>
      </x:c>
      <x:c r="B22" t="str">
        <x:v>$</x:v>
      </x:c>
      <x:c r="C22" s="62" t="n">
        <x:f>SUM(C16:C21)</x:f>
        <x:v>1758750</x:v>
      </x:c>
      <x:c r="D22" s="62" t="n">
        <x:f>SUM(D16:D21)</x:f>
        <x:v>2515416.6666666665</x:v>
      </x:c>
      <x:c r="E22" s="62" t="n">
        <x:f>SUM(E16:E21)</x:f>
        <x:v>3216250</x:v>
      </x:c>
      <x:c r="F22" s="62" t="n">
        <x:f>SUM(F16:F21)</x:f>
        <x:v>4741250</x:v>
      </x:c>
      <x:c r="G22" s="62" t="n">
        <x:f>SUM(G16:G21)</x:f>
        <x:v>7256250</x:v>
      </x:c>
    </x:row>
  </x:sheetData>
  <x:mergeCells>
    <x:mergeCell ref="A1:G1"/>
    <x:mergeCell ref="A2:G2"/>
    <x:mergeCell ref="A14:G14"/>
  </x:mergeCells>
  <x:pageMargins left="0.7" right="0.7" top="0.75" bottom="0.75" header="0.3" footer="0.3"/>
  <x:drawing xmlns:r="http://schemas.openxmlformats.org/officeDocument/2006/relationships" r:id="R8755517bd2854d34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4" hidden="0" customWidth="1"/>
  </x:cols>
  <x:sheetData>
    <x:row r="1" ht="30" customHeight="1">
      <x:c r="A1" s="7" t="str">
        <x:v>Actuals vs Plan — First 24 Months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>
      <x:c r="A2" s="12" t="str">
        <x:v>Enter actual results in blue cells. Variances calculate automatically. Historical planning assumptions should be frozen as actual months close.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 ht="36" customHeight="1">
      <x:c r="A4" s="114" t="str">
        <x:v>Month</x:v>
      </x:c>
      <x:c r="B4" s="114" t="str">
        <x:v>Plan Qualified Opps</x:v>
      </x:c>
      <x:c r="C4" s="114" t="str">
        <x:v>Actual Qualified Opps</x:v>
      </x:c>
      <x:c r="D4" s="114" t="str">
        <x:v>Lead Variance</x:v>
      </x:c>
      <x:c r="E4" s="114" t="str">
        <x:v>Plan Sprints</x:v>
      </x:c>
      <x:c r="F4" s="114" t="str">
        <x:v>Actual Sprints</x:v>
      </x:c>
      <x:c r="G4" s="114" t="str">
        <x:v>Sprint Variance</x:v>
      </x:c>
      <x:c r="H4" s="114" t="str">
        <x:v>Plan Revenue</x:v>
      </x:c>
      <x:c r="I4" s="114" t="str">
        <x:v>Actual Revenue</x:v>
      </x:c>
      <x:c r="J4" s="114" t="str">
        <x:v>Revenue Variance</x:v>
      </x:c>
      <x:c r="K4" s="114" t="str">
        <x:v>Plan EBITDA</x:v>
      </x:c>
      <x:c r="L4" s="114" t="str">
        <x:v>Actual EBITDA</x:v>
      </x:c>
      <x:c r="M4" s="114" t="str">
        <x:v>EBITDA Variance</x:v>
      </x:c>
      <x:c r="N4" s="114" t="str">
        <x:v>Plan Ending Cash</x:v>
      </x:c>
      <x:c r="O4" s="114" t="str">
        <x:v>Actual Ending Cash</x:v>
      </x:c>
      <x:c r="P4" s="114" t="str">
        <x:v>Notes</x:v>
      </x:c>
    </x:row>
    <x:row r="5">
      <x:c r="A5" s="149" t="n">
        <x:f>'Monthly Model'!C4</x:f>
        <x:v>46235</x:v>
      </x:c>
      <x:c r="B5" s="68" t="n">
        <x:f>'Monthly Model'!C11</x:f>
        <x:v>25</x:v>
      </x:c>
      <x:c r="C5" s="151"/>
      <x:c r="D5" s="66" t="n">
        <x:f>IF(C5="",0,C5/B5-1)</x:f>
        <x:v>0</x:v>
      </x:c>
      <x:c r="E5" s="68" t="n">
        <x:f>'Monthly Model'!C16</x:f>
        <x:v>0</x:v>
      </x:c>
      <x:c r="F5" s="151"/>
      <x:c r="G5" s="66" t="n">
        <x:f>IF(F5="",0,F5/E5-1)</x:f>
        <x:v>0</x:v>
      </x:c>
      <x:c r="H5" s="62" t="n">
        <x:f>'Monthly Model'!C30</x:f>
        <x:v>0</x:v>
      </x:c>
      <x:c r="I5" s="139"/>
      <x:c r="J5" s="66" t="n">
        <x:f>IF(I5="",0,I5/H5-1)</x:f>
        <x:v>0</x:v>
      </x:c>
      <x:c r="K5" s="62" t="n">
        <x:f>'Monthly Model'!C64</x:f>
        <x:v>-194166.6666666667</x:v>
      </x:c>
      <x:c r="L5" s="139"/>
      <x:c r="M5" s="62" t="n">
        <x:f>IF(L5="",0,L5-K5)</x:f>
        <x:v>0</x:v>
      </x:c>
      <x:c r="N5" s="62" t="n">
        <x:f>'Monthly Model'!C78</x:f>
        <x:v>2305833.3333333335</x:v>
      </x:c>
      <x:c r="O5" s="139"/>
      <x:c r="P5" s="117" t="str"/>
    </x:row>
    <x:row r="6">
      <x:c r="A6" s="149" t="n">
        <x:f>'Monthly Model'!D4</x:f>
        <x:v>46266</x:v>
      </x:c>
      <x:c r="B6" s="68" t="n">
        <x:f>'Monthly Model'!D11</x:f>
        <x:v>26.625</x:v>
      </x:c>
      <x:c r="C6" s="151"/>
      <x:c r="D6" s="66" t="n">
        <x:f>IF(C6="",0,C6/B6-1)</x:f>
        <x:v>0</x:v>
      </x:c>
      <x:c r="E6" s="68" t="n">
        <x:f>'Monthly Model'!D16</x:f>
        <x:v>0</x:v>
      </x:c>
      <x:c r="F6" s="151"/>
      <x:c r="G6" s="66" t="n">
        <x:f>IF(F6="",0,F6/E6-1)</x:f>
        <x:v>0</x:v>
      </x:c>
      <x:c r="H6" s="62" t="n">
        <x:f>'Monthly Model'!D30</x:f>
        <x:v>40000</x:v>
      </x:c>
      <x:c r="I6" s="139"/>
      <x:c r="J6" s="66" t="n">
        <x:f>IF(I6="",0,I6/H6-1)</x:f>
        <x:v>0</x:v>
      </x:c>
      <x:c r="K6" s="62" t="n">
        <x:f>'Monthly Model'!D64</x:f>
        <x:v>-159046.6666666667</x:v>
      </x:c>
      <x:c r="L6" s="139"/>
      <x:c r="M6" s="62" t="n">
        <x:f>IF(L6="",0,L6-K6)</x:f>
        <x:v>0</x:v>
      </x:c>
      <x:c r="N6" s="62" t="n">
        <x:f>'Monthly Model'!D78</x:f>
        <x:v>2130306.666666667</x:v>
      </x:c>
      <x:c r="O6" s="139"/>
      <x:c r="P6" s="117" t="str"/>
    </x:row>
    <x:row r="7">
      <x:c r="A7" s="149" t="n">
        <x:f>'Monthly Model'!E4</x:f>
        <x:v>46296</x:v>
      </x:c>
      <x:c r="B7" s="68" t="n">
        <x:f>'Monthly Model'!E11</x:f>
        <x:v>28.355625</x:v>
      </x:c>
      <x:c r="C7" s="151"/>
      <x:c r="D7" s="66" t="n">
        <x:f>IF(C7="",0,C7/B7-1)</x:f>
        <x:v>0</x:v>
      </x:c>
      <x:c r="E7" s="68" t="n">
        <x:f>'Monthly Model'!E16</x:f>
        <x:v>0.48</x:v>
      </x:c>
      <x:c r="F7" s="151"/>
      <x:c r="G7" s="66" t="n">
        <x:f>IF(F7="",0,F7/E7-1)</x:f>
        <x:v>0</x:v>
      </x:c>
      <x:c r="H7" s="62" t="n">
        <x:f>'Monthly Model'!E30</x:f>
        <x:v>75700</x:v>
      </x:c>
      <x:c r="I7" s="139"/>
      <x:c r="J7" s="66" t="n">
        <x:f>IF(I7="",0,I7/H7-1)</x:f>
        <x:v>0</x:v>
      </x:c>
      <x:c r="K7" s="62" t="n">
        <x:f>'Monthly Model'!E64</x:f>
        <x:v>-130739.06666666667</x:v>
      </x:c>
      <x:c r="L7" s="139"/>
      <x:c r="M7" s="62" t="n">
        <x:f>IF(L7="",0,L7-K7)</x:f>
        <x:v>0</x:v>
      </x:c>
      <x:c r="N7" s="62" t="n">
        <x:f>'Monthly Model'!E78</x:f>
        <x:v>1984379.2000000002</x:v>
      </x:c>
      <x:c r="O7" s="139"/>
      <x:c r="P7" s="117" t="str"/>
    </x:row>
    <x:row r="8">
      <x:c r="A8" s="149" t="n">
        <x:f>'Monthly Model'!F4</x:f>
        <x:v>46327</x:v>
      </x:c>
      <x:c r="B8" s="68" t="n">
        <x:f>'Monthly Model'!F11</x:f>
        <x:v>30.228980625</x:v>
      </x:c>
      <x:c r="C8" s="151"/>
      <x:c r="D8" s="66" t="n">
        <x:f>IF(C8="",0,C8/B8-1)</x:f>
        <x:v>0</x:v>
      </x:c>
      <x:c r="E8" s="68" t="n">
        <x:f>'Monthly Model'!F16</x:f>
        <x:v>0.87550246912</x:v>
      </x:c>
      <x:c r="F8" s="151"/>
      <x:c r="G8" s="66" t="n">
        <x:f>IF(F8="",0,F8/E8-1)</x:f>
        <x:v>0</x:v>
      </x:c>
      <x:c r="H8" s="62" t="n">
        <x:f>'Monthly Model'!F30</x:f>
        <x:v>98835.623456</x:v>
      </x:c>
      <x:c r="I8" s="139"/>
      <x:c r="J8" s="66" t="n">
        <x:f>IF(I8="",0,I8/H8-1)</x:f>
        <x:v>0</x:v>
      </x:c>
      <x:c r="K8" s="62" t="n">
        <x:f>'Monthly Model'!F64</x:f>
        <x:v>-112444.90661789867</x:v>
      </x:c>
      <x:c r="L8" s="139"/>
      <x:c r="M8" s="62" t="n">
        <x:f>IF(L8="",0,L8-K8)</x:f>
        <x:v>0</x:v>
      </x:c>
      <x:c r="N8" s="62" t="n">
        <x:f>'Monthly Model'!F78</x:f>
        <x:v>1861494.0165182296</x:v>
      </x:c>
      <x:c r="O8" s="139"/>
      <x:c r="P8" s="117" t="str"/>
    </x:row>
    <x:row r="9">
      <x:c r="A9" s="149" t="n">
        <x:f>'Monthly Model'!G4</x:f>
        <x:v>46357</x:v>
      </x:c>
      <x:c r="B9" s="68" t="n">
        <x:f>'Monthly Model'!G11</x:f>
        <x:v>32.24705542117956</x:v>
      </x:c>
      <x:c r="C9" s="151"/>
      <x:c r="D9" s="66" t="n">
        <x:f>IF(C9="",0,C9/B9-1)</x:f>
        <x:v>0</x:v>
      </x:c>
      <x:c r="E9" s="68" t="n">
        <x:f>'Monthly Model'!G16</x:f>
        <x:v>0.9329976822615148</x:v>
      </x:c>
      <x:c r="F9" s="151"/>
      <x:c r="G9" s="66" t="n">
        <x:f>IF(F9="",0,F9/E9-1)</x:f>
        <x:v>0</x:v>
      </x:c>
      <x:c r="H9" s="62" t="n">
        <x:f>'Monthly Model'!G30</x:f>
        <x:v>126937.70061307575</x:v>
      </x:c>
      <x:c r="I9" s="139"/>
      <x:c r="J9" s="66" t="n">
        <x:f>IF(I9="",0,I9/H9-1)</x:f>
        <x:v>0</x:v>
      </x:c>
      <x:c r="K9" s="62" t="n">
        <x:f>'Monthly Model'!G64</x:f>
        <x:v>-91054.85526469373</x:v>
      </x:c>
      <x:c r="L9" s="139"/>
      <x:c r="M9" s="62" t="n">
        <x:f>IF(L9="",0,L9-K9)</x:f>
        <x:v>0</x:v>
      </x:c>
      <x:c r="N9" s="62" t="n">
        <x:f>'Monthly Model'!G78</x:f>
        <x:v>1757675.0779833486</x:v>
      </x:c>
      <x:c r="O9" s="139"/>
      <x:c r="P9" s="117" t="str"/>
    </x:row>
    <x:row r="10">
      <x:c r="A10" s="149" t="n">
        <x:f>'Monthly Model'!H4</x:f>
        <x:v>46388</x:v>
      </x:c>
      <x:c r="B10" s="68" t="n">
        <x:f>'Monthly Model'!H11</x:f>
        <x:v>34.405414094927664</x:v>
      </x:c>
      <x:c r="C10" s="151"/>
      <x:c r="D10" s="66" t="n">
        <x:f>IF(C10="",0,C10/B10-1)</x:f>
        <x:v>0</x:v>
      </x:c>
      <x:c r="E10" s="68" t="n">
        <x:f>'Monthly Model'!H16</x:f>
        <x:v>0.9949939137383188</x:v>
      </x:c>
      <x:c r="F10" s="151"/>
      <x:c r="G10" s="66" t="n">
        <x:f>IF(F10="",0,F10/E10-1)</x:f>
        <x:v>0</x:v>
      </x:c>
      <x:c r="H10" s="62" t="n">
        <x:f>'Monthly Model'!H30</x:f>
        <x:v>159425.94441870323</x:v>
      </x:c>
      <x:c r="I10" s="139"/>
      <x:c r="J10" s="66" t="n">
        <x:f>IF(I10="",0,I10/H10-1)</x:f>
        <x:v>0</x:v>
      </x:c>
      <x:c r="K10" s="62" t="n">
        <x:f>'Monthly Model'!H64</x:f>
        <x:v>-78620.8983138165</x:v>
      </x:c>
      <x:c r="L10" s="139"/>
      <x:c r="M10" s="62" t="n">
        <x:f>IF(L10="",0,L10-K10)</x:f>
        <x:v>0</x:v>
      </x:c>
      <x:c r="N10" s="62" t="n">
        <x:f>'Monthly Model'!H78</x:f>
        <x:v>1664145.7708142567</x:v>
      </x:c>
      <x:c r="O10" s="139"/>
      <x:c r="P10" s="117" t="str"/>
    </x:row>
    <x:row r="11">
      <x:c r="A11" s="149" t="n">
        <x:f>'Monthly Model'!I4</x:f>
        <x:v>46419</x:v>
      </x:c>
      <x:c r="B11" s="68" t="n">
        <x:f>'Monthly Model'!I11</x:f>
        <x:v>36.72071333620993</x:v>
      </x:c>
      <x:c r="C11" s="151"/>
      <x:c r="D11" s="66" t="n">
        <x:f>IF(C11="",0,C11/B11-1)</x:f>
        <x:v>0</x:v>
      </x:c>
      <x:c r="E11" s="68" t="n">
        <x:f>'Monthly Model'!I16</x:f>
        <x:v>1.0622089682905271</x:v>
      </x:c>
      <x:c r="F11" s="151"/>
      <x:c r="G11" s="66" t="n">
        <x:f>IF(F11="",0,F11/E11-1)</x:f>
        <x:v>0</x:v>
      </x:c>
      <x:c r="H11" s="62" t="n">
        <x:f>'Monthly Model'!I30</x:f>
        <x:v>175889.97434740816</x:v>
      </x:c>
      <x:c r="I11" s="139"/>
      <x:c r="J11" s="66" t="n">
        <x:f>IF(I11="",0,I11/H11-1)</x:f>
        <x:v>0</x:v>
      </x:c>
      <x:c r="K11" s="62" t="n">
        <x:f>'Monthly Model'!I64</x:f>
        <x:v>-65222.97339109756</x:v>
      </x:c>
      <x:c r="L11" s="139"/>
      <x:c r="M11" s="62" t="n">
        <x:f>IF(L11="",0,L11-K11)</x:f>
        <x:v>0</x:v>
      </x:c>
      <x:c r="N11" s="62" t="n">
        <x:f>'Monthly Model'!I78</x:f>
        <x:v>1590226.5057595083</x:v>
      </x:c>
      <x:c r="O11" s="139"/>
      <x:c r="P11" s="117" t="str"/>
    </x:row>
    <x:row r="12">
      <x:c r="A12" s="149" t="n">
        <x:f>'Monthly Model'!J4</x:f>
        <x:v>46447</x:v>
      </x:c>
      <x:c r="B12" s="68" t="n">
        <x:f>'Monthly Model'!J11</x:f>
        <x:v>39.1940225190581</x:v>
      </x:c>
      <x:c r="C12" s="151"/>
      <x:c r="D12" s="66" t="n">
        <x:f>IF(C12="",0,C12/B12-1)</x:f>
        <x:v>0</x:v>
      </x:c>
      <x:c r="E12" s="68" t="n">
        <x:f>'Monthly Model'!J16</x:f>
        <x:v>1.1345486242325067</x:v>
      </x:c>
      <x:c r="F12" s="151"/>
      <x:c r="G12" s="66" t="n">
        <x:f>IF(F12="",0,F12/E12-1)</x:f>
        <x:v>0</x:v>
      </x:c>
      <x:c r="H12" s="62" t="n">
        <x:f>'Monthly Model'!J30</x:f>
        <x:v>189596.8323145235</x:v>
      </x:c>
      <x:c r="I12" s="139"/>
      <x:c r="J12" s="66" t="n">
        <x:f>IF(I12="",0,I12/H12-1)</x:f>
        <x:v>0</x:v>
      </x:c>
      <x:c r="K12" s="62" t="n">
        <x:f>'Monthly Model'!J64</x:f>
        <x:v>-82035.92501544954</x:v>
      </x:c>
      <x:c r="L12" s="139"/>
      <x:c r="M12" s="62" t="n">
        <x:f>IF(L12="",0,L12-K12)</x:f>
        <x:v>0</x:v>
      </x:c>
      <x:c r="N12" s="62" t="n">
        <x:f>'Monthly Model'!J78</x:f>
        <x:v>1521978.6755694384</x:v>
      </x:c>
      <x:c r="O12" s="139"/>
      <x:c r="P12" s="117" t="str"/>
    </x:row>
    <x:row r="13">
      <x:c r="A13" s="149" t="n">
        <x:f>'Monthly Model'!K4</x:f>
        <x:v>46478</x:v>
      </x:c>
      <x:c r="B13" s="68" t="n">
        <x:f>'Monthly Model'!K11</x:f>
        <x:v>41.82834183757424</x:v>
      </x:c>
      <x:c r="C13" s="151"/>
      <x:c r="D13" s="66" t="n">
        <x:f>IF(C13="",0,C13/B13-1)</x:f>
        <x:v>0</x:v>
      </x:c>
      <x:c r="E13" s="68" t="n">
        <x:f>'Monthly Model'!K16</x:f>
        <x:v>1.2122302616876033</x:v>
      </x:c>
      <x:c r="F13" s="151"/>
      <x:c r="G13" s="66" t="n">
        <x:f>IF(F13="",0,F13/E13-1)</x:f>
        <x:v>0</x:v>
      </x:c>
      <x:c r="H13" s="62" t="n">
        <x:f>'Monthly Model'!K30</x:f>
        <x:v>205729.13593430037</x:v>
      </x:c>
      <x:c r="I13" s="139"/>
      <x:c r="J13" s="66" t="n">
        <x:f>IF(I13="",0,I13/H13-1)</x:f>
        <x:v>0</x:v>
      </x:c>
      <x:c r="K13" s="62" t="n">
        <x:f>'Monthly Model'!K64</x:f>
        <x:v>-68939.98490462569</x:v>
      </x:c>
      <x:c r="L13" s="139"/>
      <x:c r="M13" s="62" t="n">
        <x:f>IF(L13="",0,L13-K13)</x:f>
        <x:v>0</x:v>
      </x:c>
      <x:c r="N13" s="62" t="n">
        <x:f>'Monthly Model'!K78</x:f>
        <x:v>1481535.5866683144</x:v>
      </x:c>
      <x:c r="O13" s="139"/>
      <x:c r="P13" s="117" t="str"/>
    </x:row>
    <x:row r="14">
      <x:c r="A14" s="149" t="n">
        <x:f>'Monthly Model'!L4</x:f>
        <x:v>46508</x:v>
      </x:c>
      <x:c r="B14" s="68" t="n">
        <x:f>'Monthly Model'!L11</x:f>
        <x:v>44.63421513670912</x:v>
      </x:c>
      <x:c r="C14" s="151"/>
      <x:c r="D14" s="66" t="n">
        <x:f>IF(C14="",0,C14/B14-1)</x:f>
        <x:v>0</x:v>
      </x:c>
      <x:c r="E14" s="68" t="n">
        <x:f>'Monthly Model'!L16</x:f>
        <x:v>1.2955632128693835</x:v>
      </x:c>
      <x:c r="F14" s="151"/>
      <x:c r="G14" s="66" t="n">
        <x:f>IF(F14="",0,F14/E14-1)</x:f>
        <x:v>0</x:v>
      </x:c>
      <x:c r="H14" s="62" t="n">
        <x:f>'Monthly Model'!L30</x:f>
        <x:v>222971.03653493302</x:v>
      </x:c>
      <x:c r="I14" s="139"/>
      <x:c r="J14" s="66" t="n">
        <x:f>IF(I14="",0,I14/H14-1)</x:f>
        <x:v>0</x:v>
      </x:c>
      <x:c r="K14" s="62" t="n">
        <x:f>'Monthly Model'!L64</x:f>
        <x:v>-67863.55772667</x:v>
      </x:c>
      <x:c r="L14" s="139"/>
      <x:c r="M14" s="62" t="n">
        <x:f>IF(L14="",0,L14-K14)</x:f>
        <x:v>0</x:v>
      </x:c>
      <x:c r="N14" s="62" t="n">
        <x:f>'Monthly Model'!L78</x:f>
        <x:v>6440684.616458187</x:v>
      </x:c>
      <x:c r="O14" s="139"/>
      <x:c r="P14" s="117" t="str"/>
    </x:row>
    <x:row r="15">
      <x:c r="A15" s="149" t="n">
        <x:f>'Monthly Model'!M4</x:f>
        <x:v>46539</x:v>
      </x:c>
      <x:c r="B15" s="68" t="n">
        <x:f>'Monthly Model'!M11</x:f>
        <x:v>47.622869604545585</x:v>
      </x:c>
      <x:c r="C15" s="151"/>
      <x:c r="D15" s="66" t="n">
        <x:f>IF(C15="",0,C15/B15-1)</x:f>
        <x:v>0</x:v>
      </x:c>
      <x:c r="E15" s="68" t="n">
        <x:f>'Monthly Model'!M16</x:f>
        <x:v>1.38467188066414</x:v>
      </x:c>
      <x:c r="F15" s="151"/>
      <x:c r="G15" s="66" t="n">
        <x:f>IF(F15="",0,F15/E15-1)</x:f>
        <x:v>0</x:v>
      </x:c>
      <x:c r="H15" s="62" t="n">
        <x:f>'Monthly Model'!M30</x:f>
        <x:v>243675.0655413614</x:v>
      </x:c>
      <x:c r="I15" s="139"/>
      <x:c r="J15" s="66" t="n">
        <x:f>IF(I15="",0,I15/H15-1)</x:f>
        <x:v>0</x:v>
      </x:c>
      <x:c r="K15" s="62" t="n">
        <x:f>'Monthly Model'!M64</x:f>
        <x:v>-51025.68695391473</x:v>
      </x:c>
      <x:c r="L15" s="139"/>
      <x:c r="M15" s="62" t="n">
        <x:f>IF(L15="",0,L15-K15)</x:f>
        <x:v>0</x:v>
      </x:c>
      <x:c r="N15" s="62" t="n">
        <x:f>'Monthly Model'!M78</x:f>
        <x:v>6414209.887612693</x:v>
      </x:c>
      <x:c r="O15" s="139"/>
      <x:c r="P15" s="117" t="str"/>
    </x:row>
    <x:row r="16">
      <x:c r="A16" s="149" t="n">
        <x:f>'Monthly Model'!N4</x:f>
        <x:v>46569</x:v>
      </x:c>
      <x:c r="B16" s="68" t="n">
        <x:f>'Monthly Model'!N11</x:f>
        <x:v>50.80913900630055</x:v>
      </x:c>
      <x:c r="C16" s="151"/>
      <x:c r="D16" s="66" t="n">
        <x:f>IF(C16="",0,C16/B16-1)</x:f>
        <x:v>0</x:v>
      </x:c>
      <x:c r="E16" s="68" t="n">
        <x:f>'Monthly Model'!N16</x:f>
        <x:v>1.4799095529396682</x:v>
      </x:c>
      <x:c r="F16" s="151"/>
      <x:c r="G16" s="66" t="n">
        <x:f>IF(F16="",0,F16/E16-1)</x:f>
        <x:v>0</x:v>
      </x:c>
      <x:c r="H16" s="62" t="n">
        <x:f>'Monthly Model'!N30</x:f>
        <x:v>265207.2655923022</x:v>
      </x:c>
      <x:c r="I16" s="139"/>
      <x:c r="J16" s="66" t="n">
        <x:f>IF(I16="",0,I16/H16-1)</x:f>
        <x:v>0</x:v>
      </x:c>
      <x:c r="K16" s="62" t="n">
        <x:f>'Monthly Model'!N64</x:f>
        <x:v>-33525.14908001028</x:v>
      </x:c>
      <x:c r="L16" s="139"/>
      <x:c r="M16" s="62" t="n">
        <x:f>IF(L16="",0,L16-K16)</x:f>
        <x:v>0</x:v>
      </x:c>
      <x:c r="N16" s="62" t="n">
        <x:f>'Monthly Model'!N78</x:f>
        <x:v>6403839.175647943</x:v>
      </x:c>
      <x:c r="O16" s="139"/>
      <x:c r="P16" s="117" t="str"/>
    </x:row>
    <x:row r="17">
      <x:c r="A17" s="149" t="n">
        <x:f>'Monthly Model'!O4</x:f>
        <x:v>46600</x:v>
      </x:c>
      <x:c r="B17" s="68" t="n">
        <x:f>'Monthly Model'!O11</x:f>
        <x:v>54.20521407969962</x:v>
      </x:c>
      <x:c r="C17" s="151"/>
      <x:c r="D17" s="66" t="n">
        <x:f>IF(C17="",0,C17/B17-1)</x:f>
        <x:v>0</x:v>
      </x:c>
      <x:c r="E17" s="68" t="n">
        <x:f>'Monthly Model'!O16</x:f>
        <x:v>1.5817134958645196</x:v>
      </x:c>
      <x:c r="F17" s="151"/>
      <x:c r="G17" s="66" t="n">
        <x:f>IF(F17="",0,F17/E17-1)</x:f>
        <x:v>0</x:v>
      </x:c>
      <x:c r="H17" s="62" t="n">
        <x:f>'Monthly Model'!O30</x:f>
        <x:v>295022.1388243961</x:v>
      </x:c>
      <x:c r="I17" s="139"/>
      <x:c r="J17" s="66" t="n">
        <x:f>IF(I17="",0,I17/H17-1)</x:f>
        <x:v>0</x:v>
      </x:c>
      <x:c r="K17" s="62" t="n">
        <x:f>'Monthly Model'!O64</x:f>
        <x:v>-8330.728964173293</x:v>
      </x:c>
      <x:c r="L17" s="139"/>
      <x:c r="M17" s="62" t="n">
        <x:f>IF(L17="",0,L17-K17)</x:f>
        <x:v>0</x:v>
      </x:c>
      <x:c r="N17" s="62" t="n">
        <x:f>'Monthly Model'!O78</x:f>
        <x:v>6415410.414749792</x:v>
      </x:c>
      <x:c r="O17" s="139"/>
      <x:c r="P17" s="117" t="str"/>
    </x:row>
    <x:row r="18">
      <x:c r="A18" s="149" t="n">
        <x:f>'Monthly Model'!P4</x:f>
        <x:v>46631</x:v>
      </x:c>
      <x:c r="B18" s="68" t="n">
        <x:f>'Monthly Model'!P11</x:f>
        <x:v>57.82257504534825</x:v>
      </x:c>
      <x:c r="C18" s="151"/>
      <x:c r="D18" s="66" t="n">
        <x:f>IF(C18="",0,C18/B18-1)</x:f>
        <x:v>0</x:v>
      </x:c>
      <x:c r="E18" s="68" t="n">
        <x:f>'Monthly Model'!P16</x:f>
        <x:v>1.6905801777916434</x:v>
      </x:c>
      <x:c r="F18" s="151"/>
      <x:c r="G18" s="66" t="n">
        <x:f>IF(F18="",0,F18/E18-1)</x:f>
        <x:v>0</x:v>
      </x:c>
      <x:c r="H18" s="62" t="n">
        <x:f>'Monthly Model'!P30</x:f>
        <x:v>318343.800946793</x:v>
      </x:c>
      <x:c r="I18" s="139"/>
      <x:c r="J18" s="66" t="n">
        <x:f>IF(I18="",0,I18/H18-1)</x:f>
        <x:v>0</x:v>
      </x:c>
      <x:c r="K18" s="62" t="n">
        <x:f>'Monthly Model'!P64</x:f>
        <x:v>-2245.8498111868976</x:v>
      </x:c>
      <x:c r="L18" s="139"/>
      <x:c r="M18" s="62" t="n">
        <x:f>IF(L18="",0,L18-K18)</x:f>
        <x:v>0</x:v>
      </x:c>
      <x:c r="N18" s="62" t="n">
        <x:f>'Monthly Model'!P78</x:f>
        <x:v>6434338.839963424</x:v>
      </x:c>
      <x:c r="O18" s="139"/>
      <x:c r="P18" s="117" t="str"/>
    </x:row>
    <x:row r="19">
      <x:c r="A19" s="149" t="n">
        <x:f>'Monthly Model'!Q4</x:f>
        <x:v>46661</x:v>
      </x:c>
      <x:c r="B19" s="68" t="n">
        <x:f>'Monthly Model'!Q11</x:f>
        <x:v>61.67565177842822</x:v>
      </x:c>
      <x:c r="C19" s="151"/>
      <x:c r="D19" s="66" t="n">
        <x:f>IF(C19="",0,C19/B19-1)</x:f>
        <x:v>0</x:v>
      </x:c>
      <x:c r="E19" s="68" t="n">
        <x:f>'Monthly Model'!Q16</x:f>
        <x:v>1.8070518994952973</x:v>
      </x:c>
      <x:c r="F19" s="151"/>
      <x:c r="G19" s="66" t="n">
        <x:f>IF(F19="",0,F19/E19-1)</x:f>
        <x:v>0</x:v>
      </x:c>
      <x:c r="H19" s="62" t="n">
        <x:f>'Monthly Model'!Q30</x:f>
        <x:v>343230.1303617617</x:v>
      </x:c>
      <x:c r="I19" s="139"/>
      <x:c r="J19" s="66" t="n">
        <x:f>IF(I19="",0,I19/H19-1)</x:f>
        <x:v>0</x:v>
      </x:c>
      <x:c r="K19" s="62" t="n">
        <x:f>'Monthly Model'!Q64</x:f>
        <x:v>18028.51151791375</x:v>
      </x:c>
      <x:c r="L19" s="139"/>
      <x:c r="M19" s="62" t="n">
        <x:f>IF(L19="",0,L19-K19)</x:f>
        <x:v>0</x:v>
      </x:c>
      <x:c r="N19" s="62" t="n">
        <x:f>'Monthly Model'!Q78</x:f>
        <x:v>6471759.207952445</x:v>
      </x:c>
      <x:c r="O19" s="139"/>
      <x:c r="P19" s="117" t="str"/>
    </x:row>
    <x:row r="20">
      <x:c r="A20" s="149" t="n">
        <x:f>'Monthly Model'!R4</x:f>
        <x:v>46692</x:v>
      </x:c>
      <x:c r="B20" s="68" t="n">
        <x:f>'Monthly Model'!R11</x:f>
        <x:v>65.77982019951635</x:v>
      </x:c>
      <x:c r="C20" s="151"/>
      <x:c r="D20" s="66" t="n">
        <x:f>IF(C20="",0,C20/B20-1)</x:f>
        <x:v>0</x:v>
      </x:c>
      <x:c r="E20" s="68" t="n">
        <x:f>'Monthly Model'!R16</x:f>
        <x:v>1.9316310947968658</x:v>
      </x:c>
      <x:c r="F20" s="151"/>
      <x:c r="G20" s="66" t="n">
        <x:f>IF(F20="",0,F20/E20-1)</x:f>
        <x:v>0</x:v>
      </x:c>
      <x:c r="H20" s="62" t="n">
        <x:f>'Monthly Model'!R30</x:f>
        <x:v>369785.77515840804</x:v>
      </x:c>
      <x:c r="I20" s="139"/>
      <x:c r="J20" s="66" t="n">
        <x:f>IF(I20="",0,I20/H20-1)</x:f>
        <x:v>0</x:v>
      </x:c>
      <x:c r="K20" s="62" t="n">
        <x:f>'Monthly Model'!R64</x:f>
        <x:v>39660.60158427703</x:v>
      </x:c>
      <x:c r="L20" s="139"/>
      <x:c r="M20" s="62" t="n">
        <x:f>IF(L20="",0,L20-K20)</x:f>
        <x:v>0</x:v>
      </x:c>
      <x:c r="N20" s="62" t="n">
        <x:f>'Monthly Model'!R78</x:f>
        <x:v>6528937.370454986</x:v>
      </x:c>
      <x:c r="O20" s="139"/>
      <x:c r="P20" s="117" t="str"/>
    </x:row>
    <x:row r="21">
      <x:c r="A21" s="149" t="n">
        <x:f>'Monthly Model'!S4</x:f>
        <x:v>46722</x:v>
      </x:c>
      <x:c r="B21" s="68" t="n">
        <x:f>'Monthly Model'!S11</x:f>
        <x:v>70.15145565367027</x:v>
      </x:c>
      <x:c r="C21" s="151"/>
      <x:c r="D21" s="66" t="n">
        <x:f>IF(C21="",0,C21/B21-1)</x:f>
        <x:v>0</x:v>
      </x:c>
      <x:c r="E21" s="68" t="n">
        <x:f>'Monthly Model'!S16</x:f>
        <x:v>2.0648814881971846</x:v>
      </x:c>
      <x:c r="F21" s="151"/>
      <x:c r="G21" s="66" t="n">
        <x:f>IF(F21="",0,F21/E21-1)</x:f>
        <x:v>0</x:v>
      </x:c>
      <x:c r="H21" s="62" t="n">
        <x:f>'Monthly Model'!S30</x:f>
        <x:v>398127.10373926285</x:v>
      </x:c>
      <x:c r="I21" s="139"/>
      <x:c r="J21" s="66" t="n">
        <x:f>IF(I21="",0,I21/H21-1)</x:f>
        <x:v>0</x:v>
      </x:c>
      <x:c r="K21" s="62" t="n">
        <x:f>'Monthly Model'!S64</x:f>
        <x:v>62744.79929580036</x:v>
      </x:c>
      <x:c r="L21" s="139"/>
      <x:c r="M21" s="62" t="n">
        <x:f>IF(L21="",0,L21-K21)</x:f>
        <x:v>0</x:v>
      </x:c>
      <x:c r="N21" s="62" t="n">
        <x:f>'Monthly Model'!S78</x:f>
        <x:v>6607222.975682851</x:v>
      </x:c>
      <x:c r="O21" s="139"/>
      <x:c r="P21" s="117" t="str"/>
    </x:row>
    <x:row r="22">
      <x:c r="A22" s="149" t="n">
        <x:f>'Monthly Model'!T4</x:f>
        <x:v>46753</x:v>
      </x:c>
      <x:c r="B22" s="68" t="n">
        <x:f>'Monthly Model'!T11</x:f>
        <x:v>74.80800247531783</x:v>
      </x:c>
      <x:c r="C22" s="151"/>
      <x:c r="D22" s="66" t="n">
        <x:f>IF(C22="",0,C22/B22-1)</x:f>
        <x:v>0</x:v>
      </x:c>
      <x:c r="E22" s="68" t="n">
        <x:f>'Monthly Model'!T16</x:f>
        <x:v>2.2074455469768384</x:v>
      </x:c>
      <x:c r="F22" s="151"/>
      <x:c r="G22" s="66" t="n">
        <x:f>IF(F22="",0,F22/E22-1)</x:f>
        <x:v>0</x:v>
      </x:c>
      <x:c r="H22" s="62" t="n">
        <x:f>'Monthly Model'!T30</x:f>
        <x:v>428377.4920295228</x:v>
      </x:c>
      <x:c r="I22" s="139"/>
      <x:c r="J22" s="66" t="n">
        <x:f>IF(I22="",0,I22/H22-1)</x:f>
        <x:v>0</x:v>
      </x:c>
      <x:c r="K22" s="62" t="n">
        <x:f>'Monthly Model'!T64</x:f>
        <x:v>87381.34405898518</x:v>
      </x:c>
      <x:c r="L22" s="139"/>
      <x:c r="M22" s="62" t="n">
        <x:f>IF(L22="",0,L22-K22)</x:f>
        <x:v>0</x:v>
      </x:c>
      <x:c r="N22" s="62" t="n">
        <x:f>'Monthly Model'!T78</x:f>
        <x:v>6708059.760469016</x:v>
      </x:c>
      <x:c r="O22" s="139"/>
      <x:c r="P22" s="117" t="str"/>
    </x:row>
    <x:row r="23">
      <x:c r="A23" s="149" t="n">
        <x:f>'Monthly Model'!U4</x:f>
        <x:v>46784</x:v>
      </x:c>
      <x:c r="B23" s="68" t="n">
        <x:f>'Monthly Model'!U11</x:f>
        <x:v>79.76804544928694</x:v>
      </x:c>
      <x:c r="C23" s="151"/>
      <x:c r="D23" s="66" t="n">
        <x:f>IF(C23="",0,C23/B23-1)</x:f>
        <x:v>0</x:v>
      </x:c>
      <x:c r="E23" s="68" t="n">
        <x:f>'Monthly Model'!U16</x:f>
        <x:v>2.360018428372483</x:v>
      </x:c>
      <x:c r="F23" s="151"/>
      <x:c r="G23" s="66" t="n">
        <x:f>IF(F23="",0,F23/E23-1)</x:f>
        <x:v>0</x:v>
      </x:c>
      <x:c r="H23" s="62" t="n">
        <x:f>'Monthly Model'!U30</x:f>
        <x:v>460668.2507062379</x:v>
      </x:c>
      <x:c r="I23" s="139"/>
      <x:c r="J23" s="66" t="n">
        <x:f>IF(I23="",0,I23/H23-1)</x:f>
        <x:v>0</x:v>
      </x:c>
      <x:c r="K23" s="62" t="n">
        <x:f>'Monthly Model'!U64</x:f>
        <x:v>78260.11623361899</x:v>
      </x:c>
      <x:c r="L23" s="139"/>
      <x:c r="M23" s="62" t="n">
        <x:f>IF(L23="",0,L23-K23)</x:f>
        <x:v>0</x:v>
      </x:c>
      <x:c r="N23" s="62" t="n">
        <x:f>'Monthly Model'!U78</x:f>
        <x:v>6797575.881785103</x:v>
      </x:c>
      <x:c r="O23" s="139"/>
      <x:c r="P23" s="117" t="str"/>
    </x:row>
    <x:row r="24">
      <x:c r="A24" s="149" t="n">
        <x:f>'Monthly Model'!V4</x:f>
        <x:v>46813</x:v>
      </x:c>
      <x:c r="B24" s="68" t="n">
        <x:f>'Monthly Model'!V11</x:f>
        <x:v>85.05138241539318</x:v>
      </x:c>
      <x:c r="C24" s="151"/>
      <x:c r="D24" s="66" t="n">
        <x:f>IF(C24="",0,C24/B24-1)</x:f>
        <x:v>0</x:v>
      </x:c>
      <x:c r="E24" s="68" t="n">
        <x:f>'Monthly Model'!V16</x:f>
        <x:v>2.5233528432213603</x:v>
      </x:c>
      <x:c r="F24" s="151"/>
      <x:c r="G24" s="66" t="n">
        <x:f>IF(F24="",0,F24/E24-1)</x:f>
        <x:v>0</x:v>
      </x:c>
      <x:c r="H24" s="62" t="n">
        <x:f>'Monthly Model'!V30</x:f>
        <x:v>495143.71215727454</x:v>
      </x:c>
      <x:c r="I24" s="139"/>
      <x:c r="J24" s="66" t="n">
        <x:f>IF(I24="",0,I24/H24-1)</x:f>
        <x:v>0</x:v>
      </x:c>
      <x:c r="K24" s="62" t="n">
        <x:f>'Monthly Model'!V64</x:f>
        <x:v>106331.45626910913</x:v>
      </x:c>
      <x:c r="L24" s="139"/>
      <x:c r="M24" s="62" t="n">
        <x:f>IF(L24="",0,L24-K24)</x:f>
        <x:v>0</x:v>
      </x:c>
      <x:c r="N24" s="62" t="n">
        <x:f>'Monthly Model'!V78</x:f>
        <x:v>6933866.858589871</x:v>
      </x:c>
      <x:c r="O24" s="139"/>
      <x:c r="P24" s="117" t="str"/>
    </x:row>
    <x:row r="25">
      <x:c r="A25" s="149" t="n">
        <x:f>'Monthly Model'!W4</x:f>
        <x:v>46844</x:v>
      </x:c>
      <x:c r="B25" s="68" t="n">
        <x:f>'Monthly Model'!W11</x:f>
        <x:v>90.67910660454682</x:v>
      </x:c>
      <x:c r="C25" s="151"/>
      <x:c r="D25" s="66" t="n">
        <x:f>IF(C25="",0,C25/B25-1)</x:f>
        <x:v>0</x:v>
      </x:c>
      <x:c r="E25" s="68" t="n">
        <x:f>'Monthly Model'!W16</x:f>
        <x:v>2.6982647165201317</x:v>
      </x:c>
      <x:c r="F25" s="151"/>
      <x:c r="G25" s="66" t="n">
        <x:f>IF(F25="",0,F25/E25-1)</x:f>
        <x:v>0</x:v>
      </x:c>
      <x:c r="H25" s="62" t="n">
        <x:f>'Monthly Model'!W30</x:f>
        <x:v>531959.8538524267</x:v>
      </x:c>
      <x:c r="I25" s="139"/>
      <x:c r="J25" s="66" t="n">
        <x:f>IF(I25="",0,I25/H25-1)</x:f>
        <x:v>0</x:v>
      </x:c>
      <x:c r="K25" s="62" t="n">
        <x:f>'Monthly Model'!W64</x:f>
        <x:v>136305.11289673246</x:v>
      </x:c>
      <x:c r="L25" s="139"/>
      <x:c r="M25" s="62" t="n">
        <x:f>IF(L25="",0,L25-K25)</x:f>
        <x:v>0</x:v>
      </x:c>
      <x:c r="N25" s="62" t="n">
        <x:f>'Monthly Model'!W78</x:f>
        <x:v>7115001.7964654695</x:v>
      </x:c>
      <x:c r="O25" s="139"/>
      <x:c r="P25" s="117" t="str"/>
    </x:row>
    <x:row r="26">
      <x:c r="A26" s="149" t="n">
        <x:f>'Monthly Model'!X4</x:f>
        <x:v>46874</x:v>
      </x:c>
      <x:c r="B26" s="68" t="n">
        <x:f>'Monthly Model'!X11</x:f>
        <x:v>96.67369316365041</x:v>
      </x:c>
      <x:c r="C26" s="151"/>
      <x:c r="D26" s="66" t="n">
        <x:f>IF(C26="",0,C26/B26-1)</x:f>
        <x:v>0</x:v>
      </x:c>
      <x:c r="E26" s="68" t="n">
        <x:f>'Monthly Model'!X16</x:f>
        <x:v>2.8856393491643573</x:v>
      </x:c>
      <x:c r="F26" s="151"/>
      <x:c r="G26" s="66" t="n">
        <x:f>IF(F26="",0,F26/E26-1)</x:f>
        <x:v>0</x:v>
      </x:c>
      <x:c r="H26" s="62" t="n">
        <x:f>'Monthly Model'!X30</x:f>
        <x:v>571284.6856770051</x:v>
      </x:c>
      <x:c r="I26" s="139"/>
      <x:c r="J26" s="66" t="n">
        <x:f>IF(I26="",0,I26/H26-1)</x:f>
        <x:v>0</x:v>
      </x:c>
      <x:c r="K26" s="62" t="n">
        <x:f>'Monthly Model'!X64</x:f>
        <x:v>168317.20422925765</x:v>
      </x:c>
      <x:c r="L26" s="139"/>
      <x:c r="M26" s="62" t="n">
        <x:f>IF(L26="",0,L26-K26)</x:f>
        <x:v>0</x:v>
      </x:c>
      <x:c r="N26" s="62" t="n">
        <x:f>'Monthly Model'!X78</x:f>
        <x:v>7328071.991759347</x:v>
      </x:c>
      <x:c r="O26" s="139"/>
      <x:c r="P26" s="117" t="str"/>
    </x:row>
    <x:row r="27">
      <x:c r="A27" s="149" t="n">
        <x:f>'Monthly Model'!Y4</x:f>
        <x:v>46905</x:v>
      </x:c>
      <x:c r="B27" s="68" t="n">
        <x:f>'Monthly Model'!Y11</x:f>
        <x:v>103.05909064986653</x:v>
      </x:c>
      <x:c r="C27" s="151"/>
      <x:c r="D27" s="66" t="n">
        <x:f>IF(C27="",0,C27/B27-1)</x:f>
        <x:v>0</x:v>
      </x:c>
      <x:c r="E27" s="68" t="n">
        <x:f>'Monthly Model'!Y16</x:f>
        <x:v>3.086438309918954</x:v>
      </x:c>
      <x:c r="F27" s="151"/>
      <x:c r="G27" s="66" t="n">
        <x:f>IF(F27="",0,F27/E27-1)</x:f>
        <x:v>0</x:v>
      </x:c>
      <x:c r="H27" s="62" t="n">
        <x:f>'Monthly Model'!Y30</x:f>
        <x:v>613299.3570906547</x:v>
      </x:c>
      <x:c r="I27" s="139"/>
      <x:c r="J27" s="66" t="n">
        <x:f>IF(I27="",0,I27/H27-1)</x:f>
        <x:v>0</x:v>
      </x:c>
      <x:c r="K27" s="62" t="n">
        <x:f>'Monthly Model'!Y64</x:f>
        <x:v>189597.77257046336</x:v>
      </x:c>
      <x:c r="L27" s="139"/>
      <x:c r="M27" s="62" t="n">
        <x:f>IF(L27="",0,L27-K27)</x:f>
        <x:v>0</x:v>
      </x:c>
      <x:c r="N27" s="62" t="n">
        <x:f>'Monthly Model'!Y78</x:f>
        <x:v>7562391.900116547</x:v>
      </x:c>
      <x:c r="O27" s="139"/>
      <x:c r="P27" s="117" t="str"/>
    </x:row>
    <x:row r="28">
      <x:c r="A28" s="149" t="n">
        <x:f>'Monthly Model'!Z4</x:f>
        <x:v>46935</x:v>
      </x:c>
      <x:c r="B28" s="68" t="n">
        <x:f>'Monthly Model'!Z11</x:f>
        <x:v>109.86081858326506</x:v>
      </x:c>
      <x:c r="C28" s="151"/>
      <x:c r="D28" s="66" t="n">
        <x:f>IF(C28="",0,C28/B28-1)</x:f>
        <x:v>0</x:v>
      </x:c>
      <x:c r="E28" s="68" t="n">
        <x:f>'Monthly Model'!Z16</x:f>
        <x:v>3.301707174349495</x:v>
      </x:c>
      <x:c r="F28" s="151"/>
      <x:c r="G28" s="66" t="n">
        <x:f>IF(F28="",0,F28/E28-1)</x:f>
        <x:v>0</x:v>
      </x:c>
      <x:c r="H28" s="62" t="n">
        <x:f>'Monthly Model'!Z30</x:f>
        <x:v>658198.8882499314</x:v>
      </x:c>
      <x:c r="I28" s="139"/>
      <x:c r="J28" s="66" t="n">
        <x:f>IF(I28="",0,I28/H28-1)</x:f>
        <x:v>0</x:v>
      </x:c>
      <x:c r="K28" s="62" t="n">
        <x:f>'Monthly Model'!Z64</x:f>
        <x:v>226138.02264632954</x:v>
      </x:c>
      <x:c r="L28" s="139"/>
      <x:c r="M28" s="62" t="n">
        <x:f>IF(L28="",0,L28-K28)</x:f>
        <x:v>0</x:v>
      </x:c>
      <x:c r="N28" s="62" t="n">
        <x:f>'Monthly Model'!Z78</x:f>
        <x:v>7833289.265228289</x:v>
      </x:c>
      <x:c r="O28" s="139"/>
      <x:c r="P28" s="117" t="str"/>
    </x:row>
  </x:sheetData>
  <x:mergeCells>
    <x:mergeCell ref="A1:P1"/>
    <x:mergeCell ref="A2:P2"/>
  </x:mergeCells>
  <x:conditionalFormatting sqref="D5:D2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5:G28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5:J28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5:M28">
    <x:cfRule type="expression" dxfId="4" priority="4">
      <x:formula>M5&lt;0</x:formula>
    </x:cfRule>
  </x:conditionalFormatting>
  <x:pageMargins left="0.7" right="0.7" top="0.75" bottom="0.75" header="0.3" footer="0.3"/>
</x:worksheet>
</file>