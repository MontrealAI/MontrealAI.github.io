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f71006978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9730a2eb17b64777"/>
    <x:sheet xmlns:r="http://schemas.openxmlformats.org/officeDocument/2006/relationships" name="Revenue Build" sheetId="2" r:id="R04c2defce5994d22"/>
    <x:sheet xmlns:r="http://schemas.openxmlformats.org/officeDocument/2006/relationships" name="P&amp;L" sheetId="3" r:id="R9c36d3c4e9dc4d4b"/>
    <x:sheet xmlns:r="http://schemas.openxmlformats.org/officeDocument/2006/relationships" name="Cash &amp; Funding" sheetId="4" r:id="R78a1807eef3944fd"/>
    <x:sheet xmlns:r="http://schemas.openxmlformats.org/officeDocument/2006/relationships" name="Unit Economics" sheetId="5" r:id="R0dd18f1c3ad34da0"/>
    <x:sheet xmlns:r="http://schemas.openxmlformats.org/officeDocument/2006/relationships" name="Customer ROI" sheetId="6" r:id="Rd22b4e50e3bc407b"/>
    <x:sheet xmlns:r="http://schemas.openxmlformats.org/officeDocument/2006/relationships" name="Funnel &amp; CAC" sheetId="7" r:id="Rc8e452d136484795"/>
    <x:sheet xmlns:r="http://schemas.openxmlformats.org/officeDocument/2006/relationships" name="Scenario Summary" sheetId="8" r:id="Re7403b9b08c744b3"/>
    <x:sheet xmlns:r="http://schemas.openxmlformats.org/officeDocument/2006/relationships" name="Moat KPIs" sheetId="9" r:id="R1572a0123a5b44bf"/>
    <x:sheet xmlns:r="http://schemas.openxmlformats.org/officeDocument/2006/relationships" name="Sources" sheetId="10" r:id="R26af0bf4b6074500"/>
    <x:sheet xmlns:r="http://schemas.openxmlformats.org/officeDocument/2006/relationships" name="Dashboard" sheetId="11" r:id="Rceabafaed907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_);[Red]($#,##0);-"/>
    <x:numFmt numFmtId="201" formatCode="0.0%"/>
    <x:numFmt numFmtId="202" formatCode="#,##0_);[Red](#,##0);-"/>
    <x:numFmt numFmtId="203" formatCode="$0.0_);[Red]($0.0);-"/>
    <x:numFmt numFmtId="204" formatCode="0.0x"/>
    <x:numFmt numFmtId="205" formatCode="0.0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D6A13C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D6A13C"/>
      <x:name val="Carlito"/>
    </x:font>
    <x:font>
      <x:b/>
      <x:sz val="11"/>
      <x:color rgb="FF071827"/>
      <x:name val="Carlito"/>
    </x:font>
    <x:font>
      <x:sz val="11"/>
      <x:color rgb="FF071827"/>
      <x:name val="Carlito"/>
    </x:font>
    <x:font>
      <x:b/>
      <x:sz val="10"/>
      <x:color rgb="FFD6A13C"/>
      <x:name val="Carlito"/>
    </x:font>
    <x:font>
      <x:b/>
      <x:sz val="18"/>
      <x:color rgb="FF071827"/>
      <x:name val="Carlito"/>
    </x:font>
    <x:font>
      <x:b/>
      <x:sz val="12"/>
      <x:color rgb="FFD6A13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827"/>
      </x:patternFill>
    </x:fill>
    <x:fill>
      <x:patternFill patternType="solid">
        <x:fgColor rgb="FF0E2B3B"/>
      </x:patternFill>
    </x:fill>
    <x:fill>
      <x:patternFill patternType="solid">
        <x:fgColor rgb="FFF5EEDC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1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0" fontId="0" fillId="0" borderId="2" xfId="0" applyNumberFormat="1" applyFont="1" applyFill="1" applyBorder="1"/>
    <x:xf numFmtId="203" fontId="5" fillId="0" borderId="2" xfId="0" applyNumberFormat="1" applyFont="1" applyFill="1" applyBorder="1"/>
    <x:xf numFmtId="0" fontId="0" fillId="0" borderId="3" xfId="0" applyNumberFormat="1" applyFont="1" applyFill="1" applyBorder="1"/>
    <x:xf numFmtId="203" fontId="5" fillId="0" borderId="3" xfId="0" applyNumberFormat="1" applyFont="1" applyFill="1" applyBorder="1"/>
    <x:xf numFmtId="0" fontId="6" fillId="0" borderId="2" xfId="0" applyNumberFormat="1" applyFont="1" applyFill="1" applyBorder="1"/>
    <x:xf numFmtId="203" fontId="6" fillId="0" borderId="2" xfId="0" applyNumberFormat="1" applyFont="1" applyFill="1" applyBorder="1"/>
    <x:xf numFmtId="0" fontId="6" fillId="0" borderId="3" xfId="0" applyNumberFormat="1" applyFont="1" applyFill="1" applyBorder="1"/>
    <x:xf numFmtId="203" fontId="6" fillId="0" borderId="3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6" fillId="0" borderId="1" xfId="0" applyNumberFormat="1" applyFont="1" applyFill="1" applyBorder="1"/>
    <x:xf numFmtId="201" fontId="6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205" fontId="7" fillId="0" borderId="0" xfId="0" applyNumberFormat="1" applyFont="1" applyFill="1" applyBorder="1"/>
    <x:xf numFmtId="205" fontId="7" fillId="0" borderId="1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 applyAlignment="1">
      <x:alignment horizontal="center" vertical="center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11" fillId="3" borderId="1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 applyAlignment="1">
      <x:alignment horizontal="center" vertical="center"/>
    </x:xf>
    <x:xf numFmtId="0" fontId="12" fillId="4" borderId="1" xfId="0" applyNumberFormat="1" applyFont="1" applyFill="1" applyBorder="1"/>
    <x:xf numFmtId="0" fontId="12" fillId="4" borderId="1" xfId="0" applyNumberFormat="1" applyFont="1" applyFill="1" applyBorder="1" applyAlignment="1">
      <x:alignment horizontal="center"/>
    </x:xf>
    <x:xf numFmtId="0" fontId="12" fillId="4" borderId="1" xfId="0" applyNumberFormat="1" applyFont="1" applyFill="1" applyBorder="1" applyAlignment="1">
      <x:alignment horizontal="center" vertical="center"/>
    </x:xf>
    <x:xf numFmtId="203" fontId="12" fillId="4" borderId="0" xfId="0" applyNumberFormat="1" applyFont="1" applyFill="1" applyBorder="1" applyAlignment="1">
      <x:alignment horizontal="center" vertical="center"/>
    </x:xf>
    <x:xf numFmtId="203" fontId="12" fillId="4" borderId="1" xfId="0" applyNumberFormat="1" applyFont="1" applyFill="1" applyBorder="1" applyAlignment="1">
      <x:alignment horizontal="center" vertical="center"/>
    </x:xf>
    <x:xf numFmtId="201" fontId="12" fillId="4" borderId="0" xfId="0" applyNumberFormat="1" applyFont="1" applyFill="1" applyBorder="1" applyAlignment="1">
      <x:alignment horizontal="center" vertical="center"/>
    </x:xf>
    <x:xf numFmtId="201" fontId="12" fillId="4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horizontal="center" wrapText="1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3" fillId="2" borderId="1" xfId="0" applyNumberFormat="1" applyFont="1" applyFill="1" applyBorder="1"/>
    <x:xf numFmtId="0" fontId="13" fillId="2" borderId="1" xfId="0" applyNumberFormat="1" applyFont="1" applyFill="1" applyBorder="1" applyAlignment="1">
      <x:alignment wrapText="1"/>
    </x:xf>
    <x:xf numFmtId="0" fontId="13" fillId="2" borderId="1" xfId="0" applyNumberFormat="1" applyFont="1" applyFill="1" applyBorder="1" applyAlignment="1">
      <x:alignment horizontal="center" wrapText="1"/>
    </x:xf>
    <x:xf numFmtId="0" fontId="13" fillId="2" borderId="1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203" fontId="12" fillId="4" borderId="0" xfId="0" applyNumberFormat="1" applyFont="1" applyFill="1" applyBorder="1" applyAlignment="1">
      <x:alignment horizontal="center" vertical="center" wrapText="1"/>
    </x:xf>
    <x:xf numFmtId="201" fontId="12" fillId="4" borderId="0" xfId="0" applyNumberFormat="1" applyFont="1" applyFill="1" applyBorder="1" applyAlignment="1">
      <x:alignment horizontal="center" vertical="center" wrapText="1"/>
    </x:xf>
    <x:xf numFmtId="203" fontId="5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203" fontId="6" fillId="0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203" fontId="12" fillId="4" borderId="1" xfId="0" applyNumberFormat="1" applyFont="1" applyFill="1" applyBorder="1" applyAlignment="1">
      <x:alignment horizontal="center" vertical="center" wrapText="1"/>
    </x:xf>
    <x:xf numFmtId="201" fontId="12" fillId="4" borderId="1" xfId="0" applyNumberFormat="1" applyFont="1" applyFill="1" applyBorder="1" applyAlignment="1">
      <x:alignment horizontal="center" vertical="center" wrapText="1"/>
    </x:xf>
    <x:xf numFmtId="203" fontId="5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203" fontId="6" fillId="0" borderId="3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4" fontId="7" fillId="0" borderId="0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wrapText="1"/>
    </x:xf>
    <x:xf numFmtId="201" fontId="7" fillId="0" borderId="1" xfId="0" applyNumberFormat="1" applyFont="1" applyFill="1" applyBorder="1" applyAlignment="1">
      <x:alignment wrapText="1"/>
    </x:xf>
    <x:xf numFmtId="204" fontId="7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205" fontId="7" fillId="0" borderId="0" xfId="0" applyNumberFormat="1" applyFont="1" applyFill="1" applyBorder="1" applyAlignment="1">
      <x:alignment wrapText="1"/>
    </x:xf>
    <x:xf numFmtId="205" fontId="7" fillId="0" borderId="1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FF0000"/>
      </x:font>
    </x:dxf>
    <x:dxf>
      <x:font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1313ecb984cb3" /><Relationship Type="http://schemas.openxmlformats.org/officeDocument/2006/relationships/theme" Target="/xl/theme/theme1.xml" Id="Rdd1ccf779cb9493e" /><Relationship Type="http://schemas.openxmlformats.org/officeDocument/2006/relationships/sharedStrings" Target="/xl/sharedStrings.xml" Id="Rda947d9663fe4c55" /><Relationship Type="http://schemas.openxmlformats.org/officeDocument/2006/relationships/worksheet" Target="/xl/worksheets/sheet1.xml" Id="R9730a2eb17b64777" /><Relationship Type="http://schemas.openxmlformats.org/officeDocument/2006/relationships/worksheet" Target="/xl/worksheets/sheet2.xml" Id="R04c2defce5994d22" /><Relationship Type="http://schemas.openxmlformats.org/officeDocument/2006/relationships/worksheet" Target="/xl/worksheets/sheet3.xml" Id="R9c36d3c4e9dc4d4b" /><Relationship Type="http://schemas.openxmlformats.org/officeDocument/2006/relationships/worksheet" Target="/xl/worksheets/sheet4.xml" Id="R78a1807eef3944fd" /><Relationship Type="http://schemas.openxmlformats.org/officeDocument/2006/relationships/worksheet" Target="/xl/worksheets/sheet5.xml" Id="R0dd18f1c3ad34da0" /><Relationship Type="http://schemas.openxmlformats.org/officeDocument/2006/relationships/worksheet" Target="/xl/worksheets/sheet6.xml" Id="Rd22b4e50e3bc407b" /><Relationship Type="http://schemas.openxmlformats.org/officeDocument/2006/relationships/worksheet" Target="/xl/worksheets/sheet7.xml" Id="Rc8e452d136484795" /><Relationship Type="http://schemas.openxmlformats.org/officeDocument/2006/relationships/worksheet" Target="/xl/worksheets/sheet8.xml" Id="Re7403b9b08c744b3" /><Relationship Type="http://schemas.openxmlformats.org/officeDocument/2006/relationships/worksheet" Target="/xl/worksheets/sheet9.xml" Id="R1572a0123a5b44bf" /><Relationship Type="http://schemas.openxmlformats.org/officeDocument/2006/relationships/worksheet" Target="/xl/worksheets/sheet10.xml" Id="R26af0bf4b6074500" /><Relationship Type="http://schemas.openxmlformats.org/officeDocument/2006/relationships/worksheet" Target="/xl/worksheets/sheet11.xml" Id="Rceabafaed90742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cee3f6502f4aaf" /><Relationship Type="http://schemas.openxmlformats.org/officeDocument/2006/relationships/chart" Target="/xl/drawings/charts/chart2.xml" Id="R8243967214cf42d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Revenue, Gross Profit and EBITDA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'Dashboard'!$P$5:$P$9</c:f>
              <c:strCache>
                <c:ptCount val="0"/>
              </c:strCache>
            </c:strRef>
          </c:cat>
          <c:val>
            <c:numRef>
              <c:f>'Dashboard'!$Q$5:$Q$9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Gross Profit</c:v>
          </c:tx>
          <c:cat>
            <c:strRef>
              <c:f>'Dashboard'!$P$5:$P$9</c:f>
              <c:strCache>
                <c:ptCount val="0"/>
              </c:strCache>
            </c:strRef>
          </c:cat>
          <c:val>
            <c:numRef>
              <c:f>'Dashboard'!$R$5:$R$9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EBITDA</c:v>
          </c:tx>
          <c:cat>
            <c:strRef>
              <c:f>'Dashboard'!$P$5:$P$9</c:f>
              <c:strCache>
                <c:ptCount val="0"/>
              </c:strCache>
            </c:strRef>
          </c:cat>
          <c:val>
            <c:numRef>
              <c:f>'Dashboard'!$S$5:$S$9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Proof and Capability Scale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Proof Offices</c:v>
          </c:tx>
          <c:cat>
            <c:strRef>
              <c:f>'Dashboard'!$U$5:$U$9</c:f>
              <c:strCache>
                <c:ptCount val="0"/>
              </c:strCache>
            </c:strRef>
          </c:cat>
          <c:val>
            <c:numRef>
              <c:f>'Dashboard'!$V$5:$V$9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Chronicle Capabilities</c:v>
          </c:tx>
          <c:cat>
            <c:strRef>
              <c:f>'Dashboard'!$U$5:$U$9</c:f>
              <c:strCache>
                <c:ptCount val="0"/>
              </c:strCache>
            </c:strRef>
          </c:cat>
          <c:val>
            <c:numRef>
              <c:f>'Dashboard'!$W$5:$W$9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Fresh Successor Tests</c:v>
          </c:tx>
          <c:cat>
            <c:strRef>
              <c:f>'Dashboard'!$U$5:$U$9</c:f>
              <c:strCache>
                <c:ptCount val="0"/>
              </c:strCache>
            </c:strRef>
          </c:cat>
          <c:val>
            <c:numRef>
              <c:f>'Dashboard'!$X$5:$X$9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cee3f6502f4aaf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43967214cf42d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5d907cb66341b8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5" hidden="0" customWidth="1"/>
    <x:col min="4" max="4" width="17" hidden="0" customWidth="1"/>
    <x:col min="5" max="5" width="13" hidden="0" customWidth="1"/>
    <x:col min="6" max="6" width="4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34" customHeight="1">
      <x:c r="A1" s="34" t="str">
        <x:v>GoalOS Optimal Business Model - Assumptions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22" customHeight="1">
      <x:c r="A2" s="35" t="str">
        <x:v>Blue = editable inputs | Green = linked formulas | Black = calculations | All figures are management hypotheses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20" t="str">
        <x:v>Product</x:v>
      </x:c>
      <x:c r="B4" s="20" t="str">
        <x:v>Unit</x:v>
      </x:c>
      <x:c r="C4" s="20" t="str">
        <x:v>Price / Rate</x:v>
      </x:c>
      <x:c r="D4" s="20" t="str">
        <x:v>Direct cost / rate</x:v>
      </x:c>
      <x:c r="E4" s="20" t="str">
        <x:v>Target GM</x:v>
      </x:c>
      <x:c r="F4" s="20" t="str">
        <x:v>Basis</x:v>
      </x:c>
      <x:c r="G4" s="20" t="str">
        <x:v>FY1</x:v>
      </x:c>
      <x:c r="H4" s="20" t="str">
        <x:v>FY2</x:v>
      </x:c>
      <x:c r="I4" s="20" t="str">
        <x:v>FY3</x:v>
      </x:c>
      <x:c r="J4" s="20" t="str">
        <x:v>FY4</x:v>
      </x:c>
      <x:c r="K4" s="20" t="str">
        <x:v>FY5</x:v>
      </x:c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</x:row>
    <x:row r="5">
      <x:c r="A5" s="36" t="str">
        <x:v>Frontier MasterClass</x:v>
      </x:c>
      <x:c r="B5" s="36" t="str">
        <x:v>event</x:v>
      </x:c>
      <x:c r="C5" s="37" t="n">
        <x:v>25000</x:v>
      </x:c>
      <x:c r="D5" s="38" t="n">
        <x:v>0.1</x:v>
      </x:c>
      <x:c r="E5" s="38" t="n">
        <x:v>0.9</x:v>
      </x:c>
      <x:c r="F5" s="36" t="str">
        <x:v>Private enterprise session / category acquisition</x:v>
      </x:c>
      <x:c r="G5" s="39" t="n">
        <x:v>4</x:v>
      </x:c>
      <x:c r="H5" s="39" t="n">
        <x:v>8</x:v>
      </x:c>
      <x:c r="I5" s="39" t="n">
        <x:v>12</x:v>
      </x:c>
      <x:c r="J5" s="39" t="n">
        <x:v>20</x:v>
      </x:c>
      <x:c r="K5" s="39" t="n">
        <x:v>30</x:v>
      </x:c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</x:row>
    <x:row r="6">
      <x:c r="A6" s="36" t="str">
        <x:v>Proof Mission Activation</x:v>
      </x:c>
      <x:c r="B6" s="36" t="str">
        <x:v>activation</x:v>
      </x:c>
      <x:c r="C6" s="37" t="n">
        <x:v>15000</x:v>
      </x:c>
      <x:c r="D6" s="37" t="n">
        <x:v>500</x:v>
      </x:c>
      <x:c r="E6" s="38" t="n">
        <x:v>0.9666666666666667</x:v>
      </x:c>
      <x:c r="F6" s="36" t="str">
        <x:v>Fixed mission architecture and value case</x:v>
      </x:c>
      <x:c r="G6" s="39" t="n">
        <x:v>16</x:v>
      </x:c>
      <x:c r="H6" s="39" t="n">
        <x:v>27</x:v>
      </x:c>
      <x:c r="I6" s="39" t="n">
        <x:v>50</x:v>
      </x:c>
      <x:c r="J6" s="39" t="n">
        <x:v>80</x:v>
      </x:c>
      <x:c r="K6" s="39" t="n">
        <x:v>100</x:v>
      </x:c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</x:row>
    <x:row r="7">
      <x:c r="A7" s="36" t="str">
        <x:v>Proof Mission</x:v>
      </x:c>
      <x:c r="B7" s="36" t="str">
        <x:v>mission</x:v>
      </x:c>
      <x:c r="C7" s="37" t="n">
        <x:v>75000</x:v>
      </x:c>
      <x:c r="D7" s="37" t="n">
        <x:v>18750</x:v>
      </x:c>
      <x:c r="E7" s="38" t="n">
        <x:v>0.75</x:v>
      </x:c>
      <x:c r="F7" s="36" t="str">
        <x:v>Standard mission; scope reduced or repriced outside lane</x:v>
      </x:c>
      <x:c r="G7" s="39" t="n">
        <x:v>7</x:v>
      </x:c>
      <x:c r="H7" s="39" t="n">
        <x:v>26</x:v>
      </x:c>
      <x:c r="I7" s="39" t="n">
        <x:v>48</x:v>
      </x:c>
      <x:c r="J7" s="39" t="n">
        <x:v>80</x:v>
      </x:c>
      <x:c r="K7" s="39" t="n">
        <x:v>133</x:v>
      </x:c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</x:row>
    <x:row r="8">
      <x:c r="A8" s="36" t="str">
        <x:v>Proof Office - annual</x:v>
      </x:c>
      <x:c r="B8" s="36" t="str">
        <x:v>customer-year</x:v>
      </x:c>
      <x:c r="C8" s="37" t="n">
        <x:v>216000</x:v>
      </x:c>
      <x:c r="D8" s="37" t="n">
        <x:v>43200</x:v>
      </x:c>
      <x:c r="E8" s="38" t="n">
        <x:v>0.8</x:v>
      </x:c>
      <x:c r="F8" s="36" t="str">
        <x:v>US$18K/month recurring relationship</x:v>
      </x:c>
      <x:c r="G8" s="39" t="n">
        <x:v>2.25</x:v>
      </x:c>
      <x:c r="H8" s="39" t="n">
        <x:v>11</x:v>
      </x:c>
      <x:c r="I8" s="39" t="n">
        <x:v>34</x:v>
      </x:c>
      <x:c r="J8" s="39" t="n">
        <x:v>75</x:v>
      </x:c>
      <x:c r="K8" s="39" t="n">
        <x:v>170</x:v>
      </x:c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</x:row>
    <x:row r="9">
      <x:c r="A9" s="36" t="str">
        <x:v>Private Enterprise Network - annual</x:v>
      </x:c>
      <x:c r="B9" s="36" t="str">
        <x:v>deployment-year</x:v>
      </x:c>
      <x:c r="C9" s="37" t="n">
        <x:v>500000</x:v>
      </x:c>
      <x:c r="D9" s="37" t="n">
        <x:v>75000</x:v>
      </x:c>
      <x:c r="E9" s="38" t="n">
        <x:v>0.85</x:v>
      </x:c>
      <x:c r="F9" s="36" t="str">
        <x:v>Dedicated private network / managed platform</x:v>
      </x:c>
      <x:c r="G9" s="39" t="n">
        <x:v>0</x:v>
      </x:c>
      <x:c r="H9" s="39" t="n">
        <x:v>1</x:v>
      </x:c>
      <x:c r="I9" s="39" t="n">
        <x:v>6</x:v>
      </x:c>
      <x:c r="J9" s="39" t="n">
        <x:v>20</x:v>
      </x:c>
      <x:c r="K9" s="39" t="n">
        <x:v>50</x:v>
      </x:c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</x:row>
    <x:row r="10">
      <x:c r="A10" s="36" t="str">
        <x:v>Protected Capability Invocation</x:v>
      </x:c>
      <x:c r="B10" s="36" t="str">
        <x:v>invocation</x:v>
      </x:c>
      <x:c r="C10" s="37" t="n">
        <x:v>500</x:v>
      </x:c>
      <x:c r="D10" s="37" t="n">
        <x:v>50</x:v>
      </x:c>
      <x:c r="E10" s="38" t="n">
        <x:v>0.9</x:v>
      </x:c>
      <x:c r="F10" s="36" t="str">
        <x:v>Governed invocation; implementation retained</x:v>
      </x:c>
      <x:c r="G10" s="39" t="n">
        <x:v>98</x:v>
      </x:c>
      <x:c r="H10" s="39" t="n">
        <x:v>738</x:v>
      </x:c>
      <x:c r="I10" s="39" t="n">
        <x:v>2012</x:v>
      </x:c>
      <x:c r="J10" s="39" t="n">
        <x:v>7400</x:v>
      </x:c>
      <x:c r="K10" s="39" t="n">
        <x:v>20510</x:v>
      </x:c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>
      <x:c r="A11" s="36" t="str">
        <x:v>AGI Jobs / Validator Network</x:v>
      </x:c>
      <x:c r="B11" s="36" t="str">
        <x:v>GMV</x:v>
      </x:c>
      <x:c r="C11" s="38" t="n">
        <x:v>0.12</x:v>
      </x:c>
      <x:c r="D11" s="38" t="n">
        <x:v>0.15</x:v>
      </x:c>
      <x:c r="E11" s="38" t="n">
        <x:v>0.85</x:v>
      </x:c>
      <x:c r="F11" s="36" t="str">
        <x:v>12% take rate; 15% COGS on fee revenue</x:v>
      </x:c>
      <x:c r="G11" s="39" t="n">
        <x:v>0</x:v>
      </x:c>
      <x:c r="H11" s="39" t="n">
        <x:v>0</x:v>
      </x:c>
      <x:c r="I11" s="39" t="n">
        <x:v>5000000</x:v>
      </x:c>
      <x:c r="J11" s="39" t="n">
        <x:v>25000000</x:v>
      </x:c>
      <x:c r="K11" s="39" t="n">
        <x:v>83333333</x:v>
      </x:c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>
      <x:c r="A14" s="20" t="str">
        <x:v>Blended P&amp;L Assumptions</x:v>
      </x:c>
      <x:c r="B14" s="20" t="str">
        <x:v>FY1</x:v>
      </x:c>
      <x:c r="C14" s="20" t="str">
        <x:v>FY2</x:v>
      </x:c>
      <x:c r="D14" s="20" t="str">
        <x:v>FY3</x:v>
      </x:c>
      <x:c r="E14" s="20" t="str">
        <x:v>FY4</x:v>
      </x:c>
      <x:c r="F14" s="20" t="str">
        <x:v>FY5</x:v>
      </x:c>
      <x:c r="G14" s="20" t="str">
        <x:v>Basis</x:v>
      </x:c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>
      <x:c r="A15" s="36" t="str">
        <x:v>Target gross margin</x:v>
      </x:c>
      <x:c r="B15" s="38" t="n">
        <x:v>0.79</x:v>
      </x:c>
      <x:c r="C15" s="38" t="n">
        <x:v>0.8</x:v>
      </x:c>
      <x:c r="D15" s="38" t="n">
        <x:v>0.82</x:v>
      </x:c>
      <x:c r="E15" s="38" t="n">
        <x:v>0.84</x:v>
      </x:c>
      <x:c r="F15" s="38" t="n">
        <x:v>0.85</x:v>
      </x:c>
      <x:c r="G15" s="36" t="str">
        <x:v>Deliberate shift from missions to offices, private networks and invocation</x:v>
      </x:c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>
      <x:c r="A16" s="36" t="str">
        <x:v>Product &amp; Engineering</x:v>
      </x:c>
      <x:c r="B16" s="37" t="n">
        <x:v>850000</x:v>
      </x:c>
      <x:c r="C16" s="37" t="n">
        <x:v>1600000</x:v>
      </x:c>
      <x:c r="D16" s="37" t="n">
        <x:v>3100000</x:v>
      </x:c>
      <x:c r="E16" s="37" t="n">
        <x:v>6300000</x:v>
      </x:c>
      <x:c r="F16" s="37" t="n">
        <x:v>12000000</x:v>
      </x:c>
      <x:c r="G16" s="36" t="str">
        <x:v>Product, runtime, VSG, protected execution</x:v>
      </x:c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>
      <x:c r="A17" s="36" t="str">
        <x:v>Sales &amp; Marketing</x:v>
      </x:c>
      <x:c r="B17" s="37" t="n">
        <x:v>550000</x:v>
      </x:c>
      <x:c r="C17" s="37" t="n">
        <x:v>1050000</x:v>
      </x:c>
      <x:c r="D17" s="37" t="n">
        <x:v>2100000</x:v>
      </x:c>
      <x:c r="E17" s="37" t="n">
        <x:v>4800000</x:v>
      </x:c>
      <x:c r="F17" s="37" t="n">
        <x:v>9500000</x:v>
      </x:c>
      <x:c r="G17" s="36" t="str">
        <x:v>Category creation, channels and autonomous demand</x:v>
      </x:c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>
      <x:c r="A18" s="36" t="str">
        <x:v>Evidence, Security &amp; Validation</x:v>
      </x:c>
      <x:c r="B18" s="37" t="n">
        <x:v>550000</x:v>
      </x:c>
      <x:c r="C18" s="37" t="n">
        <x:v>1000000</x:v>
      </x:c>
      <x:c r="D18" s="37" t="n">
        <x:v>2000000</x:v>
      </x:c>
      <x:c r="E18" s="37" t="n">
        <x:v>4200000</x:v>
      </x:c>
      <x:c r="F18" s="37" t="n">
        <x:v>7500000</x:v>
      </x:c>
      <x:c r="G18" s="36" t="str">
        <x:v>Independent review, security, identity and compliance</x:v>
      </x:c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>
      <x:c r="A19" s="36" t="str">
        <x:v>General &amp; Administrative</x:v>
      </x:c>
      <x:c r="B19" s="37" t="n">
        <x:v>450000</x:v>
      </x:c>
      <x:c r="C19" s="37" t="n">
        <x:v>850000</x:v>
      </x:c>
      <x:c r="D19" s="37" t="n">
        <x:v>1500000</x:v>
      </x:c>
      <x:c r="E19" s="37" t="n">
        <x:v>3200000</x:v>
      </x:c>
      <x:c r="F19" s="37" t="n">
        <x:v>6000000</x:v>
      </x:c>
      <x:c r="G19" s="36" t="str">
        <x:v>Corporate, finance, legal, people and operations</x:v>
      </x:c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>
      <x:c r="A20" s="36" t="str">
        <x:v>Capital expenditure</x:v>
      </x:c>
      <x:c r="B20" s="37" t="n">
        <x:v>300000</x:v>
      </x:c>
      <x:c r="C20" s="37" t="n">
        <x:v>800000</x:v>
      </x:c>
      <x:c r="D20" s="37" t="n">
        <x:v>1800000</x:v>
      </x:c>
      <x:c r="E20" s="37" t="n">
        <x:v>4000000</x:v>
      </x:c>
      <x:c r="F20" s="37" t="n">
        <x:v>8000000</x:v>
      </x:c>
      <x:c r="G20" s="36" t="str">
        <x:v>Product and protected infrastructure investment</x:v>
      </x:c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>
      <x:c r="A21" s="36" t="str">
        <x:v>External financing</x:v>
      </x:c>
      <x:c r="B21" s="37" t="n">
        <x:v>2000000</x:v>
      </x:c>
      <x:c r="C21" s="37" t="n">
        <x:v>1500000</x:v>
      </x:c>
      <x:c r="D21" s="37" t="n">
        <x:v>3000000</x:v>
      </x:c>
      <x:c r="E21" s="37" t="n">
        <x:v>0</x:v>
      </x:c>
      <x:c r="F21" s="37" t="n">
        <x:v>0</x:v>
      </x:c>
      <x:c r="G21" s="36" t="str">
        <x:v>Evidence-gated capital, not a financing commitment</x:v>
      </x:c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 t="str">
        <x:v>Cash taxes</x:v>
      </x:c>
      <x:c r="B22" s="37" t="n">
        <x:v>0</x:v>
      </x:c>
      <x:c r="C22" s="37" t="n">
        <x:v>0</x:v>
      </x:c>
      <x:c r="D22" s="37" t="n">
        <x:v>0</x:v>
      </x:c>
      <x:c r="E22" s="37" t="n">
        <x:v>2000000</x:v>
      </x:c>
      <x:c r="F22" s="37" t="n">
        <x:v>8000000</x:v>
      </x:c>
      <x:c r="G22" s="36" t="str">
        <x:v>Illustrative only; qualified tax advice required</x:v>
      </x:c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 t="str">
        <x:v>Working-capital use</x:v>
      </x:c>
      <x:c r="B23" s="37" t="n">
        <x:v>50000</x:v>
      </x:c>
      <x:c r="C23" s="37" t="n">
        <x:v>150000</x:v>
      </x:c>
      <x:c r="D23" s="37" t="n">
        <x:v>400000</x:v>
      </x:c>
      <x:c r="E23" s="37" t="n">
        <x:v>800000</x:v>
      </x:c>
      <x:c r="F23" s="37" t="n">
        <x:v>1800000</x:v>
      </x:c>
      <x:c r="G23" s="36" t="str">
        <x:v>Receivables, delivery reserves and other working capital</x:v>
      </x:c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20" t="str">
        <x:v>Commercial / Moat Targets</x:v>
      </x:c>
      <x:c r="B26" s="20" t="str">
        <x:v>FY1</x:v>
      </x:c>
      <x:c r="C26" s="20" t="str">
        <x:v>FY2</x:v>
      </x:c>
      <x:c r="D26" s="20" t="str">
        <x:v>FY3</x:v>
      </x:c>
      <x:c r="E26" s="20" t="str">
        <x:v>FY4</x:v>
      </x:c>
      <x:c r="F26" s="20" t="str">
        <x:v>FY5</x:v>
      </x:c>
      <x:c r="G26" s="20" t="str">
        <x:v>Basis</x:v>
      </x:c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 t="str">
        <x:v>Recurring + usage mix</x:v>
      </x:c>
      <x:c r="B27" s="38" t="n">
        <x:v>0.38</x:v>
      </x:c>
      <x:c r="C27" s="38" t="n">
        <x:v>0.56</x:v>
      </x:c>
      <x:c r="D27" s="38" t="n">
        <x:v>0.72</x:v>
      </x:c>
      <x:c r="E27" s="38" t="n">
        <x:v>0.81</x:v>
      </x:c>
      <x:c r="F27" s="38" t="n">
        <x:v>0.87</x:v>
      </x:c>
      <x:c r="G27" s="36" t="str">
        <x:v>Management target</x:v>
      </x:c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 t="str">
        <x:v>Mission-to-Office conversion</x:v>
      </x:c>
      <x:c r="B28" s="38" t="n">
        <x:v>0.4</x:v>
      </x:c>
      <x:c r="C28" s="38" t="n">
        <x:v>0.42</x:v>
      </x:c>
      <x:c r="D28" s="38" t="n">
        <x:v>0.45</x:v>
      </x:c>
      <x:c r="E28" s="38" t="n">
        <x:v>0.47</x:v>
      </x:c>
      <x:c r="F28" s="38" t="n">
        <x:v>0.5</x:v>
      </x:c>
      <x:c r="G28" s="36" t="str">
        <x:v>Successful missions only</x:v>
      </x:c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 t="str">
        <x:v>Net revenue retention</x:v>
      </x:c>
      <x:c r="B29" s="38" t="n">
        <x:v>1.05</x:v>
      </x:c>
      <x:c r="C29" s="38" t="n">
        <x:v>1.12</x:v>
      </x:c>
      <x:c r="D29" s="38" t="n">
        <x:v>1.2</x:v>
      </x:c>
      <x:c r="E29" s="38" t="n">
        <x:v>1.24</x:v>
      </x:c>
      <x:c r="F29" s="38" t="n">
        <x:v>1.27</x:v>
      </x:c>
      <x:c r="G29" s="36" t="str">
        <x:v>Target; external benchmark median NRR 103%, 90th percentile 117.9% [S8]</x:v>
      </x:c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 t="str">
        <x:v>Rights-cleared capabilities</x:v>
      </x:c>
      <x:c r="B30" s="39" t="n">
        <x:v>1</x:v>
      </x:c>
      <x:c r="C30" s="39" t="n">
        <x:v>8</x:v>
      </x:c>
      <x:c r="D30" s="39" t="n">
        <x:v>30</x:v>
      </x:c>
      <x:c r="E30" s="39" t="n">
        <x:v>100</x:v>
      </x:c>
      <x:c r="F30" s="39" t="n">
        <x:v>300</x:v>
      </x:c>
      <x:c r="G30" s="36" t="str">
        <x:v>Chronicle-admitted, scoped and reusable</x:v>
      </x:c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 t="str">
        <x:v>Fresh successor tests</x:v>
      </x:c>
      <x:c r="B31" s="39" t="n">
        <x:v>1</x:v>
      </x:c>
      <x:c r="C31" s="39" t="n">
        <x:v>6</x:v>
      </x:c>
      <x:c r="D31" s="39" t="n">
        <x:v>20</x:v>
      </x:c>
      <x:c r="E31" s="39" t="n">
        <x:v>60</x:v>
      </x:c>
      <x:c r="F31" s="39" t="n">
        <x:v>150</x:v>
      </x:c>
      <x:c r="G31" s="36" t="str">
        <x:v>Held-out or fresh mission tests</x:v>
      </x:c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 t="str">
        <x:v>Founder seller minutes / standard deal</x:v>
      </x:c>
      <x:c r="B32" s="39" t="n">
        <x:v>0</x:v>
      </x:c>
      <x:c r="C32" s="39" t="n">
        <x:v>0</x:v>
      </x:c>
      <x:c r="D32" s="39" t="n">
        <x:v>0</x:v>
      </x:c>
      <x:c r="E32" s="39" t="n">
        <x:v>0</x:v>
      </x:c>
      <x:c r="F32" s="39" t="n">
        <x:v>0</x:v>
      </x:c>
      <x:c r="G32" s="36" t="str">
        <x:v>Autonomous standard lane</x:v>
      </x:c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</x:cols>
  <x:sheetData>
    <x:row r="1" ht="34" customHeight="1">
      <x:c r="A1" s="34" t="str">
        <x:v>Revenue Build</x:v>
      </x:c>
      <x:c r="B1" s="34"/>
      <x:c r="C1" s="34"/>
      <x:c r="D1" s="34"/>
      <x:c r="E1" s="34"/>
      <x:c r="F1" s="34"/>
      <x:c r="G1" s="34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22" customHeight="1">
      <x:c r="A2" s="35" t="str">
        <x:v>Product volumes and pricing linked to Assumptions</x:v>
      </x:c>
      <x:c r="B2" s="35"/>
      <x:c r="C2" s="35"/>
      <x:c r="D2" s="35"/>
      <x:c r="E2" s="35"/>
      <x:c r="F2" s="35"/>
      <x:c r="G2" s="35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20" t="str">
        <x:v>Revenue ($mm)</x:v>
      </x:c>
      <x:c r="B4" s="20" t="str">
        <x:v>FY1</x:v>
      </x:c>
      <x:c r="C4" s="20" t="str">
        <x:v>FY2</x:v>
      </x:c>
      <x:c r="D4" s="20" t="str">
        <x:v>FY3</x:v>
      </x:c>
      <x:c r="E4" s="20" t="str">
        <x:v>FY4</x:v>
      </x:c>
      <x:c r="F4" s="20" t="str">
        <x:v>FY5</x:v>
      </x:c>
      <x:c r="G4" s="20" t="str">
        <x:v>Driver</x:v>
      </x:c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</x:row>
    <x:row r="5">
      <x:c r="A5" s="36" t="str">
        <x:v>Frontier MasterClass</x:v>
      </x:c>
      <x:c r="B5" s="125" t="n">
        <x:f>Assumptions!$G$5*Assumptions!$C$5/1000000</x:f>
        <x:v>0.1</x:v>
      </x:c>
      <x:c r="C5" s="125" t="n">
        <x:f>Assumptions!$H$5*Assumptions!$C$5/1000000</x:f>
        <x:v>0.2</x:v>
      </x:c>
      <x:c r="D5" s="125" t="n">
        <x:f>Assumptions!$I$5*Assumptions!$C$5/1000000</x:f>
        <x:v>0.3</x:v>
      </x:c>
      <x:c r="E5" s="125" t="n">
        <x:f>Assumptions!$J$5*Assumptions!$C$5/1000000</x:f>
        <x:v>0.5</x:v>
      </x:c>
      <x:c r="F5" s="125" t="n">
        <x:f>Assumptions!$K$5*Assumptions!$C$5/1000000</x:f>
        <x:v>0.75</x:v>
      </x:c>
      <x:c r="G5" s="36" t="str">
        <x:v>Volume × price</x:v>
      </x:c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</x:row>
    <x:row r="6">
      <x:c r="A6" s="36" t="str">
        <x:v>Proof Mission Activation</x:v>
      </x:c>
      <x:c r="B6" s="125" t="n">
        <x:f>Assumptions!$G$6*Assumptions!$C$6/1000000</x:f>
        <x:v>0.24</x:v>
      </x:c>
      <x:c r="C6" s="125" t="n">
        <x:f>Assumptions!$H$6*Assumptions!$C$6/1000000</x:f>
        <x:v>0.405</x:v>
      </x:c>
      <x:c r="D6" s="125" t="n">
        <x:f>Assumptions!$I$6*Assumptions!$C$6/1000000</x:f>
        <x:v>0.75</x:v>
      </x:c>
      <x:c r="E6" s="125" t="n">
        <x:f>Assumptions!$J$6*Assumptions!$C$6/1000000</x:f>
        <x:v>1.2</x:v>
      </x:c>
      <x:c r="F6" s="125" t="n">
        <x:f>Assumptions!$K$6*Assumptions!$C$6/1000000</x:f>
        <x:v>1.5</x:v>
      </x:c>
      <x:c r="G6" s="36" t="str">
        <x:v>Volume × price</x:v>
      </x:c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</x:row>
    <x:row r="7">
      <x:c r="A7" s="36" t="str">
        <x:v>Proof Mission</x:v>
      </x:c>
      <x:c r="B7" s="125" t="n">
        <x:f>Assumptions!$G$7*Assumptions!$C$7/1000000</x:f>
        <x:v>0.525</x:v>
      </x:c>
      <x:c r="C7" s="125" t="n">
        <x:f>Assumptions!$H$7*Assumptions!$C$7/1000000</x:f>
        <x:v>1.95</x:v>
      </x:c>
      <x:c r="D7" s="125" t="n">
        <x:f>Assumptions!$I$7*Assumptions!$C$7/1000000</x:f>
        <x:v>3.6</x:v>
      </x:c>
      <x:c r="E7" s="125" t="n">
        <x:f>Assumptions!$J$7*Assumptions!$C$7/1000000</x:f>
        <x:v>6</x:v>
      </x:c>
      <x:c r="F7" s="125" t="n">
        <x:f>Assumptions!$K$7*Assumptions!$C$7/1000000</x:f>
        <x:v>9.975</x:v>
      </x:c>
      <x:c r="G7" s="36" t="str">
        <x:v>Volume × price</x:v>
      </x:c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</x:row>
    <x:row r="8">
      <x:c r="A8" s="36" t="str">
        <x:v>Proof Office</x:v>
      </x:c>
      <x:c r="B8" s="125" t="n">
        <x:f>Assumptions!$G$8*Assumptions!$C$8/1000000</x:f>
        <x:v>0.486</x:v>
      </x:c>
      <x:c r="C8" s="125" t="n">
        <x:f>Assumptions!$H$8*Assumptions!$C$8/1000000</x:f>
        <x:v>2.376</x:v>
      </x:c>
      <x:c r="D8" s="125" t="n">
        <x:f>Assumptions!$I$8*Assumptions!$C$8/1000000</x:f>
        <x:v>7.344</x:v>
      </x:c>
      <x:c r="E8" s="125" t="n">
        <x:f>Assumptions!$J$8*Assumptions!$C$8/1000000</x:f>
        <x:v>16.2</x:v>
      </x:c>
      <x:c r="F8" s="125" t="n">
        <x:f>Assumptions!$K$8*Assumptions!$C$8/1000000</x:f>
        <x:v>36.72</x:v>
      </x:c>
      <x:c r="G8" s="36" t="str">
        <x:v>Customer-years × annual price</x:v>
      </x:c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</x:row>
    <x:row r="9">
      <x:c r="A9" s="36" t="str">
        <x:v>Private Enterprise Network</x:v>
      </x:c>
      <x:c r="B9" s="125" t="n">
        <x:f>Assumptions!$G$9*Assumptions!$C$9/1000000</x:f>
        <x:v>0</x:v>
      </x:c>
      <x:c r="C9" s="125" t="n">
        <x:f>Assumptions!$H$9*Assumptions!$C$9/1000000</x:f>
        <x:v>0.5</x:v>
      </x:c>
      <x:c r="D9" s="125" t="n">
        <x:f>Assumptions!$I$9*Assumptions!$C$9/1000000</x:f>
        <x:v>3</x:v>
      </x:c>
      <x:c r="E9" s="125" t="n">
        <x:f>Assumptions!$J$9*Assumptions!$C$9/1000000</x:f>
        <x:v>10</x:v>
      </x:c>
      <x:c r="F9" s="125" t="n">
        <x:f>Assumptions!$K$9*Assumptions!$C$9/1000000</x:f>
        <x:v>25</x:v>
      </x:c>
      <x:c r="G9" s="36" t="str">
        <x:v>Deployments × annual price</x:v>
      </x:c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</x:row>
    <x:row r="10">
      <x:c r="A10" s="36" t="str">
        <x:v>Protected Capability Invocation</x:v>
      </x:c>
      <x:c r="B10" s="125" t="n">
        <x:f>Assumptions!$G$10*Assumptions!$C$10/1000000</x:f>
        <x:v>0.049</x:v>
      </x:c>
      <x:c r="C10" s="125" t="n">
        <x:f>Assumptions!$H$10*Assumptions!$C$10/1000000</x:f>
        <x:v>0.369</x:v>
      </x:c>
      <x:c r="D10" s="125" t="n">
        <x:f>Assumptions!$I$10*Assumptions!$C$10/1000000</x:f>
        <x:v>1.006</x:v>
      </x:c>
      <x:c r="E10" s="125" t="n">
        <x:f>Assumptions!$J$10*Assumptions!$C$10/1000000</x:f>
        <x:v>3.7</x:v>
      </x:c>
      <x:c r="F10" s="125" t="n">
        <x:f>Assumptions!$K$10*Assumptions!$C$10/1000000</x:f>
        <x:v>10.255</x:v>
      </x:c>
      <x:c r="G10" s="36" t="str">
        <x:v>Invocations × price</x:v>
      </x:c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>
      <x:c r="A11" s="36" t="str">
        <x:v>AGI Jobs / Validator Network fees</x:v>
      </x:c>
      <x:c r="B11" s="125" t="n">
        <x:f>Assumptions!$G$11*Assumptions!$C$11/1000000</x:f>
        <x:v>0</x:v>
      </x:c>
      <x:c r="C11" s="125" t="n">
        <x:f>Assumptions!$H$11*Assumptions!$C$11/1000000</x:f>
        <x:v>0</x:v>
      </x:c>
      <x:c r="D11" s="125" t="n">
        <x:f>Assumptions!$I$11*Assumptions!$C$11/1000000</x:f>
        <x:v>0.6</x:v>
      </x:c>
      <x:c r="E11" s="125" t="n">
        <x:f>Assumptions!$J$11*Assumptions!$C$11/1000000</x:f>
        <x:v>3</x:v>
      </x:c>
      <x:c r="F11" s="125" t="n">
        <x:f>Assumptions!$K$11*Assumptions!$C$11/1000000</x:f>
        <x:v>9.999999959999998</x:v>
      </x:c>
      <x:c r="G11" s="36" t="str">
        <x:v>GMV × take rate</x:v>
      </x:c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>
      <x:c r="A12" s="127" t="str">
        <x:v>Total Revenue</x:v>
      </x:c>
      <x:c r="B12" s="128" t="n">
        <x:f>SUM(B5:B11)</x:f>
        <x:v>1.4</x:v>
      </x:c>
      <x:c r="C12" s="128" t="n">
        <x:f>SUM(C5:C11)</x:f>
        <x:v>5.799999999999999</x:v>
      </x:c>
      <x:c r="D12" s="128" t="n">
        <x:f>SUM(D5:D11)</x:f>
        <x:v>16.6</x:v>
      </x:c>
      <x:c r="E12" s="128" t="n">
        <x:f>SUM(E5:E11)</x:f>
        <x:v>40.6</x:v>
      </x:c>
      <x:c r="F12" s="128" t="n">
        <x:f>SUM(F5:F11)</x:f>
        <x:v>94.19999995999999</x:v>
      </x:c>
      <x:c r="G12" s="127" t="str">
        <x:v>Sum</x:v>
      </x:c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>
      <x:c r="A13" s="36" t="str">
        <x:v>Recurring + Usage Revenue</x:v>
      </x:c>
      <x:c r="B13" s="125" t="n">
        <x:f>SUM(B8:B11)</x:f>
        <x:v>0.535</x:v>
      </x:c>
      <x:c r="C13" s="125" t="n">
        <x:f>SUM(C8:C11)</x:f>
        <x:v>3.245</x:v>
      </x:c>
      <x:c r="D13" s="125" t="n">
        <x:f>SUM(D8:D11)</x:f>
        <x:v>11.950000000000001</x:v>
      </x:c>
      <x:c r="E13" s="125" t="n">
        <x:f>SUM(E8:E11)</x:f>
        <x:v>32.9</x:v>
      </x:c>
      <x:c r="F13" s="125" t="n">
        <x:f>SUM(F8:F11)</x:f>
        <x:v>81.97499995999999</x:v>
      </x:c>
      <x:c r="G13" s="36" t="str">
        <x:v>Office + Network + Invocation + Fees</x:v>
      </x:c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>
      <x:c r="A14" s="138" t="str">
        <x:v>Recurring + Usage Mix</x:v>
      </x:c>
      <x:c r="B14" s="139" t="n">
        <x:f>B13/B12</x:f>
        <x:v>0.3821428571428572</x:v>
      </x:c>
      <x:c r="C14" s="139" t="n">
        <x:f>C13/C12</x:f>
        <x:v>0.5594827586206897</x:v>
      </x:c>
      <x:c r="D14" s="139" t="n">
        <x:f>D13/D12</x:f>
        <x:v>0.7198795180722891</x:v>
      </x:c>
      <x:c r="E14" s="139" t="n">
        <x:f>E13/E12</x:f>
        <x:v>0.8103448275862069</x:v>
      </x:c>
      <x:c r="F14" s="139" t="n">
        <x:f>F13/F12</x:f>
        <x:v>0.8702229298811988</x:v>
      </x:c>
      <x:c r="G14" s="138" t="str">
        <x:v>Recurring &amp; usage / total</x:v>
      </x:c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34" t="str">
        <x:v>Base-Case P&amp;L</x:v>
      </x:c>
      <x:c r="B1" s="34"/>
      <x:c r="C1" s="34"/>
      <x:c r="D1" s="34"/>
      <x:c r="E1" s="34"/>
      <x:c r="F1" s="34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22" customHeight="1">
      <x:c r="A2" s="35" t="str">
        <x:v>US$ millions; management scenario, not a forecast</x:v>
      </x:c>
      <x:c r="B2" s="35"/>
      <x:c r="C2" s="35"/>
      <x:c r="D2" s="35"/>
      <x:c r="E2" s="35"/>
      <x:c r="F2" s="35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20" t="str">
        <x:v>P&amp;L ($mm)</x:v>
      </x:c>
      <x:c r="B4" s="20" t="str">
        <x:v>FY1</x:v>
      </x:c>
      <x:c r="C4" s="20" t="str">
        <x:v>FY2</x:v>
      </x:c>
      <x:c r="D4" s="20" t="str">
        <x:v>FY3</x:v>
      </x:c>
      <x:c r="E4" s="20" t="str">
        <x:v>FY4</x:v>
      </x:c>
      <x:c r="F4" s="20" t="str">
        <x:v>FY5</x:v>
      </x:c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</x:row>
    <x:row r="5">
      <x:c r="A5" s="36" t="str">
        <x:v>Revenue</x:v>
      </x:c>
      <x:c r="B5" s="125" t="n">
        <x:f>'Revenue Build'!B12</x:f>
        <x:v>1.4</x:v>
      </x:c>
      <x:c r="C5" s="125" t="n">
        <x:f>'Revenue Build'!C12</x:f>
        <x:v>5.799999999999999</x:v>
      </x:c>
      <x:c r="D5" s="125" t="n">
        <x:f>'Revenue Build'!D12</x:f>
        <x:v>16.6</x:v>
      </x:c>
      <x:c r="E5" s="125" t="n">
        <x:f>'Revenue Build'!E12</x:f>
        <x:v>40.6</x:v>
      </x:c>
      <x:c r="F5" s="125" t="n">
        <x:f>'Revenue Build'!F12</x:f>
        <x:v>94.19999995999999</x:v>
      </x:c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</x:row>
    <x:row r="6">
      <x:c r="A6" s="36" t="str">
        <x:v>Direct delivery cost</x:v>
      </x:c>
      <x:c r="B6" s="125" t="n">
        <x:f>B5*(1-Assumptions!B15)</x:f>
        <x:v>0.29399999999999993</x:v>
      </x:c>
      <x:c r="C6" s="125" t="n">
        <x:f>C5*(1-Assumptions!C15)</x:f>
        <x:v>1.1599999999999995</x:v>
      </x:c>
      <x:c r="D6" s="125" t="n">
        <x:f>D5*(1-Assumptions!D15)</x:f>
        <x:v>2.988000000000001</x:v>
      </x:c>
      <x:c r="E6" s="125" t="n">
        <x:f>E5*(1-Assumptions!E15)</x:f>
        <x:v>6.496000000000001</x:v>
      </x:c>
      <x:c r="F6" s="125" t="n">
        <x:f>F5*(1-Assumptions!F15)</x:f>
        <x:v>14.129999994</x:v>
      </x:c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</x:row>
    <x:row r="7">
      <x:c r="A7" s="127" t="str">
        <x:v>Gross profit</x:v>
      </x:c>
      <x:c r="B7" s="128" t="n">
        <x:f>B5-B6</x:f>
        <x:v>1.1059999999999999</x:v>
      </x:c>
      <x:c r="C7" s="128" t="n">
        <x:f>C5-C6</x:f>
        <x:v>4.64</x:v>
      </x:c>
      <x:c r="D7" s="128" t="n">
        <x:f>D5-D6</x:f>
        <x:v>13.612</x:v>
      </x:c>
      <x:c r="E7" s="128" t="n">
        <x:f>E5-E6</x:f>
        <x:v>34.104</x:v>
      </x:c>
      <x:c r="F7" s="128" t="n">
        <x:f>F5-F6</x:f>
        <x:v>80.06999996599998</x:v>
      </x:c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</x:row>
    <x:row r="8">
      <x:c r="A8" s="36" t="str">
        <x:v>Gross margin</x:v>
      </x:c>
      <x:c r="B8" s="142" t="n">
        <x:f>B7/B5</x:f>
        <x:v>0.7899999999999999</x:v>
      </x:c>
      <x:c r="C8" s="142" t="n">
        <x:f>C7/C5</x:f>
        <x:v>0.8</x:v>
      </x:c>
      <x:c r="D8" s="142" t="n">
        <x:f>D7/D5</x:f>
        <x:v>0.82</x:v>
      </x:c>
      <x:c r="E8" s="142" t="n">
        <x:f>E7/E5</x:f>
        <x:v>0.84</x:v>
      </x:c>
      <x:c r="F8" s="142" t="n">
        <x:f>F7/F5</x:f>
        <x:v>0.85</x:v>
      </x:c>
      <x:c r="G8" s="36"/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</x:row>
    <x:row r="9">
      <x:c r="A9" s="36" t="str">
        <x:v>Product &amp; Engineering</x:v>
      </x:c>
      <x:c r="B9" s="125" t="n">
        <x:f>Assumptions!B16/1000000</x:f>
        <x:v>0.85</x:v>
      </x:c>
      <x:c r="C9" s="125" t="n">
        <x:f>Assumptions!C16/1000000</x:f>
        <x:v>1.6</x:v>
      </x:c>
      <x:c r="D9" s="125" t="n">
        <x:f>Assumptions!D16/1000000</x:f>
        <x:v>3.1</x:v>
      </x:c>
      <x:c r="E9" s="125" t="n">
        <x:f>Assumptions!E16/1000000</x:f>
        <x:v>6.3</x:v>
      </x:c>
      <x:c r="F9" s="125" t="n">
        <x:f>Assumptions!F16/1000000</x:f>
        <x:v>12</x:v>
      </x:c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</x:row>
    <x:row r="10">
      <x:c r="A10" s="36" t="str">
        <x:v>Sales &amp; Marketing</x:v>
      </x:c>
      <x:c r="B10" s="125" t="n">
        <x:f>Assumptions!B17/1000000</x:f>
        <x:v>0.55</x:v>
      </x:c>
      <x:c r="C10" s="125" t="n">
        <x:f>Assumptions!C17/1000000</x:f>
        <x:v>1.05</x:v>
      </x:c>
      <x:c r="D10" s="125" t="n">
        <x:f>Assumptions!D17/1000000</x:f>
        <x:v>2.1</x:v>
      </x:c>
      <x:c r="E10" s="125" t="n">
        <x:f>Assumptions!E17/1000000</x:f>
        <x:v>4.8</x:v>
      </x:c>
      <x:c r="F10" s="125" t="n">
        <x:f>Assumptions!F17/1000000</x:f>
        <x:v>9.5</x:v>
      </x:c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>
      <x:c r="A11" s="36" t="str">
        <x:v>Evidence, Security &amp; Validation</x:v>
      </x:c>
      <x:c r="B11" s="125" t="n">
        <x:f>Assumptions!B18/1000000</x:f>
        <x:v>0.55</x:v>
      </x:c>
      <x:c r="C11" s="125" t="n">
        <x:f>Assumptions!C18/1000000</x:f>
        <x:v>1</x:v>
      </x:c>
      <x:c r="D11" s="125" t="n">
        <x:f>Assumptions!D18/1000000</x:f>
        <x:v>2</x:v>
      </x:c>
      <x:c r="E11" s="125" t="n">
        <x:f>Assumptions!E18/1000000</x:f>
        <x:v>4.2</x:v>
      </x:c>
      <x:c r="F11" s="125" t="n">
        <x:f>Assumptions!F18/1000000</x:f>
        <x:v>7.5</x:v>
      </x:c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>
      <x:c r="A12" s="36" t="str">
        <x:v>General &amp; Administrative</x:v>
      </x:c>
      <x:c r="B12" s="125" t="n">
        <x:f>Assumptions!B19/1000000</x:f>
        <x:v>0.45</x:v>
      </x:c>
      <x:c r="C12" s="125" t="n">
        <x:f>Assumptions!C19/1000000</x:f>
        <x:v>0.85</x:v>
      </x:c>
      <x:c r="D12" s="125" t="n">
        <x:f>Assumptions!D19/1000000</x:f>
        <x:v>1.5</x:v>
      </x:c>
      <x:c r="E12" s="125" t="n">
        <x:f>Assumptions!E19/1000000</x:f>
        <x:v>3.2</x:v>
      </x:c>
      <x:c r="F12" s="125" t="n">
        <x:f>Assumptions!F19/1000000</x:f>
        <x:v>6</x:v>
      </x:c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>
      <x:c r="A13" s="127" t="str">
        <x:v>Total operating expense</x:v>
      </x:c>
      <x:c r="B13" s="128" t="n">
        <x:f>SUM(B9:B12)</x:f>
        <x:v>2.4</x:v>
      </x:c>
      <x:c r="C13" s="128" t="n">
        <x:f>SUM(C9:C12)</x:f>
        <x:v>4.5</x:v>
      </x:c>
      <x:c r="D13" s="128" t="n">
        <x:f>SUM(D9:D12)</x:f>
        <x:v>8.7</x:v>
      </x:c>
      <x:c r="E13" s="128" t="n">
        <x:f>SUM(E9:E12)</x:f>
        <x:v>18.5</x:v>
      </x:c>
      <x:c r="F13" s="128" t="n">
        <x:f>SUM(F9:F12)</x:f>
        <x:v>35</x:v>
      </x:c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>
      <x:c r="A14" s="127" t="str">
        <x:v>EBITDA</x:v>
      </x:c>
      <x:c r="B14" s="128" t="n">
        <x:f>B7-B13</x:f>
        <x:v>-1.294</x:v>
      </x:c>
      <x:c r="C14" s="128" t="n">
        <x:f>C7-C13</x:f>
        <x:v>0.13999999999999968</x:v>
      </x:c>
      <x:c r="D14" s="128" t="n">
        <x:f>D7-D13</x:f>
        <x:v>4.912000000000001</x:v>
      </x:c>
      <x:c r="E14" s="128" t="n">
        <x:f>E7-E13</x:f>
        <x:v>15.604</x:v>
      </x:c>
      <x:c r="F14" s="128" t="n">
        <x:f>F7-F13</x:f>
        <x:v>45.06999996599998</x:v>
      </x:c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>
      <x:c r="A15" s="36" t="str">
        <x:v>EBITDA margin</x:v>
      </x:c>
      <x:c r="B15" s="142" t="n">
        <x:f>B14/B5</x:f>
        <x:v>-0.9242857142857144</x:v>
      </x:c>
      <x:c r="C15" s="142" t="n">
        <x:f>C14/C5</x:f>
        <x:v>0.024137931034482706</x:v>
      </x:c>
      <x:c r="D15" s="142" t="n">
        <x:f>D14/D5</x:f>
        <x:v>0.29590361445783137</x:v>
      </x:c>
      <x:c r="E15" s="142" t="n">
        <x:f>E14/E5</x:f>
        <x:v>0.3843349753694581</x:v>
      </x:c>
      <x:c r="F15" s="142" t="n">
        <x:f>F14/F5</x:f>
        <x:v>0.4784501059993418</x:v>
      </x:c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</x:sheetData>
  <x:mergeCells>
    <x:mergeCell ref="A1:F1"/>
    <x:mergeCell ref="A2:F2"/>
  </x:mergeCells>
  <x:conditionalFormatting sqref="B14:F14">
    <x:cfRule type="expression" dxfId="0" priority="1">
      <x:formula>B14&lt;0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34" t="str">
        <x:v>Cash and Funding</x:v>
      </x:c>
      <x:c r="B1" s="34"/>
      <x:c r="C1" s="34"/>
      <x:c r="D1" s="34"/>
      <x:c r="E1" s="34"/>
      <x:c r="F1" s="34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22" customHeight="1">
      <x:c r="A2" s="35" t="str">
        <x:v>Illustrative liquidity and proof-gated financing</x:v>
      </x:c>
      <x:c r="B2" s="35"/>
      <x:c r="C2" s="35"/>
      <x:c r="D2" s="35"/>
      <x:c r="E2" s="35"/>
      <x:c r="F2" s="35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20" t="str">
        <x:v>Cash Flow ($mm)</x:v>
      </x:c>
      <x:c r="B4" s="20" t="str">
        <x:v>FY1</x:v>
      </x:c>
      <x:c r="C4" s="20" t="str">
        <x:v>FY2</x:v>
      </x:c>
      <x:c r="D4" s="20" t="str">
        <x:v>FY3</x:v>
      </x:c>
      <x:c r="E4" s="20" t="str">
        <x:v>FY4</x:v>
      </x:c>
      <x:c r="F4" s="20" t="str">
        <x:v>FY5</x:v>
      </x:c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</x:row>
    <x:row r="5">
      <x:c r="A5" s="36" t="str">
        <x:v>Beginning cash</x:v>
      </x:c>
      <x:c r="B5" s="125" t="n">
        <x:v>0.25</x:v>
      </x:c>
      <x:c r="C5" s="125" t="n">
        <x:f>B11</x:f>
        <x:v>0.6059999999999999</x:v>
      </x:c>
      <x:c r="D5" s="125" t="n">
        <x:f>C11</x:f>
        <x:v>1.2959999999999996</x:v>
      </x:c>
      <x:c r="E5" s="125" t="n">
        <x:f>D11</x:f>
        <x:v>7.008</x:v>
      </x:c>
      <x:c r="F5" s="125" t="n">
        <x:f>E11</x:f>
        <x:v>15.811999999999998</x:v>
      </x:c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</x:row>
    <x:row r="6">
      <x:c r="A6" s="36" t="str">
        <x:v>External financing</x:v>
      </x:c>
      <x:c r="B6" s="125" t="n">
        <x:f>Assumptions!B21/1000000</x:f>
        <x:v>2</x:v>
      </x:c>
      <x:c r="C6" s="125" t="n">
        <x:f>Assumptions!C21/1000000</x:f>
        <x:v>1.5</x:v>
      </x:c>
      <x:c r="D6" s="125" t="n">
        <x:f>Assumptions!D21/1000000</x:f>
        <x:v>3</x:v>
      </x:c>
      <x:c r="E6" s="125" t="n">
        <x:f>Assumptions!E21/1000000</x:f>
        <x:v>0</x:v>
      </x:c>
      <x:c r="F6" s="125" t="n">
        <x:f>Assumptions!F21/1000000</x:f>
        <x:v>0</x:v>
      </x:c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</x:row>
    <x:row r="7">
      <x:c r="A7" s="36" t="str">
        <x:v>EBITDA</x:v>
      </x:c>
      <x:c r="B7" s="125" t="n">
        <x:f>'P&amp;L'!B14</x:f>
        <x:v>-1.294</x:v>
      </x:c>
      <x:c r="C7" s="125" t="n">
        <x:f>'P&amp;L'!C14</x:f>
        <x:v>0.13999999999999968</x:v>
      </x:c>
      <x:c r="D7" s="125" t="n">
        <x:f>'P&amp;L'!D14</x:f>
        <x:v>4.912000000000001</x:v>
      </x:c>
      <x:c r="E7" s="125" t="n">
        <x:f>'P&amp;L'!E14</x:f>
        <x:v>15.604</x:v>
      </x:c>
      <x:c r="F7" s="125" t="n">
        <x:f>'P&amp;L'!F14</x:f>
        <x:v>45.06999996599998</x:v>
      </x:c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</x:row>
    <x:row r="8">
      <x:c r="A8" s="36" t="str">
        <x:v>Capital expenditure</x:v>
      </x:c>
      <x:c r="B8" s="125" t="n">
        <x:f>-Assumptions!B20/1000000</x:f>
        <x:v>-0.3</x:v>
      </x:c>
      <x:c r="C8" s="125" t="n">
        <x:f>-Assumptions!C20/1000000</x:f>
        <x:v>-0.8</x:v>
      </x:c>
      <x:c r="D8" s="125" t="n">
        <x:f>-Assumptions!D20/1000000</x:f>
        <x:v>-1.8</x:v>
      </x:c>
      <x:c r="E8" s="125" t="n">
        <x:f>-Assumptions!E20/1000000</x:f>
        <x:v>-4</x:v>
      </x:c>
      <x:c r="F8" s="125" t="n">
        <x:f>-Assumptions!F20/1000000</x:f>
        <x:v>-8</x:v>
      </x:c>
      <x:c r="G8" s="36"/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</x:row>
    <x:row r="9">
      <x:c r="A9" s="36" t="str">
        <x:v>Working-capital use</x:v>
      </x:c>
      <x:c r="B9" s="125" t="n">
        <x:f>-Assumptions!B23/1000000</x:f>
        <x:v>-0.05</x:v>
      </x:c>
      <x:c r="C9" s="125" t="n">
        <x:f>-Assumptions!C23/1000000</x:f>
        <x:v>-0.15</x:v>
      </x:c>
      <x:c r="D9" s="125" t="n">
        <x:f>-Assumptions!D23/1000000</x:f>
        <x:v>-0.4</x:v>
      </x:c>
      <x:c r="E9" s="125" t="n">
        <x:f>-Assumptions!E23/1000000</x:f>
        <x:v>-0.8</x:v>
      </x:c>
      <x:c r="F9" s="125" t="n">
        <x:f>-Assumptions!F23/1000000</x:f>
        <x:v>-1.8</x:v>
      </x:c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</x:row>
    <x:row r="10">
      <x:c r="A10" s="36" t="str">
        <x:v>Cash taxes</x:v>
      </x:c>
      <x:c r="B10" s="125" t="n">
        <x:f>-Assumptions!B22/1000000</x:f>
        <x:v>0</x:v>
      </x:c>
      <x:c r="C10" s="125" t="n">
        <x:f>-Assumptions!C22/1000000</x:f>
        <x:v>0</x:v>
      </x:c>
      <x:c r="D10" s="125" t="n">
        <x:f>-Assumptions!D22/1000000</x:f>
        <x:v>0</x:v>
      </x:c>
      <x:c r="E10" s="125" t="n">
        <x:f>-Assumptions!E22/1000000</x:f>
        <x:v>-2</x:v>
      </x:c>
      <x:c r="F10" s="125" t="n">
        <x:f>-Assumptions!F22/1000000</x:f>
        <x:v>-8</x:v>
      </x:c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>
      <x:c r="A11" s="127" t="str">
        <x:v>Ending cash</x:v>
      </x:c>
      <x:c r="B11" s="128" t="n">
        <x:f>SUM(B5:B10)</x:f>
        <x:v>0.6059999999999999</x:v>
      </x:c>
      <x:c r="C11" s="128" t="n">
        <x:f>SUM(C5:C10)</x:f>
        <x:v>1.2959999999999996</x:v>
      </x:c>
      <x:c r="D11" s="128" t="n">
        <x:f>SUM(D5:D10)</x:f>
        <x:v>7.008</x:v>
      </x:c>
      <x:c r="E11" s="128" t="n">
        <x:f>SUM(E5:E10)</x:f>
        <x:v>15.811999999999998</x:v>
      </x:c>
      <x:c r="F11" s="128" t="n">
        <x:f>SUM(F5:F10)</x:f>
        <x:v>43.081999965999984</x:v>
      </x:c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</x:sheetData>
  <x:mergeCells>
    <x:mergeCell ref="A1:F1"/>
    <x:mergeCell ref="A2:F2"/>
  </x:mergeCells>
  <x:conditionalFormatting sqref="B11:F11">
    <x:cfRule type="expression" dxfId="1" priority="1">
      <x:formula>B11&lt;0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5" hidden="0" customWidth="1"/>
    <x:col min="3" max="3" width="15" hidden="0" customWidth="1"/>
    <x:col min="4" max="4" width="15" hidden="0" customWidth="1"/>
    <x:col min="5" max="5" width="14" hidden="0" customWidth="1"/>
    <x:col min="6" max="6" width="17" hidden="0" customWidth="1"/>
    <x:col min="7" max="7" width="14" hidden="0" customWidth="1"/>
  </x:cols>
  <x:sheetData>
    <x:row r="1" ht="34" customHeight="1">
      <x:c r="A1" s="34" t="str">
        <x:v>Product Unit Economics</x:v>
      </x:c>
      <x:c r="B1" s="34"/>
      <x:c r="C1" s="34"/>
      <x:c r="D1" s="34"/>
      <x:c r="E1" s="34"/>
      <x:c r="F1" s="34"/>
      <x:c r="G1" s="34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22" customHeight="1">
      <x:c r="A2" s="35" t="str">
        <x:v>Per standard product; direct cost includes model/tool use, validators, delivery and support</x:v>
      </x:c>
      <x:c r="B2" s="35"/>
      <x:c r="C2" s="35"/>
      <x:c r="D2" s="35"/>
      <x:c r="E2" s="35"/>
      <x:c r="F2" s="35"/>
      <x:c r="G2" s="35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20" t="str">
        <x:v>Product</x:v>
      </x:c>
      <x:c r="B4" s="20" t="str">
        <x:v>Price</x:v>
      </x:c>
      <x:c r="C4" s="20" t="str">
        <x:v>Direct cost</x:v>
      </x:c>
      <x:c r="D4" s="20" t="str">
        <x:v>Gross profit</x:v>
      </x:c>
      <x:c r="E4" s="20" t="str">
        <x:v>Gross margin</x:v>
      </x:c>
      <x:c r="F4" s="20" t="str">
        <x:v>Customer value floor</x:v>
      </x:c>
      <x:c r="G4" s="20" t="str">
        <x:v>Value / fee</x:v>
      </x:c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</x:row>
    <x:row r="5">
      <x:c r="A5" s="36" t="str">
        <x:v>Proof Mission Activation</x:v>
      </x:c>
      <x:c r="B5" s="37" t="n">
        <x:v>15000</x:v>
      </x:c>
      <x:c r="C5" s="37" t="n">
        <x:v>500</x:v>
      </x:c>
      <x:c r="D5" s="144" t="n">
        <x:f>B5-C5</x:f>
        <x:v>14500</x:v>
      </x:c>
      <x:c r="E5" s="145" t="n">
        <x:f>D5/B5</x:f>
        <x:v>0.9666666666666667</x:v>
      </x:c>
      <x:c r="F5" s="37" t="n">
        <x:v>300000</x:v>
      </x:c>
      <x:c r="G5" s="146" t="n">
        <x:f>F5/B5</x:f>
        <x:v>20</x:v>
      </x:c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</x:row>
    <x:row r="6">
      <x:c r="A6" s="36" t="str">
        <x:v>Proof Mission</x:v>
      </x:c>
      <x:c r="B6" s="37" t="n">
        <x:v>75000</x:v>
      </x:c>
      <x:c r="C6" s="37" t="n">
        <x:v>18750</x:v>
      </x:c>
      <x:c r="D6" s="144" t="n">
        <x:f>B6-C6</x:f>
        <x:v>56250</x:v>
      </x:c>
      <x:c r="E6" s="145" t="n">
        <x:f>D6/B6</x:f>
        <x:v>0.75</x:v>
      </x:c>
      <x:c r="F6" s="37" t="n">
        <x:v>600000</x:v>
      </x:c>
      <x:c r="G6" s="146" t="n">
        <x:f>F6/B6</x:f>
        <x:v>8</x:v>
      </x:c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</x:row>
    <x:row r="7">
      <x:c r="A7" s="36" t="str">
        <x:v>Proof Office - annual</x:v>
      </x:c>
      <x:c r="B7" s="37" t="n">
        <x:v>216000</x:v>
      </x:c>
      <x:c r="C7" s="37" t="n">
        <x:v>43200</x:v>
      </x:c>
      <x:c r="D7" s="144" t="n">
        <x:f>B7-C7</x:f>
        <x:v>172800</x:v>
      </x:c>
      <x:c r="E7" s="145" t="n">
        <x:f>D7/B7</x:f>
        <x:v>0.8</x:v>
      </x:c>
      <x:c r="F7" s="37" t="n">
        <x:v>864000</x:v>
      </x:c>
      <x:c r="G7" s="146" t="n">
        <x:f>F7/B7</x:f>
        <x:v>4</x:v>
      </x:c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</x:row>
    <x:row r="8">
      <x:c r="A8" s="36" t="str">
        <x:v>Private Enterprise Network</x:v>
      </x:c>
      <x:c r="B8" s="37" t="n">
        <x:v>500000</x:v>
      </x:c>
      <x:c r="C8" s="37" t="n">
        <x:v>75000</x:v>
      </x:c>
      <x:c r="D8" s="144" t="n">
        <x:f>B8-C8</x:f>
        <x:v>425000</x:v>
      </x:c>
      <x:c r="E8" s="145" t="n">
        <x:f>D8/B8</x:f>
        <x:v>0.85</x:v>
      </x:c>
      <x:c r="F8" s="37" t="n">
        <x:v>2000000</x:v>
      </x:c>
      <x:c r="G8" s="146" t="n">
        <x:f>F8/B8</x:f>
        <x:v>4</x:v>
      </x:c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</x:row>
    <x:row r="9">
      <x:c r="A9" s="36" t="str">
        <x:v>Protected Capability Invocation</x:v>
      </x:c>
      <x:c r="B9" s="37" t="n">
        <x:v>500</x:v>
      </x:c>
      <x:c r="C9" s="37" t="n">
        <x:v>50</x:v>
      </x:c>
      <x:c r="D9" s="144" t="n">
        <x:f>B9-C9</x:f>
        <x:v>450</x:v>
      </x:c>
      <x:c r="E9" s="145" t="n">
        <x:f>D9/B9</x:f>
        <x:v>0.9</x:v>
      </x:c>
      <x:c r="F9" s="37" t="n">
        <x:v>2000</x:v>
      </x:c>
      <x:c r="G9" s="146" t="n">
        <x:f>F9/B9</x:f>
        <x:v>4</x:v>
      </x:c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>
      <x:c r="A12" s="20" t="str">
        <x:v>Complete customer example</x:v>
      </x:c>
      <x:c r="B12" s="20" t="str">
        <x:v>Revenue</x:v>
      </x:c>
      <x:c r="C12" s="20" t="str">
        <x:v>Direct cost</x:v>
      </x:c>
      <x:c r="D12" s="20" t="str">
        <x:v>Gross profit</x:v>
      </x:c>
      <x:c r="E12" s="20" t="str">
        <x:v>Gross margin</x:v>
      </x:c>
      <x:c r="F12" s="20" t="str">
        <x:v>Attributable value</x:v>
      </x:c>
      <x:c r="G12" s="20" t="str">
        <x:v>Customer ROI</x:v>
      </x:c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>
      <x:c r="A13" s="36" t="str">
        <x:v>Activation + Mission + 12-mo Office + usage</x:v>
      </x:c>
      <x:c r="B13" s="37" t="n">
        <x:v>331000</x:v>
      </x:c>
      <x:c r="C13" s="37" t="n">
        <x:v>64950</x:v>
      </x:c>
      <x:c r="D13" s="144" t="n">
        <x:f>B13-C13</x:f>
        <x:v>266050</x:v>
      </x:c>
      <x:c r="E13" s="145" t="n">
        <x:f>D13/B13</x:f>
        <x:v>0.8037764350453173</x:v>
      </x:c>
      <x:c r="F13" s="37" t="n">
        <x:v>1200000</x:v>
      </x:c>
      <x:c r="G13" s="145" t="n">
        <x:f>(F13-B13)/B13</x:f>
        <x:v>2.6253776435045317</x:v>
      </x:c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>
      <x:c r="A15" s="92" t="str">
        <x:v>Pricing rule</x:v>
      </x:c>
      <x:c r="B15" s="79" t="str">
        <x:v>Price = max(value-based price, margin-floor price)</x:v>
      </x:c>
      <x:c r="C15" s="79" t="str"/>
      <x:c r="D15" s="79" t="str"/>
      <x:c r="E15" s="79" t="str"/>
      <x:c r="F15" s="79" t="str"/>
      <x:c r="G15" s="79" t="str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>
      <x:c r="A16" s="92" t="str">
        <x:v>Qualification rule</x:v>
      </x:c>
      <x:c r="B16" s="79" t="str">
        <x:v>Conservative value should normally be at least 4.0x first-year fee</x:v>
      </x:c>
      <x:c r="C16" s="79" t="str"/>
      <x:c r="D16" s="79" t="str"/>
      <x:c r="E16" s="79" t="str"/>
      <x:c r="F16" s="79" t="str"/>
      <x:c r="G16" s="79" t="str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</x:sheetData>
  <x:mergeCells>
    <x:mergeCell ref="A1:G1"/>
    <x:mergeCell ref="A2:G2"/>
    <x:mergeCell ref="B15:G15"/>
    <x:mergeCell ref="B16:G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4" customHeight="1">
      <x:c r="A1" s="34" t="str">
        <x:v>Customer ROI and Value Attribution</x:v>
      </x:c>
      <x:c r="B1" s="34"/>
      <x:c r="C1" s="34"/>
      <x:c r="D1" s="34"/>
      <x:c r="E1" s="34"/>
      <x:c r="F1" s="34"/>
      <x:c r="G1" s="34"/>
      <x:c r="H1" s="34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22" customHeight="1">
      <x:c r="A2" s="35" t="str">
        <x:v>GoalOS declines missions that cannot support a compelling conservative value case</x:v>
      </x:c>
      <x:c r="B2" s="35"/>
      <x:c r="C2" s="35"/>
      <x:c r="D2" s="35"/>
      <x:c r="E2" s="35"/>
      <x:c r="F2" s="35"/>
      <x:c r="G2" s="35"/>
      <x:c r="H2" s="35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20" t="str">
        <x:v>Case</x:v>
      </x:c>
      <x:c r="B4" s="20" t="str">
        <x:v>GoalOS fee</x:v>
      </x:c>
      <x:c r="C4" s="20" t="str">
        <x:v>Forecast value</x:v>
      </x:c>
      <x:c r="D4" s="20" t="str">
        <x:v>Verified value</x:v>
      </x:c>
      <x:c r="E4" s="20" t="str">
        <x:v>Realized cash value</x:v>
      </x:c>
      <x:c r="F4" s="20" t="str">
        <x:v>Net benefit</x:v>
      </x:c>
      <x:c r="G4" s="20" t="str">
        <x:v>ROI</x:v>
      </x:c>
      <x:c r="H4" s="20" t="str">
        <x:v>Value / Fee</x:v>
      </x:c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</x:row>
    <x:row r="5">
      <x:c r="A5" s="36" t="str">
        <x:v>Activation</x:v>
      </x:c>
      <x:c r="B5" s="37" t="n">
        <x:v>15000</x:v>
      </x:c>
      <x:c r="C5" s="37" t="n">
        <x:v>300000</x:v>
      </x:c>
      <x:c r="D5" s="37" t="n">
        <x:v>0</x:v>
      </x:c>
      <x:c r="E5" s="37" t="n">
        <x:v>0</x:v>
      </x:c>
      <x:c r="F5" s="144" t="n">
        <x:f>C5-B5</x:f>
        <x:v>285000</x:v>
      </x:c>
      <x:c r="G5" s="145" t="n">
        <x:f>F5/B5</x:f>
        <x:v>19</x:v>
      </x:c>
      <x:c r="H5" s="146" t="n">
        <x:f>C5/B5</x:f>
        <x:v>20</x:v>
      </x:c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</x:row>
    <x:row r="6">
      <x:c r="A6" s="36" t="str">
        <x:v>Standard Proof Mission</x:v>
      </x:c>
      <x:c r="B6" s="37" t="n">
        <x:v>75000</x:v>
      </x:c>
      <x:c r="C6" s="37" t="n">
        <x:v>600000</x:v>
      </x:c>
      <x:c r="D6" s="37" t="n">
        <x:v>0</x:v>
      </x:c>
      <x:c r="E6" s="37" t="n">
        <x:v>0</x:v>
      </x:c>
      <x:c r="F6" s="144" t="n">
        <x:f>C6-B6</x:f>
        <x:v>525000</x:v>
      </x:c>
      <x:c r="G6" s="145" t="n">
        <x:f>F6/B6</x:f>
        <x:v>7</x:v>
      </x:c>
      <x:c r="H6" s="146" t="n">
        <x:f>C6/B6</x:f>
        <x:v>8</x:v>
      </x:c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</x:row>
    <x:row r="7">
      <x:c r="A7" s="36" t="str">
        <x:v>Full first-year relationship</x:v>
      </x:c>
      <x:c r="B7" s="37" t="n">
        <x:v>331000</x:v>
      </x:c>
      <x:c r="C7" s="37" t="n">
        <x:v>1200000</x:v>
      </x:c>
      <x:c r="D7" s="37" t="n">
        <x:v>0</x:v>
      </x:c>
      <x:c r="E7" s="37" t="n">
        <x:v>0</x:v>
      </x:c>
      <x:c r="F7" s="144" t="n">
        <x:f>C7-B7</x:f>
        <x:v>869000</x:v>
      </x:c>
      <x:c r="G7" s="145" t="n">
        <x:f>F7/B7</x:f>
        <x:v>2.6253776435045317</x:v>
      </x:c>
      <x:c r="H7" s="146" t="n">
        <x:f>C7/B7</x:f>
        <x:v>3.6253776435045317</x:v>
      </x:c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</x:row>
    <x:row r="8">
      <x:c r="A8" s="36" t="str">
        <x:v>Qualification-floor example</x:v>
      </x:c>
      <x:c r="B8" s="37" t="n">
        <x:v>331000</x:v>
      </x:c>
      <x:c r="C8" s="37" t="n">
        <x:v>1324000</x:v>
      </x:c>
      <x:c r="D8" s="37" t="n">
        <x:v>0</x:v>
      </x:c>
      <x:c r="E8" s="37" t="n">
        <x:v>0</x:v>
      </x:c>
      <x:c r="F8" s="144" t="n">
        <x:f>C8-B8</x:f>
        <x:v>993000</x:v>
      </x:c>
      <x:c r="G8" s="145" t="n">
        <x:f>F8/B8</x:f>
        <x:v>3</x:v>
      </x:c>
      <x:c r="H8" s="146" t="n">
        <x:f>C8/B8</x:f>
        <x:v>4</x:v>
      </x:c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</x:row>
    <x:row r="9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>
      <x:c r="A11" s="150" t="str">
        <x:v>Attribution discipline</x:v>
      </x:c>
      <x:c r="B11" s="150" t="str"/>
      <x:c r="C11" s="150" t="str"/>
      <x:c r="D11" s="150" t="str"/>
      <x:c r="E11" s="150" t="str"/>
      <x:c r="F11" s="150" t="str"/>
      <x:c r="G11" s="150" t="str"/>
      <x:c r="H11" s="150" t="str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>
      <x:c r="A12" s="36" t="str">
        <x:v>Value state</x:v>
      </x:c>
      <x:c r="B12" s="36" t="str">
        <x:v>Definition</x:v>
      </x:c>
      <x:c r="C12" s="36" t="str"/>
      <x:c r="D12" s="36" t="str"/>
      <x:c r="E12" s="36" t="str"/>
      <x:c r="F12" s="36" t="str"/>
      <x:c r="G12" s="36" t="str"/>
      <x:c r="H12" s="36" t="str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>
      <x:c r="A13" s="36" t="str">
        <x:v>Forecast</x:v>
      </x:c>
      <x:c r="B13" s="36" t="str">
        <x:v>Expected benefit before execution; never presented as realized value.</x:v>
      </x:c>
      <x:c r="C13" s="36" t="str"/>
      <x:c r="D13" s="36" t="str"/>
      <x:c r="E13" s="36" t="str"/>
      <x:c r="F13" s="36" t="str"/>
      <x:c r="G13" s="36" t="str"/>
      <x:c r="H13" s="36" t="str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>
      <x:c r="A14" s="36" t="str">
        <x:v>Verified</x:v>
      </x:c>
      <x:c r="B14" s="36" t="str">
        <x:v>Evidence supports the value claim and attribution route.</x:v>
      </x:c>
      <x:c r="C14" s="36" t="str"/>
      <x:c r="D14" s="36" t="str"/>
      <x:c r="E14" s="36" t="str"/>
      <x:c r="F14" s="36" t="str"/>
      <x:c r="G14" s="36" t="str"/>
      <x:c r="H14" s="36" t="str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>
      <x:c r="A15" s="36" t="str">
        <x:v>Realized</x:v>
      </x:c>
      <x:c r="B15" s="36" t="str">
        <x:v>Cash, savings or measured risk reduction has actually occurred.</x:v>
      </x:c>
      <x:c r="C15" s="36" t="str"/>
      <x:c r="D15" s="36" t="str"/>
      <x:c r="E15" s="36" t="str"/>
      <x:c r="F15" s="36" t="str"/>
      <x:c r="G15" s="36" t="str"/>
      <x:c r="H15" s="36" t="str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</x:sheetData>
  <x:mergeCells>
    <x:mergeCell ref="A1:H1"/>
    <x:mergeCell ref="A2:H2"/>
    <x:mergeCell ref="A11:H11"/>
    <x:mergeCell ref="B12:H12"/>
    <x:mergeCell ref="B13:H13"/>
    <x:mergeCell ref="B14:H14"/>
    <x:mergeCell ref="B15:H15"/>
  </x:mergeCells>
  <x:conditionalFormatting sqref="G5:G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6" hidden="0" customWidth="1"/>
  </x:cols>
  <x:sheetData>
    <x:row r="1" ht="34" customHeight="1">
      <x:c r="A1" s="34" t="str">
        <x:v>Autonomous Funnel and CAC</x:v>
      </x:c>
      <x:c r="B1" s="34"/>
      <x:c r="C1" s="34"/>
      <x:c r="D1" s="34"/>
      <x:c r="E1" s="34"/>
      <x:c r="F1" s="34"/>
      <x:c r="G1" s="34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22" customHeight="1">
      <x:c r="A2" s="35" t="str">
        <x:v>Target metrics for the zero-seller standard lane</x:v>
      </x:c>
      <x:c r="B2" s="35"/>
      <x:c r="C2" s="35"/>
      <x:c r="D2" s="35"/>
      <x:c r="E2" s="35"/>
      <x:c r="F2" s="35"/>
      <x:c r="G2" s="35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20" t="str">
        <x:v>Metric</x:v>
      </x:c>
      <x:c r="B4" s="20" t="str">
        <x:v>FY1</x:v>
      </x:c>
      <x:c r="C4" s="20" t="str">
        <x:v>FY2</x:v>
      </x:c>
      <x:c r="D4" s="20" t="str">
        <x:v>FY3</x:v>
      </x:c>
      <x:c r="E4" s="20" t="str">
        <x:v>FY4</x:v>
      </x:c>
      <x:c r="F4" s="20" t="str">
        <x:v>FY5</x:v>
      </x:c>
      <x:c r="G4" s="20" t="str">
        <x:v>Target / basis</x:v>
      </x:c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</x:row>
    <x:row r="5">
      <x:c r="A5" s="36" t="str">
        <x:v>Proof Readiness Scans</x:v>
      </x:c>
      <x:c r="B5" s="39" t="n">
        <x:v>160</x:v>
      </x:c>
      <x:c r="C5" s="39" t="n">
        <x:v>400</x:v>
      </x:c>
      <x:c r="D5" s="39" t="n">
        <x:v>900</x:v>
      </x:c>
      <x:c r="E5" s="39" t="n">
        <x:v>1800</x:v>
      </x:c>
      <x:c r="F5" s="39" t="n">
        <x:v>3500</x:v>
      </x:c>
      <x:c r="G5" s="36" t="str">
        <x:v>Permissioned inbound, MasterClass and referrals</x:v>
      </x:c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</x:row>
    <x:row r="6">
      <x:c r="A6" s="36" t="str">
        <x:v>Scan → Activation</x:v>
      </x:c>
      <x:c r="B6" s="38" t="n">
        <x:v>0.1</x:v>
      </x:c>
      <x:c r="C6" s="38" t="n">
        <x:v>0.1</x:v>
      </x:c>
      <x:c r="D6" s="38" t="n">
        <x:v>0.11</x:v>
      </x:c>
      <x:c r="E6" s="38" t="n">
        <x:v>0.11</x:v>
      </x:c>
      <x:c r="F6" s="38" t="n">
        <x:v>0.12</x:v>
      </x:c>
      <x:c r="G6" s="36" t="str">
        <x:v>Target</x:v>
      </x:c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</x:row>
    <x:row r="7">
      <x:c r="A7" s="36" t="str">
        <x:v>Activation → Mission</x:v>
      </x:c>
      <x:c r="B7" s="38" t="n">
        <x:v>0.35</x:v>
      </x:c>
      <x:c r="C7" s="38" t="n">
        <x:v>0.38</x:v>
      </x:c>
      <x:c r="D7" s="38" t="n">
        <x:v>0.4</x:v>
      </x:c>
      <x:c r="E7" s="38" t="n">
        <x:v>0.42</x:v>
      </x:c>
      <x:c r="F7" s="38" t="n">
        <x:v>0.45</x:v>
      </x:c>
      <x:c r="G7" s="36" t="str">
        <x:v>Target; direct enterprise missions may bypass Activation</x:v>
      </x:c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</x:row>
    <x:row r="8">
      <x:c r="A8" s="36" t="str">
        <x:v>Mission → Proof Office</x:v>
      </x:c>
      <x:c r="B8" s="38" t="n">
        <x:v>0.4</x:v>
      </x:c>
      <x:c r="C8" s="38" t="n">
        <x:v>0.42</x:v>
      </x:c>
      <x:c r="D8" s="38" t="n">
        <x:v>0.45</x:v>
      </x:c>
      <x:c r="E8" s="38" t="n">
        <x:v>0.47</x:v>
      </x:c>
      <x:c r="F8" s="38" t="n">
        <x:v>0.5</x:v>
      </x:c>
      <x:c r="G8" s="36" t="str">
        <x:v>Target</x:v>
      </x:c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</x:row>
    <x:row r="9">
      <x:c r="A9" s="36" t="str">
        <x:v>CAC per complete relationship</x:v>
      </x:c>
      <x:c r="B9" s="37" t="n">
        <x:v>35000</x:v>
      </x:c>
      <x:c r="C9" s="37" t="n">
        <x:v>30000</x:v>
      </x:c>
      <x:c r="D9" s="37" t="n">
        <x:v>25000</x:v>
      </x:c>
      <x:c r="E9" s="37" t="n">
        <x:v>22000</x:v>
      </x:c>
      <x:c r="F9" s="37" t="n">
        <x:v>20000</x:v>
      </x:c>
      <x:c r="G9" s="36" t="str">
        <x:v>Includes paid acquisition, channel and onboarding</x:v>
      </x:c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</x:row>
    <x:row r="10">
      <x:c r="A10" s="36" t="str">
        <x:v>First-year gross profit / complete customer</x:v>
      </x:c>
      <x:c r="B10" s="37" t="n">
        <x:v>266050</x:v>
      </x:c>
      <x:c r="C10" s="37" t="n">
        <x:v>275000</x:v>
      </x:c>
      <x:c r="D10" s="37" t="n">
        <x:v>290000</x:v>
      </x:c>
      <x:c r="E10" s="37" t="n">
        <x:v>310000</x:v>
      </x:c>
      <x:c r="F10" s="37" t="n">
        <x:v>330000</x:v>
      </x:c>
      <x:c r="G10" s="36" t="str">
        <x:v>Before fixed overhead</x:v>
      </x:c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>
      <x:c r="A11" s="36" t="str">
        <x:v>CAC payback (months)</x:v>
      </x:c>
      <x:c r="B11" s="152" t="n">
        <x:f>B9/B10*12</x:f>
        <x:v>1.5786506295809057</x:v>
      </x:c>
      <x:c r="C11" s="152" t="n">
        <x:f>C9/C10*12</x:f>
        <x:v>1.309090909090909</x:v>
      </x:c>
      <x:c r="D11" s="152" t="n">
        <x:f>D9/D10*12</x:f>
        <x:v>1.0344827586206897</x:v>
      </x:c>
      <x:c r="E11" s="152" t="n">
        <x:f>E9/E10*12</x:f>
        <x:v>0.8516129032258064</x:v>
      </x:c>
      <x:c r="F11" s="152" t="n">
        <x:f>F9/F10*12</x:f>
        <x:v>0.7272727272727273</x:v>
      </x:c>
      <x:c r="G11" s="36" t="str">
        <x:v>Target &lt;6 months</x:v>
      </x:c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>
      <x:c r="A13" s="79" t="str">
        <x:v>Commercial autonomy standard</x:v>
      </x:c>
      <x:c r="B13" s="79" t="str">
        <x:v>0 seller-side minutes for standard qualification, pricing, contracting, payment, onboarding, renewal and expansion.</x:v>
      </x:c>
      <x:c r="C13" s="79" t="str"/>
      <x:c r="D13" s="79" t="str"/>
      <x:c r="E13" s="79" t="str"/>
      <x:c r="F13" s="79" t="str"/>
      <x:c r="G13" s="79" t="str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</x:sheetData>
  <x:mergeCells>
    <x:mergeCell ref="A1:G1"/>
    <x:mergeCell ref="A2:G2"/>
    <x:mergeCell ref="B13:G13"/>
  </x:mergeCells>
  <x:conditionalFormatting sqref="B11:F11">
    <x:cfRule type="dataBar" priority="1">
      <x:dataBar>
        <x:cfvo type="min"/>
        <x:cfvo type="max"/>
        <x:color rgb="FF2CB6A6"/>
      </x:dataBar>
      <x:extLst>
        <x:ext xmlns:x14="http://schemas.microsoft.com/office/spreadsheetml/2009/9/main" uri="{B025F937-C7B1-47D3-B67F-A62EFF666E3E}">
          <x14:id>{0C111A36-A6F7-0063-15E5-2CDC876F1794}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C111A36-A6F7-0063-15E5-2CDC876F1794}">
            <x14:dataBar gradient="1">
              <x14:cfvo type="min"/>
              <x14:cfvo type="max"/>
              <x14:fillColor rgb="FF2CB6A6"/>
            </x14:dataBar>
          </x14:cfRule>
          <xm:sqref>B11:F11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34" t="str">
        <x:v>Scenario Summary</x:v>
      </x:c>
      <x:c r="B1" s="34"/>
      <x:c r="C1" s="34"/>
      <x:c r="D1" s="34"/>
      <x:c r="E1" s="34"/>
      <x:c r="F1" s="34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22" customHeight="1">
      <x:c r="A2" s="35" t="str">
        <x:v>Five-year revenue, gross margin and EBITDA cases</x:v>
      </x:c>
      <x:c r="B2" s="35"/>
      <x:c r="C2" s="35"/>
      <x:c r="D2" s="35"/>
      <x:c r="E2" s="35"/>
      <x:c r="F2" s="35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20" t="str">
        <x:v>Revenue ($mm)</x:v>
      </x:c>
      <x:c r="B4" s="20" t="str">
        <x:v>FY1</x:v>
      </x:c>
      <x:c r="C4" s="20" t="str">
        <x:v>FY2</x:v>
      </x:c>
      <x:c r="D4" s="20" t="str">
        <x:v>FY3</x:v>
      </x:c>
      <x:c r="E4" s="20" t="str">
        <x:v>FY4</x:v>
      </x:c>
      <x:c r="F4" s="20" t="str">
        <x:v>FY5</x:v>
      </x:c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</x:row>
    <x:row r="5">
      <x:c r="A5" s="36" t="str">
        <x:v>Conservative</x:v>
      </x:c>
      <x:c r="B5" s="154" t="n">
        <x:v>0.9</x:v>
      </x:c>
      <x:c r="C5" s="154" t="n">
        <x:v>3</x:v>
      </x:c>
      <x:c r="D5" s="154" t="n">
        <x:v>8</x:v>
      </x:c>
      <x:c r="E5" s="154" t="n">
        <x:v>18</x:v>
      </x:c>
      <x:c r="F5" s="154" t="n">
        <x:v>38</x:v>
      </x:c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</x:row>
    <x:row r="6">
      <x:c r="A6" s="36" t="str">
        <x:v>Base</x:v>
      </x:c>
      <x:c r="B6" s="154" t="n">
        <x:v>1.4</x:v>
      </x:c>
      <x:c r="C6" s="154" t="n">
        <x:v>5.8</x:v>
      </x:c>
      <x:c r="D6" s="154" t="n">
        <x:v>16.6</x:v>
      </x:c>
      <x:c r="E6" s="154" t="n">
        <x:v>40.6</x:v>
      </x:c>
      <x:c r="F6" s="154" t="n">
        <x:v>94.2</x:v>
      </x:c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</x:row>
    <x:row r="7">
      <x:c r="A7" s="36" t="str">
        <x:v>Upside</x:v>
      </x:c>
      <x:c r="B7" s="154" t="n">
        <x:v>2.2</x:v>
      </x:c>
      <x:c r="C7" s="154" t="n">
        <x:v>9.5</x:v>
      </x:c>
      <x:c r="D7" s="154" t="n">
        <x:v>28</x:v>
      </x:c>
      <x:c r="E7" s="154" t="n">
        <x:v>75</x:v>
      </x:c>
      <x:c r="F7" s="154" t="n">
        <x:v>180</x:v>
      </x:c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</x:row>
    <x:row r="8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</x:row>
    <x:row r="9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</x:row>
    <x:row r="10">
      <x:c r="A10" s="20" t="str">
        <x:v>Gross margin</x:v>
      </x:c>
      <x:c r="B10" s="20" t="str">
        <x:v>FY1</x:v>
      </x:c>
      <x:c r="C10" s="20" t="str">
        <x:v>FY2</x:v>
      </x:c>
      <x:c r="D10" s="20" t="str">
        <x:v>FY3</x:v>
      </x:c>
      <x:c r="E10" s="20" t="str">
        <x:v>FY4</x:v>
      </x:c>
      <x:c r="F10" s="20" t="str">
        <x:v>FY5</x:v>
      </x:c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>
      <x:c r="A11" s="36" t="str">
        <x:v>Conservative</x:v>
      </x:c>
      <x:c r="B11" s="38" t="n">
        <x:v>0.73</x:v>
      </x:c>
      <x:c r="C11" s="38" t="n">
        <x:v>0.75</x:v>
      </x:c>
      <x:c r="D11" s="38" t="n">
        <x:v>0.77</x:v>
      </x:c>
      <x:c r="E11" s="38" t="n">
        <x:v>0.79</x:v>
      </x:c>
      <x:c r="F11" s="38" t="n">
        <x:v>0.8</x:v>
      </x:c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>
      <x:c r="A12" s="36" t="str">
        <x:v>Base</x:v>
      </x:c>
      <x:c r="B12" s="38" t="n">
        <x:v>0.79</x:v>
      </x:c>
      <x:c r="C12" s="38" t="n">
        <x:v>0.8</x:v>
      </x:c>
      <x:c r="D12" s="38" t="n">
        <x:v>0.82</x:v>
      </x:c>
      <x:c r="E12" s="38" t="n">
        <x:v>0.84</x:v>
      </x:c>
      <x:c r="F12" s="38" t="n">
        <x:v>0.85</x:v>
      </x:c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>
      <x:c r="A13" s="36" t="str">
        <x:v>Upside</x:v>
      </x:c>
      <x:c r="B13" s="38" t="n">
        <x:v>0.8</x:v>
      </x:c>
      <x:c r="C13" s="38" t="n">
        <x:v>0.82</x:v>
      </x:c>
      <x:c r="D13" s="38" t="n">
        <x:v>0.84</x:v>
      </x:c>
      <x:c r="E13" s="38" t="n">
        <x:v>0.86</x:v>
      </x:c>
      <x:c r="F13" s="38" t="n">
        <x:v>0.87</x:v>
      </x:c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>
      <x:c r="A16" s="20" t="str">
        <x:v>EBITDA ($mm)</x:v>
      </x:c>
      <x:c r="B16" s="20" t="str">
        <x:v>FY1</x:v>
      </x:c>
      <x:c r="C16" s="20" t="str">
        <x:v>FY2</x:v>
      </x:c>
      <x:c r="D16" s="20" t="str">
        <x:v>FY3</x:v>
      </x:c>
      <x:c r="E16" s="20" t="str">
        <x:v>FY4</x:v>
      </x:c>
      <x:c r="F16" s="20" t="str">
        <x:v>FY5</x:v>
      </x:c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>
      <x:c r="A17" s="36" t="str">
        <x:v>Conservative</x:v>
      </x:c>
      <x:c r="B17" s="154" t="n">
        <x:v>-1.6</x:v>
      </x:c>
      <x:c r="C17" s="154" t="n">
        <x:v>-0.8</x:v>
      </x:c>
      <x:c r="D17" s="154" t="n">
        <x:v>0.4</x:v>
      </x:c>
      <x:c r="E17" s="154" t="n">
        <x:v>3.5</x:v>
      </x:c>
      <x:c r="F17" s="154" t="n">
        <x:v>11</x:v>
      </x:c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>
      <x:c r="A18" s="36" t="str">
        <x:v>Base</x:v>
      </x:c>
      <x:c r="B18" s="154" t="n">
        <x:v>-1.3</x:v>
      </x:c>
      <x:c r="C18" s="154" t="n">
        <x:v>0.1</x:v>
      </x:c>
      <x:c r="D18" s="154" t="n">
        <x:v>4.9</x:v>
      </x:c>
      <x:c r="E18" s="154" t="n">
        <x:v>15.6</x:v>
      </x:c>
      <x:c r="F18" s="154" t="n">
        <x:v>45</x:v>
      </x:c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>
      <x:c r="A19" s="36" t="str">
        <x:v>Upside</x:v>
      </x:c>
      <x:c r="B19" s="154" t="n">
        <x:v>-1.1</x:v>
      </x:c>
      <x:c r="C19" s="154" t="n">
        <x:v>1.3</x:v>
      </x:c>
      <x:c r="D19" s="154" t="n">
        <x:v>10.5</x:v>
      </x:c>
      <x:c r="E19" s="154" t="n">
        <x:v>35</x:v>
      </x:c>
      <x:c r="F19" s="154" t="n">
        <x:v>100</x:v>
      </x:c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42" hidden="0" customWidth="1"/>
  </x:cols>
  <x:sheetData>
    <x:row r="1" ht="34" customHeight="1">
      <x:c r="A1" s="34" t="str">
        <x:v>Proof, Capability and Moat KPIs</x:v>
      </x:c>
      <x:c r="B1" s="34"/>
      <x:c r="C1" s="34"/>
      <x:c r="D1" s="34"/>
      <x:c r="E1" s="34"/>
      <x:c r="F1" s="34"/>
      <x:c r="G1" s="34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22" customHeight="1">
      <x:c r="A2" s="35" t="str">
        <x:v>The graph is valuable only when fresh missions improve because validated capability exists</x:v>
      </x:c>
      <x:c r="B2" s="35"/>
      <x:c r="C2" s="35"/>
      <x:c r="D2" s="35"/>
      <x:c r="E2" s="35"/>
      <x:c r="F2" s="35"/>
      <x:c r="G2" s="35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20" t="str">
        <x:v>Metric</x:v>
      </x:c>
      <x:c r="B4" s="20" t="str">
        <x:v>FY1</x:v>
      </x:c>
      <x:c r="C4" s="20" t="str">
        <x:v>FY2</x:v>
      </x:c>
      <x:c r="D4" s="20" t="str">
        <x:v>FY3</x:v>
      </x:c>
      <x:c r="E4" s="20" t="str">
        <x:v>FY4</x:v>
      </x:c>
      <x:c r="F4" s="20" t="str">
        <x:v>FY5</x:v>
      </x:c>
      <x:c r="G4" s="20" t="str">
        <x:v>Interpretation</x:v>
      </x:c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</x:row>
    <x:row r="5">
      <x:c r="A5" s="36" t="str">
        <x:v>Paid Proof Missions</x:v>
      </x:c>
      <x:c r="B5" s="39" t="n">
        <x:v>7</x:v>
      </x:c>
      <x:c r="C5" s="39" t="n">
        <x:v>26</x:v>
      </x:c>
      <x:c r="D5" s="39" t="n">
        <x:v>48</x:v>
      </x:c>
      <x:c r="E5" s="39" t="n">
        <x:v>80</x:v>
      </x:c>
      <x:c r="F5" s="39" t="n">
        <x:v>133</x:v>
      </x:c>
      <x:c r="G5" s="36" t="str">
        <x:v>Economic reality</x:v>
      </x:c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</x:row>
    <x:row r="6">
      <x:c r="A6" s="36" t="str">
        <x:v>Average active Proof Offices</x:v>
      </x:c>
      <x:c r="B6" s="39" t="n">
        <x:v>2.25</x:v>
      </x:c>
      <x:c r="C6" s="39" t="n">
        <x:v>11</x:v>
      </x:c>
      <x:c r="D6" s="39" t="n">
        <x:v>34</x:v>
      </x:c>
      <x:c r="E6" s="39" t="n">
        <x:v>75</x:v>
      </x:c>
      <x:c r="F6" s="39" t="n">
        <x:v>170</x:v>
      </x:c>
      <x:c r="G6" s="36" t="str">
        <x:v>Recurring control</x:v>
      </x:c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</x:row>
    <x:row r="7">
      <x:c r="A7" s="36" t="str">
        <x:v>Rights-cleared Chronicle capabilities</x:v>
      </x:c>
      <x:c r="B7" s="39" t="n">
        <x:v>1</x:v>
      </x:c>
      <x:c r="C7" s="39" t="n">
        <x:v>8</x:v>
      </x:c>
      <x:c r="D7" s="39" t="n">
        <x:v>30</x:v>
      </x:c>
      <x:c r="E7" s="39" t="n">
        <x:v>100</x:v>
      </x:c>
      <x:c r="F7" s="39" t="n">
        <x:v>300</x:v>
      </x:c>
      <x:c r="G7" s="36" t="str">
        <x:v>Reusable private capability</x:v>
      </x:c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</x:row>
    <x:row r="8">
      <x:c r="A8" s="36" t="str">
        <x:v>Fresh successor tests</x:v>
      </x:c>
      <x:c r="B8" s="39" t="n">
        <x:v>1</x:v>
      </x:c>
      <x:c r="C8" s="39" t="n">
        <x:v>6</x:v>
      </x:c>
      <x:c r="D8" s="39" t="n">
        <x:v>20</x:v>
      </x:c>
      <x:c r="E8" s="39" t="n">
        <x:v>60</x:v>
      </x:c>
      <x:c r="F8" s="39" t="n">
        <x:v>150</x:v>
      </x:c>
      <x:c r="G8" s="36" t="str">
        <x:v>Evidence of transfer</x:v>
      </x:c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</x:row>
    <x:row r="9">
      <x:c r="A9" s="36" t="str">
        <x:v>Reusable-capability revenue share</x:v>
      </x:c>
      <x:c r="B9" s="38" t="n">
        <x:v>0.05</x:v>
      </x:c>
      <x:c r="C9" s="38" t="n">
        <x:v>0.18</x:v>
      </x:c>
      <x:c r="D9" s="38" t="n">
        <x:v>0.35</x:v>
      </x:c>
      <x:c r="E9" s="38" t="n">
        <x:v>0.5</x:v>
      </x:c>
      <x:c r="F9" s="38" t="n">
        <x:v>0.65</x:v>
      </x:c>
      <x:c r="G9" s="36" t="str">
        <x:v>Revenue powered by admitted capability</x:v>
      </x:c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</x:row>
    <x:row r="10">
      <x:c r="A10" s="36" t="str">
        <x:v>Evidence completeness</x:v>
      </x:c>
      <x:c r="B10" s="38" t="n">
        <x:v>0.9</x:v>
      </x:c>
      <x:c r="C10" s="38" t="n">
        <x:v>0.94</x:v>
      </x:c>
      <x:c r="D10" s="38" t="n">
        <x:v>0.96</x:v>
      </x:c>
      <x:c r="E10" s="38" t="n">
        <x:v>0.97</x:v>
      </x:c>
      <x:c r="F10" s="38" t="n">
        <x:v>0.98</x:v>
      </x:c>
      <x:c r="G10" s="36" t="str">
        <x:v>Claims mapped to inspectable evidence</x:v>
      </x:c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>
      <x:c r="A11" s="36" t="str">
        <x:v>Replay success</x:v>
      </x:c>
      <x:c r="B11" s="38" t="n">
        <x:v>0.8</x:v>
      </x:c>
      <x:c r="C11" s="38" t="n">
        <x:v>0.88</x:v>
      </x:c>
      <x:c r="D11" s="38" t="n">
        <x:v>0.92</x:v>
      </x:c>
      <x:c r="E11" s="38" t="n">
        <x:v>0.95</x:v>
      </x:c>
      <x:c r="F11" s="38" t="n">
        <x:v>0.97</x:v>
      </x:c>
      <x:c r="G11" s="36" t="str">
        <x:v>Reproducibility</x:v>
      </x:c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>
      <x:c r="A12" s="36" t="str">
        <x:v>Founder hours per mission</x:v>
      </x:c>
      <x:c r="B12" s="39" t="n">
        <x:v>20</x:v>
      </x:c>
      <x:c r="C12" s="39" t="n">
        <x:v>8</x:v>
      </x:c>
      <x:c r="D12" s="39" t="n">
        <x:v>3</x:v>
      </x:c>
      <x:c r="E12" s="39" t="n">
        <x:v>1</x:v>
      </x:c>
      <x:c r="F12" s="39" t="n">
        <x:v>0</x:v>
      </x:c>
      <x:c r="G12" s="36" t="str">
        <x:v>Institutional rather than founder delivery</x:v>
      </x:c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>
      <x:c r="A13" s="36" t="str">
        <x:v>Material trust breaches</x:v>
      </x:c>
      <x:c r="B13" s="39" t="n">
        <x:v>0</x:v>
      </x:c>
      <x:c r="C13" s="39" t="n">
        <x:v>0</x:v>
      </x:c>
      <x:c r="D13" s="39" t="n">
        <x:v>0</x:v>
      </x:c>
      <x:c r="E13" s="39" t="n">
        <x:v>0</x:v>
      </x:c>
      <x:c r="F13" s="39" t="n">
        <x:v>0</x:v>
      </x:c>
      <x:c r="G13" s="36" t="str">
        <x:v>Non-negotiable</x:v>
      </x:c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2" hidden="0" customWidth="1"/>
    <x:col min="4" max="4" width="65" hidden="0" customWidth="1"/>
    <x:col min="5" max="5" width="48" hidden="0" customWidth="1"/>
  </x:cols>
  <x:sheetData>
    <x:row r="1" ht="34" customHeight="1">
      <x:c r="A1" s="34" t="str">
        <x:v>Sources and Model Boundaries</x:v>
      </x:c>
      <x:c r="B1" s="34"/>
      <x:c r="C1" s="34"/>
      <x:c r="D1" s="34"/>
      <x:c r="E1" s="34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22" customHeight="1">
      <x:c r="A2" s="35" t="str">
        <x:v>External references support timing and benchmarks; financial outputs are editable management hypotheses</x:v>
      </x:c>
      <x:c r="B2" s="35"/>
      <x:c r="C2" s="35"/>
      <x:c r="D2" s="35"/>
      <x:c r="E2" s="35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20" t="str">
        <x:v>ID</x:v>
      </x:c>
      <x:c r="B4" s="20" t="str">
        <x:v>Source</x:v>
      </x:c>
      <x:c r="C4" s="20" t="str">
        <x:v>Publisher</x:v>
      </x:c>
      <x:c r="D4" s="20" t="str">
        <x:v>URL</x:v>
      </x:c>
      <x:c r="E4" s="20" t="str">
        <x:v>Use</x:v>
      </x:c>
      <x:c r="F4" s="36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</x:row>
    <x:row r="5">
      <x:c r="A5" s="36" t="str">
        <x:v>S1</x:v>
      </x:c>
      <x:c r="B5" s="36" t="str">
        <x:v>Introducing workspace agents in ChatGPT</x:v>
      </x:c>
      <x:c r="C5" s="36" t="str">
        <x:v>OpenAI</x:v>
      </x:c>
      <x:c r="D5" s="36" t="str">
        <x:v>https://openai.com/index/introducing-workspace-agents-in-chatgpt/</x:v>
      </x:c>
      <x:c r="E5" s="36" t="str">
        <x:v>Long-running, shared workflows under organizational permissions.</x:v>
      </x:c>
      <x:c r="F5" s="36"/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</x:row>
    <x:row r="6">
      <x:c r="A6" s="36" t="str">
        <x:v>S2</x:v>
      </x:c>
      <x:c r="B6" s="36" t="str">
        <x:v>ChatGPT Work release notes</x:v>
      </x:c>
      <x:c r="C6" s="36" t="str">
        <x:v>OpenAI</x:v>
      </x:c>
      <x:c r="D6" s="36" t="str">
        <x:v>https://help.openai.com/en/articles/10128477-chatgpt-enterprise-edu-release-notes</x:v>
      </x:c>
      <x:c r="E6" s="36" t="str">
        <x:v>Finished work products across apps and files.</x:v>
      </x:c>
      <x:c r="F6" s="36"/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</x:row>
    <x:row r="7">
      <x:c r="A7" s="36" t="str">
        <x:v>S3</x:v>
      </x:c>
      <x:c r="B7" s="36" t="str">
        <x:v>OpenAI API pricing</x:v>
      </x:c>
      <x:c r="C7" s="36" t="str">
        <x:v>OpenAI</x:v>
      </x:c>
      <x:c r="D7" s="36" t="str">
        <x:v>https://openai.com/api/pricing/</x:v>
      </x:c>
      <x:c r="E7" s="36" t="str">
        <x:v>Marginal model, web-search and container cost context.</x:v>
      </x:c>
      <x:c r="F7" s="36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</x:row>
    <x:row r="8">
      <x:c r="A8" s="36" t="str">
        <x:v>S4</x:v>
      </x:c>
      <x:c r="B8" s="36" t="str">
        <x:v>Task-Completion Time Horizons</x:v>
      </x:c>
      <x:c r="C8" s="36" t="str">
        <x:v>METR</x:v>
      </x:c>
      <x:c r="D8" s="36" t="str">
        <x:v>https://metr.org/time-horizons/</x:v>
      </x:c>
      <x:c r="E8" s="36" t="str">
        <x:v>Frontier-agent task-horizon measurements and caveats.</x:v>
      </x:c>
      <x:c r="F8" s="36"/>
      <x:c r="G8" s="36"/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</x:row>
    <x:row r="9">
      <x:c r="A9" s="36" t="str">
        <x:v>S5</x:v>
      </x:c>
      <x:c r="B9" s="36" t="str">
        <x:v>AlphaEvolve</x:v>
      </x:c>
      <x:c r="C9" s="36" t="str">
        <x:v>Google DeepMind</x:v>
      </x:c>
      <x:c r="D9" s="36" t="str">
        <x:v>https://deepmind.google/blog/alphaevolve-a-gemini-powered-coding-agent-for-designing-advanced-algorithms/</x:v>
      </x:c>
      <x:c r="E9" s="36" t="str">
        <x:v>Evaluator-driven generation and deployed improvements.</x:v>
      </x:c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</x:row>
    <x:row r="10">
      <x:c r="A10" s="36" t="str">
        <x:v>S6</x:v>
      </x:c>
      <x:c r="B10" s="36" t="str">
        <x:v>Worldwide AI spending forecast</x:v>
      </x:c>
      <x:c r="C10" s="36" t="str">
        <x:v>Gartner</x:v>
      </x:c>
      <x:c r="D10" s="36" t="str">
        <x:v>https://www.gartner.com/en/newsroom/press-releases/2026-05-19-gartner-forecasts-worldwide-ai-spending-to-grow-47-percent-in-2026</x:v>
      </x:c>
      <x:c r="E10" s="36" t="str">
        <x:v>$2.59T forecast and enterprise value-realization pressure.</x:v>
      </x:c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>
      <x:c r="A11" s="36" t="str">
        <x:v>S7</x:v>
      </x:c>
      <x:c r="B11" s="36" t="str">
        <x:v>Article 50 AI Act transparency obligations</x:v>
      </x:c>
      <x:c r="C11" s="36" t="str">
        <x:v>European Commission</x:v>
      </x:c>
      <x:c r="D11" s="36" t="str">
        <x:v>https://digital-strategy.ec.europa.eu/en/faqs/transparency-obligations-under-article-50-ai-act</x:v>
      </x:c>
      <x:c r="E11" s="36" t="str">
        <x:v>Applies from 2 August 2026; compliance context.</x:v>
      </x:c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>
      <x:c r="A12" s="36" t="str">
        <x:v>S8</x:v>
      </x:c>
      <x:c r="B12" s="36" t="str">
        <x:v>2026 B2B SaaS benchmarks</x:v>
      </x:c>
      <x:c r="C12" s="36" t="str">
        <x:v>SaaS Capital</x:v>
      </x:c>
      <x:c r="D12" s="36" t="str">
        <x:v>https://www.saas-capital.com/blog-posts/benchmarking-metrics-for-bootstrapped-saas-companies/</x:v>
      </x:c>
      <x:c r="E12" s="36" t="str">
        <x:v>Median NRR 103%; 90th percentile 117.9%.</x:v>
      </x:c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>
      <x:c r="A13" s="36" t="str">
        <x:v>S9</x:v>
      </x:c>
      <x:c r="B13" s="36" t="str">
        <x:v>Stripe Payment Links</x:v>
      </x:c>
      <x:c r="C13" s="36" t="str">
        <x:v>Stripe</x:v>
      </x:c>
      <x:c r="D13" s="36" t="str">
        <x:v>https://docs.stripe.com/payment-links</x:v>
      </x:c>
      <x:c r="E13" s="36" t="str">
        <x:v>One-time and subscription transaction automation.</x:v>
      </x:c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>
      <x:c r="A14" s="36" t="str">
        <x:v>S10</x:v>
      </x:c>
      <x:c r="B14" s="36" t="str">
        <x:v>Merkle Roots for the Validated Skill Graph</x:v>
      </x:c>
      <x:c r="C14" s="36" t="str">
        <x:v>MONTREAL.AI Research</x:v>
      </x:c>
      <x:c r="D14" s="36" t="str">
        <x:v>https://github.com/MontrealAI/goalos-agialpha-sovereign-machine-economy/blob/main/docs/paper/Merkle_Roots_for_the_Validated_Skill_Graph_v114.pdf</x:v>
      </x:c>
      <x:c r="E14" s="36" t="str">
        <x:v>Chronicle gating, lineage and root verifiability.</x:v>
      </x:c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>
      <x:c r="A15" s="36" t="str">
        <x:v>S11</x:v>
      </x:c>
      <x:c r="B15" s="36" t="str">
        <x:v>Private On-Chain Validated Skill Graph</x:v>
      </x:c>
      <x:c r="C15" s="36" t="str">
        <x:v>MONTREAL.AI Research</x:v>
      </x:c>
      <x:c r="D15" s="36" t="str">
        <x:v>https://github.com/MontrealAI/goalos-agialpha-sovereign-machine-economy/blob/main/docs/paper/goalos_private_onchain_zk_vsg.pdf</x:v>
      </x:c>
      <x:c r="E15" s="36" t="str">
        <x:v>Private capability, ENS authority and proof boundary.</x:v>
      </x:c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>
      <x:c r="A18" s="92" t="str">
        <x:v>Boundary</x:v>
      </x:c>
      <x:c r="B18" s="89" t="str">
        <x:v>All pricing, volumes, margins, ROI, financing and valuation paths are management hypotheses.</x:v>
      </x:c>
      <x:c r="C18" s="89" t="str"/>
      <x:c r="D18" s="89" t="str"/>
      <x:c r="E18" s="89" t="str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>
      <x:c r="A19" s="92" t="str">
        <x:v>Not included</x:v>
      </x:c>
      <x:c r="B19" s="89" t="str">
        <x:v>Legal, tax, accounting, security certification, audit opinions or guaranteed financial results.</x:v>
      </x:c>
      <x:c r="C19" s="89" t="str"/>
      <x:c r="D19" s="89" t="str"/>
      <x:c r="E19" s="89" t="str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>
      <x:c r="A20" s="92" t="str">
        <x:v>Operating law</x:v>
      </x:c>
      <x:c r="B20" s="89" t="str">
        <x:v>Payment earns relevance; evidence earns authority; fresh transfer earns the platform.</x:v>
      </x:c>
      <x:c r="C20" s="89" t="str"/>
      <x:c r="D20" s="89" t="str"/>
      <x:c r="E20" s="89" t="str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>
      <x:c r="A21" s="92" t="str">
        <x:v>Date</x:v>
      </x:c>
      <x:c r="B21" s="89" t="str">
        <x:v>20 July 2026</x:v>
      </x:c>
      <x:c r="C21" s="89" t="str"/>
      <x:c r="D21" s="89" t="str"/>
      <x:c r="E21" s="89" t="str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</x:sheetData>
  <x:mergeCells>
    <x:mergeCell ref="A1:E1"/>
    <x:mergeCell ref="A2:E2"/>
    <x:mergeCell ref="B18:E18"/>
    <x:mergeCell ref="B19:E19"/>
    <x:mergeCell ref="B20:E20"/>
    <x:mergeCell ref="B21:E2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0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</x:cols>
  <x:sheetData>
    <x:row r="1" ht="34" customHeight="1">
      <x:c r="A1" s="34" t="str">
        <x:v>GoalOS Optimal Business Model - Financial Dashboard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22" customHeight="1">
      <x:c r="A2" s="35" t="str">
        <x:v>Base planning case | US$ millions unless noted | Not a forecast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122" t="str">
        <x:v>FY1 Revenue</x:v>
      </x:c>
      <x:c r="B4" s="122"/>
      <x:c r="C4" s="122" t="str">
        <x:v>FY3 Revenue</x:v>
      </x:c>
      <x:c r="D4" s="122"/>
      <x:c r="E4" s="122" t="str">
        <x:v>FY5 Revenue</x:v>
      </x:c>
      <x:c r="F4" s="122"/>
      <x:c r="G4" s="122" t="str">
        <x:v>FY5 EBITDA</x:v>
      </x:c>
      <x:c r="H4" s="122"/>
      <x:c r="I4" s="122" t="str">
        <x:v>Complete Customer GM</x:v>
      </x:c>
      <x:c r="J4" s="122"/>
      <x:c r="K4" s="122" t="str">
        <x:v>Customer ROI</x:v>
      </x:c>
      <x:c r="L4" s="122"/>
      <x:c r="M4" s="36"/>
      <x:c r="N4" s="36"/>
      <x:c r="O4" s="36"/>
      <x:c r="P4" s="36" t="str">
        <x:v>Year</x:v>
      </x:c>
      <x:c r="Q4" s="36" t="str">
        <x:v>Revenue</x:v>
      </x:c>
      <x:c r="R4" s="36" t="str">
        <x:v>Gross Profit</x:v>
      </x:c>
      <x:c r="S4" s="36" t="str">
        <x:v>EBITDA</x:v>
      </x:c>
      <x:c r="T4" s="36"/>
      <x:c r="U4" s="36" t="str">
        <x:v>Year</x:v>
      </x:c>
      <x:c r="V4" s="36" t="str">
        <x:v>Proof Offices</x:v>
      </x:c>
      <x:c r="W4" s="36" t="str">
        <x:v>Chronicle Capabilities</x:v>
      </x:c>
      <x:c r="X4" s="36" t="str">
        <x:v>Fresh Successor Tests</x:v>
      </x:c>
      <x:c r="Y4" s="36"/>
      <x:c r="Z4" s="36"/>
    </x:row>
    <x:row r="5">
      <x:c r="A5" s="123" t="n">
        <x:f>'P&amp;L'!B5</x:f>
        <x:v>1.4</x:v>
      </x:c>
      <x:c r="B5" s="123"/>
      <x:c r="C5" s="123" t="n">
        <x:f>'P&amp;L'!D5</x:f>
        <x:v>16.6</x:v>
      </x:c>
      <x:c r="D5" s="123"/>
      <x:c r="E5" s="123" t="n">
        <x:f>'P&amp;L'!F5</x:f>
        <x:v>94.19999995999999</x:v>
      </x:c>
      <x:c r="F5" s="123"/>
      <x:c r="G5" s="123" t="n">
        <x:f>'P&amp;L'!F14</x:f>
        <x:v>45.06999996599998</x:v>
      </x:c>
      <x:c r="H5" s="123"/>
      <x:c r="I5" s="124" t="n">
        <x:f>'Unit Economics'!E13</x:f>
        <x:v>0.8037764350453173</x:v>
      </x:c>
      <x:c r="J5" s="124"/>
      <x:c r="K5" s="124" t="n">
        <x:f>'Unit Economics'!G13</x:f>
        <x:v>2.6253776435045317</x:v>
      </x:c>
      <x:c r="L5" s="124"/>
      <x:c r="M5" s="36"/>
      <x:c r="N5" s="36"/>
      <x:c r="O5" s="36"/>
      <x:c r="P5" s="36" t="str">
        <x:v>FY1</x:v>
      </x:c>
      <x:c r="Q5" s="36" t="n">
        <x:v>1.4</x:v>
      </x:c>
      <x:c r="R5" s="36" t="n">
        <x:v>1.106</x:v>
      </x:c>
      <x:c r="S5" s="36" t="n">
        <x:v>-1.294</x:v>
      </x:c>
      <x:c r="T5" s="36"/>
      <x:c r="U5" s="36" t="str">
        <x:v>FY1</x:v>
      </x:c>
      <x:c r="V5" s="36" t="n">
        <x:v>2.25</x:v>
      </x:c>
      <x:c r="W5" s="36" t="n">
        <x:v>1</x:v>
      </x:c>
      <x:c r="X5" s="36" t="n">
        <x:v>1</x:v>
      </x:c>
      <x:c r="Y5" s="36"/>
      <x:c r="Z5" s="36"/>
    </x:row>
    <x:row r="6">
      <x:c r="A6" s="123"/>
      <x:c r="B6" s="123"/>
      <x:c r="C6" s="123"/>
      <x:c r="D6" s="123"/>
      <x:c r="E6" s="123"/>
      <x:c r="F6" s="123"/>
      <x:c r="G6" s="123"/>
      <x:c r="H6" s="123"/>
      <x:c r="I6" s="124"/>
      <x:c r="J6" s="124"/>
      <x:c r="K6" s="124"/>
      <x:c r="L6" s="124"/>
      <x:c r="M6" s="36"/>
      <x:c r="N6" s="36"/>
      <x:c r="O6" s="36"/>
      <x:c r="P6" s="36" t="str">
        <x:v>FY2</x:v>
      </x:c>
      <x:c r="Q6" s="36" t="n">
        <x:v>5.8</x:v>
      </x:c>
      <x:c r="R6" s="36" t="n">
        <x:v>4.64</x:v>
      </x:c>
      <x:c r="S6" s="36" t="n">
        <x:v>0.14</x:v>
      </x:c>
      <x:c r="T6" s="36"/>
      <x:c r="U6" s="36" t="str">
        <x:v>FY2</x:v>
      </x:c>
      <x:c r="V6" s="36" t="n">
        <x:v>11</x:v>
      </x:c>
      <x:c r="W6" s="36" t="n">
        <x:v>8</x:v>
      </x:c>
      <x:c r="X6" s="36" t="n">
        <x:v>6</x:v>
      </x:c>
      <x:c r="Y6" s="36"/>
      <x:c r="Z6" s="36"/>
    </x:row>
    <x:row r="7">
      <x:c r="A7" s="123"/>
      <x:c r="B7" s="123"/>
      <x:c r="C7" s="123"/>
      <x:c r="D7" s="123"/>
      <x:c r="E7" s="123"/>
      <x:c r="F7" s="123"/>
      <x:c r="G7" s="123"/>
      <x:c r="H7" s="123"/>
      <x:c r="I7" s="124"/>
      <x:c r="J7" s="124"/>
      <x:c r="K7" s="124"/>
      <x:c r="L7" s="124"/>
      <x:c r="M7" s="36"/>
      <x:c r="N7" s="36"/>
      <x:c r="O7" s="36"/>
      <x:c r="P7" s="36" t="str">
        <x:v>FY3</x:v>
      </x:c>
      <x:c r="Q7" s="36" t="n">
        <x:v>16.6</x:v>
      </x:c>
      <x:c r="R7" s="36" t="n">
        <x:v>13.612</x:v>
      </x:c>
      <x:c r="S7" s="36" t="n">
        <x:v>4.912</x:v>
      </x:c>
      <x:c r="T7" s="36"/>
      <x:c r="U7" s="36" t="str">
        <x:v>FY3</x:v>
      </x:c>
      <x:c r="V7" s="36" t="n">
        <x:v>34</x:v>
      </x:c>
      <x:c r="W7" s="36" t="n">
        <x:v>30</x:v>
      </x:c>
      <x:c r="X7" s="36" t="n">
        <x:v>20</x:v>
      </x:c>
      <x:c r="Y7" s="36"/>
      <x:c r="Z7" s="36"/>
    </x:row>
    <x:row r="8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  <x:c r="N8" s="36"/>
      <x:c r="O8" s="36"/>
      <x:c r="P8" s="36" t="str">
        <x:v>FY4</x:v>
      </x:c>
      <x:c r="Q8" s="36" t="n">
        <x:v>40.6</x:v>
      </x:c>
      <x:c r="R8" s="36" t="n">
        <x:v>34.104</x:v>
      </x:c>
      <x:c r="S8" s="36" t="n">
        <x:v>15.604</x:v>
      </x:c>
      <x:c r="T8" s="36"/>
      <x:c r="U8" s="36" t="str">
        <x:v>FY4</x:v>
      </x:c>
      <x:c r="V8" s="36" t="n">
        <x:v>75</x:v>
      </x:c>
      <x:c r="W8" s="36" t="n">
        <x:v>100</x:v>
      </x:c>
      <x:c r="X8" s="36" t="n">
        <x:v>60</x:v>
      </x:c>
      <x:c r="Y8" s="36"/>
      <x:c r="Z8" s="36"/>
    </x:row>
    <x:row r="9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 t="str">
        <x:v>FY5</x:v>
      </x:c>
      <x:c r="Q9" s="36" t="n">
        <x:v>94.2</x:v>
      </x:c>
      <x:c r="R9" s="36" t="n">
        <x:v>80.07</x:v>
      </x:c>
      <x:c r="S9" s="36" t="n">
        <x:v>45.07</x:v>
      </x:c>
      <x:c r="T9" s="36"/>
      <x:c r="U9" s="36" t="str">
        <x:v>FY5</x:v>
      </x:c>
      <x:c r="V9" s="36" t="n">
        <x:v>170</x:v>
      </x:c>
      <x:c r="W9" s="36" t="n">
        <x:v>300</x:v>
      </x:c>
      <x:c r="X9" s="36" t="n">
        <x:v>150</x:v>
      </x:c>
      <x:c r="Y9" s="36"/>
      <x:c r="Z9" s="36"/>
    </x:row>
    <x:row r="10">
      <x:c r="A10" s="20" t="str">
        <x:v>Base P&amp;L ($mm)</x:v>
      </x:c>
      <x:c r="B10" s="20" t="str">
        <x:v>FY1</x:v>
      </x:c>
      <x:c r="C10" s="20" t="str">
        <x:v>FY2</x:v>
      </x:c>
      <x:c r="D10" s="20" t="str">
        <x:v>FY3</x:v>
      </x:c>
      <x:c r="E10" s="20" t="str">
        <x:v>FY4</x:v>
      </x:c>
      <x:c r="F10" s="20" t="str">
        <x:v>FY5</x:v>
      </x:c>
      <x:c r="G10" s="36"/>
      <x:c r="H10" s="20" t="str">
        <x:v>Proof / Moat KPI</x:v>
      </x:c>
      <x:c r="I10" s="20" t="str">
        <x:v>FY1</x:v>
      </x:c>
      <x:c r="J10" s="20" t="str">
        <x:v>FY2</x:v>
      </x:c>
      <x:c r="K10" s="20" t="str">
        <x:v>FY3</x:v>
      </x:c>
      <x:c r="L10" s="20" t="str">
        <x:v>FY4</x:v>
      </x:c>
      <x:c r="M10" s="20" t="str">
        <x:v>FY5</x:v>
      </x:c>
      <x:c r="N10" s="20" t="str">
        <x:v>Why it matters</x:v>
      </x:c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>
      <x:c r="A11" s="36" t="str">
        <x:v>Revenue</x:v>
      </x:c>
      <x:c r="B11" s="125" t="n">
        <x:f>'P&amp;L'!B5</x:f>
        <x:v>1.4</x:v>
      </x:c>
      <x:c r="C11" s="125" t="n">
        <x:f>'P&amp;L'!C5</x:f>
        <x:v>5.799999999999999</x:v>
      </x:c>
      <x:c r="D11" s="125" t="n">
        <x:f>'P&amp;L'!D5</x:f>
        <x:v>16.6</x:v>
      </x:c>
      <x:c r="E11" s="125" t="n">
        <x:f>'P&amp;L'!E5</x:f>
        <x:v>40.6</x:v>
      </x:c>
      <x:c r="F11" s="125" t="n">
        <x:f>'P&amp;L'!F5</x:f>
        <x:v>94.19999995999999</x:v>
      </x:c>
      <x:c r="G11" s="36"/>
      <x:c r="H11" s="36" t="str">
        <x:v>Proof Offices</x:v>
      </x:c>
      <x:c r="I11" s="126" t="n">
        <x:v>2.25</x:v>
      </x:c>
      <x:c r="J11" s="126" t="n">
        <x:v>11</x:v>
      </x:c>
      <x:c r="K11" s="126" t="n">
        <x:v>34</x:v>
      </x:c>
      <x:c r="L11" s="126" t="n">
        <x:v>75</x:v>
      </x:c>
      <x:c r="M11" s="126" t="n">
        <x:v>170</x:v>
      </x:c>
      <x:c r="N11" s="36" t="str">
        <x:v>Recurring control</x:v>
      </x:c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>
      <x:c r="A12" s="36" t="str">
        <x:v>Gross profit</x:v>
      </x:c>
      <x:c r="B12" s="125" t="n">
        <x:f>'P&amp;L'!B7</x:f>
        <x:v>1.1059999999999999</x:v>
      </x:c>
      <x:c r="C12" s="125" t="n">
        <x:f>'P&amp;L'!C7</x:f>
        <x:v>4.64</x:v>
      </x:c>
      <x:c r="D12" s="125" t="n">
        <x:f>'P&amp;L'!D7</x:f>
        <x:v>13.612</x:v>
      </x:c>
      <x:c r="E12" s="125" t="n">
        <x:f>'P&amp;L'!E7</x:f>
        <x:v>34.104</x:v>
      </x:c>
      <x:c r="F12" s="125" t="n">
        <x:f>'P&amp;L'!F7</x:f>
        <x:v>80.06999996599998</x:v>
      </x:c>
      <x:c r="G12" s="36"/>
      <x:c r="H12" s="36" t="str">
        <x:v>Chronicle capabilities</x:v>
      </x:c>
      <x:c r="I12" s="126" t="n">
        <x:v>1</x:v>
      </x:c>
      <x:c r="J12" s="126" t="n">
        <x:v>8</x:v>
      </x:c>
      <x:c r="K12" s="126" t="n">
        <x:v>30</x:v>
      </x:c>
      <x:c r="L12" s="126" t="n">
        <x:v>100</x:v>
      </x:c>
      <x:c r="M12" s="126" t="n">
        <x:v>300</x:v>
      </x:c>
      <x:c r="N12" s="36" t="str">
        <x:v>Private reusable capability</x:v>
      </x:c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>
      <x:c r="A13" s="36" t="str">
        <x:v>EBITDA</x:v>
      </x:c>
      <x:c r="B13" s="125" t="n">
        <x:f>'P&amp;L'!B14</x:f>
        <x:v>-1.294</x:v>
      </x:c>
      <x:c r="C13" s="125" t="n">
        <x:f>'P&amp;L'!C14</x:f>
        <x:v>0.13999999999999968</x:v>
      </x:c>
      <x:c r="D13" s="125" t="n">
        <x:f>'P&amp;L'!D14</x:f>
        <x:v>4.912000000000001</x:v>
      </x:c>
      <x:c r="E13" s="125" t="n">
        <x:f>'P&amp;L'!E14</x:f>
        <x:v>15.604</x:v>
      </x:c>
      <x:c r="F13" s="125" t="n">
        <x:f>'P&amp;L'!F14</x:f>
        <x:v>45.06999996599998</x:v>
      </x:c>
      <x:c r="G13" s="36"/>
      <x:c r="H13" s="36" t="str">
        <x:v>Fresh successor tests</x:v>
      </x:c>
      <x:c r="I13" s="126" t="n">
        <x:v>1</x:v>
      </x:c>
      <x:c r="J13" s="126" t="n">
        <x:v>6</x:v>
      </x:c>
      <x:c r="K13" s="126" t="n">
        <x:v>20</x:v>
      </x:c>
      <x:c r="L13" s="126" t="n">
        <x:v>60</x:v>
      </x:c>
      <x:c r="M13" s="126" t="n">
        <x:v>150</x:v>
      </x:c>
      <x:c r="N13" s="36" t="str">
        <x:v>Measured transfer</x:v>
      </x:c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>
      <x:c r="A14" s="127" t="str">
        <x:v>Ending cash</x:v>
      </x:c>
      <x:c r="B14" s="128" t="n">
        <x:f>'Cash &amp; Funding'!B11</x:f>
        <x:v>0.6059999999999999</x:v>
      </x:c>
      <x:c r="C14" s="128" t="n">
        <x:f>'Cash &amp; Funding'!C11</x:f>
        <x:v>1.2959999999999996</x:v>
      </x:c>
      <x:c r="D14" s="128" t="n">
        <x:f>'Cash &amp; Funding'!D11</x:f>
        <x:v>7.008</x:v>
      </x:c>
      <x:c r="E14" s="128" t="n">
        <x:f>'Cash &amp; Funding'!E11</x:f>
        <x:v>15.811999999999998</x:v>
      </x:c>
      <x:c r="F14" s="128" t="n">
        <x:f>'Cash &amp; Funding'!F11</x:f>
        <x:v>43.081999965999984</x:v>
      </x:c>
      <x:c r="G14" s="36"/>
      <x:c r="H14" s="36" t="str">
        <x:v>Recurring + usage mix</x:v>
      </x:c>
      <x:c r="I14" s="129" t="n">
        <x:v>0.38</x:v>
      </x:c>
      <x:c r="J14" s="129" t="n">
        <x:v>0.56</x:v>
      </x:c>
      <x:c r="K14" s="129" t="n">
        <x:v>0.72</x:v>
      </x:c>
      <x:c r="L14" s="129" t="n">
        <x:v>0.81</x:v>
      </x:c>
      <x:c r="M14" s="129" t="n">
        <x:v>0.87</x:v>
      </x:c>
      <x:c r="N14" s="36" t="str">
        <x:v>Migration to platform economics</x:v>
      </x:c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117" t="str">
        <x:v>Decision doctrine: Diagnose almost for free. Price according to value. Prove one consequential outcome. Turn the outcome into recurring control. Turn accepted experience into protected capability. Charge repeatedly for governed reuse.</x:v>
      </x:c>
      <x:c r="B37" s="117" t="str"/>
      <x:c r="C37" s="117" t="str"/>
      <x:c r="D37" s="117" t="str"/>
      <x:c r="E37" s="117" t="str"/>
      <x:c r="F37" s="117" t="str"/>
      <x:c r="G37" s="117" t="str"/>
      <x:c r="H37" s="117" t="str"/>
      <x:c r="I37" s="117" t="str"/>
      <x:c r="J37" s="117" t="str"/>
      <x:c r="K37" s="117" t="str"/>
      <x:c r="L37" s="117" t="str"/>
      <x:c r="M37" s="117" t="str"/>
      <x:c r="N37" s="117" t="str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117"/>
      <x:c r="B38" s="117"/>
      <x:c r="C38" s="117"/>
      <x:c r="D38" s="117"/>
      <x:c r="E38" s="117"/>
      <x:c r="F38" s="117"/>
      <x:c r="G38" s="117"/>
      <x:c r="H38" s="117"/>
      <x:c r="I38" s="117"/>
      <x:c r="J38" s="117"/>
      <x:c r="K38" s="117"/>
      <x:c r="L38" s="117"/>
      <x:c r="M38" s="117"/>
      <x:c r="N38" s="117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</x:sheetData>
  <x:mergeCells>
    <x:mergeCell ref="A1:N1"/>
    <x:mergeCell ref="A2:N2"/>
    <x:mergeCell ref="A4:B4"/>
    <x:mergeCell ref="A5:B7"/>
    <x:mergeCell ref="C4:D4"/>
    <x:mergeCell ref="C5:D7"/>
    <x:mergeCell ref="E4:F4"/>
    <x:mergeCell ref="E5:F7"/>
    <x:mergeCell ref="G4:H4"/>
    <x:mergeCell ref="G5:H7"/>
    <x:mergeCell ref="I4:J4"/>
    <x:mergeCell ref="I5:J7"/>
    <x:mergeCell ref="K4:L4"/>
    <x:mergeCell ref="K5:L7"/>
    <x:mergeCell ref="A37:N38"/>
  </x:mergeCells>
  <x:pageMargins left="0.7" right="0.7" top="0.75" bottom="0.75" header="0.3" footer="0.3"/>
  <x:drawing xmlns:r="http://schemas.openxmlformats.org/officeDocument/2006/relationships" r:id="R6b5d907cb66341b8"/>
</x:worksheet>
</file>