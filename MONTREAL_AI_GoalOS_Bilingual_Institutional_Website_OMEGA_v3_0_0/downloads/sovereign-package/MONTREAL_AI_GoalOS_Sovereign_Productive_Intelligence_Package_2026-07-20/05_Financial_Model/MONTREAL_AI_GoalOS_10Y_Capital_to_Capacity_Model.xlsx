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0fdfaad6d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dc410ed42ae4a4c"/>
    <x:sheet xmlns:r="http://schemas.openxmlformats.org/officeDocument/2006/relationships" name="Revenue Build" sheetId="2" r:id="R443fb5717f7844d0"/>
    <x:sheet xmlns:r="http://schemas.openxmlformats.org/officeDocument/2006/relationships" name="P&amp;L" sheetId="3" r:id="Rf9f565fa2f914c81"/>
    <x:sheet xmlns:r="http://schemas.openxmlformats.org/officeDocument/2006/relationships" name="Cash &amp; Funding" sheetId="4" r:id="R6739f4f106fc4774"/>
    <x:sheet xmlns:r="http://schemas.openxmlformats.org/officeDocument/2006/relationships" name="Unit Economics" sheetId="5" r:id="Rd3f2ab0929df47f5"/>
    <x:sheet xmlns:r="http://schemas.openxmlformats.org/officeDocument/2006/relationships" name="Customer ROI" sheetId="6" r:id="R22fde24123a847d5"/>
    <x:sheet xmlns:r="http://schemas.openxmlformats.org/officeDocument/2006/relationships" name="Treasury Allocation" sheetId="7" r:id="R3b4251fec95240ab"/>
    <x:sheet xmlns:r="http://schemas.openxmlformats.org/officeDocument/2006/relationships" name="Productive Capacity" sheetId="8" r:id="R10f768c2d76b40b0"/>
    <x:sheet xmlns:r="http://schemas.openxmlformats.org/officeDocument/2006/relationships" name="Scale &amp; Valuation" sheetId="9" r:id="Rf537e0cd599448b1"/>
    <x:sheet xmlns:r="http://schemas.openxmlformats.org/officeDocument/2006/relationships" name="Proof Gates" sheetId="10" r:id="Rb77887230f714512"/>
    <x:sheet xmlns:r="http://schemas.openxmlformats.org/officeDocument/2006/relationships" name="Sources" sheetId="11" r:id="Ra9826f379e42485d"/>
    <x:sheet xmlns:r="http://schemas.openxmlformats.org/officeDocument/2006/relationships" name="Dashboard" sheetId="12" r:id="Rddbce0ddc34a4e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_);[Red]($#,##0);-"/>
    <x:numFmt numFmtId="201" formatCode="0.0%"/>
    <x:numFmt numFmtId="202" formatCode="#,##0_);[Red](#,##0);-"/>
    <x:numFmt numFmtId="203" formatCode="$0.0_);[Red]($0.0);-"/>
    <x:numFmt numFmtId="204" formatCode="0.0x"/>
    <x:numFmt numFmtId="205" formatCode="0.00x"/>
    <x:numFmt numFmtId="206" formatCode="$0.000"/>
    <x:numFmt numFmtId="207" formatCode="$0.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D6A13C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111111"/>
      <x:name val="Carlito"/>
    </x:font>
    <x:font>
      <x:sz val="11"/>
      <x:color rgb="FF111111"/>
      <x:name val="Carlito"/>
    </x:font>
    <x:font>
      <x:b/>
      <x:sz val="11"/>
      <x:color rgb="FF061522"/>
      <x:name val="Carlito"/>
    </x:font>
    <x:font>
      <x:b/>
      <x:sz val="10"/>
      <x:color rgb="FFF5D578"/>
      <x:name val="Carlito"/>
    </x:font>
    <x:font>
      <x:b/>
      <x:sz val="18"/>
      <x:color rgb="FF061522"/>
      <x:name val="Carlito"/>
    </x:font>
    <x:font>
      <x:b/>
      <x:sz val="14"/>
      <x:color rgb="FFF5D5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1522"/>
      </x:patternFill>
    </x:fill>
    <x:fill>
      <x:patternFill patternType="solid">
        <x:fgColor rgb="FF0E2B3B"/>
      </x:patternFill>
    </x:fill>
    <x:fill>
      <x:patternFill patternType="solid">
        <x:fgColor rgb="FFFFF2CC"/>
      </x:patternFill>
    </x:fill>
    <x:fill>
      <x:patternFill patternType="solid">
        <x:fgColor rgb="FFF7F1E0"/>
      </x:patternFill>
    </x:fill>
  </x:fills>
  <x:borders count="4">
    <x:border/>
    <x:border/>
    <x:border>
      <x:top/>
    </x:border>
    <x:border>
      <x:top/>
    </x:border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0" fillId="0" borderId="2" xfId="0" applyNumberFormat="1" applyFont="1" applyFill="1" applyBorder="1"/>
    <x:xf numFmtId="203" fontId="5" fillId="0" borderId="2" xfId="0" applyNumberFormat="1" applyFont="1" applyFill="1" applyBorder="1"/>
    <x:xf numFmtId="0" fontId="0" fillId="0" borderId="3" xfId="0" applyNumberFormat="1" applyFont="1" applyFill="1" applyBorder="1"/>
    <x:xf numFmtId="203" fontId="5" fillId="0" borderId="3" xfId="0" applyNumberFormat="1" applyFont="1" applyFill="1" applyBorder="1"/>
    <x:xf numFmtId="0" fontId="6" fillId="0" borderId="2" xfId="0" applyNumberFormat="1" applyFont="1" applyFill="1" applyBorder="1"/>
    <x:xf numFmtId="203" fontId="6" fillId="0" borderId="2" xfId="0" applyNumberFormat="1" applyFont="1" applyFill="1" applyBorder="1"/>
    <x:xf numFmtId="0" fontId="6" fillId="0" borderId="3" xfId="0" applyNumberFormat="1" applyFont="1" applyFill="1" applyBorder="1"/>
    <x:xf numFmtId="203" fontId="6" fillId="0" borderId="3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1" fontId="6" fillId="0" borderId="2" xfId="0" applyNumberFormat="1" applyFont="1" applyFill="1" applyBorder="1"/>
    <x:xf numFmtId="201" fontId="6" fillId="0" borderId="3" xfId="0" applyNumberFormat="1" applyFont="1" applyFill="1" applyBorder="1"/>
    <x:xf numFmtId="205" fontId="4" fillId="0" borderId="0" xfId="0" applyNumberFormat="1" applyFont="1" applyFill="1" applyBorder="1"/>
    <x:xf numFmtId="205" fontId="4" fillId="0" borderId="1" xfId="0" applyNumberFormat="1" applyFont="1" applyFill="1" applyBorder="1"/>
    <x:xf numFmtId="204" fontId="6" fillId="0" borderId="2" xfId="0" applyNumberFormat="1" applyFont="1" applyFill="1" applyBorder="1"/>
    <x:xf numFmtId="204" fontId="6" fillId="0" borderId="3" xfId="0" applyNumberFormat="1" applyFont="1" applyFill="1" applyBorder="1"/>
    <x:xf numFmtId="206" fontId="4" fillId="0" borderId="0" xfId="0" applyNumberFormat="1" applyFont="1" applyFill="1" applyBorder="1"/>
    <x:xf numFmtId="206" fontId="4" fillId="0" borderId="1" xfId="0" applyNumberFormat="1" applyFont="1" applyFill="1" applyBorder="1"/>
    <x:xf numFmtId="207" fontId="7" fillId="0" borderId="0" xfId="0" applyNumberFormat="1" applyFont="1" applyFill="1" applyBorder="1"/>
    <x:xf numFmtId="207" fontId="7" fillId="0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horizontal="center" vertical="center"/>
    </x:xf>
    <x:xf numFmtId="203" fontId="10" fillId="5" borderId="0" xfId="0" applyNumberFormat="1" applyFont="1" applyFill="1" applyBorder="1" applyAlignment="1">
      <x:alignment horizontal="center" vertical="center"/>
    </x:xf>
    <x:xf numFmtId="203" fontId="10" fillId="5" borderId="1" xfId="0" applyNumberFormat="1" applyFont="1" applyFill="1" applyBorder="1" applyAlignment="1">
      <x:alignment horizontal="center" vertical="center"/>
    </x:xf>
    <x:xf numFmtId="201" fontId="10" fillId="5" borderId="0" xfId="0" applyNumberFormat="1" applyFont="1" applyFill="1" applyBorder="1" applyAlignment="1">
      <x:alignment horizontal="center" vertical="center"/>
    </x:xf>
    <x:xf numFmtId="201" fontId="10" fillId="5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wrapText="1"/>
    </x:xf>
    <x:xf numFmtId="0" fontId="11" fillId="2" borderId="1" xfId="0" applyNumberFormat="1" applyFont="1" applyFill="1" applyBorder="1" applyAlignment="1">
      <x:alignment horizont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203" fontId="10" fillId="5" borderId="0" xfId="0" applyNumberFormat="1" applyFont="1" applyFill="1" applyBorder="1" applyAlignment="1">
      <x:alignment horizontal="center" vertical="center" wrapText="1"/>
    </x:xf>
    <x:xf numFmtId="201" fontId="10" fillId="5" borderId="0" xfId="0" applyNumberFormat="1" applyFont="1" applyFill="1" applyBorder="1" applyAlignment="1">
      <x:alignment horizontal="center" vertical="center" wrapText="1"/>
    </x:xf>
    <x:xf numFmtId="203" fontId="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3" fontId="5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203" fontId="10" fillId="5" borderId="1" xfId="0" applyNumberFormat="1" applyFont="1" applyFill="1" applyBorder="1" applyAlignment="1">
      <x:alignment horizontal="center" vertical="center" wrapText="1"/>
    </x:xf>
    <x:xf numFmtId="201" fontId="10" fillId="5" borderId="1" xfId="0" applyNumberFormat="1" applyFont="1" applyFill="1" applyBorder="1" applyAlignment="1">
      <x:alignment horizontal="center" vertical="center" wrapText="1"/>
    </x:xf>
    <x:xf numFmtId="203" fontId="5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3" fontId="5" fillId="0" borderId="3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4" fontId="4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203" fontId="6" fillId="0" borderId="2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203" fontId="6" fillId="0" borderId="3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204" fontId="7" fillId="0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wrapText="1"/>
    </x:xf>
    <x:xf numFmtId="201" fontId="6" fillId="0" borderId="2" xfId="0" applyNumberFormat="1" applyFont="1" applyFill="1" applyBorder="1" applyAlignment="1">
      <x:alignment wrapText="1"/>
    </x:xf>
    <x:xf numFmtId="201" fontId="6" fillId="0" borderId="3" xfId="0" applyNumberFormat="1" applyFont="1" applyFill="1" applyBorder="1" applyAlignment="1">
      <x:alignment wrapText="1"/>
    </x:xf>
    <x:xf numFmtId="205" fontId="4" fillId="0" borderId="0" xfId="0" applyNumberFormat="1" applyFont="1" applyFill="1" applyBorder="1" applyAlignment="1">
      <x:alignment wrapText="1"/>
    </x:xf>
    <x:xf numFmtId="204" fontId="6" fillId="0" borderId="2" xfId="0" applyNumberFormat="1" applyFont="1" applyFill="1" applyBorder="1" applyAlignment="1">
      <x:alignment wrapText="1"/>
    </x:xf>
    <x:xf numFmtId="205" fontId="4" fillId="0" borderId="1" xfId="0" applyNumberFormat="1" applyFont="1" applyFill="1" applyBorder="1" applyAlignment="1">
      <x:alignment wrapText="1"/>
    </x:xf>
    <x:xf numFmtId="204" fontId="6" fillId="0" borderId="3" xfId="0" applyNumberFormat="1" applyFont="1" applyFill="1" applyBorder="1" applyAlignment="1">
      <x:alignment wrapText="1"/>
    </x:xf>
    <x:xf numFmtId="206" fontId="4" fillId="0" borderId="0" xfId="0" applyNumberFormat="1" applyFont="1" applyFill="1" applyBorder="1" applyAlignment="1">
      <x:alignment wrapText="1"/>
    </x:xf>
    <x:xf numFmtId="207" fontId="7" fillId="0" borderId="0" xfId="0" applyNumberFormat="1" applyFont="1" applyFill="1" applyBorder="1" applyAlignment="1">
      <x:alignment wrapText="1"/>
    </x:xf>
    <x:xf numFmtId="206" fontId="4" fillId="0" borderId="1" xfId="0" applyNumberFormat="1" applyFont="1" applyFill="1" applyBorder="1" applyAlignment="1">
      <x:alignment wrapText="1"/>
    </x:xf>
    <x:xf numFmtId="207" fontId="7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FF0000"/>
      </x:font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b94422c99457f" /><Relationship Type="http://schemas.openxmlformats.org/officeDocument/2006/relationships/theme" Target="/xl/theme/theme1.xml" Id="R735e18c14cf249f7" /><Relationship Type="http://schemas.openxmlformats.org/officeDocument/2006/relationships/sharedStrings" Target="/xl/sharedStrings.xml" Id="Rde9c5a1976114eb0" /><Relationship Type="http://schemas.openxmlformats.org/officeDocument/2006/relationships/worksheet" Target="/xl/worksheets/sheet1.xml" Id="Rbdc410ed42ae4a4c" /><Relationship Type="http://schemas.openxmlformats.org/officeDocument/2006/relationships/worksheet" Target="/xl/worksheets/sheet2.xml" Id="R443fb5717f7844d0" /><Relationship Type="http://schemas.openxmlformats.org/officeDocument/2006/relationships/worksheet" Target="/xl/worksheets/sheet3.xml" Id="Rf9f565fa2f914c81" /><Relationship Type="http://schemas.openxmlformats.org/officeDocument/2006/relationships/worksheet" Target="/xl/worksheets/sheet4.xml" Id="R6739f4f106fc4774" /><Relationship Type="http://schemas.openxmlformats.org/officeDocument/2006/relationships/worksheet" Target="/xl/worksheets/sheet5.xml" Id="Rd3f2ab0929df47f5" /><Relationship Type="http://schemas.openxmlformats.org/officeDocument/2006/relationships/worksheet" Target="/xl/worksheets/sheet6.xml" Id="R22fde24123a847d5" /><Relationship Type="http://schemas.openxmlformats.org/officeDocument/2006/relationships/worksheet" Target="/xl/worksheets/sheet7.xml" Id="R3b4251fec95240ab" /><Relationship Type="http://schemas.openxmlformats.org/officeDocument/2006/relationships/worksheet" Target="/xl/worksheets/sheet8.xml" Id="R10f768c2d76b40b0" /><Relationship Type="http://schemas.openxmlformats.org/officeDocument/2006/relationships/worksheet" Target="/xl/worksheets/sheet9.xml" Id="Rf537e0cd599448b1" /><Relationship Type="http://schemas.openxmlformats.org/officeDocument/2006/relationships/worksheet" Target="/xl/worksheets/sheet10.xml" Id="Rb77887230f714512" /><Relationship Type="http://schemas.openxmlformats.org/officeDocument/2006/relationships/worksheet" Target="/xl/worksheets/sheet11.xml" Id="Ra9826f379e42485d" /><Relationship Type="http://schemas.openxmlformats.org/officeDocument/2006/relationships/worksheet" Target="/xl/worksheets/sheet12.xml" Id="Rddbce0ddc34a4e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1f27c0abef470d" /><Relationship Type="http://schemas.openxmlformats.org/officeDocument/2006/relationships/chart" Target="/xl/drawings/charts/chart2.xml" Id="R9502abb1b53b41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Revenue, Gross Profit and EBITDA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'Dashboard'!$P$5:$P$14</c:f>
              <c:strCache>
                <c:ptCount val="0"/>
              </c:strCache>
            </c:strRef>
          </c:cat>
          <c:val>
            <c:numRef>
              <c:f>'Dashboard'!$Q$5:$Q$14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</c:v>
          </c:tx>
          <c:cat>
            <c:strRef>
              <c:f>'Dashboard'!$P$5:$P$14</c:f>
              <c:strCache>
                <c:ptCount val="0"/>
              </c:strCache>
            </c:strRef>
          </c:cat>
          <c:val>
            <c:numRef>
              <c:f>'Dashboard'!$R$5:$R$14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EBITDA</c:v>
          </c:tx>
          <c:cat>
            <c:strRef>
              <c:f>'Dashboard'!$P$5:$P$14</c:f>
              <c:strCache>
                <c:ptCount val="0"/>
              </c:strCache>
            </c:strRef>
          </c:cat>
          <c:val>
            <c:numRef>
              <c:f>'Dashboard'!$S$5:$S$14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Ten-Year Strategic Scale Scenarios ($bn)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Discipline</c:v>
          </c:tx>
          <c:cat>
            <c:strRef>
              <c:f>'Dashboard'!$U$5:$U$14</c:f>
              <c:strCache>
                <c:ptCount val="0"/>
              </c:strCache>
            </c:strRef>
          </c:cat>
          <c:val>
            <c:numRef>
              <c:f>'Dashboard'!$V$5:$V$14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Category</c:v>
          </c:tx>
          <c:cat>
            <c:strRef>
              <c:f>'Dashboard'!$U$5:$U$14</c:f>
              <c:strCache>
                <c:ptCount val="0"/>
              </c:strCache>
            </c:strRef>
          </c:cat>
          <c:val>
            <c:numRef>
              <c:f>'Dashboard'!$W$5:$W$14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Infrastructure</c:v>
          </c:tx>
          <c:cat>
            <c:strRef>
              <c:f>'Dashboard'!$U$5:$U$14</c:f>
              <c:strCache>
                <c:ptCount val="0"/>
              </c:strCache>
            </c:strRef>
          </c:cat>
          <c:val>
            <c:numRef>
              <c:f>'Dashboard'!$X$5:$X$14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1f27c0abef470d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02abb1b53b41e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ab4f3ca374184a08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2" hidden="0" customWidth="1"/>
    <x:col min="3" max="3" width="14" hidden="0" customWidth="1"/>
    <x:col min="4" max="4" width="18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32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34" customHeight="1">
      <x:c r="A1" s="108" t="str">
        <x:v>MONTREAL.AI x GoalOS - Ten-Year Assumptions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Blue = editable inputs | Green = linked formulas | Management scenarios, not forecasts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  <x:c r="M2" s="110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Product</x:v>
      </x:c>
      <x:c r="B4" s="20" t="str">
        <x:v>Unit</x:v>
      </x:c>
      <x:c r="C4" s="20" t="str">
        <x:v>Price / Rate</x:v>
      </x:c>
      <x:c r="D4" s="20" t="str">
        <x:v>Direct cost / rate</x:v>
      </x:c>
      <x:c r="E4" s="20" t="str">
        <x:v>Target GM</x:v>
      </x:c>
      <x:c r="F4" s="20" t="str">
        <x:v>Y1</x:v>
      </x:c>
      <x:c r="G4" s="20" t="str">
        <x:v>Y2</x:v>
      </x:c>
      <x:c r="H4" s="20" t="str">
        <x:v>Y3</x:v>
      </x:c>
      <x:c r="I4" s="20" t="str">
        <x:v>Y4</x:v>
      </x:c>
      <x:c r="J4" s="20" t="str">
        <x:v>Y5</x:v>
      </x:c>
      <x:c r="K4" s="20" t="str">
        <x:v>Y6</x:v>
      </x:c>
      <x:c r="L4" s="20" t="str">
        <x:v>Y7</x:v>
      </x:c>
      <x:c r="M4" s="20" t="str">
        <x:v>Y8</x:v>
      </x:c>
      <x:c r="N4" s="20" t="str">
        <x:v>Y9</x:v>
      </x:c>
      <x:c r="O4" s="20" t="str">
        <x:v>Y10</x:v>
      </x:c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Frontier MasterClass</x:v>
      </x:c>
      <x:c r="B5" s="109" t="str">
        <x:v>session</x:v>
      </x:c>
      <x:c r="C5" s="132" t="n">
        <x:v>75000</x:v>
      </x:c>
      <x:c r="D5" s="133" t="n">
        <x:v>0.1</x:v>
      </x:c>
      <x:c r="E5" s="133" t="n">
        <x:v>0.9</x:v>
      </x:c>
      <x:c r="F5" s="134" t="n">
        <x:v>4</x:v>
      </x:c>
      <x:c r="G5" s="134" t="n">
        <x:v>8</x:v>
      </x:c>
      <x:c r="H5" s="134" t="n">
        <x:v>15</x:v>
      </x:c>
      <x:c r="I5" s="134" t="n">
        <x:v>25</x:v>
      </x:c>
      <x:c r="J5" s="134" t="n">
        <x:v>40</x:v>
      </x:c>
      <x:c r="K5" s="134" t="n">
        <x:v>60</x:v>
      </x:c>
      <x:c r="L5" s="134" t="n">
        <x:v>80</x:v>
      </x:c>
      <x:c r="M5" s="134" t="n">
        <x:v>100</x:v>
      </x:c>
      <x:c r="N5" s="134" t="n">
        <x:v>120</x:v>
      </x:c>
      <x:c r="O5" s="134" t="n">
        <x:v>150</x:v>
      </x:c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Proof Mission Activation</x:v>
      </x:c>
      <x:c r="B6" s="109" t="str">
        <x:v>activation</x:v>
      </x:c>
      <x:c r="C6" s="132" t="n">
        <x:v>50000</x:v>
      </x:c>
      <x:c r="D6" s="132" t="n">
        <x:v>2500</x:v>
      </x:c>
      <x:c r="E6" s="133" t="n">
        <x:v>0.95</x:v>
      </x:c>
      <x:c r="F6" s="134" t="n">
        <x:v>8</x:v>
      </x:c>
      <x:c r="G6" s="134" t="n">
        <x:v>20</x:v>
      </x:c>
      <x:c r="H6" s="134" t="n">
        <x:v>40</x:v>
      </x:c>
      <x:c r="I6" s="134" t="n">
        <x:v>70</x:v>
      </x:c>
      <x:c r="J6" s="134" t="n">
        <x:v>120</x:v>
      </x:c>
      <x:c r="K6" s="134" t="n">
        <x:v>200</x:v>
      </x:c>
      <x:c r="L6" s="134" t="n">
        <x:v>300</x:v>
      </x:c>
      <x:c r="M6" s="134" t="n">
        <x:v>450</x:v>
      </x:c>
      <x:c r="N6" s="134" t="n">
        <x:v>650</x:v>
      </x:c>
      <x:c r="O6" s="134" t="n">
        <x:v>900</x:v>
      </x:c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Proof Mission</x:v>
      </x:c>
      <x:c r="B7" s="109" t="str">
        <x:v>mission</x:v>
      </x:c>
      <x:c r="C7" s="132" t="n">
        <x:v>250000</x:v>
      </x:c>
      <x:c r="D7" s="132" t="n">
        <x:v>62500</x:v>
      </x:c>
      <x:c r="E7" s="133" t="n">
        <x:v>0.75</x:v>
      </x:c>
      <x:c r="F7" s="134" t="n">
        <x:v>3</x:v>
      </x:c>
      <x:c r="G7" s="134" t="n">
        <x:v>10</x:v>
      </x:c>
      <x:c r="H7" s="134" t="n">
        <x:v>25</x:v>
      </x:c>
      <x:c r="I7" s="134" t="n">
        <x:v>60</x:v>
      </x:c>
      <x:c r="J7" s="134" t="n">
        <x:v>120</x:v>
      </x:c>
      <x:c r="K7" s="134" t="n">
        <x:v>220</x:v>
      </x:c>
      <x:c r="L7" s="134" t="n">
        <x:v>350</x:v>
      </x:c>
      <x:c r="M7" s="134" t="n">
        <x:v>500</x:v>
      </x:c>
      <x:c r="N7" s="134" t="n">
        <x:v>700</x:v>
      </x:c>
      <x:c r="O7" s="134" t="n">
        <x:v>900</x:v>
      </x:c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Proof Office</x:v>
      </x:c>
      <x:c r="B8" s="109" t="str">
        <x:v>customer-year</x:v>
      </x:c>
      <x:c r="C8" s="132" t="n">
        <x:v>1000000</x:v>
      </x:c>
      <x:c r="D8" s="132" t="n">
        <x:v>200000</x:v>
      </x:c>
      <x:c r="E8" s="133" t="n">
        <x:v>0.8</x:v>
      </x:c>
      <x:c r="F8" s="134" t="n">
        <x:v>0.75</x:v>
      </x:c>
      <x:c r="G8" s="134" t="n">
        <x:v>4</x:v>
      </x:c>
      <x:c r="H8" s="134" t="n">
        <x:v>15</x:v>
      </x:c>
      <x:c r="I8" s="134" t="n">
        <x:v>40</x:v>
      </x:c>
      <x:c r="J8" s="134" t="n">
        <x:v>100</x:v>
      </x:c>
      <x:c r="K8" s="134" t="n">
        <x:v>220</x:v>
      </x:c>
      <x:c r="L8" s="134" t="n">
        <x:v>400</x:v>
      </x:c>
      <x:c r="M8" s="134" t="n">
        <x:v>650</x:v>
      </x:c>
      <x:c r="N8" s="134" t="n">
        <x:v>950</x:v>
      </x:c>
      <x:c r="O8" s="134" t="n">
        <x:v>1300</x:v>
      </x:c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 t="str">
        <x:v>Private Enterprise Network</x:v>
      </x:c>
      <x:c r="B9" s="109" t="str">
        <x:v>deployment-year</x:v>
      </x:c>
      <x:c r="C9" s="132" t="n">
        <x:v>3000000</x:v>
      </x:c>
      <x:c r="D9" s="132" t="n">
        <x:v>450000</x:v>
      </x:c>
      <x:c r="E9" s="133" t="n">
        <x:v>0.85</x:v>
      </x:c>
      <x:c r="F9" s="134" t="n">
        <x:v>0</x:v>
      </x:c>
      <x:c r="G9" s="134" t="n">
        <x:v>1</x:v>
      </x:c>
      <x:c r="H9" s="134" t="n">
        <x:v>3</x:v>
      </x:c>
      <x:c r="I9" s="134" t="n">
        <x:v>10</x:v>
      </x:c>
      <x:c r="J9" s="134" t="n">
        <x:v>30</x:v>
      </x:c>
      <x:c r="K9" s="134" t="n">
        <x:v>75</x:v>
      </x:c>
      <x:c r="L9" s="134" t="n">
        <x:v>150</x:v>
      </x:c>
      <x:c r="M9" s="134" t="n">
        <x:v>260</x:v>
      </x:c>
      <x:c r="N9" s="134" t="n">
        <x:v>420</x:v>
      </x:c>
      <x:c r="O9" s="134" t="n">
        <x:v>650</x:v>
      </x:c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 t="str">
        <x:v>Protected Capability Invocation</x:v>
      </x:c>
      <x:c r="B10" s="109" t="str">
        <x:v>invocation</x:v>
      </x:c>
      <x:c r="C10" s="132" t="n">
        <x:v>500</x:v>
      </x:c>
      <x:c r="D10" s="132" t="n">
        <x:v>100</x:v>
      </x:c>
      <x:c r="E10" s="133" t="n">
        <x:v>0.8</x:v>
      </x:c>
      <x:c r="F10" s="134" t="n">
        <x:v>0</x:v>
      </x:c>
      <x:c r="G10" s="134" t="n">
        <x:v>500</x:v>
      </x:c>
      <x:c r="H10" s="134" t="n">
        <x:v>5000</x:v>
      </x:c>
      <x:c r="I10" s="134" t="n">
        <x:v>30000</x:v>
      </x:c>
      <x:c r="J10" s="134" t="n">
        <x:v>120000</x:v>
      </x:c>
      <x:c r="K10" s="134" t="n">
        <x:v>400000</x:v>
      </x:c>
      <x:c r="L10" s="134" t="n">
        <x:v>1000000</x:v>
      </x:c>
      <x:c r="M10" s="134" t="n">
        <x:v>2500000</x:v>
      </x:c>
      <x:c r="N10" s="134" t="n">
        <x:v>5000000</x:v>
      </x:c>
      <x:c r="O10" s="134" t="n">
        <x:v>9000000</x:v>
      </x:c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 t="str">
        <x:v>AGI Jobs / Validator Network</x:v>
      </x:c>
      <x:c r="B11" s="109" t="str">
        <x:v>GMV</x:v>
      </x:c>
      <x:c r="C11" s="133" t="n">
        <x:v>0.12</x:v>
      </x:c>
      <x:c r="D11" s="133" t="n">
        <x:v>0.2</x:v>
      </x:c>
      <x:c r="E11" s="133" t="n">
        <x:v>0.8</x:v>
      </x:c>
      <x:c r="F11" s="134" t="n">
        <x:v>0</x:v>
      </x:c>
      <x:c r="G11" s="134" t="n">
        <x:v>0</x:v>
      </x:c>
      <x:c r="H11" s="134" t="n">
        <x:v>5000000</x:v>
      </x:c>
      <x:c r="I11" s="134" t="n">
        <x:v>25000000</x:v>
      </x:c>
      <x:c r="J11" s="134" t="n">
        <x:v>100000000</x:v>
      </x:c>
      <x:c r="K11" s="134" t="n">
        <x:v>400000000</x:v>
      </x:c>
      <x:c r="L11" s="134" t="n">
        <x:v>1000000000</x:v>
      </x:c>
      <x:c r="M11" s="134" t="n">
        <x:v>2500000000</x:v>
      </x:c>
      <x:c r="N11" s="134" t="n">
        <x:v>5000000000</x:v>
      </x:c>
      <x:c r="O11" s="134" t="n">
        <x:v>10000000000</x:v>
      </x:c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 t="str">
        <x:v>Strategic / Sovereign Deployment</x:v>
      </x:c>
      <x:c r="B12" s="109" t="str">
        <x:v>programme</x:v>
      </x:c>
      <x:c r="C12" s="132" t="n">
        <x:v>20000000</x:v>
      </x:c>
      <x:c r="D12" s="133" t="n">
        <x:v>0.55</x:v>
      </x:c>
      <x:c r="E12" s="133" t="n">
        <x:v>0.45</x:v>
      </x:c>
      <x:c r="F12" s="134" t="n">
        <x:v>0</x:v>
      </x:c>
      <x:c r="G12" s="134" t="n">
        <x:v>0</x:v>
      </x:c>
      <x:c r="H12" s="134" t="n">
        <x:v>0</x:v>
      </x:c>
      <x:c r="I12" s="134" t="n">
        <x:v>1</x:v>
      </x:c>
      <x:c r="J12" s="134" t="n">
        <x:v>2</x:v>
      </x:c>
      <x:c r="K12" s="134" t="n">
        <x:v>4</x:v>
      </x:c>
      <x:c r="L12" s="134" t="n">
        <x:v>7</x:v>
      </x:c>
      <x:c r="M12" s="134" t="n">
        <x:v>10</x:v>
      </x:c>
      <x:c r="N12" s="134" t="n">
        <x:v>15</x:v>
      </x:c>
      <x:c r="O12" s="134" t="n">
        <x:v>20</x:v>
      </x:c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09"/>
      <x:c r="B13" s="109"/>
      <x:c r="C13" s="109"/>
      <x:c r="D13" s="109"/>
      <x:c r="E13" s="109"/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20" t="str">
        <x:v>Operating expense ($mm)</x:v>
      </x:c>
      <x:c r="B15" s="20" t="str">
        <x:v>Y1</x:v>
      </x:c>
      <x:c r="C15" s="20" t="str">
        <x:v>Y2</x:v>
      </x:c>
      <x:c r="D15" s="20" t="str">
        <x:v>Y3</x:v>
      </x:c>
      <x:c r="E15" s="20" t="str">
        <x:v>Y4</x:v>
      </x:c>
      <x:c r="F15" s="20" t="str">
        <x:v>Y5</x:v>
      </x:c>
      <x:c r="G15" s="20" t="str">
        <x:v>Y6</x:v>
      </x:c>
      <x:c r="H15" s="20" t="str">
        <x:v>Y7</x:v>
      </x:c>
      <x:c r="I15" s="20" t="str">
        <x:v>Y8</x:v>
      </x:c>
      <x:c r="J15" s="20" t="str">
        <x:v>Y9</x:v>
      </x:c>
      <x:c r="K15" s="20" t="str">
        <x:v>Y10</x:v>
      </x:c>
      <x:c r="L15" s="20" t="str">
        <x:v>Basis</x:v>
      </x:c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 t="str">
        <x:v>Product &amp; Engineering</x:v>
      </x:c>
      <x:c r="B16" s="135" t="n">
        <x:v>1.2</x:v>
      </x:c>
      <x:c r="C16" s="135" t="n">
        <x:v>2.8</x:v>
      </x:c>
      <x:c r="D16" s="135" t="n">
        <x:v>7</x:v>
      </x:c>
      <x:c r="E16" s="135" t="n">
        <x:v>18</x:v>
      </x:c>
      <x:c r="F16" s="135" t="n">
        <x:v>45</x:v>
      </x:c>
      <x:c r="G16" s="135" t="n">
        <x:v>100</x:v>
      </x:c>
      <x:c r="H16" s="135" t="n">
        <x:v>180</x:v>
      </x:c>
      <x:c r="I16" s="135" t="n">
        <x:v>300</x:v>
      </x:c>
      <x:c r="J16" s="135" t="n">
        <x:v>450</x:v>
      </x:c>
      <x:c r="K16" s="135" t="n">
        <x:v>650</x:v>
      </x:c>
      <x:c r="L16" s="109" t="str">
        <x:v>Scale architecture</x:v>
      </x:c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 t="str">
        <x:v>Category, Sales &amp; Partnerships</x:v>
      </x:c>
      <x:c r="B17" s="135" t="n">
        <x:v>0.8</x:v>
      </x:c>
      <x:c r="C17" s="135" t="n">
        <x:v>1.8</x:v>
      </x:c>
      <x:c r="D17" s="135" t="n">
        <x:v>5</x:v>
      </x:c>
      <x:c r="E17" s="135" t="n">
        <x:v>14</x:v>
      </x:c>
      <x:c r="F17" s="135" t="n">
        <x:v>35</x:v>
      </x:c>
      <x:c r="G17" s="135" t="n">
        <x:v>80</x:v>
      </x:c>
      <x:c r="H17" s="135" t="n">
        <x:v>150</x:v>
      </x:c>
      <x:c r="I17" s="135" t="n">
        <x:v>260</x:v>
      </x:c>
      <x:c r="J17" s="135" t="n">
        <x:v>400</x:v>
      </x:c>
      <x:c r="K17" s="135" t="n">
        <x:v>600</x:v>
      </x:c>
      <x:c r="L17" s="109" t="str">
        <x:v>Scale architecture</x:v>
      </x:c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 t="str">
        <x:v>Evidence, Security &amp; Governance</x:v>
      </x:c>
      <x:c r="B18" s="135" t="n">
        <x:v>0.9</x:v>
      </x:c>
      <x:c r="C18" s="135" t="n">
        <x:v>2</x:v>
      </x:c>
      <x:c r="D18" s="135" t="n">
        <x:v>5.5</x:v>
      </x:c>
      <x:c r="E18" s="135" t="n">
        <x:v>15</x:v>
      </x:c>
      <x:c r="F18" s="135" t="n">
        <x:v>40</x:v>
      </x:c>
      <x:c r="G18" s="135" t="n">
        <x:v>100</x:v>
      </x:c>
      <x:c r="H18" s="135" t="n">
        <x:v>220</x:v>
      </x:c>
      <x:c r="I18" s="135" t="n">
        <x:v>400</x:v>
      </x:c>
      <x:c r="J18" s="135" t="n">
        <x:v>650</x:v>
      </x:c>
      <x:c r="K18" s="135" t="n">
        <x:v>950</x:v>
      </x:c>
      <x:c r="L18" s="109" t="str">
        <x:v>Scale architecture</x:v>
      </x:c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 t="str">
        <x:v>General &amp; Administrative</x:v>
      </x:c>
      <x:c r="B19" s="135" t="n">
        <x:v>0.6</x:v>
      </x:c>
      <x:c r="C19" s="135" t="n">
        <x:v>1.2</x:v>
      </x:c>
      <x:c r="D19" s="135" t="n">
        <x:v>3</x:v>
      </x:c>
      <x:c r="E19" s="135" t="n">
        <x:v>8</x:v>
      </x:c>
      <x:c r="F19" s="135" t="n">
        <x:v>20</x:v>
      </x:c>
      <x:c r="G19" s="135" t="n">
        <x:v>45</x:v>
      </x:c>
      <x:c r="H19" s="135" t="n">
        <x:v>90</x:v>
      </x:c>
      <x:c r="I19" s="135" t="n">
        <x:v>160</x:v>
      </x:c>
      <x:c r="J19" s="135" t="n">
        <x:v>250</x:v>
      </x:c>
      <x:c r="K19" s="135" t="n">
        <x:v>380</x:v>
      </x:c>
      <x:c r="L19" s="109" t="str">
        <x:v>Scale architecture</x:v>
      </x:c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20" t="str">
        <x:v>Cash / capital ($mm)</x:v>
      </x:c>
      <x:c r="B22" s="20" t="str">
        <x:v>Y1</x:v>
      </x:c>
      <x:c r="C22" s="20" t="str">
        <x:v>Y2</x:v>
      </x:c>
      <x:c r="D22" s="20" t="str">
        <x:v>Y3</x:v>
      </x:c>
      <x:c r="E22" s="20" t="str">
        <x:v>Y4</x:v>
      </x:c>
      <x:c r="F22" s="20" t="str">
        <x:v>Y5</x:v>
      </x:c>
      <x:c r="G22" s="20" t="str">
        <x:v>Y6</x:v>
      </x:c>
      <x:c r="H22" s="20" t="str">
        <x:v>Y7</x:v>
      </x:c>
      <x:c r="I22" s="20" t="str">
        <x:v>Y8</x:v>
      </x:c>
      <x:c r="J22" s="20" t="str">
        <x:v>Y9</x:v>
      </x:c>
      <x:c r="K22" s="20" t="str">
        <x:v>Y10</x:v>
      </x:c>
      <x:c r="L22" s="20" t="str">
        <x:v>Basis</x:v>
      </x:c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 t="str">
        <x:v>External financing</x:v>
      </x:c>
      <x:c r="B23" s="135" t="n">
        <x:v>5</x:v>
      </x:c>
      <x:c r="C23" s="135" t="n">
        <x:v>15</x:v>
      </x:c>
      <x:c r="D23" s="135" t="n">
        <x:v>50</x:v>
      </x:c>
      <x:c r="E23" s="135" t="n">
        <x:v>100</x:v>
      </x:c>
      <x:c r="F23" s="135" t="n">
        <x:v>150</x:v>
      </x:c>
      <x:c r="G23" s="135" t="n">
        <x:v>0</x:v>
      </x:c>
      <x:c r="H23" s="135" t="n">
        <x:v>0</x:v>
      </x:c>
      <x:c r="I23" s="135" t="n">
        <x:v>0</x:v>
      </x:c>
      <x:c r="J23" s="135" t="n">
        <x:v>0</x:v>
      </x:c>
      <x:c r="K23" s="135" t="n">
        <x:v>0</x:v>
      </x:c>
      <x:c r="L23" s="109" t="str">
        <x:v>Evidence-gated financing</x:v>
      </x:c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 t="str">
        <x:v>Capital expenditure / productive assets</x:v>
      </x:c>
      <x:c r="B24" s="135" t="n">
        <x:v>0.5</x:v>
      </x:c>
      <x:c r="C24" s="135" t="n">
        <x:v>2</x:v>
      </x:c>
      <x:c r="D24" s="135" t="n">
        <x:v>8</x:v>
      </x:c>
      <x:c r="E24" s="135" t="n">
        <x:v>25</x:v>
      </x:c>
      <x:c r="F24" s="135" t="n">
        <x:v>80</x:v>
      </x:c>
      <x:c r="G24" s="135" t="n">
        <x:v>200</x:v>
      </x:c>
      <x:c r="H24" s="135" t="n">
        <x:v>500</x:v>
      </x:c>
      <x:c r="I24" s="135" t="n">
        <x:v>1000</x:v>
      </x:c>
      <x:c r="J24" s="135" t="n">
        <x:v>2000</x:v>
      </x:c>
      <x:c r="K24" s="135" t="n">
        <x:v>3000</x:v>
      </x:c>
      <x:c r="L24" s="109" t="str">
        <x:v>Compute, data, labs, infrastructure</x:v>
      </x:c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 t="str">
        <x:v>Working-capital use</x:v>
      </x:c>
      <x:c r="B25" s="135" t="n">
        <x:v>0.1</x:v>
      </x:c>
      <x:c r="C25" s="135" t="n">
        <x:v>0.4</x:v>
      </x:c>
      <x:c r="D25" s="135" t="n">
        <x:v>1.5</x:v>
      </x:c>
      <x:c r="E25" s="135" t="n">
        <x:v>6</x:v>
      </x:c>
      <x:c r="F25" s="135" t="n">
        <x:v>18</x:v>
      </x:c>
      <x:c r="G25" s="135" t="n">
        <x:v>45</x:v>
      </x:c>
      <x:c r="H25" s="135" t="n">
        <x:v>90</x:v>
      </x:c>
      <x:c r="I25" s="135" t="n">
        <x:v>180</x:v>
      </x:c>
      <x:c r="J25" s="135" t="n">
        <x:v>300</x:v>
      </x:c>
      <x:c r="K25" s="135" t="n">
        <x:v>500</x:v>
      </x:c>
      <x:c r="L25" s="109" t="str">
        <x:v>Customer and delivery reserves</x:v>
      </x:c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 t="str">
        <x:v>Cash taxes</x:v>
      </x:c>
      <x:c r="B26" s="135" t="n">
        <x:v>0</x:v>
      </x:c>
      <x:c r="C26" s="135" t="n">
        <x:v>0</x:v>
      </x:c>
      <x:c r="D26" s="135" t="n">
        <x:v>0</x:v>
      </x:c>
      <x:c r="E26" s="135" t="n">
        <x:v>5</x:v>
      </x:c>
      <x:c r="F26" s="135" t="n">
        <x:v>25</x:v>
      </x:c>
      <x:c r="G26" s="135" t="n">
        <x:v>80</x:v>
      </x:c>
      <x:c r="H26" s="135" t="n">
        <x:v>180</x:v>
      </x:c>
      <x:c r="I26" s="135" t="n">
        <x:v>350</x:v>
      </x:c>
      <x:c r="J26" s="135" t="n">
        <x:v>600</x:v>
      </x:c>
      <x:c r="K26" s="135" t="n">
        <x:v>900</x:v>
      </x:c>
      <x:c r="L26" s="109" t="str">
        <x:v>Illustrative only</x:v>
      </x:c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20" t="str">
        <x:v>Proof / moat target</x:v>
      </x:c>
      <x:c r="B29" s="20" t="str">
        <x:v>Y1</x:v>
      </x:c>
      <x:c r="C29" s="20" t="str">
        <x:v>Y2</x:v>
      </x:c>
      <x:c r="D29" s="20" t="str">
        <x:v>Y3</x:v>
      </x:c>
      <x:c r="E29" s="20" t="str">
        <x:v>Y4</x:v>
      </x:c>
      <x:c r="F29" s="20" t="str">
        <x:v>Y5</x:v>
      </x:c>
      <x:c r="G29" s="20" t="str">
        <x:v>Y6</x:v>
      </x:c>
      <x:c r="H29" s="20" t="str">
        <x:v>Y7</x:v>
      </x:c>
      <x:c r="I29" s="20" t="str">
        <x:v>Y8</x:v>
      </x:c>
      <x:c r="J29" s="20" t="str">
        <x:v>Y9</x:v>
      </x:c>
      <x:c r="K29" s="20" t="str">
        <x:v>Y10</x:v>
      </x:c>
      <x:c r="L29" s="20" t="str">
        <x:v>Interpretation</x:v>
      </x:c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 t="str">
        <x:v>Rights-cleared Chronicle capabilities</x:v>
      </x:c>
      <x:c r="B30" s="134" t="n">
        <x:v>1</x:v>
      </x:c>
      <x:c r="C30" s="134" t="n">
        <x:v>8</x:v>
      </x:c>
      <x:c r="D30" s="134" t="n">
        <x:v>30</x:v>
      </x:c>
      <x:c r="E30" s="134" t="n">
        <x:v>100</x:v>
      </x:c>
      <x:c r="F30" s="134" t="n">
        <x:v>300</x:v>
      </x:c>
      <x:c r="G30" s="134" t="n">
        <x:v>700</x:v>
      </x:c>
      <x:c r="H30" s="134" t="n">
        <x:v>1400</x:v>
      </x:c>
      <x:c r="I30" s="134" t="n">
        <x:v>2600</x:v>
      </x:c>
      <x:c r="J30" s="134" t="n">
        <x:v>4500</x:v>
      </x:c>
      <x:c r="K30" s="134" t="n">
        <x:v>7500</x:v>
      </x:c>
      <x:c r="L30" s="109" t="str">
        <x:v>Private reusable capability</x:v>
      </x:c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 t="str">
        <x:v>Fresh successor tests</x:v>
      </x:c>
      <x:c r="B31" s="134" t="n">
        <x:v>1</x:v>
      </x:c>
      <x:c r="C31" s="134" t="n">
        <x:v>6</x:v>
      </x:c>
      <x:c r="D31" s="134" t="n">
        <x:v>20</x:v>
      </x:c>
      <x:c r="E31" s="134" t="n">
        <x:v>60</x:v>
      </x:c>
      <x:c r="F31" s="134" t="n">
        <x:v>150</x:v>
      </x:c>
      <x:c r="G31" s="134" t="n">
        <x:v>350</x:v>
      </x:c>
      <x:c r="H31" s="134" t="n">
        <x:v>700</x:v>
      </x:c>
      <x:c r="I31" s="134" t="n">
        <x:v>1300</x:v>
      </x:c>
      <x:c r="J31" s="134" t="n">
        <x:v>2200</x:v>
      </x:c>
      <x:c r="K31" s="134" t="n">
        <x:v>3500</x:v>
      </x:c>
      <x:c r="L31" s="109" t="str">
        <x:v>Measured transfer</x:v>
      </x:c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 t="str">
        <x:v>Recurring + usage mix</x:v>
      </x:c>
      <x:c r="B32" s="133" t="n">
        <x:v>0.25</x:v>
      </x:c>
      <x:c r="C32" s="133" t="n">
        <x:v>0.45</x:v>
      </x:c>
      <x:c r="D32" s="133" t="n">
        <x:v>0.6</x:v>
      </x:c>
      <x:c r="E32" s="133" t="n">
        <x:v>0.72</x:v>
      </x:c>
      <x:c r="F32" s="133" t="n">
        <x:v>0.8</x:v>
      </x:c>
      <x:c r="G32" s="133" t="n">
        <x:v>0.84</x:v>
      </x:c>
      <x:c r="H32" s="133" t="n">
        <x:v>0.87</x:v>
      </x:c>
      <x:c r="I32" s="133" t="n">
        <x:v>0.89</x:v>
      </x:c>
      <x:c r="J32" s="133" t="n">
        <x:v>0.9</x:v>
      </x:c>
      <x:c r="K32" s="133" t="n">
        <x:v>0.91</x:v>
      </x:c>
      <x:c r="L32" s="109" t="str">
        <x:v>Migration to infrastructure economics</x:v>
      </x:c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 t="str">
        <x:v>Net revenue retention</x:v>
      </x:c>
      <x:c r="B33" s="133" t="n">
        <x:v>1</x:v>
      </x:c>
      <x:c r="C33" s="133" t="n">
        <x:v>1.08</x:v>
      </x:c>
      <x:c r="D33" s="133" t="n">
        <x:v>1.15</x:v>
      </x:c>
      <x:c r="E33" s="133" t="n">
        <x:v>1.2</x:v>
      </x:c>
      <x:c r="F33" s="133" t="n">
        <x:v>1.23</x:v>
      </x:c>
      <x:c r="G33" s="133" t="n">
        <x:v>1.25</x:v>
      </x:c>
      <x:c r="H33" s="133" t="n">
        <x:v>1.27</x:v>
      </x:c>
      <x:c r="I33" s="133" t="n">
        <x:v>1.28</x:v>
      </x:c>
      <x:c r="J33" s="133" t="n">
        <x:v>1.29</x:v>
      </x:c>
      <x:c r="K33" s="133" t="n">
        <x:v>1.3</x:v>
      </x:c>
      <x:c r="L33" s="109" t="str">
        <x:v>Management target</x:v>
      </x:c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 t="str">
        <x:v>Safe Verified Productive Capacity Index</x:v>
      </x:c>
      <x:c r="B34" s="136" t="n">
        <x:v>1</x:v>
      </x:c>
      <x:c r="C34" s="136" t="n">
        <x:v>2</x:v>
      </x:c>
      <x:c r="D34" s="136" t="n">
        <x:v>5</x:v>
      </x:c>
      <x:c r="E34" s="136" t="n">
        <x:v>12</x:v>
      </x:c>
      <x:c r="F34" s="136" t="n">
        <x:v>30</x:v>
      </x:c>
      <x:c r="G34" s="136" t="n">
        <x:v>70</x:v>
      </x:c>
      <x:c r="H34" s="136" t="n">
        <x:v>150</x:v>
      </x:c>
      <x:c r="I34" s="136" t="n">
        <x:v>300</x:v>
      </x:c>
      <x:c r="J34" s="136" t="n">
        <x:v>550</x:v>
      </x:c>
      <x:c r="K34" s="136" t="n">
        <x:v>900</x:v>
      </x:c>
      <x:c r="L34" s="109" t="str">
        <x:v>Composite index, Y1 = 1.0</x:v>
      </x:c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4" hidden="0" customWidth="1"/>
  </x:cols>
  <x:sheetData>
    <x:row r="1" ht="34" customHeight="1">
      <x:c r="A1" s="108" t="str">
        <x:v>Revenue Build - Category Scenario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US$ millions | Formula-driven from product volumes and prices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Revenue stream</x:v>
      </x:c>
      <x:c r="B4" s="20" t="str">
        <x:v>Y1</x:v>
      </x:c>
      <x:c r="C4" s="20" t="str">
        <x:v>Y2</x:v>
      </x:c>
      <x:c r="D4" s="20" t="str">
        <x:v>Y3</x:v>
      </x:c>
      <x:c r="E4" s="20" t="str">
        <x:v>Y4</x:v>
      </x:c>
      <x:c r="F4" s="20" t="str">
        <x:v>Y5</x:v>
      </x:c>
      <x:c r="G4" s="20" t="str">
        <x:v>Y6</x:v>
      </x:c>
      <x:c r="H4" s="20" t="str">
        <x:v>Y7</x:v>
      </x:c>
      <x:c r="I4" s="20" t="str">
        <x:v>Y8</x:v>
      </x:c>
      <x:c r="J4" s="20" t="str">
        <x:v>Y9</x:v>
      </x:c>
      <x:c r="K4" s="20" t="str">
        <x:v>Y10</x:v>
      </x:c>
      <x:c r="L4" s="20" t="str">
        <x:v>Driver</x:v>
      </x:c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Frontier MasterClass</x:v>
      </x:c>
      <x:c r="B5" s="114" t="n">
        <x:f>Assumptions!$F$5*Assumptions!$C$5/1000000</x:f>
        <x:v>0.3</x:v>
      </x:c>
      <x:c r="C5" s="114" t="n">
        <x:f>Assumptions!$G$5*Assumptions!$C$5/1000000</x:f>
        <x:v>0.6</x:v>
      </x:c>
      <x:c r="D5" s="114" t="n">
        <x:f>Assumptions!$H$5*Assumptions!$C$5/1000000</x:f>
        <x:v>1.125</x:v>
      </x:c>
      <x:c r="E5" s="114" t="n">
        <x:f>Assumptions!$I$5*Assumptions!$C$5/1000000</x:f>
        <x:v>1.875</x:v>
      </x:c>
      <x:c r="F5" s="114" t="n">
        <x:f>Assumptions!$J$5*Assumptions!$C$5/1000000</x:f>
        <x:v>3</x:v>
      </x:c>
      <x:c r="G5" s="114" t="n">
        <x:f>Assumptions!$K$5*Assumptions!$C$5/1000000</x:f>
        <x:v>4.5</x:v>
      </x:c>
      <x:c r="H5" s="114" t="n">
        <x:f>Assumptions!$L$5*Assumptions!$C$5/1000000</x:f>
        <x:v>6</x:v>
      </x:c>
      <x:c r="I5" s="114" t="n">
        <x:f>Assumptions!$M$5*Assumptions!$C$5/1000000</x:f>
        <x:v>7.5</x:v>
      </x:c>
      <x:c r="J5" s="114" t="n">
        <x:f>Assumptions!$N$5*Assumptions!$C$5/1000000</x:f>
        <x:v>9</x:v>
      </x:c>
      <x:c r="K5" s="114" t="n">
        <x:f>Assumptions!$O$5*Assumptions!$C$5/1000000</x:f>
        <x:v>11.25</x:v>
      </x:c>
      <x:c r="L5" s="109" t="str">
        <x:v>Sessions x price</x:v>
      </x:c>
      <x:c r="M5" s="109"/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Proof Mission Activation</x:v>
      </x:c>
      <x:c r="B6" s="114" t="n">
        <x:f>Assumptions!$F$6*Assumptions!$C$6/1000000</x:f>
        <x:v>0.4</x:v>
      </x:c>
      <x:c r="C6" s="114" t="n">
        <x:f>Assumptions!$G$6*Assumptions!$C$6/1000000</x:f>
        <x:v>1</x:v>
      </x:c>
      <x:c r="D6" s="114" t="n">
        <x:f>Assumptions!$H$6*Assumptions!$C$6/1000000</x:f>
        <x:v>2</x:v>
      </x:c>
      <x:c r="E6" s="114" t="n">
        <x:f>Assumptions!$I$6*Assumptions!$C$6/1000000</x:f>
        <x:v>3.5</x:v>
      </x:c>
      <x:c r="F6" s="114" t="n">
        <x:f>Assumptions!$J$6*Assumptions!$C$6/1000000</x:f>
        <x:v>6</x:v>
      </x:c>
      <x:c r="G6" s="114" t="n">
        <x:f>Assumptions!$K$6*Assumptions!$C$6/1000000</x:f>
        <x:v>10</x:v>
      </x:c>
      <x:c r="H6" s="114" t="n">
        <x:f>Assumptions!$L$6*Assumptions!$C$6/1000000</x:f>
        <x:v>15</x:v>
      </x:c>
      <x:c r="I6" s="114" t="n">
        <x:f>Assumptions!$M$6*Assumptions!$C$6/1000000</x:f>
        <x:v>22.5</x:v>
      </x:c>
      <x:c r="J6" s="114" t="n">
        <x:f>Assumptions!$N$6*Assumptions!$C$6/1000000</x:f>
        <x:v>32.5</x:v>
      </x:c>
      <x:c r="K6" s="114" t="n">
        <x:f>Assumptions!$O$6*Assumptions!$C$6/1000000</x:f>
        <x:v>45</x:v>
      </x:c>
      <x:c r="L6" s="109" t="str">
        <x:v>Activations x price</x:v>
      </x:c>
      <x:c r="M6" s="109"/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Proof Mission</x:v>
      </x:c>
      <x:c r="B7" s="114" t="n">
        <x:f>Assumptions!$F$7*Assumptions!$C$7/1000000</x:f>
        <x:v>0.75</x:v>
      </x:c>
      <x:c r="C7" s="114" t="n">
        <x:f>Assumptions!$G$7*Assumptions!$C$7/1000000</x:f>
        <x:v>2.5</x:v>
      </x:c>
      <x:c r="D7" s="114" t="n">
        <x:f>Assumptions!$H$7*Assumptions!$C$7/1000000</x:f>
        <x:v>6.25</x:v>
      </x:c>
      <x:c r="E7" s="114" t="n">
        <x:f>Assumptions!$I$7*Assumptions!$C$7/1000000</x:f>
        <x:v>15</x:v>
      </x:c>
      <x:c r="F7" s="114" t="n">
        <x:f>Assumptions!$J$7*Assumptions!$C$7/1000000</x:f>
        <x:v>30</x:v>
      </x:c>
      <x:c r="G7" s="114" t="n">
        <x:f>Assumptions!$K$7*Assumptions!$C$7/1000000</x:f>
        <x:v>55</x:v>
      </x:c>
      <x:c r="H7" s="114" t="n">
        <x:f>Assumptions!$L$7*Assumptions!$C$7/1000000</x:f>
        <x:v>87.5</x:v>
      </x:c>
      <x:c r="I7" s="114" t="n">
        <x:f>Assumptions!$M$7*Assumptions!$C$7/1000000</x:f>
        <x:v>125</x:v>
      </x:c>
      <x:c r="J7" s="114" t="n">
        <x:f>Assumptions!$N$7*Assumptions!$C$7/1000000</x:f>
        <x:v>175</x:v>
      </x:c>
      <x:c r="K7" s="114" t="n">
        <x:f>Assumptions!$O$7*Assumptions!$C$7/1000000</x:f>
        <x:v>225</x:v>
      </x:c>
      <x:c r="L7" s="109" t="str">
        <x:v>Missions x price</x:v>
      </x:c>
      <x:c r="M7" s="109"/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Proof Office</x:v>
      </x:c>
      <x:c r="B8" s="114" t="n">
        <x:f>Assumptions!$F$8*Assumptions!$C$8/1000000</x:f>
        <x:v>0.75</x:v>
      </x:c>
      <x:c r="C8" s="114" t="n">
        <x:f>Assumptions!$G$8*Assumptions!$C$8/1000000</x:f>
        <x:v>4</x:v>
      </x:c>
      <x:c r="D8" s="114" t="n">
        <x:f>Assumptions!$H$8*Assumptions!$C$8/1000000</x:f>
        <x:v>15</x:v>
      </x:c>
      <x:c r="E8" s="114" t="n">
        <x:f>Assumptions!$I$8*Assumptions!$C$8/1000000</x:f>
        <x:v>40</x:v>
      </x:c>
      <x:c r="F8" s="114" t="n">
        <x:f>Assumptions!$J$8*Assumptions!$C$8/1000000</x:f>
        <x:v>100</x:v>
      </x:c>
      <x:c r="G8" s="114" t="n">
        <x:f>Assumptions!$K$8*Assumptions!$C$8/1000000</x:f>
        <x:v>220</x:v>
      </x:c>
      <x:c r="H8" s="114" t="n">
        <x:f>Assumptions!$L$8*Assumptions!$C$8/1000000</x:f>
        <x:v>400</x:v>
      </x:c>
      <x:c r="I8" s="114" t="n">
        <x:f>Assumptions!$M$8*Assumptions!$C$8/1000000</x:f>
        <x:v>650</x:v>
      </x:c>
      <x:c r="J8" s="114" t="n">
        <x:f>Assumptions!$N$8*Assumptions!$C$8/1000000</x:f>
        <x:v>950</x:v>
      </x:c>
      <x:c r="K8" s="114" t="n">
        <x:f>Assumptions!$O$8*Assumptions!$C$8/1000000</x:f>
        <x:v>1300</x:v>
      </x:c>
      <x:c r="L8" s="109" t="str">
        <x:v>Customer-years x annual price</x:v>
      </x:c>
      <x:c r="M8" s="109"/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 t="str">
        <x:v>Private Enterprise Network</x:v>
      </x:c>
      <x:c r="B9" s="114" t="n">
        <x:f>Assumptions!$F$9*Assumptions!$C$9/1000000</x:f>
        <x:v>0</x:v>
      </x:c>
      <x:c r="C9" s="114" t="n">
        <x:f>Assumptions!$G$9*Assumptions!$C$9/1000000</x:f>
        <x:v>3</x:v>
      </x:c>
      <x:c r="D9" s="114" t="n">
        <x:f>Assumptions!$H$9*Assumptions!$C$9/1000000</x:f>
        <x:v>9</x:v>
      </x:c>
      <x:c r="E9" s="114" t="n">
        <x:f>Assumptions!$I$9*Assumptions!$C$9/1000000</x:f>
        <x:v>30</x:v>
      </x:c>
      <x:c r="F9" s="114" t="n">
        <x:f>Assumptions!$J$9*Assumptions!$C$9/1000000</x:f>
        <x:v>90</x:v>
      </x:c>
      <x:c r="G9" s="114" t="n">
        <x:f>Assumptions!$K$9*Assumptions!$C$9/1000000</x:f>
        <x:v>225</x:v>
      </x:c>
      <x:c r="H9" s="114" t="n">
        <x:f>Assumptions!$L$9*Assumptions!$C$9/1000000</x:f>
        <x:v>450</x:v>
      </x:c>
      <x:c r="I9" s="114" t="n">
        <x:f>Assumptions!$M$9*Assumptions!$C$9/1000000</x:f>
        <x:v>780</x:v>
      </x:c>
      <x:c r="J9" s="114" t="n">
        <x:f>Assumptions!$N$9*Assumptions!$C$9/1000000</x:f>
        <x:v>1260</x:v>
      </x:c>
      <x:c r="K9" s="114" t="n">
        <x:f>Assumptions!$O$9*Assumptions!$C$9/1000000</x:f>
        <x:v>1950</x:v>
      </x:c>
      <x:c r="L9" s="109" t="str">
        <x:v>Networks x annual price</x:v>
      </x:c>
      <x:c r="M9" s="109"/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 t="str">
        <x:v>Protected Capability Invocation</x:v>
      </x:c>
      <x:c r="B10" s="114" t="n">
        <x:f>Assumptions!$F$10*Assumptions!$C$10/1000000</x:f>
        <x:v>0</x:v>
      </x:c>
      <x:c r="C10" s="114" t="n">
        <x:f>Assumptions!$G$10*Assumptions!$C$10/1000000</x:f>
        <x:v>0.25</x:v>
      </x:c>
      <x:c r="D10" s="114" t="n">
        <x:f>Assumptions!$H$10*Assumptions!$C$10/1000000</x:f>
        <x:v>2.5</x:v>
      </x:c>
      <x:c r="E10" s="114" t="n">
        <x:f>Assumptions!$I$10*Assumptions!$C$10/1000000</x:f>
        <x:v>15</x:v>
      </x:c>
      <x:c r="F10" s="114" t="n">
        <x:f>Assumptions!$J$10*Assumptions!$C$10/1000000</x:f>
        <x:v>60</x:v>
      </x:c>
      <x:c r="G10" s="114" t="n">
        <x:f>Assumptions!$K$10*Assumptions!$C$10/1000000</x:f>
        <x:v>200</x:v>
      </x:c>
      <x:c r="H10" s="114" t="n">
        <x:f>Assumptions!$L$10*Assumptions!$C$10/1000000</x:f>
        <x:v>500</x:v>
      </x:c>
      <x:c r="I10" s="114" t="n">
        <x:f>Assumptions!$M$10*Assumptions!$C$10/1000000</x:f>
        <x:v>1250</x:v>
      </x:c>
      <x:c r="J10" s="114" t="n">
        <x:f>Assumptions!$N$10*Assumptions!$C$10/1000000</x:f>
        <x:v>2500</x:v>
      </x:c>
      <x:c r="K10" s="114" t="n">
        <x:f>Assumptions!$O$10*Assumptions!$C$10/1000000</x:f>
        <x:v>4500</x:v>
      </x:c>
      <x:c r="L10" s="109" t="str">
        <x:v>Invocations x price</x:v>
      </x:c>
      <x:c r="M10" s="109"/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 t="str">
        <x:v>AGI Jobs / Validator fees</x:v>
      </x:c>
      <x:c r="B11" s="114" t="n">
        <x:f>Assumptions!$F$11*Assumptions!$C$11/1000000</x:f>
        <x:v>0</x:v>
      </x:c>
      <x:c r="C11" s="114" t="n">
        <x:f>Assumptions!$G$11*Assumptions!$C$11/1000000</x:f>
        <x:v>0</x:v>
      </x:c>
      <x:c r="D11" s="114" t="n">
        <x:f>Assumptions!$H$11*Assumptions!$C$11/1000000</x:f>
        <x:v>0.6</x:v>
      </x:c>
      <x:c r="E11" s="114" t="n">
        <x:f>Assumptions!$I$11*Assumptions!$C$11/1000000</x:f>
        <x:v>3</x:v>
      </x:c>
      <x:c r="F11" s="114" t="n">
        <x:f>Assumptions!$J$11*Assumptions!$C$11/1000000</x:f>
        <x:v>12</x:v>
      </x:c>
      <x:c r="G11" s="114" t="n">
        <x:f>Assumptions!$K$11*Assumptions!$C$11/1000000</x:f>
        <x:v>48</x:v>
      </x:c>
      <x:c r="H11" s="114" t="n">
        <x:f>Assumptions!$L$11*Assumptions!$C$11/1000000</x:f>
        <x:v>120</x:v>
      </x:c>
      <x:c r="I11" s="114" t="n">
        <x:f>Assumptions!$M$11*Assumptions!$C$11/1000000</x:f>
        <x:v>300</x:v>
      </x:c>
      <x:c r="J11" s="114" t="n">
        <x:f>Assumptions!$N$11*Assumptions!$C$11/1000000</x:f>
        <x:v>600</x:v>
      </x:c>
      <x:c r="K11" s="114" t="n">
        <x:f>Assumptions!$O$11*Assumptions!$C$11/1000000</x:f>
        <x:v>1200</x:v>
      </x:c>
      <x:c r="L11" s="109" t="str">
        <x:v>GMV x take rate</x:v>
      </x:c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 t="str">
        <x:v>Strategic / Sovereign Deployments</x:v>
      </x:c>
      <x:c r="B12" s="114" t="n">
        <x:f>Assumptions!$F$12*Assumptions!$C$12/1000000</x:f>
        <x:v>0</x:v>
      </x:c>
      <x:c r="C12" s="114" t="n">
        <x:f>Assumptions!$G$12*Assumptions!$C$12/1000000</x:f>
        <x:v>0</x:v>
      </x:c>
      <x:c r="D12" s="114" t="n">
        <x:f>Assumptions!$H$12*Assumptions!$C$12/1000000</x:f>
        <x:v>0</x:v>
      </x:c>
      <x:c r="E12" s="114" t="n">
        <x:f>Assumptions!$I$12*Assumptions!$C$12/1000000</x:f>
        <x:v>20</x:v>
      </x:c>
      <x:c r="F12" s="114" t="n">
        <x:f>Assumptions!$J$12*Assumptions!$C$12/1000000</x:f>
        <x:v>40</x:v>
      </x:c>
      <x:c r="G12" s="114" t="n">
        <x:f>Assumptions!$K$12*Assumptions!$C$12/1000000</x:f>
        <x:v>80</x:v>
      </x:c>
      <x:c r="H12" s="114" t="n">
        <x:f>Assumptions!$L$12*Assumptions!$C$12/1000000</x:f>
        <x:v>140</x:v>
      </x:c>
      <x:c r="I12" s="114" t="n">
        <x:f>Assumptions!$M$12*Assumptions!$C$12/1000000</x:f>
        <x:v>200</x:v>
      </x:c>
      <x:c r="J12" s="114" t="n">
        <x:f>Assumptions!$N$12*Assumptions!$C$12/1000000</x:f>
        <x:v>300</x:v>
      </x:c>
      <x:c r="K12" s="114" t="n">
        <x:f>Assumptions!$O$12*Assumptions!$C$12/1000000</x:f>
        <x:v>400</x:v>
      </x:c>
      <x:c r="L12" s="109" t="str">
        <x:v>Programmes x price</x:v>
      </x:c>
      <x:c r="M12" s="109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42" t="str">
        <x:v>Total Revenue</x:v>
      </x:c>
      <x:c r="B13" s="143" t="n">
        <x:f>SUM(B5:B12)</x:f>
        <x:v>2.2</x:v>
      </x:c>
      <x:c r="C13" s="143" t="n">
        <x:f>SUM(C5:C12)</x:f>
        <x:v>11.35</x:v>
      </x:c>
      <x:c r="D13" s="143" t="n">
        <x:f>SUM(D5:D12)</x:f>
        <x:v>36.475</x:v>
      </x:c>
      <x:c r="E13" s="143" t="n">
        <x:f>SUM(E5:E12)</x:f>
        <x:v>128.375</x:v>
      </x:c>
      <x:c r="F13" s="143" t="n">
        <x:f>SUM(F5:F12)</x:f>
        <x:v>341</x:v>
      </x:c>
      <x:c r="G13" s="143" t="n">
        <x:f>SUM(G5:G12)</x:f>
        <x:v>842.5</x:v>
      </x:c>
      <x:c r="H13" s="143" t="n">
        <x:f>SUM(H5:H12)</x:f>
        <x:v>1718.5</x:v>
      </x:c>
      <x:c r="I13" s="143" t="n">
        <x:f>SUM(I5:I12)</x:f>
        <x:v>3335</x:v>
      </x:c>
      <x:c r="J13" s="143" t="n">
        <x:f>SUM(J5:J12)</x:f>
        <x:v>5826.5</x:v>
      </x:c>
      <x:c r="K13" s="143" t="n">
        <x:f>SUM(K5:K12)</x:f>
        <x:v>9631.25</x:v>
      </x:c>
      <x:c r="L13" s="142" t="str">
        <x:v>Sum</x:v>
      </x:c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 t="str">
        <x:v>Recurring + Usage Revenue</x:v>
      </x:c>
      <x:c r="B14" s="114" t="n">
        <x:f>SUM(B8:B11)</x:f>
        <x:v>0.75</x:v>
      </x:c>
      <x:c r="C14" s="114" t="n">
        <x:f>SUM(C8:C11)</x:f>
        <x:v>7.25</x:v>
      </x:c>
      <x:c r="D14" s="114" t="n">
        <x:f>SUM(D8:D11)</x:f>
        <x:v>27.1</x:v>
      </x:c>
      <x:c r="E14" s="114" t="n">
        <x:f>SUM(E8:E11)</x:f>
        <x:v>88</x:v>
      </x:c>
      <x:c r="F14" s="114" t="n">
        <x:f>SUM(F8:F11)</x:f>
        <x:v>262</x:v>
      </x:c>
      <x:c r="G14" s="114" t="n">
        <x:f>SUM(G8:G11)</x:f>
        <x:v>693</x:v>
      </x:c>
      <x:c r="H14" s="114" t="n">
        <x:f>SUM(H8:H11)</x:f>
        <x:v>1470</x:v>
      </x:c>
      <x:c r="I14" s="114" t="n">
        <x:f>SUM(I8:I11)</x:f>
        <x:v>2980</x:v>
      </x:c>
      <x:c r="J14" s="114" t="n">
        <x:f>SUM(J8:J11)</x:f>
        <x:v>5310</x:v>
      </x:c>
      <x:c r="K14" s="114" t="n">
        <x:f>SUM(K8:K11)</x:f>
        <x:v>8950</x:v>
      </x:c>
      <x:c r="L14" s="109" t="str">
        <x:v>Office + network + invocation + network fees</x:v>
      </x:c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 t="str">
        <x:v>Recurring + Usage Mix</x:v>
      </x:c>
      <x:c r="B15" s="144" t="n">
        <x:f>B14/B13</x:f>
        <x:v>0.3409090909090909</x:v>
      </x:c>
      <x:c r="C15" s="144" t="n">
        <x:f>C14/C13</x:f>
        <x:v>0.6387665198237885</x:v>
      </x:c>
      <x:c r="D15" s="144" t="n">
        <x:f>D14/D13</x:f>
        <x:v>0.7429746401644962</x:v>
      </x:c>
      <x:c r="E15" s="144" t="n">
        <x:f>E14/E13</x:f>
        <x:v>0.685491723466407</x:v>
      </x:c>
      <x:c r="F15" s="144" t="n">
        <x:f>F14/F13</x:f>
        <x:v>0.7683284457478006</x:v>
      </x:c>
      <x:c r="G15" s="144" t="n">
        <x:f>G14/G13</x:f>
        <x:v>0.8225519287833828</x:v>
      </x:c>
      <x:c r="H15" s="144" t="n">
        <x:f>H14/H13</x:f>
        <x:v>0.8553971486761711</x:v>
      </x:c>
      <x:c r="I15" s="144" t="n">
        <x:f>I14/I13</x:f>
        <x:v>0.8935532233883059</x:v>
      </x:c>
      <x:c r="J15" s="144" t="n">
        <x:f>J14/J13</x:f>
        <x:v>0.9113532995795074</x:v>
      </x:c>
      <x:c r="K15" s="144" t="n">
        <x:f>K14/K13</x:f>
        <x:v>0.9292667099286178</x:v>
      </x:c>
      <x:c r="L15" s="109" t="str">
        <x:v>Recurring + usage / total</x:v>
      </x:c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4" customHeight="1">
      <x:c r="A1" s="108" t="str">
        <x:v>Category-Scenario P&amp;L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US$ millions | Management architecture, not a forecast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P&amp;L ($mm)</x:v>
      </x:c>
      <x:c r="B4" s="20" t="str">
        <x:v>Y1</x:v>
      </x:c>
      <x:c r="C4" s="20" t="str">
        <x:v>Y2</x:v>
      </x:c>
      <x:c r="D4" s="20" t="str">
        <x:v>Y3</x:v>
      </x:c>
      <x:c r="E4" s="20" t="str">
        <x:v>Y4</x:v>
      </x:c>
      <x:c r="F4" s="20" t="str">
        <x:v>Y5</x:v>
      </x:c>
      <x:c r="G4" s="20" t="str">
        <x:v>Y6</x:v>
      </x:c>
      <x:c r="H4" s="20" t="str">
        <x:v>Y7</x:v>
      </x:c>
      <x:c r="I4" s="20" t="str">
        <x:v>Y8</x:v>
      </x:c>
      <x:c r="J4" s="20" t="str">
        <x:v>Y9</x:v>
      </x:c>
      <x:c r="K4" s="20" t="str">
        <x:v>Y10</x:v>
      </x:c>
      <x:c r="L4" s="109"/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Revenue</x:v>
      </x:c>
      <x:c r="B5" s="114" t="n">
        <x:f>'Revenue Build'!B13</x:f>
        <x:v>2.2</x:v>
      </x:c>
      <x:c r="C5" s="114" t="n">
        <x:f>'Revenue Build'!C13</x:f>
        <x:v>11.35</x:v>
      </x:c>
      <x:c r="D5" s="114" t="n">
        <x:f>'Revenue Build'!D13</x:f>
        <x:v>36.475</x:v>
      </x:c>
      <x:c r="E5" s="114" t="n">
        <x:f>'Revenue Build'!E13</x:f>
        <x:v>128.375</x:v>
      </x:c>
      <x:c r="F5" s="114" t="n">
        <x:f>'Revenue Build'!F13</x:f>
        <x:v>341</x:v>
      </x:c>
      <x:c r="G5" s="114" t="n">
        <x:f>'Revenue Build'!G13</x:f>
        <x:v>842.5</x:v>
      </x:c>
      <x:c r="H5" s="114" t="n">
        <x:f>'Revenue Build'!H13</x:f>
        <x:v>1718.5</x:v>
      </x:c>
      <x:c r="I5" s="114" t="n">
        <x:f>'Revenue Build'!I13</x:f>
        <x:v>3335</x:v>
      </x:c>
      <x:c r="J5" s="114" t="n">
        <x:f>'Revenue Build'!J13</x:f>
        <x:v>5826.5</x:v>
      </x:c>
      <x:c r="K5" s="114" t="n">
        <x:f>'Revenue Build'!K13</x:f>
        <x:v>9631.25</x:v>
      </x:c>
      <x:c r="L5" s="109"/>
      <x:c r="M5" s="109"/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Direct delivery cost</x:v>
      </x:c>
      <x:c r="B6" s="114" t="n">
        <x:f>'Revenue Build'!B5*Assumptions!$D$5+Assumptions!$F$6*Assumptions!$D$6/1000000+Assumptions!$F$7*Assumptions!$D$7/1000000+Assumptions!$F$8*Assumptions!$D$8/1000000+Assumptions!$F$9*Assumptions!$D$9/1000000+Assumptions!$F$10*Assumptions!$D$10/1000000+'Revenue Build'!B11*Assumptions!$D$11+'Revenue Build'!B12*Assumptions!$D$12</x:f>
        <x:v>0.38749999999999996</x:v>
      </x:c>
      <x:c r="C6" s="114" t="n">
        <x:f>'Revenue Build'!C5*Assumptions!$D$5+Assumptions!$G$6*Assumptions!$D$6/1000000+Assumptions!$G$7*Assumptions!$D$7/1000000+Assumptions!$G$8*Assumptions!$D$8/1000000+Assumptions!$G$9*Assumptions!$D$9/1000000+Assumptions!$G$10*Assumptions!$D$10/1000000+'Revenue Build'!C11*Assumptions!$D$11+'Revenue Build'!C12*Assumptions!$D$12</x:f>
        <x:v>2.035</x:v>
      </x:c>
      <x:c r="D6" s="114" t="n">
        <x:f>'Revenue Build'!D5*Assumptions!$D$5+Assumptions!$H$6*Assumptions!$D$6/1000000+Assumptions!$H$7*Assumptions!$D$7/1000000+Assumptions!$H$8*Assumptions!$D$8/1000000+Assumptions!$H$9*Assumptions!$D$9/1000000+Assumptions!$H$10*Assumptions!$D$10/1000000+'Revenue Build'!D11*Assumptions!$D$11+'Revenue Build'!D12*Assumptions!$D$12</x:f>
        <x:v>6.745</x:v>
      </x:c>
      <x:c r="E6" s="114" t="n">
        <x:f>'Revenue Build'!E5*Assumptions!$D$5+Assumptions!$I$6*Assumptions!$D$6/1000000+Assumptions!$I$7*Assumptions!$D$7/1000000+Assumptions!$I$8*Assumptions!$D$8/1000000+Assumptions!$I$9*Assumptions!$D$9/1000000+Assumptions!$I$10*Assumptions!$D$10/1000000+'Revenue Build'!E11*Assumptions!$D$11+'Revenue Build'!E12*Assumptions!$D$12</x:f>
        <x:v>31.212500000000002</x:v>
      </x:c>
      <x:c r="F6" s="114" t="n">
        <x:f>'Revenue Build'!F5*Assumptions!$D$5+Assumptions!$J$6*Assumptions!$D$6/1000000+Assumptions!$J$7*Assumptions!$D$7/1000000+Assumptions!$J$8*Assumptions!$D$8/1000000+Assumptions!$J$9*Assumptions!$D$9/1000000+Assumptions!$J$10*Assumptions!$D$10/1000000+'Revenue Build'!F11*Assumptions!$D$11+'Revenue Build'!F12*Assumptions!$D$12</x:f>
        <x:v>78</x:v>
      </x:c>
      <x:c r="G6" s="114" t="n">
        <x:f>'Revenue Build'!G5*Assumptions!$D$5+Assumptions!$K$6*Assumptions!$D$6/1000000+Assumptions!$K$7*Assumptions!$D$7/1000000+Assumptions!$K$8*Assumptions!$D$8/1000000+Assumptions!$K$9*Assumptions!$D$9/1000000+Assumptions!$K$10*Assumptions!$D$10/1000000+'Revenue Build'!G11*Assumptions!$D$11+'Revenue Build'!G12*Assumptions!$D$12</x:f>
        <x:v>186.04999999999998</x:v>
      </x:c>
      <x:c r="H6" s="114" t="n">
        <x:f>'Revenue Build'!H5*Assumptions!$D$5+Assumptions!$L$6*Assumptions!$D$6/1000000+Assumptions!$L$7*Assumptions!$D$7/1000000+Assumptions!$L$8*Assumptions!$D$8/1000000+Assumptions!$L$9*Assumptions!$D$9/1000000+Assumptions!$L$10*Assumptions!$D$10/1000000+'Revenue Build'!H11*Assumptions!$D$11+'Revenue Build'!H12*Assumptions!$D$12</x:f>
        <x:v>371.725</x:v>
      </x:c>
      <x:c r="I6" s="114" t="n">
        <x:f>'Revenue Build'!I5*Assumptions!$D$5+Assumptions!$M$6*Assumptions!$D$6/1000000+Assumptions!$M$7*Assumptions!$D$7/1000000+Assumptions!$M$8*Assumptions!$D$8/1000000+Assumptions!$M$9*Assumptions!$D$9/1000000+Assumptions!$M$10*Assumptions!$D$10/1000000+'Revenue Build'!I11*Assumptions!$D$11+'Revenue Build'!I12*Assumptions!$D$12</x:f>
        <x:v>700.125</x:v>
      </x:c>
      <x:c r="J6" s="114" t="n">
        <x:f>'Revenue Build'!J5*Assumptions!$D$5+Assumptions!$N$6*Assumptions!$D$6/1000000+Assumptions!$N$7*Assumptions!$D$7/1000000+Assumptions!$N$8*Assumptions!$D$8/1000000+Assumptions!$N$9*Assumptions!$D$9/1000000+Assumptions!$N$10*Assumptions!$D$10/1000000+'Revenue Build'!J11*Assumptions!$D$11+'Revenue Build'!J12*Assumptions!$D$12</x:f>
        <x:v>1210.275</x:v>
      </x:c>
      <x:c r="K6" s="114" t="n">
        <x:f>'Revenue Build'!K5*Assumptions!$D$5+Assumptions!$O$6*Assumptions!$D$6/1000000+Assumptions!$O$7*Assumptions!$D$7/1000000+Assumptions!$O$8*Assumptions!$D$8/1000000+Assumptions!$O$9*Assumptions!$D$9/1000000+Assumptions!$O$10*Assumptions!$D$10/1000000+'Revenue Build'!K11*Assumptions!$D$11+'Revenue Build'!K12*Assumptions!$D$12</x:f>
        <x:v>1972.125</x:v>
      </x:c>
      <x:c r="L6" s="109"/>
      <x:c r="M6" s="109"/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42" t="str">
        <x:v>Gross profit</x:v>
      </x:c>
      <x:c r="B7" s="143" t="n">
        <x:f>B5-B6</x:f>
        <x:v>1.8125000000000002</x:v>
      </x:c>
      <x:c r="C7" s="143" t="n">
        <x:f>C5-C6</x:f>
        <x:v>9.315</x:v>
      </x:c>
      <x:c r="D7" s="143" t="n">
        <x:f>D5-D6</x:f>
        <x:v>29.73</x:v>
      </x:c>
      <x:c r="E7" s="143" t="n">
        <x:f>E5-E6</x:f>
        <x:v>97.1625</x:v>
      </x:c>
      <x:c r="F7" s="143" t="n">
        <x:f>F5-F6</x:f>
        <x:v>263</x:v>
      </x:c>
      <x:c r="G7" s="143" t="n">
        <x:f>G5-G6</x:f>
        <x:v>656.45</x:v>
      </x:c>
      <x:c r="H7" s="143" t="n">
        <x:f>H5-H6</x:f>
        <x:v>1346.775</x:v>
      </x:c>
      <x:c r="I7" s="143" t="n">
        <x:f>I5-I6</x:f>
        <x:v>2634.875</x:v>
      </x:c>
      <x:c r="J7" s="143" t="n">
        <x:f>J5-J6</x:f>
        <x:v>4616.225</x:v>
      </x:c>
      <x:c r="K7" s="143" t="n">
        <x:f>K5-K6</x:f>
        <x:v>7659.125</x:v>
      </x:c>
      <x:c r="L7" s="109"/>
      <x:c r="M7" s="109"/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Gross margin</x:v>
      </x:c>
      <x:c r="B8" s="144" t="n">
        <x:f>B7/B5</x:f>
        <x:v>0.8238636363636364</x:v>
      </x:c>
      <x:c r="C8" s="144" t="n">
        <x:f>C7/C5</x:f>
        <x:v>0.8207048458149779</x:v>
      </x:c>
      <x:c r="D8" s="144" t="n">
        <x:f>D7/D5</x:f>
        <x:v>0.8150788211103496</x:v>
      </x:c>
      <x:c r="E8" s="144" t="n">
        <x:f>E7/E5</x:f>
        <x:v>0.7568646543330088</x:v>
      </x:c>
      <x:c r="F8" s="144" t="n">
        <x:f>F7/F5</x:f>
        <x:v>0.7712609970674487</x:v>
      </x:c>
      <x:c r="G8" s="144" t="n">
        <x:f>G7/G5</x:f>
        <x:v>0.7791691394658754</x:v>
      </x:c>
      <x:c r="H8" s="144" t="n">
        <x:f>H7/H5</x:f>
        <x:v>0.7836921734070411</x:v>
      </x:c>
      <x:c r="I8" s="144" t="n">
        <x:f>I7/I5</x:f>
        <x:v>0.7900674662668665</x:v>
      </x:c>
      <x:c r="J8" s="144" t="n">
        <x:f>J7/J5</x:f>
        <x:v>0.7922809576932979</x:v>
      </x:c>
      <x:c r="K8" s="144" t="n">
        <x:f>K7/K5</x:f>
        <x:v>0.7952368591823491</x:v>
      </x:c>
      <x:c r="L8" s="109"/>
      <x:c r="M8" s="109"/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 t="str">
        <x:v>Product &amp; Engineering</x:v>
      </x:c>
      <x:c r="B9" s="114" t="n">
        <x:f>Assumptions!B16</x:f>
        <x:v>1.2</x:v>
      </x:c>
      <x:c r="C9" s="114" t="n">
        <x:f>Assumptions!C16</x:f>
        <x:v>2.8</x:v>
      </x:c>
      <x:c r="D9" s="114" t="n">
        <x:f>Assumptions!D16</x:f>
        <x:v>7</x:v>
      </x:c>
      <x:c r="E9" s="114" t="n">
        <x:f>Assumptions!E16</x:f>
        <x:v>18</x:v>
      </x:c>
      <x:c r="F9" s="114" t="n">
        <x:f>Assumptions!F16</x:f>
        <x:v>45</x:v>
      </x:c>
      <x:c r="G9" s="114" t="n">
        <x:f>Assumptions!G16</x:f>
        <x:v>100</x:v>
      </x:c>
      <x:c r="H9" s="114" t="n">
        <x:f>Assumptions!H16</x:f>
        <x:v>180</x:v>
      </x:c>
      <x:c r="I9" s="114" t="n">
        <x:f>Assumptions!I16</x:f>
        <x:v>300</x:v>
      </x:c>
      <x:c r="J9" s="114" t="n">
        <x:f>Assumptions!J16</x:f>
        <x:v>450</x:v>
      </x:c>
      <x:c r="K9" s="114" t="n">
        <x:f>Assumptions!K16</x:f>
        <x:v>650</x:v>
      </x:c>
      <x:c r="L9" s="109"/>
      <x:c r="M9" s="109"/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 t="str">
        <x:v>Category, Sales &amp; Partnerships</x:v>
      </x:c>
      <x:c r="B10" s="114" t="n">
        <x:f>Assumptions!B17</x:f>
        <x:v>0.8</x:v>
      </x:c>
      <x:c r="C10" s="114" t="n">
        <x:f>Assumptions!C17</x:f>
        <x:v>1.8</x:v>
      </x:c>
      <x:c r="D10" s="114" t="n">
        <x:f>Assumptions!D17</x:f>
        <x:v>5</x:v>
      </x:c>
      <x:c r="E10" s="114" t="n">
        <x:f>Assumptions!E17</x:f>
        <x:v>14</x:v>
      </x:c>
      <x:c r="F10" s="114" t="n">
        <x:f>Assumptions!F17</x:f>
        <x:v>35</x:v>
      </x:c>
      <x:c r="G10" s="114" t="n">
        <x:f>Assumptions!G17</x:f>
        <x:v>80</x:v>
      </x:c>
      <x:c r="H10" s="114" t="n">
        <x:f>Assumptions!H17</x:f>
        <x:v>150</x:v>
      </x:c>
      <x:c r="I10" s="114" t="n">
        <x:f>Assumptions!I17</x:f>
        <x:v>260</x:v>
      </x:c>
      <x:c r="J10" s="114" t="n">
        <x:f>Assumptions!J17</x:f>
        <x:v>400</x:v>
      </x:c>
      <x:c r="K10" s="114" t="n">
        <x:f>Assumptions!K17</x:f>
        <x:v>600</x:v>
      </x:c>
      <x:c r="L10" s="109"/>
      <x:c r="M10" s="109"/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 t="str">
        <x:v>Evidence, Security &amp; Governance</x:v>
      </x:c>
      <x:c r="B11" s="114" t="n">
        <x:f>Assumptions!B18</x:f>
        <x:v>0.9</x:v>
      </x:c>
      <x:c r="C11" s="114" t="n">
        <x:f>Assumptions!C18</x:f>
        <x:v>2</x:v>
      </x:c>
      <x:c r="D11" s="114" t="n">
        <x:f>Assumptions!D18</x:f>
        <x:v>5.5</x:v>
      </x:c>
      <x:c r="E11" s="114" t="n">
        <x:f>Assumptions!E18</x:f>
        <x:v>15</x:v>
      </x:c>
      <x:c r="F11" s="114" t="n">
        <x:f>Assumptions!F18</x:f>
        <x:v>40</x:v>
      </x:c>
      <x:c r="G11" s="114" t="n">
        <x:f>Assumptions!G18</x:f>
        <x:v>100</x:v>
      </x:c>
      <x:c r="H11" s="114" t="n">
        <x:f>Assumptions!H18</x:f>
        <x:v>220</x:v>
      </x:c>
      <x:c r="I11" s="114" t="n">
        <x:f>Assumptions!I18</x:f>
        <x:v>400</x:v>
      </x:c>
      <x:c r="J11" s="114" t="n">
        <x:f>Assumptions!J18</x:f>
        <x:v>650</x:v>
      </x:c>
      <x:c r="K11" s="114" t="n">
        <x:f>Assumptions!K18</x:f>
        <x:v>950</x:v>
      </x:c>
      <x:c r="L11" s="109"/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 t="str">
        <x:v>General &amp; Administrative</x:v>
      </x:c>
      <x:c r="B12" s="114" t="n">
        <x:f>Assumptions!B19</x:f>
        <x:v>0.6</x:v>
      </x:c>
      <x:c r="C12" s="114" t="n">
        <x:f>Assumptions!C19</x:f>
        <x:v>1.2</x:v>
      </x:c>
      <x:c r="D12" s="114" t="n">
        <x:f>Assumptions!D19</x:f>
        <x:v>3</x:v>
      </x:c>
      <x:c r="E12" s="114" t="n">
        <x:f>Assumptions!E19</x:f>
        <x:v>8</x:v>
      </x:c>
      <x:c r="F12" s="114" t="n">
        <x:f>Assumptions!F19</x:f>
        <x:v>20</x:v>
      </x:c>
      <x:c r="G12" s="114" t="n">
        <x:f>Assumptions!G19</x:f>
        <x:v>45</x:v>
      </x:c>
      <x:c r="H12" s="114" t="n">
        <x:f>Assumptions!H19</x:f>
        <x:v>90</x:v>
      </x:c>
      <x:c r="I12" s="114" t="n">
        <x:f>Assumptions!I19</x:f>
        <x:v>160</x:v>
      </x:c>
      <x:c r="J12" s="114" t="n">
        <x:f>Assumptions!J19</x:f>
        <x:v>250</x:v>
      </x:c>
      <x:c r="K12" s="114" t="n">
        <x:f>Assumptions!K19</x:f>
        <x:v>380</x:v>
      </x:c>
      <x:c r="L12" s="109"/>
      <x:c r="M12" s="109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42" t="str">
        <x:v>Total operating expense</x:v>
      </x:c>
      <x:c r="B13" s="143" t="n">
        <x:f>SUM(B9:B12)</x:f>
        <x:v>3.5</x:v>
      </x:c>
      <x:c r="C13" s="143" t="n">
        <x:f>SUM(C9:C12)</x:f>
        <x:v>7.8</x:v>
      </x:c>
      <x:c r="D13" s="143" t="n">
        <x:f>SUM(D9:D12)</x:f>
        <x:v>20.5</x:v>
      </x:c>
      <x:c r="E13" s="143" t="n">
        <x:f>SUM(E9:E12)</x:f>
        <x:v>55</x:v>
      </x:c>
      <x:c r="F13" s="143" t="n">
        <x:f>SUM(F9:F12)</x:f>
        <x:v>140</x:v>
      </x:c>
      <x:c r="G13" s="143" t="n">
        <x:f>SUM(G9:G12)</x:f>
        <x:v>325</x:v>
      </x:c>
      <x:c r="H13" s="143" t="n">
        <x:f>SUM(H9:H12)</x:f>
        <x:v>640</x:v>
      </x:c>
      <x:c r="I13" s="143" t="n">
        <x:f>SUM(I9:I12)</x:f>
        <x:v>1120</x:v>
      </x:c>
      <x:c r="J13" s="143" t="n">
        <x:f>SUM(J9:J12)</x:f>
        <x:v>1750</x:v>
      </x:c>
      <x:c r="K13" s="143" t="n">
        <x:f>SUM(K9:K12)</x:f>
        <x:v>2580</x:v>
      </x:c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42" t="str">
        <x:v>EBITDA</x:v>
      </x:c>
      <x:c r="B14" s="143" t="n">
        <x:f>B7-B13</x:f>
        <x:v>-1.6874999999999998</x:v>
      </x:c>
      <x:c r="C14" s="143" t="n">
        <x:f>C7-C13</x:f>
        <x:v>1.5149999999999997</x:v>
      </x:c>
      <x:c r="D14" s="143" t="n">
        <x:f>D7-D13</x:f>
        <x:v>9.23</x:v>
      </x:c>
      <x:c r="E14" s="143" t="n">
        <x:f>E7-E13</x:f>
        <x:v>42.162499999999994</x:v>
      </x:c>
      <x:c r="F14" s="143" t="n">
        <x:f>F7-F13</x:f>
        <x:v>123</x:v>
      </x:c>
      <x:c r="G14" s="143" t="n">
        <x:f>G7-G13</x:f>
        <x:v>331.45000000000005</x:v>
      </x:c>
      <x:c r="H14" s="143" t="n">
        <x:f>H7-H13</x:f>
        <x:v>706.7750000000001</x:v>
      </x:c>
      <x:c r="I14" s="143" t="n">
        <x:f>I7-I13</x:f>
        <x:v>1514.875</x:v>
      </x:c>
      <x:c r="J14" s="143" t="n">
        <x:f>J7-J13</x:f>
        <x:v>2866.2250000000004</x:v>
      </x:c>
      <x:c r="K14" s="143" t="n">
        <x:f>K7-K13</x:f>
        <x:v>5079.125</x:v>
      </x:c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 t="str">
        <x:v>EBITDA margin</x:v>
      </x:c>
      <x:c r="B15" s="144" t="n">
        <x:f>B14/B5</x:f>
        <x:v>-0.7670454545454544</x:v>
      </x:c>
      <x:c r="C15" s="144" t="n">
        <x:f>C14/C5</x:f>
        <x:v>0.13348017621145372</x:v>
      </x:c>
      <x:c r="D15" s="144" t="n">
        <x:f>D14/D5</x:f>
        <x:v>0.25305003427004796</x:v>
      </x:c>
      <x:c r="E15" s="144" t="n">
        <x:f>E14/E5</x:f>
        <x:v>0.32843232716650433</x:v>
      </x:c>
      <x:c r="F15" s="144" t="n">
        <x:f>F14/F5</x:f>
        <x:v>0.36070381231671556</x:v>
      </x:c>
      <x:c r="G15" s="144" t="n">
        <x:f>G14/G5</x:f>
        <x:v>0.3934124629080119</x:v>
      </x:c>
      <x:c r="H15" s="144" t="n">
        <x:f>H14/H5</x:f>
        <x:v>0.4112743671806809</x:v>
      </x:c>
      <x:c r="I15" s="144" t="n">
        <x:f>I14/I5</x:f>
        <x:v>0.4542353823088456</x:v>
      </x:c>
      <x:c r="J15" s="144" t="n">
        <x:f>J14/J5</x:f>
        <x:v>0.49192911696558833</x:v>
      </x:c>
      <x:c r="K15" s="144" t="n">
        <x:f>K14/K5</x:f>
        <x:v>0.5273588578844906</x:v>
      </x:c>
      <x:c r="L15" s="109"/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K1"/>
    <x:mergeCell ref="A2:K2"/>
  </x:mergeCells>
  <x:conditionalFormatting sqref="B14:K14">
    <x:cfRule type="expression" dxfId="3" priority="1">
      <x:formula>B14&lt;0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4" customHeight="1">
      <x:c r="A1" s="108" t="str">
        <x:v>Cash, Financing and Productive-Asset Investment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US$ millions | Infrastructure investment is ring-fenced and evidence-gated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Cash flow ($mm)</x:v>
      </x:c>
      <x:c r="B4" s="20" t="str">
        <x:v>Y1</x:v>
      </x:c>
      <x:c r="C4" s="20" t="str">
        <x:v>Y2</x:v>
      </x:c>
      <x:c r="D4" s="20" t="str">
        <x:v>Y3</x:v>
      </x:c>
      <x:c r="E4" s="20" t="str">
        <x:v>Y4</x:v>
      </x:c>
      <x:c r="F4" s="20" t="str">
        <x:v>Y5</x:v>
      </x:c>
      <x:c r="G4" s="20" t="str">
        <x:v>Y6</x:v>
      </x:c>
      <x:c r="H4" s="20" t="str">
        <x:v>Y7</x:v>
      </x:c>
      <x:c r="I4" s="20" t="str">
        <x:v>Y8</x:v>
      </x:c>
      <x:c r="J4" s="20" t="str">
        <x:v>Y9</x:v>
      </x:c>
      <x:c r="K4" s="20" t="str">
        <x:v>Y10</x:v>
      </x:c>
      <x:c r="L4" s="109"/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Beginning cash</x:v>
      </x:c>
      <x:c r="B5" s="114" t="n">
        <x:v>1</x:v>
      </x:c>
      <x:c r="C5" s="114" t="n">
        <x:f>B11</x:f>
        <x:v>3.7125</x:v>
      </x:c>
      <x:c r="D5" s="114" t="n">
        <x:f>C11</x:f>
        <x:v>17.8275</x:v>
      </x:c>
      <x:c r="E5" s="114" t="n">
        <x:f>D11</x:f>
        <x:v>67.5575</x:v>
      </x:c>
      <x:c r="F5" s="114" t="n">
        <x:f>E11</x:f>
        <x:v>173.72</x:v>
      </x:c>
      <x:c r="G5" s="114" t="n">
        <x:f>F11</x:f>
        <x:v>323.72</x:v>
      </x:c>
      <x:c r="H5" s="114" t="n">
        <x:f>G11</x:f>
        <x:v>330.1700000000001</x:v>
      </x:c>
      <x:c r="I5" s="114" t="n">
        <x:f>H11</x:f>
        <x:v>266.94500000000016</x:v>
      </x:c>
      <x:c r="J5" s="114" t="n">
        <x:f>I11</x:f>
        <x:v>251.82000000000016</x:v>
      </x:c>
      <x:c r="K5" s="114" t="n">
        <x:f>J11</x:f>
        <x:v>218.04500000000053</x:v>
      </x:c>
      <x:c r="L5" s="109"/>
      <x:c r="M5" s="109"/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External financing</x:v>
      </x:c>
      <x:c r="B6" s="114" t="n">
        <x:f>Assumptions!B23</x:f>
        <x:v>5</x:v>
      </x:c>
      <x:c r="C6" s="114" t="n">
        <x:f>Assumptions!C23</x:f>
        <x:v>15</x:v>
      </x:c>
      <x:c r="D6" s="114" t="n">
        <x:f>Assumptions!D23</x:f>
        <x:v>50</x:v>
      </x:c>
      <x:c r="E6" s="114" t="n">
        <x:f>Assumptions!E23</x:f>
        <x:v>100</x:v>
      </x:c>
      <x:c r="F6" s="114" t="n">
        <x:f>Assumptions!F23</x:f>
        <x:v>150</x:v>
      </x:c>
      <x:c r="G6" s="114" t="n">
        <x:f>Assumptions!G23</x:f>
        <x:v>0</x:v>
      </x:c>
      <x:c r="H6" s="114" t="n">
        <x:f>Assumptions!H23</x:f>
        <x:v>0</x:v>
      </x:c>
      <x:c r="I6" s="114" t="n">
        <x:f>Assumptions!I23</x:f>
        <x:v>0</x:v>
      </x:c>
      <x:c r="J6" s="114" t="n">
        <x:f>Assumptions!J23</x:f>
        <x:v>0</x:v>
      </x:c>
      <x:c r="K6" s="114" t="n">
        <x:f>Assumptions!K23</x:f>
        <x:v>0</x:v>
      </x:c>
      <x:c r="L6" s="109"/>
      <x:c r="M6" s="109"/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EBITDA</x:v>
      </x:c>
      <x:c r="B7" s="114" t="n">
        <x:f>'P&amp;L'!B14</x:f>
        <x:v>-1.6874999999999998</x:v>
      </x:c>
      <x:c r="C7" s="114" t="n">
        <x:f>'P&amp;L'!C14</x:f>
        <x:v>1.5149999999999997</x:v>
      </x:c>
      <x:c r="D7" s="114" t="n">
        <x:f>'P&amp;L'!D14</x:f>
        <x:v>9.23</x:v>
      </x:c>
      <x:c r="E7" s="114" t="n">
        <x:f>'P&amp;L'!E14</x:f>
        <x:v>42.162499999999994</x:v>
      </x:c>
      <x:c r="F7" s="114" t="n">
        <x:f>'P&amp;L'!F14</x:f>
        <x:v>123</x:v>
      </x:c>
      <x:c r="G7" s="114" t="n">
        <x:f>'P&amp;L'!G14</x:f>
        <x:v>331.45000000000005</x:v>
      </x:c>
      <x:c r="H7" s="114" t="n">
        <x:f>'P&amp;L'!H14</x:f>
        <x:v>706.7750000000001</x:v>
      </x:c>
      <x:c r="I7" s="114" t="n">
        <x:f>'P&amp;L'!I14</x:f>
        <x:v>1514.875</x:v>
      </x:c>
      <x:c r="J7" s="114" t="n">
        <x:f>'P&amp;L'!J14</x:f>
        <x:v>2866.2250000000004</x:v>
      </x:c>
      <x:c r="K7" s="114" t="n">
        <x:f>'P&amp;L'!K14</x:f>
        <x:v>5079.125</x:v>
      </x:c>
      <x:c r="L7" s="109"/>
      <x:c r="M7" s="109"/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Capital expenditure / productive assets</x:v>
      </x:c>
      <x:c r="B8" s="114" t="n">
        <x:f>-Assumptions!B24</x:f>
        <x:v>-0.5</x:v>
      </x:c>
      <x:c r="C8" s="114" t="n">
        <x:f>-Assumptions!C24</x:f>
        <x:v>-2</x:v>
      </x:c>
      <x:c r="D8" s="114" t="n">
        <x:f>-Assumptions!D24</x:f>
        <x:v>-8</x:v>
      </x:c>
      <x:c r="E8" s="114" t="n">
        <x:f>-Assumptions!E24</x:f>
        <x:v>-25</x:v>
      </x:c>
      <x:c r="F8" s="114" t="n">
        <x:f>-Assumptions!F24</x:f>
        <x:v>-80</x:v>
      </x:c>
      <x:c r="G8" s="114" t="n">
        <x:f>-Assumptions!G24</x:f>
        <x:v>-200</x:v>
      </x:c>
      <x:c r="H8" s="114" t="n">
        <x:f>-Assumptions!H24</x:f>
        <x:v>-500</x:v>
      </x:c>
      <x:c r="I8" s="114" t="n">
        <x:f>-Assumptions!I24</x:f>
        <x:v>-1000</x:v>
      </x:c>
      <x:c r="J8" s="114" t="n">
        <x:f>-Assumptions!J24</x:f>
        <x:v>-2000</x:v>
      </x:c>
      <x:c r="K8" s="114" t="n">
        <x:f>-Assumptions!K24</x:f>
        <x:v>-3000</x:v>
      </x:c>
      <x:c r="L8" s="109"/>
      <x:c r="M8" s="109"/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 t="str">
        <x:v>Working-capital use</x:v>
      </x:c>
      <x:c r="B9" s="114" t="n">
        <x:f>-Assumptions!B25</x:f>
        <x:v>-0.1</x:v>
      </x:c>
      <x:c r="C9" s="114" t="n">
        <x:f>-Assumptions!C25</x:f>
        <x:v>-0.4</x:v>
      </x:c>
      <x:c r="D9" s="114" t="n">
        <x:f>-Assumptions!D25</x:f>
        <x:v>-1.5</x:v>
      </x:c>
      <x:c r="E9" s="114" t="n">
        <x:f>-Assumptions!E25</x:f>
        <x:v>-6</x:v>
      </x:c>
      <x:c r="F9" s="114" t="n">
        <x:f>-Assumptions!F25</x:f>
        <x:v>-18</x:v>
      </x:c>
      <x:c r="G9" s="114" t="n">
        <x:f>-Assumptions!G25</x:f>
        <x:v>-45</x:v>
      </x:c>
      <x:c r="H9" s="114" t="n">
        <x:f>-Assumptions!H25</x:f>
        <x:v>-90</x:v>
      </x:c>
      <x:c r="I9" s="114" t="n">
        <x:f>-Assumptions!I25</x:f>
        <x:v>-180</x:v>
      </x:c>
      <x:c r="J9" s="114" t="n">
        <x:f>-Assumptions!J25</x:f>
        <x:v>-300</x:v>
      </x:c>
      <x:c r="K9" s="114" t="n">
        <x:f>-Assumptions!K25</x:f>
        <x:v>-500</x:v>
      </x:c>
      <x:c r="L9" s="109"/>
      <x:c r="M9" s="109"/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 t="str">
        <x:v>Cash taxes</x:v>
      </x:c>
      <x:c r="B10" s="114" t="n">
        <x:f>-Assumptions!B26</x:f>
        <x:v>0</x:v>
      </x:c>
      <x:c r="C10" s="114" t="n">
        <x:f>-Assumptions!C26</x:f>
        <x:v>0</x:v>
      </x:c>
      <x:c r="D10" s="114" t="n">
        <x:f>-Assumptions!D26</x:f>
        <x:v>0</x:v>
      </x:c>
      <x:c r="E10" s="114" t="n">
        <x:f>-Assumptions!E26</x:f>
        <x:v>-5</x:v>
      </x:c>
      <x:c r="F10" s="114" t="n">
        <x:f>-Assumptions!F26</x:f>
        <x:v>-25</x:v>
      </x:c>
      <x:c r="G10" s="114" t="n">
        <x:f>-Assumptions!G26</x:f>
        <x:v>-80</x:v>
      </x:c>
      <x:c r="H10" s="114" t="n">
        <x:f>-Assumptions!H26</x:f>
        <x:v>-180</x:v>
      </x:c>
      <x:c r="I10" s="114" t="n">
        <x:f>-Assumptions!I26</x:f>
        <x:v>-350</x:v>
      </x:c>
      <x:c r="J10" s="114" t="n">
        <x:f>-Assumptions!J26</x:f>
        <x:v>-600</x:v>
      </x:c>
      <x:c r="K10" s="114" t="n">
        <x:f>-Assumptions!K26</x:f>
        <x:v>-900</x:v>
      </x:c>
      <x:c r="L10" s="109"/>
      <x:c r="M10" s="109"/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42" t="str">
        <x:v>Ending cash</x:v>
      </x:c>
      <x:c r="B11" s="143" t="n">
        <x:f>SUM(B5:B10)</x:f>
        <x:v>3.7125</x:v>
      </x:c>
      <x:c r="C11" s="143" t="n">
        <x:f>SUM(C5:C10)</x:f>
        <x:v>17.8275</x:v>
      </x:c>
      <x:c r="D11" s="143" t="n">
        <x:f>SUM(D5:D10)</x:f>
        <x:v>67.5575</x:v>
      </x:c>
      <x:c r="E11" s="143" t="n">
        <x:f>SUM(E5:E10)</x:f>
        <x:v>173.72</x:v>
      </x:c>
      <x:c r="F11" s="143" t="n">
        <x:f>SUM(F5:F10)</x:f>
        <x:v>323.72</x:v>
      </x:c>
      <x:c r="G11" s="143" t="n">
        <x:f>SUM(G5:G10)</x:f>
        <x:v>330.1700000000001</x:v>
      </x:c>
      <x:c r="H11" s="143" t="n">
        <x:f>SUM(H5:H10)</x:f>
        <x:v>266.94500000000016</x:v>
      </x:c>
      <x:c r="I11" s="143" t="n">
        <x:f>SUM(I5:I10)</x:f>
        <x:v>251.82000000000016</x:v>
      </x:c>
      <x:c r="J11" s="143" t="n">
        <x:f>SUM(J5:J10)</x:f>
        <x:v>218.04500000000053</x:v>
      </x:c>
      <x:c r="K11" s="143" t="n">
        <x:f>SUM(K5:K10)</x:f>
        <x:v>897.1700000000001</x:v>
      </x:c>
      <x:c r="L11" s="109"/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/>
      <x:c r="B12" s="109"/>
      <x:c r="C12" s="109"/>
      <x:c r="D12" s="109"/>
      <x:c r="E12" s="109"/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09"/>
      <x:c r="B13" s="109"/>
      <x:c r="C13" s="109"/>
      <x:c r="D13" s="109"/>
      <x:c r="E13" s="109"/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K1"/>
    <x:mergeCell ref="A2:K2"/>
  </x:mergeCells>
  <x:conditionalFormatting sqref="B11:K11">
    <x:cfRule type="expression" dxfId="4" priority="1">
      <x:formula>B11&lt;0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8" hidden="0" customWidth="1"/>
    <x:col min="7" max="7" width="17" hidden="0" customWidth="1"/>
    <x:col min="8" max="8" width="34" hidden="0" customWidth="1"/>
  </x:cols>
  <x:sheetData>
    <x:row r="1" ht="34" customHeight="1">
      <x:c r="A1" s="108" t="str">
        <x:v>Premium Enterprise Unit Economics</x:v>
      </x:c>
      <x:c r="B1" s="108"/>
      <x:c r="C1" s="108"/>
      <x:c r="D1" s="108"/>
      <x:c r="E1" s="108"/>
      <x:c r="F1" s="108"/>
      <x:c r="G1" s="108"/>
      <x:c r="H1" s="108"/>
      <x:c r="I1" s="109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Illustrative pricing hypotheses | Direct cost includes models, tools, evaluators, specialists, support and reserves</x:v>
      </x:c>
      <x:c r="B2" s="110"/>
      <x:c r="C2" s="110"/>
      <x:c r="D2" s="110"/>
      <x:c r="E2" s="110"/>
      <x:c r="F2" s="110"/>
      <x:c r="G2" s="110"/>
      <x:c r="H2" s="110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Product</x:v>
      </x:c>
      <x:c r="B4" s="20" t="str">
        <x:v>Price</x:v>
      </x:c>
      <x:c r="C4" s="20" t="str">
        <x:v>Direct cost</x:v>
      </x:c>
      <x:c r="D4" s="20" t="str">
        <x:v>Gross profit</x:v>
      </x:c>
      <x:c r="E4" s="20" t="str">
        <x:v>Gross margin</x:v>
      </x:c>
      <x:c r="F4" s="20" t="str">
        <x:v>Minimum value pool</x:v>
      </x:c>
      <x:c r="G4" s="20" t="str">
        <x:v>Customer ROI at floor</x:v>
      </x:c>
      <x:c r="H4" s="20" t="str">
        <x:v>Role</x:v>
      </x:c>
      <x:c r="I4" s="109"/>
      <x:c r="J4" s="109"/>
      <x:c r="K4" s="109"/>
      <x:c r="L4" s="109"/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Frontier MasterClass</x:v>
      </x:c>
      <x:c r="B5" s="132" t="n">
        <x:v>75000</x:v>
      </x:c>
      <x:c r="C5" s="132" t="n">
        <x:v>7500</x:v>
      </x:c>
      <x:c r="D5" s="148" t="n">
        <x:v>67500</x:v>
      </x:c>
      <x:c r="E5" s="149" t="n">
        <x:v>0.9</x:v>
      </x:c>
      <x:c r="F5" s="132" t="n">
        <x:v>300000</x:v>
      </x:c>
      <x:c r="G5" s="149" t="n">
        <x:v>3</x:v>
      </x:c>
      <x:c r="H5" s="109" t="str">
        <x:v>Category + qualified objective</x:v>
      </x:c>
      <x:c r="I5" s="109"/>
      <x:c r="J5" s="109"/>
      <x:c r="K5" s="109"/>
      <x:c r="L5" s="109"/>
      <x:c r="M5" s="109"/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Proof Mission Activation</x:v>
      </x:c>
      <x:c r="B6" s="132" t="n">
        <x:v>50000</x:v>
      </x:c>
      <x:c r="C6" s="132" t="n">
        <x:v>2500</x:v>
      </x:c>
      <x:c r="D6" s="148" t="n">
        <x:v>47500</x:v>
      </x:c>
      <x:c r="E6" s="149" t="n">
        <x:v>0.95</x:v>
      </x:c>
      <x:c r="F6" s="132" t="n">
        <x:v>400000</x:v>
      </x:c>
      <x:c r="G6" s="149" t="n">
        <x:v>7</x:v>
      </x:c>
      <x:c r="H6" s="109" t="str">
        <x:v>Near-zero-cost architecture</x:v>
      </x:c>
      <x:c r="I6" s="109"/>
      <x:c r="J6" s="109"/>
      <x:c r="K6" s="109"/>
      <x:c r="L6" s="109"/>
      <x:c r="M6" s="109"/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Proof Mission</x:v>
      </x:c>
      <x:c r="B7" s="132" t="n">
        <x:v>250000</x:v>
      </x:c>
      <x:c r="C7" s="132" t="n">
        <x:v>62500</x:v>
      </x:c>
      <x:c r="D7" s="148" t="n">
        <x:v>187500</x:v>
      </x:c>
      <x:c r="E7" s="149" t="n">
        <x:v>0.75</x:v>
      </x:c>
      <x:c r="F7" s="132" t="n">
        <x:v>1500000</x:v>
      </x:c>
      <x:c r="G7" s="149" t="n">
        <x:v>5</x:v>
      </x:c>
      <x:c r="H7" s="109" t="str">
        <x:v>Decision-grade outcome</x:v>
      </x:c>
      <x:c r="I7" s="109"/>
      <x:c r="J7" s="109"/>
      <x:c r="K7" s="109"/>
      <x:c r="L7" s="109"/>
      <x:c r="M7" s="109"/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Proof Office - annual</x:v>
      </x:c>
      <x:c r="B8" s="132" t="n">
        <x:v>1000000</x:v>
      </x:c>
      <x:c r="C8" s="132" t="n">
        <x:v>200000</x:v>
      </x:c>
      <x:c r="D8" s="148" t="n">
        <x:v>800000</x:v>
      </x:c>
      <x:c r="E8" s="149" t="n">
        <x:v>0.8</x:v>
      </x:c>
      <x:c r="F8" s="132" t="n">
        <x:v>4000000</x:v>
      </x:c>
      <x:c r="G8" s="149" t="n">
        <x:v>3</x:v>
      </x:c>
      <x:c r="H8" s="109" t="str">
        <x:v>Recurring institutional control</x:v>
      </x:c>
      <x:c r="I8" s="109"/>
      <x:c r="J8" s="109"/>
      <x:c r="K8" s="109"/>
      <x:c r="L8" s="109"/>
      <x:c r="M8" s="109"/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 t="str">
        <x:v>Private Enterprise Network</x:v>
      </x:c>
      <x:c r="B9" s="132" t="n">
        <x:v>3000000</x:v>
      </x:c>
      <x:c r="C9" s="132" t="n">
        <x:v>450000</x:v>
      </x:c>
      <x:c r="D9" s="148" t="n">
        <x:v>2550000</x:v>
      </x:c>
      <x:c r="E9" s="149" t="n">
        <x:v>0.85</x:v>
      </x:c>
      <x:c r="F9" s="132" t="n">
        <x:v>12000000</x:v>
      </x:c>
      <x:c r="G9" s="149" t="n">
        <x:v>3</x:v>
      </x:c>
      <x:c r="H9" s="109" t="str">
        <x:v>Platform + protected capability</x:v>
      </x:c>
      <x:c r="I9" s="109"/>
      <x:c r="J9" s="109"/>
      <x:c r="K9" s="109"/>
      <x:c r="L9" s="109"/>
      <x:c r="M9" s="109"/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 t="str">
        <x:v>Protected Capability Invocation</x:v>
      </x:c>
      <x:c r="B10" s="132" t="n">
        <x:v>500</x:v>
      </x:c>
      <x:c r="C10" s="132" t="n">
        <x:v>100</x:v>
      </x:c>
      <x:c r="D10" s="148" t="n">
        <x:v>400</x:v>
      </x:c>
      <x:c r="E10" s="149" t="n">
        <x:v>0.8</x:v>
      </x:c>
      <x:c r="F10" s="132" t="n">
        <x:v>2000</x:v>
      </x:c>
      <x:c r="G10" s="149" t="n">
        <x:v>3</x:v>
      </x:c>
      <x:c r="H10" s="109" t="str">
        <x:v>Software-scale marginal economics</x:v>
      </x:c>
      <x:c r="I10" s="109"/>
      <x:c r="J10" s="109"/>
      <x:c r="K10" s="109"/>
      <x:c r="L10" s="109"/>
      <x:c r="M10" s="109"/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/>
      <x:c r="B11" s="109"/>
      <x:c r="C11" s="109"/>
      <x:c r="D11" s="109"/>
      <x:c r="E11" s="109"/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/>
      <x:c r="B12" s="109"/>
      <x:c r="C12" s="109"/>
      <x:c r="D12" s="109"/>
      <x:c r="E12" s="109"/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20" t="str">
        <x:v>Complete year-one customer</x:v>
      </x:c>
      <x:c r="B13" s="20" t="str">
        <x:v>Revenue</x:v>
      </x:c>
      <x:c r="C13" s="20" t="str">
        <x:v>Direct cost</x:v>
      </x:c>
      <x:c r="D13" s="20" t="str">
        <x:v>Gross profit</x:v>
      </x:c>
      <x:c r="E13" s="20" t="str">
        <x:v>Gross margin</x:v>
      </x:c>
      <x:c r="F13" s="20" t="str">
        <x:v>Conservative value</x:v>
      </x:c>
      <x:c r="G13" s="20" t="str">
        <x:v>Customer ROI</x:v>
      </x:c>
      <x:c r="H13" s="20" t="str">
        <x:v>Value / fee</x:v>
      </x:c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 t="str">
        <x:v>Activation + Mission + Proof Office + usage</x:v>
      </x:c>
      <x:c r="B14" s="132" t="n">
        <x:v>1550000</x:v>
      </x:c>
      <x:c r="C14" s="132" t="n">
        <x:v>310000</x:v>
      </x:c>
      <x:c r="D14" s="148" t="n">
        <x:f>B14-C14</x:f>
        <x:v>1240000</x:v>
      </x:c>
      <x:c r="E14" s="149" t="n">
        <x:f>D14/B14</x:f>
        <x:v>0.8</x:v>
      </x:c>
      <x:c r="F14" s="132" t="n">
        <x:v>6200000</x:v>
      </x:c>
      <x:c r="G14" s="149" t="n">
        <x:f>(F14-B14)/B14</x:f>
        <x:v>3</x:v>
      </x:c>
      <x:c r="H14" s="150" t="n">
        <x:f>F14/B14</x:f>
        <x:v>4</x:v>
      </x:c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8" hidden="0" customWidth="1"/>
    <x:col min="5" max="5" width="19" hidden="0" customWidth="1"/>
    <x:col min="6" max="6" width="19" hidden="0" customWidth="1"/>
    <x:col min="7" max="7" width="15" hidden="0" customWidth="1"/>
    <x:col min="8" max="8" width="14" hidden="0" customWidth="1"/>
    <x:col min="9" max="9" width="14" hidden="0" customWidth="1"/>
  </x:cols>
  <x:sheetData>
    <x:row r="1" ht="34" customHeight="1">
      <x:c r="A1" s="108" t="str">
        <x:v>Customer Value and ROI Ledger</x:v>
      </x:c>
      <x:c r="B1" s="108"/>
      <x:c r="C1" s="108"/>
      <x:c r="D1" s="108"/>
      <x:c r="E1" s="108"/>
      <x:c r="F1" s="108"/>
      <x:c r="G1" s="108"/>
      <x:c r="H1" s="108"/>
      <x:c r="I1" s="108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Forecast value is separated from verified and realized value</x:v>
      </x:c>
      <x:c r="B2" s="110"/>
      <x:c r="C2" s="110"/>
      <x:c r="D2" s="110"/>
      <x:c r="E2" s="110"/>
      <x:c r="F2" s="110"/>
      <x:c r="G2" s="110"/>
      <x:c r="H2" s="110"/>
      <x:c r="I2" s="110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Case</x:v>
      </x:c>
      <x:c r="B4" s="20" t="str">
        <x:v>GoalOS fee</x:v>
      </x:c>
      <x:c r="C4" s="20" t="str">
        <x:v>Forecast value</x:v>
      </x:c>
      <x:c r="D4" s="20" t="str">
        <x:v>Verified value</x:v>
      </x:c>
      <x:c r="E4" s="20" t="str">
        <x:v>Realized cash value</x:v>
      </x:c>
      <x:c r="F4" s="20" t="str">
        <x:v>Net forecast benefit</x:v>
      </x:c>
      <x:c r="G4" s="20" t="str">
        <x:v>Forecast ROI</x:v>
      </x:c>
      <x:c r="H4" s="20" t="str">
        <x:v>Value / fee</x:v>
      </x:c>
      <x:c r="I4" s="20" t="str">
        <x:v>Status</x:v>
      </x:c>
      <x:c r="J4" s="109"/>
      <x:c r="K4" s="109"/>
      <x:c r="L4" s="109"/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Activation</x:v>
      </x:c>
      <x:c r="B5" s="132" t="n">
        <x:v>50000</x:v>
      </x:c>
      <x:c r="C5" s="132" t="n">
        <x:v>400000</x:v>
      </x:c>
      <x:c r="D5" s="132" t="n">
        <x:v>0</x:v>
      </x:c>
      <x:c r="E5" s="132" t="n">
        <x:v>0</x:v>
      </x:c>
      <x:c r="F5" s="148" t="n">
        <x:f>C5-B5</x:f>
        <x:v>350000</x:v>
      </x:c>
      <x:c r="G5" s="149" t="n">
        <x:f>F5/B5</x:f>
        <x:v>7</x:v>
      </x:c>
      <x:c r="H5" s="150" t="n">
        <x:f>C5/B5</x:f>
        <x:v>8</x:v>
      </x:c>
      <x:c r="I5" s="154" t="str">
        <x:v>FORECAST</x:v>
      </x:c>
      <x:c r="J5" s="109"/>
      <x:c r="K5" s="109"/>
      <x:c r="L5" s="109"/>
      <x:c r="M5" s="109"/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Proof Mission</x:v>
      </x:c>
      <x:c r="B6" s="132" t="n">
        <x:v>250000</x:v>
      </x:c>
      <x:c r="C6" s="132" t="n">
        <x:v>1500000</x:v>
      </x:c>
      <x:c r="D6" s="132" t="n">
        <x:v>0</x:v>
      </x:c>
      <x:c r="E6" s="132" t="n">
        <x:v>0</x:v>
      </x:c>
      <x:c r="F6" s="148" t="n">
        <x:f>C6-B6</x:f>
        <x:v>1250000</x:v>
      </x:c>
      <x:c r="G6" s="149" t="n">
        <x:f>F6/B6</x:f>
        <x:v>5</x:v>
      </x:c>
      <x:c r="H6" s="150" t="n">
        <x:f>C6/B6</x:f>
        <x:v>6</x:v>
      </x:c>
      <x:c r="I6" s="154" t="str">
        <x:v>FORECAST</x:v>
      </x:c>
      <x:c r="J6" s="109"/>
      <x:c r="K6" s="109"/>
      <x:c r="L6" s="109"/>
      <x:c r="M6" s="109"/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Complete first-year relationship</x:v>
      </x:c>
      <x:c r="B7" s="132" t="n">
        <x:v>1550000</x:v>
      </x:c>
      <x:c r="C7" s="132" t="n">
        <x:v>6200000</x:v>
      </x:c>
      <x:c r="D7" s="132" t="n">
        <x:v>0</x:v>
      </x:c>
      <x:c r="E7" s="132" t="n">
        <x:v>0</x:v>
      </x:c>
      <x:c r="F7" s="148" t="n">
        <x:f>C7-B7</x:f>
        <x:v>4650000</x:v>
      </x:c>
      <x:c r="G7" s="149" t="n">
        <x:f>F7/B7</x:f>
        <x:v>3</x:v>
      </x:c>
      <x:c r="H7" s="150" t="n">
        <x:f>C7/B7</x:f>
        <x:v>4</x:v>
      </x:c>
      <x:c r="I7" s="154" t="str">
        <x:v>FORECAST</x:v>
      </x:c>
      <x:c r="J7" s="109"/>
      <x:c r="K7" s="109"/>
      <x:c r="L7" s="109"/>
      <x:c r="M7" s="109"/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Strategic deployment</x:v>
      </x:c>
      <x:c r="B8" s="132" t="n">
        <x:v>20000000</x:v>
      </x:c>
      <x:c r="C8" s="132" t="n">
        <x:v>100000000</x:v>
      </x:c>
      <x:c r="D8" s="132" t="n">
        <x:v>0</x:v>
      </x:c>
      <x:c r="E8" s="132" t="n">
        <x:v>0</x:v>
      </x:c>
      <x:c r="F8" s="148" t="n">
        <x:f>C8-B8</x:f>
        <x:v>80000000</x:v>
      </x:c>
      <x:c r="G8" s="149" t="n">
        <x:f>F8/B8</x:f>
        <x:v>4</x:v>
      </x:c>
      <x:c r="H8" s="150" t="n">
        <x:f>C8/B8</x:f>
        <x:v>5</x:v>
      </x:c>
      <x:c r="I8" s="154" t="str">
        <x:v>FORECAST</x:v>
      </x:c>
      <x:c r="J8" s="109"/>
      <x:c r="K8" s="109"/>
      <x:c r="L8" s="109"/>
      <x:c r="M8" s="109"/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/>
      <x:c r="B9" s="109"/>
      <x:c r="C9" s="109"/>
      <x:c r="D9" s="109"/>
      <x:c r="E9" s="109"/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/>
      <x:c r="B10" s="109"/>
      <x:c r="C10" s="109"/>
      <x:c r="D10" s="109"/>
      <x:c r="E10" s="109"/>
      <x:c r="F10" s="109"/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/>
      <x:c r="B11" s="109"/>
      <x:c r="C11" s="109"/>
      <x:c r="D11" s="109"/>
      <x:c r="E11" s="109"/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/>
      <x:c r="B12" s="109"/>
      <x:c r="C12" s="109"/>
      <x:c r="D12" s="109"/>
      <x:c r="E12" s="109"/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09"/>
      <x:c r="B13" s="109"/>
      <x:c r="C13" s="109"/>
      <x:c r="D13" s="109"/>
      <x:c r="E13" s="109"/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I1"/>
    <x:mergeCell ref="A2:I2"/>
  </x:mergeCells>
  <x:conditionalFormatting sqref="G5:G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42" hidden="0" customWidth="1"/>
  </x:cols>
  <x:sheetData>
    <x:row r="1" ht="34" customHeight="1">
      <x:c r="A1" s="108" t="str">
        <x:v>GoalOS Treasury - Capital-to-Capacity Allocation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Only verified free cash flow after obligations and reserves may be allocated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  <x:c r="M2" s="110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Capital destination</x:v>
      </x:c>
      <x:c r="B4" s="20" t="str">
        <x:v>Policy %</x:v>
      </x:c>
      <x:c r="C4" s="20" t="str">
        <x:v>Y1</x:v>
      </x:c>
      <x:c r="D4" s="20" t="str">
        <x:v>Y2</x:v>
      </x:c>
      <x:c r="E4" s="20" t="str">
        <x:v>Y3</x:v>
      </x:c>
      <x:c r="F4" s="20" t="str">
        <x:v>Y4</x:v>
      </x:c>
      <x:c r="G4" s="20" t="str">
        <x:v>Y5</x:v>
      </x:c>
      <x:c r="H4" s="20" t="str">
        <x:v>Y6</x:v>
      </x:c>
      <x:c r="I4" s="20" t="str">
        <x:v>Y7</x:v>
      </x:c>
      <x:c r="J4" s="20" t="str">
        <x:v>Y8</x:v>
      </x:c>
      <x:c r="K4" s="20" t="str">
        <x:v>Y9</x:v>
      </x:c>
      <x:c r="L4" s="20" t="str">
        <x:v>Y10</x:v>
      </x:c>
      <x:c r="M4" s="20" t="str">
        <x:v>Evidence gate</x:v>
      </x:c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Customer acquisition and delivery</x:v>
      </x:c>
      <x:c r="B5" s="133" t="n">
        <x:v>0.25</x:v>
      </x:c>
      <x:c r="C5" s="114" t="n">
        <x:f>MAX(0,'P&amp;L'!B14)*$B5</x:f>
        <x:v>0</x:v>
      </x:c>
      <x:c r="D5" s="114" t="n">
        <x:f>MAX(0,'P&amp;L'!C14)*$B5</x:f>
        <x:v>0.3787499999999999</x:v>
      </x:c>
      <x:c r="E5" s="114" t="n">
        <x:f>MAX(0,'P&amp;L'!D14)*$B5</x:f>
        <x:v>2.3075</x:v>
      </x:c>
      <x:c r="F5" s="114" t="n">
        <x:f>MAX(0,'P&amp;L'!E14)*$B5</x:f>
        <x:v>10.540624999999999</x:v>
      </x:c>
      <x:c r="G5" s="114" t="n">
        <x:f>MAX(0,'P&amp;L'!F14)*$B5</x:f>
        <x:v>30.75</x:v>
      </x:c>
      <x:c r="H5" s="114" t="n">
        <x:f>MAX(0,'P&amp;L'!G14)*$B5</x:f>
        <x:v>82.86250000000001</x:v>
      </x:c>
      <x:c r="I5" s="114" t="n">
        <x:f>MAX(0,'P&amp;L'!H14)*$B5</x:f>
        <x:v>176.69375000000002</x:v>
      </x:c>
      <x:c r="J5" s="114" t="n">
        <x:f>MAX(0,'P&amp;L'!I14)*$B5</x:f>
        <x:v>378.71875</x:v>
      </x:c>
      <x:c r="K5" s="114" t="n">
        <x:f>MAX(0,'P&amp;L'!J14)*$B5</x:f>
        <x:v>716.5562500000001</x:v>
      </x:c>
      <x:c r="L5" s="114" t="n">
        <x:f>MAX(0,'P&amp;L'!K14)*$B5</x:f>
        <x:v>1269.78125</x:v>
      </x:c>
      <x:c r="M5" s="109" t="str">
        <x:v>CAC payback, margin, repeat purchase</x:v>
      </x:c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Capability engineering</x:v>
      </x:c>
      <x:c r="B6" s="133" t="n">
        <x:v>0.25</x:v>
      </x:c>
      <x:c r="C6" s="114" t="n">
        <x:f>MAX(0,'P&amp;L'!B14)*$B6</x:f>
        <x:v>0</x:v>
      </x:c>
      <x:c r="D6" s="114" t="n">
        <x:f>MAX(0,'P&amp;L'!C14)*$B6</x:f>
        <x:v>0.3787499999999999</x:v>
      </x:c>
      <x:c r="E6" s="114" t="n">
        <x:f>MAX(0,'P&amp;L'!D14)*$B6</x:f>
        <x:v>2.3075</x:v>
      </x:c>
      <x:c r="F6" s="114" t="n">
        <x:f>MAX(0,'P&amp;L'!E14)*$B6</x:f>
        <x:v>10.540624999999999</x:v>
      </x:c>
      <x:c r="G6" s="114" t="n">
        <x:f>MAX(0,'P&amp;L'!F14)*$B6</x:f>
        <x:v>30.75</x:v>
      </x:c>
      <x:c r="H6" s="114" t="n">
        <x:f>MAX(0,'P&amp;L'!G14)*$B6</x:f>
        <x:v>82.86250000000001</x:v>
      </x:c>
      <x:c r="I6" s="114" t="n">
        <x:f>MAX(0,'P&amp;L'!H14)*$B6</x:f>
        <x:v>176.69375000000002</x:v>
      </x:c>
      <x:c r="J6" s="114" t="n">
        <x:f>MAX(0,'P&amp;L'!I14)*$B6</x:f>
        <x:v>378.71875</x:v>
      </x:c>
      <x:c r="K6" s="114" t="n">
        <x:f>MAX(0,'P&amp;L'!J14)*$B6</x:f>
        <x:v>716.5562500000001</x:v>
      </x:c>
      <x:c r="L6" s="114" t="n">
        <x:f>MAX(0,'P&amp;L'!K14)*$B6</x:f>
        <x:v>1269.78125</x:v>
      </x:c>
      <x:c r="M6" s="109" t="str">
        <x:v>Fresh mission lift, replay, lower reviewer burden</x:v>
      </x:c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Models, compute, data and environments</x:v>
      </x:c>
      <x:c r="B7" s="133" t="n">
        <x:v>0.15</x:v>
      </x:c>
      <x:c r="C7" s="114" t="n">
        <x:f>MAX(0,'P&amp;L'!B14)*$B7</x:f>
        <x:v>0</x:v>
      </x:c>
      <x:c r="D7" s="114" t="n">
        <x:f>MAX(0,'P&amp;L'!C14)*$B7</x:f>
        <x:v>0.22724999999999995</x:v>
      </x:c>
      <x:c r="E7" s="114" t="n">
        <x:f>MAX(0,'P&amp;L'!D14)*$B7</x:f>
        <x:v>1.3845</x:v>
      </x:c>
      <x:c r="F7" s="114" t="n">
        <x:f>MAX(0,'P&amp;L'!E14)*$B7</x:f>
        <x:v>6.324374999999999</x:v>
      </x:c>
      <x:c r="G7" s="114" t="n">
        <x:f>MAX(0,'P&amp;L'!F14)*$B7</x:f>
        <x:v>18.45</x:v>
      </x:c>
      <x:c r="H7" s="114" t="n">
        <x:f>MAX(0,'P&amp;L'!G14)*$B7</x:f>
        <x:v>49.71750000000001</x:v>
      </x:c>
      <x:c r="I7" s="114" t="n">
        <x:f>MAX(0,'P&amp;L'!H14)*$B7</x:f>
        <x:v>106.01625000000001</x:v>
      </x:c>
      <x:c r="J7" s="114" t="n">
        <x:f>MAX(0,'P&amp;L'!I14)*$B7</x:f>
        <x:v>227.23125</x:v>
      </x:c>
      <x:c r="K7" s="114" t="n">
        <x:f>MAX(0,'P&amp;L'!J14)*$B7</x:f>
        <x:v>429.93375000000003</x:v>
      </x:c>
      <x:c r="L7" s="114" t="n">
        <x:f>MAX(0,'P&amp;L'!K14)*$B7</x:f>
        <x:v>761.86875</x:v>
      </x:c>
      <x:c r="M7" s="109" t="str">
        <x:v>Measured cost, quality or throughput gain</x:v>
      </x:c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Independent validation, legal, safety and security</x:v>
      </x:c>
      <x:c r="B8" s="133" t="n">
        <x:v>0.12</x:v>
      </x:c>
      <x:c r="C8" s="114" t="n">
        <x:f>MAX(0,'P&amp;L'!B14)*$B8</x:f>
        <x:v>0</x:v>
      </x:c>
      <x:c r="D8" s="114" t="n">
        <x:f>MAX(0,'P&amp;L'!C14)*$B8</x:f>
        <x:v>0.18179999999999996</x:v>
      </x:c>
      <x:c r="E8" s="114" t="n">
        <x:f>MAX(0,'P&amp;L'!D14)*$B8</x:f>
        <x:v>1.1076</x:v>
      </x:c>
      <x:c r="F8" s="114" t="n">
        <x:f>MAX(0,'P&amp;L'!E14)*$B8</x:f>
        <x:v>5.059499999999999</x:v>
      </x:c>
      <x:c r="G8" s="114" t="n">
        <x:f>MAX(0,'P&amp;L'!F14)*$B8</x:f>
        <x:v>14.76</x:v>
      </x:c>
      <x:c r="H8" s="114" t="n">
        <x:f>MAX(0,'P&amp;L'!G14)*$B8</x:f>
        <x:v>39.774</x:v>
      </x:c>
      <x:c r="I8" s="114" t="n">
        <x:f>MAX(0,'P&amp;L'!H14)*$B8</x:f>
        <x:v>84.813</x:v>
      </x:c>
      <x:c r="J8" s="114" t="n">
        <x:f>MAX(0,'P&amp;L'!I14)*$B8</x:f>
        <x:v>181.785</x:v>
      </x:c>
      <x:c r="K8" s="114" t="n">
        <x:f>MAX(0,'P&amp;L'!J14)*$B8</x:f>
        <x:v>343.947</x:v>
      </x:c>
      <x:c r="L8" s="114" t="n">
        <x:f>MAX(0,'P&amp;L'!K14)*$B8</x:f>
        <x:v>609.495</x:v>
      </x:c>
      <x:c r="M8" s="109" t="str">
        <x:v>Trust and loss-prevention metrics</x:v>
      </x:c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 t="str">
        <x:v>Strategic infrastructure pilots</x:v>
      </x:c>
      <x:c r="B9" s="133" t="n">
        <x:v>0.15</x:v>
      </x:c>
      <x:c r="C9" s="114" t="n">
        <x:f>MAX(0,'P&amp;L'!B14)*$B9</x:f>
        <x:v>0</x:v>
      </x:c>
      <x:c r="D9" s="114" t="n">
        <x:f>MAX(0,'P&amp;L'!C14)*$B9</x:f>
        <x:v>0.22724999999999995</x:v>
      </x:c>
      <x:c r="E9" s="114" t="n">
        <x:f>MAX(0,'P&amp;L'!D14)*$B9</x:f>
        <x:v>1.3845</x:v>
      </x:c>
      <x:c r="F9" s="114" t="n">
        <x:f>MAX(0,'P&amp;L'!E14)*$B9</x:f>
        <x:v>6.324374999999999</x:v>
      </x:c>
      <x:c r="G9" s="114" t="n">
        <x:f>MAX(0,'P&amp;L'!F14)*$B9</x:f>
        <x:v>18.45</x:v>
      </x:c>
      <x:c r="H9" s="114" t="n">
        <x:f>MAX(0,'P&amp;L'!G14)*$B9</x:f>
        <x:v>49.71750000000001</x:v>
      </x:c>
      <x:c r="I9" s="114" t="n">
        <x:f>MAX(0,'P&amp;L'!H14)*$B9</x:f>
        <x:v>106.01625000000001</x:v>
      </x:c>
      <x:c r="J9" s="114" t="n">
        <x:f>MAX(0,'P&amp;L'!I14)*$B9</x:f>
        <x:v>227.23125</x:v>
      </x:c>
      <x:c r="K9" s="114" t="n">
        <x:f>MAX(0,'P&amp;L'!J14)*$B9</x:f>
        <x:v>429.93375000000003</x:v>
      </x:c>
      <x:c r="L9" s="114" t="n">
        <x:f>MAX(0,'P&amp;L'!K14)*$B9</x:f>
        <x:v>761.86875</x:v>
      </x:c>
      <x:c r="M9" s="109" t="str">
        <x:v>Milestones, telemetry, project-finance readiness</x:v>
      </x:c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 t="str">
        <x:v>Bounded frontier options</x:v>
      </x:c>
      <x:c r="B10" s="133" t="n">
        <x:v>0.08</x:v>
      </x:c>
      <x:c r="C10" s="114" t="n">
        <x:f>MAX(0,'P&amp;L'!B14)*$B10</x:f>
        <x:v>0</x:v>
      </x:c>
      <x:c r="D10" s="114" t="n">
        <x:f>MAX(0,'P&amp;L'!C14)*$B10</x:f>
        <x:v>0.12119999999999997</x:v>
      </x:c>
      <x:c r="E10" s="114" t="n">
        <x:f>MAX(0,'P&amp;L'!D14)*$B10</x:f>
        <x:v>0.7384000000000001</x:v>
      </x:c>
      <x:c r="F10" s="114" t="n">
        <x:f>MAX(0,'P&amp;L'!E14)*$B10</x:f>
        <x:v>3.3729999999999998</x:v>
      </x:c>
      <x:c r="G10" s="114" t="n">
        <x:f>MAX(0,'P&amp;L'!F14)*$B10</x:f>
        <x:v>9.84</x:v>
      </x:c>
      <x:c r="H10" s="114" t="n">
        <x:f>MAX(0,'P&amp;L'!G14)*$B10</x:f>
        <x:v>26.516000000000005</x:v>
      </x:c>
      <x:c r="I10" s="114" t="n">
        <x:f>MAX(0,'P&amp;L'!H14)*$B10</x:f>
        <x:v>56.54200000000001</x:v>
      </x:c>
      <x:c r="J10" s="114" t="n">
        <x:f>MAX(0,'P&amp;L'!I14)*$B10</x:f>
        <x:v>121.19</x:v>
      </x:c>
      <x:c r="K10" s="114" t="n">
        <x:f>MAX(0,'P&amp;L'!J14)*$B10</x:f>
        <x:v>229.29800000000003</x:v>
      </x:c>
      <x:c r="L10" s="114" t="n">
        <x:f>MAX(0,'P&amp;L'!K14)*$B10</x:f>
        <x:v>406.33</x:v>
      </x:c>
      <x:c r="M10" s="109" t="str">
        <x:v>Capped downside, review date and stop condition</x:v>
      </x:c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/>
      <x:c r="B11" s="109"/>
      <x:c r="C11" s="109"/>
      <x:c r="D11" s="109"/>
      <x:c r="E11" s="109"/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42" t="str">
        <x:v>Total governed allocation</x:v>
      </x:c>
      <x:c r="B12" s="156" t="n">
        <x:v>1</x:v>
      </x:c>
      <x:c r="C12" s="143" t="n">
        <x:f>SUM(C5:C10)</x:f>
        <x:v>0</x:v>
      </x:c>
      <x:c r="D12" s="143" t="n">
        <x:f>SUM(D5:D10)</x:f>
        <x:v>1.5149999999999997</x:v>
      </x:c>
      <x:c r="E12" s="143" t="n">
        <x:f>SUM(E5:E10)</x:f>
        <x:v>9.23</x:v>
      </x:c>
      <x:c r="F12" s="143" t="n">
        <x:f>SUM(F5:F10)</x:f>
        <x:v>42.16249999999999</x:v>
      </x:c>
      <x:c r="G12" s="143" t="n">
        <x:f>SUM(G5:G10)</x:f>
        <x:v>123.00000000000001</x:v>
      </x:c>
      <x:c r="H12" s="143" t="n">
        <x:f>SUM(H5:H10)</x:f>
        <x:v>331.45000000000005</x:v>
      </x:c>
      <x:c r="I12" s="143" t="n">
        <x:f>SUM(I5:I10)</x:f>
        <x:v>706.7750000000001</x:v>
      </x:c>
      <x:c r="J12" s="143" t="n">
        <x:f>SUM(J5:J10)</x:f>
        <x:v>1514.8750000000002</x:v>
      </x:c>
      <x:c r="K12" s="143" t="n">
        <x:f>SUM(K5:K10)</x:f>
        <x:v>2866.225000000001</x:v>
      </x:c>
      <x:c r="L12" s="143" t="n">
        <x:f>SUM(L5:L10)</x:f>
        <x:v>5079.125</x:v>
      </x:c>
      <x:c r="M12" s="142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09"/>
      <x:c r="B13" s="109"/>
      <x:c r="C13" s="109"/>
      <x:c r="D13" s="109"/>
      <x:c r="E13" s="109"/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42" hidden="0" customWidth="1"/>
  </x:cols>
  <x:sheetData>
    <x:row r="1" ht="34" customHeight="1">
      <x:c r="A1" s="108" t="str">
        <x:v>Safe Verified Productive Capacity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Composite management index - not an accounting measure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Metric</x:v>
      </x:c>
      <x:c r="B4" s="20" t="str">
        <x:v>Y1</x:v>
      </x:c>
      <x:c r="C4" s="20" t="str">
        <x:v>Y2</x:v>
      </x:c>
      <x:c r="D4" s="20" t="str">
        <x:v>Y3</x:v>
      </x:c>
      <x:c r="E4" s="20" t="str">
        <x:v>Y4</x:v>
      </x:c>
      <x:c r="F4" s="20" t="str">
        <x:v>Y5</x:v>
      </x:c>
      <x:c r="G4" s="20" t="str">
        <x:v>Y6</x:v>
      </x:c>
      <x:c r="H4" s="20" t="str">
        <x:v>Y7</x:v>
      </x:c>
      <x:c r="I4" s="20" t="str">
        <x:v>Y8</x:v>
      </x:c>
      <x:c r="J4" s="20" t="str">
        <x:v>Y9</x:v>
      </x:c>
      <x:c r="K4" s="20" t="str">
        <x:v>Y10</x:v>
      </x:c>
      <x:c r="L4" s="20" t="str">
        <x:v>Interpretation</x:v>
      </x:c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Independently supported value index</x:v>
      </x:c>
      <x:c r="B5" s="136" t="n">
        <x:v>1</x:v>
      </x:c>
      <x:c r="C5" s="136" t="n">
        <x:v>2</x:v>
      </x:c>
      <x:c r="D5" s="136" t="n">
        <x:v>4</x:v>
      </x:c>
      <x:c r="E5" s="136" t="n">
        <x:v>8</x:v>
      </x:c>
      <x:c r="F5" s="136" t="n">
        <x:v>16</x:v>
      </x:c>
      <x:c r="G5" s="136" t="n">
        <x:v>30</x:v>
      </x:c>
      <x:c r="H5" s="136" t="n">
        <x:v>50</x:v>
      </x:c>
      <x:c r="I5" s="136" t="n">
        <x:v>80</x:v>
      </x:c>
      <x:c r="J5" s="136" t="n">
        <x:v>120</x:v>
      </x:c>
      <x:c r="K5" s="136" t="n">
        <x:v>180</x:v>
      </x:c>
      <x:c r="L5" s="109" t="str">
        <x:v>Customer / scientific value</x:v>
      </x:c>
      <x:c r="M5" s="109"/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Reuse advantage</x:v>
      </x:c>
      <x:c r="B6" s="136" t="n">
        <x:v>1</x:v>
      </x:c>
      <x:c r="C6" s="136" t="n">
        <x:v>1.2</x:v>
      </x:c>
      <x:c r="D6" s="136" t="n">
        <x:v>1.5</x:v>
      </x:c>
      <x:c r="E6" s="136" t="n">
        <x:v>2</x:v>
      </x:c>
      <x:c r="F6" s="136" t="n">
        <x:v>2.8</x:v>
      </x:c>
      <x:c r="G6" s="136" t="n">
        <x:v>4</x:v>
      </x:c>
      <x:c r="H6" s="136" t="n">
        <x:v>5.5</x:v>
      </x:c>
      <x:c r="I6" s="136" t="n">
        <x:v>7</x:v>
      </x:c>
      <x:c r="J6" s="136" t="n">
        <x:v>9</x:v>
      </x:c>
      <x:c r="K6" s="136" t="n">
        <x:v>12</x:v>
      </x:c>
      <x:c r="L6" s="109" t="str">
        <x:v>Cost, time, quality and risk lift</x:v>
      </x:c>
      <x:c r="M6" s="109"/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Ownership &amp; control</x:v>
      </x:c>
      <x:c r="B7" s="158" t="n">
        <x:v>0.6</x:v>
      </x:c>
      <x:c r="C7" s="158" t="n">
        <x:v>0.7</x:v>
      </x:c>
      <x:c r="D7" s="158" t="n">
        <x:v>0.78</x:v>
      </x:c>
      <x:c r="E7" s="158" t="n">
        <x:v>0.84</x:v>
      </x:c>
      <x:c r="F7" s="158" t="n">
        <x:v>0.88</x:v>
      </x:c>
      <x:c r="G7" s="158" t="n">
        <x:v>0.91</x:v>
      </x:c>
      <x:c r="H7" s="158" t="n">
        <x:v>0.93</x:v>
      </x:c>
      <x:c r="I7" s="158" t="n">
        <x:v>0.95</x:v>
      </x:c>
      <x:c r="J7" s="158" t="n">
        <x:v>0.96</x:v>
      </x:c>
      <x:c r="K7" s="158" t="n">
        <x:v>0.97</x:v>
      </x:c>
      <x:c r="L7" s="109" t="str">
        <x:v>Rights, entitlements and protected execution</x:v>
      </x:c>
      <x:c r="M7" s="109"/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Persistence &amp; freshness</x:v>
      </x:c>
      <x:c r="B8" s="158" t="n">
        <x:v>0.7</x:v>
      </x:c>
      <x:c r="C8" s="158" t="n">
        <x:v>0.75</x:v>
      </x:c>
      <x:c r="D8" s="158" t="n">
        <x:v>0.8</x:v>
      </x:c>
      <x:c r="E8" s="158" t="n">
        <x:v>0.84</x:v>
      </x:c>
      <x:c r="F8" s="158" t="n">
        <x:v>0.88</x:v>
      </x:c>
      <x:c r="G8" s="158" t="n">
        <x:v>0.91</x:v>
      </x:c>
      <x:c r="H8" s="158" t="n">
        <x:v>0.93</x:v>
      </x:c>
      <x:c r="I8" s="158" t="n">
        <x:v>0.95</x:v>
      </x:c>
      <x:c r="J8" s="158" t="n">
        <x:v>0.96</x:v>
      </x:c>
      <x:c r="K8" s="158" t="n">
        <x:v>0.97</x:v>
      </x:c>
      <x:c r="L8" s="109" t="str">
        <x:v>Current, non-revoked capability</x:v>
      </x:c>
      <x:c r="M8" s="109"/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 t="str">
        <x:v>Safety &amp; governance quality</x:v>
      </x:c>
      <x:c r="B9" s="158" t="n">
        <x:v>0.75</x:v>
      </x:c>
      <x:c r="C9" s="158" t="n">
        <x:v>0.8</x:v>
      </x:c>
      <x:c r="D9" s="158" t="n">
        <x:v>0.84</x:v>
      </x:c>
      <x:c r="E9" s="158" t="n">
        <x:v>0.88</x:v>
      </x:c>
      <x:c r="F9" s="158" t="n">
        <x:v>0.91</x:v>
      </x:c>
      <x:c r="G9" s="158" t="n">
        <x:v>0.93</x:v>
      </x:c>
      <x:c r="H9" s="158" t="n">
        <x:v>0.95</x:v>
      </x:c>
      <x:c r="I9" s="158" t="n">
        <x:v>0.96</x:v>
      </x:c>
      <x:c r="J9" s="158" t="n">
        <x:v>0.97</x:v>
      </x:c>
      <x:c r="K9" s="158" t="n">
        <x:v>0.98</x:v>
      </x:c>
      <x:c r="L9" s="109" t="str">
        <x:v>Evidence, review and rollback</x:v>
      </x:c>
      <x:c r="M9" s="109"/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 t="str">
        <x:v>Unresolved Proof Debt</x:v>
      </x:c>
      <x:c r="B10" s="158" t="n">
        <x:v>1</x:v>
      </x:c>
      <x:c r="C10" s="158" t="n">
        <x:v>0.9</x:v>
      </x:c>
      <x:c r="D10" s="158" t="n">
        <x:v>0.75</x:v>
      </x:c>
      <x:c r="E10" s="158" t="n">
        <x:v>0.6</x:v>
      </x:c>
      <x:c r="F10" s="158" t="n">
        <x:v>0.45</x:v>
      </x:c>
      <x:c r="G10" s="158" t="n">
        <x:v>0.35</x:v>
      </x:c>
      <x:c r="H10" s="158" t="n">
        <x:v>0.28</x:v>
      </x:c>
      <x:c r="I10" s="158" t="n">
        <x:v>0.22</x:v>
      </x:c>
      <x:c r="J10" s="158" t="n">
        <x:v>0.18</x:v>
      </x:c>
      <x:c r="K10" s="158" t="n">
        <x:v>0.15</x:v>
      </x:c>
      <x:c r="L10" s="109" t="str">
        <x:v>Lower is better</x:v>
      </x:c>
      <x:c r="M10" s="109"/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 t="str">
        <x:v>Externality / concentration cost</x:v>
      </x:c>
      <x:c r="B11" s="158" t="n">
        <x:v>1</x:v>
      </x:c>
      <x:c r="C11" s="158" t="n">
        <x:v>0.95</x:v>
      </x:c>
      <x:c r="D11" s="158" t="n">
        <x:v>0.9</x:v>
      </x:c>
      <x:c r="E11" s="158" t="n">
        <x:v>0.82</x:v>
      </x:c>
      <x:c r="F11" s="158" t="n">
        <x:v>0.75</x:v>
      </x:c>
      <x:c r="G11" s="158" t="n">
        <x:v>0.7</x:v>
      </x:c>
      <x:c r="H11" s="158" t="n">
        <x:v>0.65</x:v>
      </x:c>
      <x:c r="I11" s="158" t="n">
        <x:v>0.6</x:v>
      </x:c>
      <x:c r="J11" s="158" t="n">
        <x:v>0.55</x:v>
      </x:c>
      <x:c r="K11" s="158" t="n">
        <x:v>0.5</x:v>
      </x:c>
      <x:c r="L11" s="109" t="str">
        <x:v>Lower is better</x:v>
      </x:c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/>
      <x:c r="B12" s="109"/>
      <x:c r="C12" s="109"/>
      <x:c r="D12" s="109"/>
      <x:c r="E12" s="109"/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42" t="str">
        <x:v>Safe Verified Productive Capacity Index</x:v>
      </x:c>
      <x:c r="B13" s="159" t="n">
        <x:f>(B5*B6*B7*B8*B9)/(B10*B11)</x:f>
        <x:v>0.315</x:v>
      </x:c>
      <x:c r="C13" s="159" t="n">
        <x:f>(C5*C6*C7*C8*C9)/(C10*C11)</x:f>
        <x:v>1.1789473684210527</x:v>
      </x:c>
      <x:c r="D13" s="159" t="n">
        <x:f>(D5*D6*D7*D8*D9)/(D10*D11)</x:f>
        <x:v>4.659199999999999</x:v>
      </x:c>
      <x:c r="E13" s="159" t="n">
        <x:f>(E5*E6*E7*E8*E9)/(E10*E11)</x:f>
        <x:v>20.192780487804878</x:v>
      </x:c>
      <x:c r="F13" s="159" t="n">
        <x:f>(F5*F6*F7*F8*F9)/(F10*F11)</x:f>
        <x:v>93.54293096296296</x:v>
      </x:c>
      <x:c r="G13" s="159" t="n">
        <x:f>(G5*G6*G7*G8*G9)/(G10*G11)</x:f>
        <x:v>377.208</x:v>
      </x:c>
      <x:c r="H13" s="159" t="n">
        <x:f>(H5*H6*H7*H8*H9)/(H10*H11)</x:f>
        <x:v>1241.5116758241757</x:v>
      </x:c>
      <x:c r="I13" s="159" t="n">
        <x:f>(I5*I6*I7*I8*I9)/(I10*I11)</x:f>
        <x:v>3675.636363636363</x:v>
      </x:c>
      <x:c r="J13" s="159" t="n">
        <x:f>(J5*J6*J7*J8*J9)/(J10*J11)</x:f>
        <x:v>9752.203636363634</x:v>
      </x:c>
      <x:c r="K13" s="159" t="n">
        <x:f>(K5*K6*K7*K8*K9)/(K10*K11)</x:f>
        <x:v>26555.9616</x:v>
      </x:c>
      <x:c r="L13" s="142" t="str">
        <x:v>(Value x Reuse x Ownership x Persistence x Safety) / (Proof Debt x Externality)</x:v>
      </x:c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2" hidden="0" customWidth="1"/>
    <x:col min="4" max="4" width="24" hidden="0" customWidth="1"/>
    <x:col min="5" max="5" width="18" hidden="0" customWidth="1"/>
    <x:col min="6" max="6" width="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4" customHeight="1">
      <x:c r="A1" s="108" t="str">
        <x:v>Scale Architecture and Enterprise-Value Sensitivity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Scenario architecture - not a forecast or valuation opinion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Revenue ($bn)</x:v>
      </x:c>
      <x:c r="B4" s="20" t="str">
        <x:v>Y1</x:v>
      </x:c>
      <x:c r="C4" s="20" t="str">
        <x:v>Y2</x:v>
      </x:c>
      <x:c r="D4" s="20" t="str">
        <x:v>Y3</x:v>
      </x:c>
      <x:c r="E4" s="20" t="str">
        <x:v>Y4</x:v>
      </x:c>
      <x:c r="F4" s="20" t="str">
        <x:v>Y5</x:v>
      </x:c>
      <x:c r="G4" s="20" t="str">
        <x:v>Y6</x:v>
      </x:c>
      <x:c r="H4" s="20" t="str">
        <x:v>Y7</x:v>
      </x:c>
      <x:c r="I4" s="20" t="str">
        <x:v>Y8</x:v>
      </x:c>
      <x:c r="J4" s="20" t="str">
        <x:v>Y9</x:v>
      </x:c>
      <x:c r="K4" s="20" t="str">
        <x:v>Y10</x:v>
      </x:c>
      <x:c r="L4" s="109"/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Discipline</x:v>
      </x:c>
      <x:c r="B5" s="162" t="n">
        <x:v>0.0015</x:v>
      </x:c>
      <x:c r="C5" s="162" t="n">
        <x:v>0.006</x:v>
      </x:c>
      <x:c r="D5" s="162" t="n">
        <x:v>0.02</x:v>
      </x:c>
      <x:c r="E5" s="162" t="n">
        <x:v>0.06</x:v>
      </x:c>
      <x:c r="F5" s="162" t="n">
        <x:v>0.14</x:v>
      </x:c>
      <x:c r="G5" s="162" t="n">
        <x:v>0.25</x:v>
      </x:c>
      <x:c r="H5" s="162" t="n">
        <x:v>0.4</x:v>
      </x:c>
      <x:c r="I5" s="162" t="n">
        <x:v>0.65</x:v>
      </x:c>
      <x:c r="J5" s="162" t="n">
        <x:v>0.95</x:v>
      </x:c>
      <x:c r="K5" s="162" t="n">
        <x:v>1.3</x:v>
      </x:c>
      <x:c r="L5" s="109"/>
      <x:c r="M5" s="109"/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Category</x:v>
      </x:c>
      <x:c r="B6" s="162" t="n">
        <x:v>0.0022</x:v>
      </x:c>
      <x:c r="C6" s="162" t="n">
        <x:v>0.011</x:v>
      </x:c>
      <x:c r="D6" s="162" t="n">
        <x:v>0.044</x:v>
      </x:c>
      <x:c r="E6" s="162" t="n">
        <x:v>0.173</x:v>
      </x:c>
      <x:c r="F6" s="162" t="n">
        <x:v>0.521</x:v>
      </x:c>
      <x:c r="G6" s="162" t="n">
        <x:v>1.3</x:v>
      </x:c>
      <x:c r="H6" s="162" t="n">
        <x:v>2.6</x:v>
      </x:c>
      <x:c r="I6" s="162" t="n">
        <x:v>4.5</x:v>
      </x:c>
      <x:c r="J6" s="162" t="n">
        <x:v>6.5</x:v>
      </x:c>
      <x:c r="K6" s="162" t="n">
        <x:v>8.5</x:v>
      </x:c>
      <x:c r="L6" s="109"/>
      <x:c r="M6" s="109"/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Infrastructure</x:v>
      </x:c>
      <x:c r="B7" s="162" t="n">
        <x:v>0.003</x:v>
      </x:c>
      <x:c r="C7" s="162" t="n">
        <x:v>0.02</x:v>
      </x:c>
      <x:c r="D7" s="162" t="n">
        <x:v>0.08</x:v>
      </x:c>
      <x:c r="E7" s="162" t="n">
        <x:v>0.28</x:v>
      </x:c>
      <x:c r="F7" s="162" t="n">
        <x:v>0.8</x:v>
      </x:c>
      <x:c r="G7" s="162" t="n">
        <x:v>1.9</x:v>
      </x:c>
      <x:c r="H7" s="162" t="n">
        <x:v>4.2</x:v>
      </x:c>
      <x:c r="I7" s="162" t="n">
        <x:v>8</x:v>
      </x:c>
      <x:c r="J7" s="162" t="n">
        <x:v>14</x:v>
      </x:c>
      <x:c r="K7" s="162" t="n">
        <x:v>22</x:v>
      </x:c>
      <x:c r="L7" s="109"/>
      <x:c r="M7" s="109"/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/>
      <x:c r="B8" s="109"/>
      <x:c r="C8" s="109"/>
      <x:c r="D8" s="109"/>
      <x:c r="E8" s="109"/>
      <x:c r="F8" s="109"/>
      <x:c r="G8" s="109"/>
      <x:c r="H8" s="109"/>
      <x:c r="I8" s="109"/>
      <x:c r="J8" s="109"/>
      <x:c r="K8" s="109"/>
      <x:c r="L8" s="109"/>
      <x:c r="M8" s="109"/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/>
      <x:c r="B9" s="109"/>
      <x:c r="C9" s="109"/>
      <x:c r="D9" s="109"/>
      <x:c r="E9" s="109"/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20" t="str">
        <x:v>Enterprise-value sensitivity</x:v>
      </x:c>
      <x:c r="B10" s="20" t="str">
        <x:v>5x revenue</x:v>
      </x:c>
      <x:c r="C10" s="20" t="str">
        <x:v>10x revenue</x:v>
      </x:c>
      <x:c r="D10" s="20" t="str">
        <x:v>15x revenue</x:v>
      </x:c>
      <x:c r="E10" s="20" t="str">
        <x:v>20x revenue</x:v>
      </x:c>
      <x:c r="F10" s="20" t="str">
        <x:v>Interpretation</x:v>
      </x:c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 t="str">
        <x:v>Y5 Category</x:v>
      </x:c>
      <x:c r="B11" s="163" t="n">
        <x:f>FLOOR(E6*5,0.1)</x:f>
        <x:v>0.8</x:v>
      </x:c>
      <x:c r="C11" s="163" t="n">
        <x:f>FLOOR(E6*10,0.1)</x:f>
        <x:v>1.7000000000000002</x:v>
      </x:c>
      <x:c r="D11" s="163" t="n">
        <x:f>FLOOR(E6*15,0.1)</x:f>
        <x:v>2.5</x:v>
      </x:c>
      <x:c r="E11" s="163" t="n">
        <x:f>FLOOR(E6*20,0.1)</x:f>
        <x:v>3.4000000000000004</x:v>
      </x:c>
      <x:c r="F11" s="109" t="str">
        <x:v>Early platform sensitivity</x:v>
      </x:c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 t="str">
        <x:v>Y10 Discipline</x:v>
      </x:c>
      <x:c r="B12" s="163" t="n">
        <x:f>K5*5</x:f>
        <x:v>6.5</x:v>
      </x:c>
      <x:c r="C12" s="163" t="n">
        <x:f>K5*10</x:f>
        <x:v>13</x:v>
      </x:c>
      <x:c r="D12" s="163" t="n">
        <x:f>K5*15</x:f>
        <x:v>19.5</x:v>
      </x:c>
      <x:c r="E12" s="163" t="n">
        <x:f>K5*20</x:f>
        <x:v>26</x:v>
      </x:c>
      <x:c r="F12" s="109" t="str">
        <x:v>Large software / network sensitivity</x:v>
      </x:c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09" t="str">
        <x:v>Y10 Category</x:v>
      </x:c>
      <x:c r="B13" s="163" t="n">
        <x:f>K6*5</x:f>
        <x:v>42.5</x:v>
      </x:c>
      <x:c r="C13" s="163" t="n">
        <x:f>K6*10</x:f>
        <x:v>85</x:v>
      </x:c>
      <x:c r="D13" s="163" t="n">
        <x:f>K6*15</x:f>
        <x:v>127.5</x:v>
      </x:c>
      <x:c r="E13" s="163" t="n">
        <x:f>K6*20</x:f>
        <x:v>170</x:v>
      </x:c>
      <x:c r="F13" s="109" t="str">
        <x:v>Global infrastructure-control sensitivity</x:v>
      </x:c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20" t="str">
        <x:v>Preparedness gate</x:v>
      </x:c>
      <x:c r="B16" s="20" t="str">
        <x:v>Illustrative evidence</x:v>
      </x:c>
      <x:c r="C16" s="20" t="str">
        <x:v>Company state</x:v>
      </x:c>
      <x:c r="D16" s="20" t="str">
        <x:v>Not implied</x:v>
      </x:c>
      <x:c r="E16" s="20" t="str">
        <x:v>Target horizon</x:v>
      </x:c>
      <x:c r="F16" s="20" t="str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 t="str">
        <x:v>Commercial proof</x:v>
      </x:c>
      <x:c r="B17" s="109" t="str">
        <x:v>3 paid missions; 1 verified outcome; 1 repeat</x:v>
      </x:c>
      <x:c r="C17" s="109" t="str">
        <x:v>Evidence-producing company</x:v>
      </x:c>
      <x:c r="D17" s="109" t="str">
        <x:v>Valuation claim</x:v>
      </x:c>
      <x:c r="E17" s="109" t="str">
        <x:v>0-90 days</x:v>
      </x:c>
      <x:c r="F17" s="109" t="str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 t="str">
        <x:v>Repeatable product</x:v>
      </x:c>
      <x:c r="B18" s="109" t="str">
        <x:v>20-30 missions; 5+ Offices; positive contribution</x:v>
      </x:c>
      <x:c r="C18" s="109" t="str">
        <x:v>Productized institution</x:v>
      </x:c>
      <x:c r="D18" s="109" t="str">
        <x:v>Platform claim</x:v>
      </x:c>
      <x:c r="E18" s="109" t="str">
        <x:v>3-12 months</x:v>
      </x:c>
      <x:c r="F18" s="109" t="str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 t="str">
        <x:v>Enterprise platform</x:v>
      </x:c>
      <x:c r="B19" s="109" t="str">
        <x:v>20+ enterprises; 50%+ recurring; private deployments</x:v>
      </x:c>
      <x:c r="C19" s="109" t="str">
        <x:v>Proprietary operating graph</x:v>
      </x:c>
      <x:c r="D19" s="109" t="str">
        <x:v>Decacorn claim</x:v>
      </x:c>
      <x:c r="E19" s="109" t="str">
        <x:v>12-30 months</x:v>
      </x:c>
      <x:c r="F19" s="109" t="str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 t="str">
        <x:v>Category standard</x:v>
      </x:c>
      <x:c r="B20" s="109" t="str">
        <x:v>100+ institutions; US$100M+ recurring trajectory</x:v>
      </x:c>
      <x:c r="C20" s="109" t="str">
        <x:v>Serious decacorn candidate</x:v>
      </x:c>
      <x:c r="D20" s="109" t="str">
        <x:v>Megacorn claim</x:v>
      </x:c>
      <x:c r="E20" s="109" t="str">
        <x:v>24-60 months</x:v>
      </x:c>
      <x:c r="F20" s="109" t="str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 t="str">
        <x:v>Productive infrastructure</x:v>
      </x:c>
      <x:c r="B21" s="109" t="str">
        <x:v>Global standard; very large network economics; productive assets</x:v>
      </x:c>
      <x:c r="C21" s="109" t="str">
        <x:v>Serious megacorn candidate</x:v>
      </x:c>
      <x:c r="D21" s="109" t="str">
        <x:v>Guaranteed outcome</x:v>
      </x:c>
      <x:c r="E21" s="109" t="str">
        <x:v>5-10+ years</x:v>
      </x:c>
      <x:c r="F21" s="109" t="str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L1"/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2" hidden="0" customWidth="1"/>
    <x:col min="4" max="4" width="12" hidden="0" customWidth="1"/>
    <x:col min="5" max="5" width="16" hidden="0" customWidth="1"/>
    <x:col min="6" max="6" width="36" hidden="0" customWidth="1"/>
    <x:col min="7" max="7" width="18" hidden="0" customWidth="1"/>
    <x:col min="8" max="8" width="18" hidden="0" customWidth="1"/>
  </x:cols>
  <x:sheetData>
    <x:row r="1" ht="34" customHeight="1">
      <x:c r="A1" s="108" t="str">
        <x:v>Commercial Proof Run and Institutional Gates</x:v>
      </x:c>
      <x:c r="B1" s="108"/>
      <x:c r="C1" s="108"/>
      <x:c r="D1" s="108"/>
      <x:c r="E1" s="108"/>
      <x:c r="F1" s="108"/>
      <x:c r="G1" s="108"/>
      <x:c r="H1" s="108"/>
      <x:c r="I1" s="109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Every larger claim requires a distinct class of evidence</x:v>
      </x:c>
      <x:c r="B2" s="110"/>
      <x:c r="C2" s="110"/>
      <x:c r="D2" s="110"/>
      <x:c r="E2" s="110"/>
      <x:c r="F2" s="110"/>
      <x:c r="G2" s="110"/>
      <x:c r="H2" s="110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Gate</x:v>
      </x:c>
      <x:c r="B4" s="20" t="str">
        <x:v>Metric</x:v>
      </x:c>
      <x:c r="C4" s="20" t="str">
        <x:v>Target</x:v>
      </x:c>
      <x:c r="D4" s="20" t="str">
        <x:v>Actual</x:v>
      </x:c>
      <x:c r="E4" s="20" t="str">
        <x:v>Status</x:v>
      </x:c>
      <x:c r="F4" s="20" t="str">
        <x:v>Evidence reference</x:v>
      </x:c>
      <x:c r="G4" s="20" t="str">
        <x:v>Owner</x:v>
      </x:c>
      <x:c r="H4" s="20" t="str">
        <x:v>Decision</x:v>
      </x:c>
      <x:c r="I4" s="109"/>
      <x:c r="J4" s="109"/>
      <x:c r="K4" s="109"/>
      <x:c r="L4" s="109"/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Commercial</x:v>
      </x:c>
      <x:c r="B5" s="109" t="str">
        <x:v>Unrelated paying customers</x:v>
      </x:c>
      <x:c r="C5" s="109" t="n">
        <x:v>3</x:v>
      </x:c>
      <x:c r="D5" s="134" t="n">
        <x:v>0</x:v>
      </x:c>
      <x:c r="E5" s="109" t="str">
        <x:v>NOT STARTED</x:v>
      </x:c>
      <x:c r="F5" s="109" t="str"/>
      <x:c r="G5" s="109" t="str"/>
      <x:c r="H5" s="109" t="str"/>
      <x:c r="I5" s="109"/>
      <x:c r="J5" s="109"/>
      <x:c r="K5" s="109"/>
      <x:c r="L5" s="109"/>
      <x:c r="M5" s="109"/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Commercial</x:v>
      </x:c>
      <x:c r="B6" s="109" t="str">
        <x:v>Substantially identical paid missions</x:v>
      </x:c>
      <x:c r="C6" s="109" t="n">
        <x:v>3</x:v>
      </x:c>
      <x:c r="D6" s="134" t="n">
        <x:v>0</x:v>
      </x:c>
      <x:c r="E6" s="109" t="str">
        <x:v>NOT STARTED</x:v>
      </x:c>
      <x:c r="F6" s="109" t="str"/>
      <x:c r="G6" s="109" t="str"/>
      <x:c r="H6" s="109" t="str"/>
      <x:c r="I6" s="109"/>
      <x:c r="J6" s="109"/>
      <x:c r="K6" s="109"/>
      <x:c r="L6" s="109"/>
      <x:c r="M6" s="109"/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Evidence</x:v>
      </x:c>
      <x:c r="B7" s="109" t="str">
        <x:v>Independently verified outcome</x:v>
      </x:c>
      <x:c r="C7" s="109" t="n">
        <x:v>1</x:v>
      </x:c>
      <x:c r="D7" s="134" t="n">
        <x:v>0</x:v>
      </x:c>
      <x:c r="E7" s="109" t="str">
        <x:v>NOT STARTED</x:v>
      </x:c>
      <x:c r="F7" s="109" t="str"/>
      <x:c r="G7" s="109" t="str"/>
      <x:c r="H7" s="109" t="str"/>
      <x:c r="I7" s="109"/>
      <x:c r="J7" s="109"/>
      <x:c r="K7" s="109"/>
      <x:c r="L7" s="109"/>
      <x:c r="M7" s="109"/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Retention</x:v>
      </x:c>
      <x:c r="B8" s="109" t="str">
        <x:v>Repeat / renewal / expansion</x:v>
      </x:c>
      <x:c r="C8" s="109" t="n">
        <x:v>1</x:v>
      </x:c>
      <x:c r="D8" s="134" t="n">
        <x:v>0</x:v>
      </x:c>
      <x:c r="E8" s="109" t="str">
        <x:v>NOT STARTED</x:v>
      </x:c>
      <x:c r="F8" s="109" t="str"/>
      <x:c r="G8" s="109" t="str"/>
      <x:c r="H8" s="109" t="str"/>
      <x:c r="I8" s="109"/>
      <x:c r="J8" s="109"/>
      <x:c r="K8" s="109"/>
      <x:c r="L8" s="109"/>
      <x:c r="M8" s="109"/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 t="str">
        <x:v>Capability</x:v>
      </x:c>
      <x:c r="B9" s="109" t="str">
        <x:v>Rights-cleared Chronicle capability</x:v>
      </x:c>
      <x:c r="C9" s="109" t="n">
        <x:v>1</x:v>
      </x:c>
      <x:c r="D9" s="134" t="n">
        <x:v>0</x:v>
      </x:c>
      <x:c r="E9" s="109" t="str">
        <x:v>NOT STARTED</x:v>
      </x:c>
      <x:c r="F9" s="109" t="str"/>
      <x:c r="G9" s="109" t="str"/>
      <x:c r="H9" s="109" t="str"/>
      <x:c r="I9" s="109"/>
      <x:c r="J9" s="109"/>
      <x:c r="K9" s="109"/>
      <x:c r="L9" s="109"/>
      <x:c r="M9" s="109"/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 t="str">
        <x:v>Successor</x:v>
      </x:c>
      <x:c r="B10" s="109" t="str">
        <x:v>Fresh preregistered improvement</x:v>
      </x:c>
      <x:c r="C10" s="109" t="n">
        <x:v>1</x:v>
      </x:c>
      <x:c r="D10" s="134" t="n">
        <x:v>0</x:v>
      </x:c>
      <x:c r="E10" s="109" t="str">
        <x:v>NOT STARTED</x:v>
      </x:c>
      <x:c r="F10" s="109" t="str"/>
      <x:c r="G10" s="109" t="str"/>
      <x:c r="H10" s="109" t="str"/>
      <x:c r="I10" s="109"/>
      <x:c r="J10" s="109"/>
      <x:c r="K10" s="109"/>
      <x:c r="L10" s="109"/>
      <x:c r="M10" s="109"/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 t="str">
        <x:v>Economics</x:v>
      </x:c>
      <x:c r="B11" s="109" t="str">
        <x:v>Positive attributable contribution</x:v>
      </x:c>
      <x:c r="C11" s="109" t="n">
        <x:v>1</x:v>
      </x:c>
      <x:c r="D11" s="134" t="n">
        <x:v>0</x:v>
      </x:c>
      <x:c r="E11" s="109" t="str">
        <x:v>NOT STARTED</x:v>
      </x:c>
      <x:c r="F11" s="109" t="str"/>
      <x:c r="G11" s="109" t="str"/>
      <x:c r="H11" s="109" t="str"/>
      <x:c r="I11" s="109"/>
      <x:c r="J11" s="109"/>
      <x:c r="K11" s="109"/>
      <x:c r="L11" s="109"/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 t="str">
        <x:v>Trust</x:v>
      </x:c>
      <x:c r="B12" s="109" t="str">
        <x:v>Material trust breaches</x:v>
      </x:c>
      <x:c r="C12" s="109" t="n">
        <x:v>0</x:v>
      </x:c>
      <x:c r="D12" s="134" t="n">
        <x:v>0</x:v>
      </x:c>
      <x:c r="E12" s="109" t="str">
        <x:v>ON TRACK</x:v>
      </x:c>
      <x:c r="F12" s="109" t="str"/>
      <x:c r="G12" s="109" t="str"/>
      <x:c r="H12" s="109" t="str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09" t="str">
        <x:v>Autonomy</x:v>
      </x:c>
      <x:c r="B13" s="109" t="str">
        <x:v>Seller-side minutes in standard lane</x:v>
      </x:c>
      <x:c r="C13" s="109" t="n">
        <x:v>0</x:v>
      </x:c>
      <x:c r="D13" s="134" t="n">
        <x:v>0</x:v>
      </x:c>
      <x:c r="E13" s="109" t="str">
        <x:v>ON TRACK</x:v>
      </x:c>
      <x:c r="F13" s="109" t="str"/>
      <x:c r="G13" s="109" t="str"/>
      <x:c r="H13" s="109" t="str"/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H1"/>
    <x:mergeCell ref="A2:H2"/>
  </x:mergeCells>
  <x:conditionalFormatting sqref="E5:E13">
    <x:cfRule type="expression" dxfId="0" priority="1">
      <x:formula>E5="PASSED"</x:formula>
    </x:cfRule>
    <x:cfRule type="expression" dxfId="1" priority="2">
      <x:formula>E5="FAILED"</x:formula>
    </x:cfRule>
    <x:cfRule type="expression" dxfId="2" priority="3">
      <x:formula>E5="AT RISK"</x:formula>
    </x:cfRule>
  </x:conditionalFormatting>
  <x:dataValidations count="1">
    <x:dataValidation type="list" sqref="E5:E13">
      <x:formula1>"NOT STARTED,IN PROGRESS,ON TRACK,AT RISK,PASSED,FAILED"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4" hidden="0" customWidth="1"/>
    <x:col min="4" max="4" width="68" hidden="0" customWidth="1"/>
    <x:col min="5" max="5" width="48" hidden="0" customWidth="1"/>
  </x:cols>
  <x:sheetData>
    <x:row r="1" ht="34" customHeight="1">
      <x:c r="A1" s="108" t="str">
        <x:v>Sources and Model Boundaries</x:v>
      </x:c>
      <x:c r="B1" s="108"/>
      <x:c r="C1" s="108"/>
      <x:c r="D1" s="108"/>
      <x:c r="E1" s="108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Current context sources; all model outputs remain management hypotheses</x:v>
      </x:c>
      <x:c r="B2" s="110"/>
      <x:c r="C2" s="110"/>
      <x:c r="D2" s="110"/>
      <x:c r="E2" s="110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20" t="str">
        <x:v>ID</x:v>
      </x:c>
      <x:c r="B4" s="20" t="str">
        <x:v>Source</x:v>
      </x:c>
      <x:c r="C4" s="20" t="str">
        <x:v>Publisher</x:v>
      </x:c>
      <x:c r="D4" s="20" t="str">
        <x:v>URL</x:v>
      </x:c>
      <x:c r="E4" s="20" t="str">
        <x:v>Use</x:v>
      </x:c>
      <x:c r="F4" s="109"/>
      <x:c r="G4" s="109"/>
      <x:c r="H4" s="109"/>
      <x:c r="I4" s="109"/>
      <x:c r="J4" s="109"/>
      <x:c r="K4" s="109"/>
      <x:c r="L4" s="109"/>
      <x:c r="M4" s="109"/>
      <x:c r="N4" s="109"/>
      <x:c r="O4" s="109"/>
      <x:c r="P4" s="109"/>
      <x:c r="Q4" s="109"/>
      <x:c r="R4" s="109"/>
      <x:c r="S4" s="109"/>
      <x:c r="T4" s="109"/>
      <x:c r="U4" s="109"/>
      <x:c r="V4" s="109"/>
      <x:c r="W4" s="109"/>
      <x:c r="X4" s="109"/>
      <x:c r="Y4" s="109"/>
      <x:c r="Z4" s="109"/>
    </x:row>
    <x:row r="5">
      <x:c r="A5" s="109" t="str">
        <x:v>S1</x:v>
      </x:c>
      <x:c r="B5" s="109" t="str">
        <x:v>ChatGPT Work and workspace agents</x:v>
      </x:c>
      <x:c r="C5" s="109" t="str">
        <x:v>OpenAI</x:v>
      </x:c>
      <x:c r="D5" s="109" t="str">
        <x:v>https://help.openai.com/en/articles/10128477-chatgpt-enterprise-edu-release-notes</x:v>
      </x:c>
      <x:c r="E5" s="109" t="str">
        <x:v>Longer, multi-step agent work under organizational controls.</x:v>
      </x:c>
      <x:c r="F5" s="109"/>
      <x:c r="G5" s="109"/>
      <x:c r="H5" s="109"/>
      <x:c r="I5" s="109"/>
      <x:c r="J5" s="109"/>
      <x:c r="K5" s="109"/>
      <x:c r="L5" s="109"/>
      <x:c r="M5" s="109"/>
      <x:c r="N5" s="109"/>
      <x:c r="O5" s="109"/>
      <x:c r="P5" s="109"/>
      <x:c r="Q5" s="109"/>
      <x:c r="R5" s="109"/>
      <x:c r="S5" s="109"/>
      <x:c r="T5" s="109"/>
      <x:c r="U5" s="109"/>
      <x:c r="V5" s="109"/>
      <x:c r="W5" s="109"/>
      <x:c r="X5" s="109"/>
      <x:c r="Y5" s="109"/>
      <x:c r="Z5" s="109"/>
    </x:row>
    <x:row r="6">
      <x:c r="A6" s="109" t="str">
        <x:v>S2</x:v>
      </x:c>
      <x:c r="B6" s="109" t="str">
        <x:v>AlphaEvolve impact</x:v>
      </x:c>
      <x:c r="C6" s="109" t="str">
        <x:v>Google DeepMind</x:v>
      </x:c>
      <x:c r="D6" s="109" t="str">
        <x:v>https://deepmind.google/blog/alphaevolve-impact/</x:v>
      </x:c>
      <x:c r="E6" s="109" t="str">
        <x:v>Evaluator-driven deployed improvements.</x:v>
      </x:c>
      <x:c r="F6" s="109"/>
      <x:c r="G6" s="109"/>
      <x:c r="H6" s="109"/>
      <x:c r="I6" s="109"/>
      <x:c r="J6" s="109"/>
      <x:c r="K6" s="109"/>
      <x:c r="L6" s="109"/>
      <x:c r="M6" s="109"/>
      <x:c r="N6" s="109"/>
      <x:c r="O6" s="109"/>
      <x:c r="P6" s="109"/>
      <x:c r="Q6" s="109"/>
      <x:c r="R6" s="109"/>
      <x:c r="S6" s="109"/>
      <x:c r="T6" s="109"/>
      <x:c r="U6" s="109"/>
      <x:c r="V6" s="109"/>
      <x:c r="W6" s="109"/>
      <x:c r="X6" s="109"/>
      <x:c r="Y6" s="109"/>
      <x:c r="Z6" s="109"/>
    </x:row>
    <x:row r="7">
      <x:c r="A7" s="109" t="str">
        <x:v>S3</x:v>
      </x:c>
      <x:c r="B7" s="109" t="str">
        <x:v>From AGI to ASI</x:v>
      </x:c>
      <x:c r="C7" s="109" t="str">
        <x:v>Google DeepMind</x:v>
      </x:c>
      <x:c r="D7" s="109" t="str">
        <x:v>https://deepmind.google/research/publications/239142/</x:v>
      </x:c>
      <x:c r="E7" s="109" t="str">
        <x:v>Recursive improvement and multi-agent pathways.</x:v>
      </x:c>
      <x:c r="F7" s="109"/>
      <x:c r="G7" s="109"/>
      <x:c r="H7" s="109"/>
      <x:c r="I7" s="109"/>
      <x:c r="J7" s="109"/>
      <x:c r="K7" s="109"/>
      <x:c r="L7" s="109"/>
      <x:c r="M7" s="109"/>
      <x:c r="N7" s="109"/>
      <x:c r="O7" s="109"/>
      <x:c r="P7" s="109"/>
      <x:c r="Q7" s="109"/>
      <x:c r="R7" s="109"/>
      <x:c r="S7" s="109"/>
      <x:c r="T7" s="109"/>
      <x:c r="U7" s="109"/>
      <x:c r="V7" s="109"/>
      <x:c r="W7" s="109"/>
      <x:c r="X7" s="109"/>
      <x:c r="Y7" s="109"/>
      <x:c r="Z7" s="109"/>
    </x:row>
    <x:row r="8">
      <x:c r="A8" s="109" t="str">
        <x:v>S4</x:v>
      </x:c>
      <x:c r="B8" s="109" t="str">
        <x:v>Task-Completion Time Horizons</x:v>
      </x:c>
      <x:c r="C8" s="109" t="str">
        <x:v>METR</x:v>
      </x:c>
      <x:c r="D8" s="109" t="str">
        <x:v>https://metr.org/time-horizons/</x:v>
      </x:c>
      <x:c r="E8" s="109" t="str">
        <x:v>Frontier-agent horizon measurements and caveats.</x:v>
      </x:c>
      <x:c r="F8" s="109"/>
      <x:c r="G8" s="109"/>
      <x:c r="H8" s="109"/>
      <x:c r="I8" s="109"/>
      <x:c r="J8" s="109"/>
      <x:c r="K8" s="109"/>
      <x:c r="L8" s="109"/>
      <x:c r="M8" s="109"/>
      <x:c r="N8" s="109"/>
      <x:c r="O8" s="109"/>
      <x:c r="P8" s="109"/>
      <x:c r="Q8" s="109"/>
      <x:c r="R8" s="109"/>
      <x:c r="S8" s="109"/>
      <x:c r="T8" s="109"/>
      <x:c r="U8" s="109"/>
      <x:c r="V8" s="109"/>
      <x:c r="W8" s="109"/>
      <x:c r="X8" s="109"/>
      <x:c r="Y8" s="109"/>
      <x:c r="Z8" s="109"/>
    </x:row>
    <x:row r="9">
      <x:c r="A9" s="109" t="str">
        <x:v>S5</x:v>
      </x:c>
      <x:c r="B9" s="109" t="str">
        <x:v>Anthropic Institute agenda</x:v>
      </x:c>
      <x:c r="C9" s="109" t="str">
        <x:v>Anthropic</x:v>
      </x:c>
      <x:c r="D9" s="109" t="str">
        <x:v>https://www.anthropic.com/research/anthropic-institute-agenda</x:v>
      </x:c>
      <x:c r="E9" s="109" t="str">
        <x:v>AI-driven R&amp;D and institutional implications.</x:v>
      </x:c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/>
      <x:c r="Q9" s="109"/>
      <x:c r="R9" s="109"/>
      <x:c r="S9" s="109"/>
      <x:c r="T9" s="109"/>
      <x:c r="U9" s="109"/>
      <x:c r="V9" s="109"/>
      <x:c r="W9" s="109"/>
      <x:c r="X9" s="109"/>
      <x:c r="Y9" s="109"/>
      <x:c r="Z9" s="109"/>
    </x:row>
    <x:row r="10">
      <x:c r="A10" s="109" t="str">
        <x:v>S6</x:v>
      </x:c>
      <x:c r="B10" s="109" t="str">
        <x:v>Worldwide AI spending forecast</x:v>
      </x:c>
      <x:c r="C10" s="109" t="str">
        <x:v>Gartner</x:v>
      </x:c>
      <x:c r="D10" s="109" t="str">
        <x:v>https://www.gartner.com/en/newsroom/press-releases/2026-05-19-gartner-forecasts-worldwide-ai-spending-to-grow-47-percent-in-2026</x:v>
      </x:c>
      <x:c r="E10" s="109" t="str">
        <x:v>US$2.59T forecast and infrastructure context.</x:v>
      </x:c>
      <x:c r="F10" s="109"/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109"/>
      <x:c r="R10" s="109"/>
      <x:c r="S10" s="109"/>
      <x:c r="T10" s="109"/>
      <x:c r="U10" s="109"/>
      <x:c r="V10" s="109"/>
      <x:c r="W10" s="109"/>
      <x:c r="X10" s="109"/>
      <x:c r="Y10" s="109"/>
      <x:c r="Z10" s="109"/>
    </x:row>
    <x:row r="11">
      <x:c r="A11" s="109" t="str">
        <x:v>S7</x:v>
      </x:c>
      <x:c r="B11" s="109" t="str">
        <x:v>Sovereign AI supercomputing initiative</x:v>
      </x:c>
      <x:c r="C11" s="109" t="str">
        <x:v>Government of Canada</x:v>
      </x:c>
      <x:c r="D11" s="109" t="str">
        <x:v>https://www.canada.ca/en/innovation-science-economic-development/news/2026/04/canada-launches-national-initiative-to-build-large-scale-ai-supercomputing-capacity.html</x:v>
      </x:c>
      <x:c r="E11" s="109" t="str">
        <x:v>Canadian strategic compute context.</x:v>
      </x:c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09"/>
      <x:c r="X11" s="109"/>
      <x:c r="Y11" s="109"/>
      <x:c r="Z11" s="109"/>
    </x:row>
    <x:row r="12">
      <x:c r="A12" s="109" t="str">
        <x:v>S8</x:v>
      </x:c>
      <x:c r="B12" s="109" t="str">
        <x:v>Merkle Roots for the Validated Skill Graph</x:v>
      </x:c>
      <x:c r="C12" s="109" t="str">
        <x:v>MONTREAL.AI</x:v>
      </x:c>
      <x:c r="D12" s="109" t="str">
        <x:v>https://github.com/MontrealAI/goalos-agialpha-sovereign-machine-economy/blob/main/docs/paper/Merkle_Roots_for_the_Validated_Skill_Graph_v114.pdf</x:v>
      </x:c>
      <x:c r="E12" s="109" t="str">
        <x:v>Chronicle, roots and selective verification.</x:v>
      </x:c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  <x:c r="S12" s="109"/>
      <x:c r="T12" s="109"/>
      <x:c r="U12" s="109"/>
      <x:c r="V12" s="109"/>
      <x:c r="W12" s="109"/>
      <x:c r="X12" s="109"/>
      <x:c r="Y12" s="109"/>
      <x:c r="Z12" s="109"/>
    </x:row>
    <x:row r="13">
      <x:c r="A13" s="109" t="str">
        <x:v>S9</x:v>
      </x:c>
      <x:c r="B13" s="109" t="str">
        <x:v>Private On-Chain Validated Skill Graph</x:v>
      </x:c>
      <x:c r="C13" s="109" t="str">
        <x:v>MONTREAL.AI</x:v>
      </x:c>
      <x:c r="D13" s="109" t="str">
        <x:v>https://github.com/MontrealAI/goalos-agialpha-sovereign-machine-economy/blob/main/docs/paper/goalos_private_onchain_zk_vsg.pdf</x:v>
      </x:c>
      <x:c r="E13" s="109" t="str">
        <x:v>Identity, encrypted capabilities and proof boundary.</x:v>
      </x:c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09"/>
      <x:c r="X13" s="109"/>
      <x:c r="Y13" s="109"/>
      <x:c r="Z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  <x:c r="S14" s="109"/>
      <x:c r="T14" s="109"/>
      <x:c r="U14" s="109"/>
      <x:c r="V14" s="109"/>
      <x:c r="W14" s="109"/>
      <x:c r="X14" s="109"/>
      <x:c r="Y14" s="109"/>
      <x:c r="Z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4" customHeight="1">
      <x:c r="A1" s="108" t="str">
        <x:v>MONTREAL.AI x GoalOS - Capital-to-Capacity Dashboard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</x:row>
    <x:row r="2" ht="22" customHeight="1">
      <x:c r="A2" s="110" t="str">
        <x:v>Category scenario | US$ millions unless noted | Not a forecast</x:v>
      </x:c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  <x:c r="M2" s="110"/>
      <x:c r="N2" s="110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  <x:c r="X3" s="109"/>
      <x:c r="Y3" s="109"/>
      <x:c r="Z3" s="109"/>
    </x:row>
    <x:row r="4">
      <x:c r="A4" s="111" t="str">
        <x:v>Y1 Revenue</x:v>
      </x:c>
      <x:c r="B4" s="111"/>
      <x:c r="C4" s="111" t="str">
        <x:v>Y5 Revenue</x:v>
      </x:c>
      <x:c r="D4" s="111"/>
      <x:c r="E4" s="111" t="str">
        <x:v>Y10 Revenue</x:v>
      </x:c>
      <x:c r="F4" s="111"/>
      <x:c r="G4" s="111" t="str">
        <x:v>Y10 EBITDA</x:v>
      </x:c>
      <x:c r="H4" s="111"/>
      <x:c r="I4" s="111" t="str">
        <x:v>Complete Customer GM</x:v>
      </x:c>
      <x:c r="J4" s="111"/>
      <x:c r="K4" s="111" t="str">
        <x:v>Customer ROI at Floor</x:v>
      </x:c>
      <x:c r="L4" s="111"/>
      <x:c r="M4" s="109"/>
      <x:c r="N4" s="109"/>
      <x:c r="O4" s="109"/>
      <x:c r="P4" s="109" t="str">
        <x:v>Year</x:v>
      </x:c>
      <x:c r="Q4" s="109" t="str">
        <x:v>Revenue</x:v>
      </x:c>
      <x:c r="R4" s="109" t="str">
        <x:v>Gross Profit</x:v>
      </x:c>
      <x:c r="S4" s="109" t="str">
        <x:v>EBITDA</x:v>
      </x:c>
      <x:c r="T4" s="109"/>
      <x:c r="U4" s="109" t="str">
        <x:v>Year</x:v>
      </x:c>
      <x:c r="V4" s="109" t="str">
        <x:v>Discipline</x:v>
      </x:c>
      <x:c r="W4" s="109" t="str">
        <x:v>Category</x:v>
      </x:c>
      <x:c r="X4" s="109" t="str">
        <x:v>Infrastructure</x:v>
      </x:c>
      <x:c r="Y4" s="109"/>
      <x:c r="Z4" s="109"/>
    </x:row>
    <x:row r="5">
      <x:c r="A5" s="112" t="n">
        <x:f>'P&amp;L'!B5</x:f>
        <x:v>2.2</x:v>
      </x:c>
      <x:c r="B5" s="112"/>
      <x:c r="C5" s="112" t="n">
        <x:f>'P&amp;L'!F5</x:f>
        <x:v>341</x:v>
      </x:c>
      <x:c r="D5" s="112"/>
      <x:c r="E5" s="112" t="n">
        <x:f>'P&amp;L'!K5</x:f>
        <x:v>9631.25</x:v>
      </x:c>
      <x:c r="F5" s="112"/>
      <x:c r="G5" s="112" t="n">
        <x:f>'P&amp;L'!K14</x:f>
        <x:v>5079.125</x:v>
      </x:c>
      <x:c r="H5" s="112"/>
      <x:c r="I5" s="113" t="n">
        <x:f>'Unit Economics'!E14</x:f>
        <x:v>0.8</x:v>
      </x:c>
      <x:c r="J5" s="113"/>
      <x:c r="K5" s="113" t="n">
        <x:f>'Unit Economics'!G14</x:f>
        <x:v>3</x:v>
      </x:c>
      <x:c r="L5" s="113"/>
      <x:c r="M5" s="109"/>
      <x:c r="N5" s="109"/>
      <x:c r="O5" s="109"/>
      <x:c r="P5" s="109" t="str">
        <x:v>Y1</x:v>
      </x:c>
      <x:c r="Q5" s="109" t="n">
        <x:f>'P&amp;L'!B5</x:f>
        <x:v>2.2</x:v>
      </x:c>
      <x:c r="R5" s="109" t="n">
        <x:f>'P&amp;L'!B7</x:f>
        <x:v>1.8125000000000002</x:v>
      </x:c>
      <x:c r="S5" s="109" t="n">
        <x:f>'P&amp;L'!B14</x:f>
        <x:v>-1.6874999999999998</x:v>
      </x:c>
      <x:c r="T5" s="109"/>
      <x:c r="U5" s="109" t="str">
        <x:v>Y1</x:v>
      </x:c>
      <x:c r="V5" s="109" t="n">
        <x:v>0.0015</x:v>
      </x:c>
      <x:c r="W5" s="109" t="n">
        <x:v>0.0022</x:v>
      </x:c>
      <x:c r="X5" s="109" t="n">
        <x:v>0.003</x:v>
      </x:c>
      <x:c r="Y5" s="109"/>
      <x:c r="Z5" s="109"/>
    </x:row>
    <x:row r="6">
      <x:c r="A6" s="112"/>
      <x:c r="B6" s="112"/>
      <x:c r="C6" s="112"/>
      <x:c r="D6" s="112"/>
      <x:c r="E6" s="112"/>
      <x:c r="F6" s="112"/>
      <x:c r="G6" s="112"/>
      <x:c r="H6" s="112"/>
      <x:c r="I6" s="113"/>
      <x:c r="J6" s="113"/>
      <x:c r="K6" s="113"/>
      <x:c r="L6" s="113"/>
      <x:c r="M6" s="109"/>
      <x:c r="N6" s="109"/>
      <x:c r="O6" s="109"/>
      <x:c r="P6" s="109" t="str">
        <x:v>Y2</x:v>
      </x:c>
      <x:c r="Q6" s="109" t="n">
        <x:f>'P&amp;L'!C5</x:f>
        <x:v>11.35</x:v>
      </x:c>
      <x:c r="R6" s="109" t="n">
        <x:f>'P&amp;L'!C7</x:f>
        <x:v>9.315</x:v>
      </x:c>
      <x:c r="S6" s="109" t="n">
        <x:f>'P&amp;L'!C14</x:f>
        <x:v>1.5149999999999997</x:v>
      </x:c>
      <x:c r="T6" s="109"/>
      <x:c r="U6" s="109" t="str">
        <x:v>Y2</x:v>
      </x:c>
      <x:c r="V6" s="109" t="n">
        <x:v>0.006</x:v>
      </x:c>
      <x:c r="W6" s="109" t="n">
        <x:v>0.011</x:v>
      </x:c>
      <x:c r="X6" s="109" t="n">
        <x:v>0.02</x:v>
      </x:c>
      <x:c r="Y6" s="109"/>
      <x:c r="Z6" s="109"/>
    </x:row>
    <x:row r="7">
      <x:c r="A7" s="112"/>
      <x:c r="B7" s="112"/>
      <x:c r="C7" s="112"/>
      <x:c r="D7" s="112"/>
      <x:c r="E7" s="112"/>
      <x:c r="F7" s="112"/>
      <x:c r="G7" s="112"/>
      <x:c r="H7" s="112"/>
      <x:c r="I7" s="113"/>
      <x:c r="J7" s="113"/>
      <x:c r="K7" s="113"/>
      <x:c r="L7" s="113"/>
      <x:c r="M7" s="109"/>
      <x:c r="N7" s="109"/>
      <x:c r="O7" s="109"/>
      <x:c r="P7" s="109" t="str">
        <x:v>Y3</x:v>
      </x:c>
      <x:c r="Q7" s="109" t="n">
        <x:f>'P&amp;L'!D5</x:f>
        <x:v>36.475</x:v>
      </x:c>
      <x:c r="R7" s="109" t="n">
        <x:f>'P&amp;L'!D7</x:f>
        <x:v>29.73</x:v>
      </x:c>
      <x:c r="S7" s="109" t="n">
        <x:f>'P&amp;L'!D14</x:f>
        <x:v>9.23</x:v>
      </x:c>
      <x:c r="T7" s="109"/>
      <x:c r="U7" s="109" t="str">
        <x:v>Y3</x:v>
      </x:c>
      <x:c r="V7" s="109" t="n">
        <x:v>0.02</x:v>
      </x:c>
      <x:c r="W7" s="109" t="n">
        <x:v>0.044</x:v>
      </x:c>
      <x:c r="X7" s="109" t="n">
        <x:v>0.08</x:v>
      </x:c>
      <x:c r="Y7" s="109"/>
      <x:c r="Z7" s="109"/>
    </x:row>
    <x:row r="8">
      <x:c r="A8" s="109"/>
      <x:c r="B8" s="109"/>
      <x:c r="C8" s="109"/>
      <x:c r="D8" s="109"/>
      <x:c r="E8" s="109"/>
      <x:c r="F8" s="109"/>
      <x:c r="G8" s="109"/>
      <x:c r="H8" s="109"/>
      <x:c r="I8" s="109"/>
      <x:c r="J8" s="109"/>
      <x:c r="K8" s="109"/>
      <x:c r="L8" s="109"/>
      <x:c r="M8" s="109"/>
      <x:c r="N8" s="109"/>
      <x:c r="O8" s="109"/>
      <x:c r="P8" s="109" t="str">
        <x:v>Y4</x:v>
      </x:c>
      <x:c r="Q8" s="109" t="n">
        <x:f>'P&amp;L'!E5</x:f>
        <x:v>128.375</x:v>
      </x:c>
      <x:c r="R8" s="109" t="n">
        <x:f>'P&amp;L'!E7</x:f>
        <x:v>97.1625</x:v>
      </x:c>
      <x:c r="S8" s="109" t="n">
        <x:f>'P&amp;L'!E14</x:f>
        <x:v>42.162499999999994</x:v>
      </x:c>
      <x:c r="T8" s="109"/>
      <x:c r="U8" s="109" t="str">
        <x:v>Y4</x:v>
      </x:c>
      <x:c r="V8" s="109" t="n">
        <x:v>0.06</x:v>
      </x:c>
      <x:c r="W8" s="109" t="n">
        <x:v>0.173</x:v>
      </x:c>
      <x:c r="X8" s="109" t="n">
        <x:v>0.28</x:v>
      </x:c>
      <x:c r="Y8" s="109"/>
      <x:c r="Z8" s="109"/>
    </x:row>
    <x:row r="9">
      <x:c r="A9" s="109"/>
      <x:c r="B9" s="109"/>
      <x:c r="C9" s="109"/>
      <x:c r="D9" s="109"/>
      <x:c r="E9" s="109"/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 t="str">
        <x:v>Y5</x:v>
      </x:c>
      <x:c r="Q9" s="109" t="n">
        <x:f>'P&amp;L'!F5</x:f>
        <x:v>341</x:v>
      </x:c>
      <x:c r="R9" s="109" t="n">
        <x:f>'P&amp;L'!F7</x:f>
        <x:v>263</x:v>
      </x:c>
      <x:c r="S9" s="109" t="n">
        <x:f>'P&amp;L'!F14</x:f>
        <x:v>123</x:v>
      </x:c>
      <x:c r="T9" s="109"/>
      <x:c r="U9" s="109" t="str">
        <x:v>Y5</x:v>
      </x:c>
      <x:c r="V9" s="109" t="n">
        <x:v>0.14</x:v>
      </x:c>
      <x:c r="W9" s="109" t="n">
        <x:v>0.521</x:v>
      </x:c>
      <x:c r="X9" s="109" t="n">
        <x:v>0.8</x:v>
      </x:c>
      <x:c r="Y9" s="109"/>
      <x:c r="Z9" s="109"/>
    </x:row>
    <x:row r="10">
      <x:c r="A10" s="20" t="str">
        <x:v>Category P&amp;L ($mm)</x:v>
      </x:c>
      <x:c r="B10" s="20" t="str">
        <x:v>Y1</x:v>
      </x:c>
      <x:c r="C10" s="20" t="str">
        <x:v>Y2</x:v>
      </x:c>
      <x:c r="D10" s="20" t="str">
        <x:v>Y3</x:v>
      </x:c>
      <x:c r="E10" s="20" t="str">
        <x:v>Y5</x:v>
      </x:c>
      <x:c r="F10" s="20" t="str">
        <x:v>Y10</x:v>
      </x:c>
      <x:c r="G10" s="109"/>
      <x:c r="H10" s="20" t="str">
        <x:v>Institutional KPI</x:v>
      </x:c>
      <x:c r="I10" s="20" t="str">
        <x:v>Y1</x:v>
      </x:c>
      <x:c r="J10" s="20" t="str">
        <x:v>Y3</x:v>
      </x:c>
      <x:c r="K10" s="20" t="str">
        <x:v>Y5</x:v>
      </x:c>
      <x:c r="L10" s="20" t="str">
        <x:v>Y7</x:v>
      </x:c>
      <x:c r="M10" s="20" t="str">
        <x:v>Y10</x:v>
      </x:c>
      <x:c r="N10" s="20" t="str">
        <x:v>Meaning</x:v>
      </x:c>
      <x:c r="O10" s="109"/>
      <x:c r="P10" s="109" t="str">
        <x:v>Y6</x:v>
      </x:c>
      <x:c r="Q10" s="109" t="n">
        <x:f>'P&amp;L'!G5</x:f>
        <x:v>842.5</x:v>
      </x:c>
      <x:c r="R10" s="109" t="n">
        <x:f>'P&amp;L'!G7</x:f>
        <x:v>656.45</x:v>
      </x:c>
      <x:c r="S10" s="109" t="n">
        <x:f>'P&amp;L'!G14</x:f>
        <x:v>331.45000000000005</x:v>
      </x:c>
      <x:c r="T10" s="109"/>
      <x:c r="U10" s="109" t="str">
        <x:v>Y6</x:v>
      </x:c>
      <x:c r="V10" s="109" t="n">
        <x:v>0.25</x:v>
      </x:c>
      <x:c r="W10" s="109" t="n">
        <x:v>1.3</x:v>
      </x:c>
      <x:c r="X10" s="109" t="n">
        <x:v>1.9</x:v>
      </x:c>
      <x:c r="Y10" s="109"/>
      <x:c r="Z10" s="109"/>
    </x:row>
    <x:row r="11">
      <x:c r="A11" s="109" t="str">
        <x:v>Revenue</x:v>
      </x:c>
      <x:c r="B11" s="114" t="n">
        <x:f>'P&amp;L'!B5</x:f>
        <x:v>2.2</x:v>
      </x:c>
      <x:c r="C11" s="114" t="n">
        <x:f>'P&amp;L'!C5</x:f>
        <x:v>11.35</x:v>
      </x:c>
      <x:c r="D11" s="114" t="n">
        <x:f>'P&amp;L'!D5</x:f>
        <x:v>36.475</x:v>
      </x:c>
      <x:c r="E11" s="114" t="n">
        <x:f>'P&amp;L'!F5</x:f>
        <x:v>341</x:v>
      </x:c>
      <x:c r="F11" s="114" t="n">
        <x:f>'P&amp;L'!K5</x:f>
        <x:v>9631.25</x:v>
      </x:c>
      <x:c r="G11" s="109"/>
      <x:c r="H11" s="109" t="str">
        <x:v>Proof Offices</x:v>
      </x:c>
      <x:c r="I11" s="115" t="n">
        <x:v>0.75</x:v>
      </x:c>
      <x:c r="J11" s="115" t="n">
        <x:v>15</x:v>
      </x:c>
      <x:c r="K11" s="115" t="n">
        <x:v>100</x:v>
      </x:c>
      <x:c r="L11" s="115" t="n">
        <x:v>400</x:v>
      </x:c>
      <x:c r="M11" s="115" t="n">
        <x:v>1300</x:v>
      </x:c>
      <x:c r="N11" s="109" t="str">
        <x:v>Recurring control</x:v>
      </x:c>
      <x:c r="O11" s="109"/>
      <x:c r="P11" s="109" t="str">
        <x:v>Y7</x:v>
      </x:c>
      <x:c r="Q11" s="109" t="n">
        <x:f>'P&amp;L'!H5</x:f>
        <x:v>1718.5</x:v>
      </x:c>
      <x:c r="R11" s="109" t="n">
        <x:f>'P&amp;L'!H7</x:f>
        <x:v>1346.775</x:v>
      </x:c>
      <x:c r="S11" s="109" t="n">
        <x:f>'P&amp;L'!H14</x:f>
        <x:v>706.7750000000001</x:v>
      </x:c>
      <x:c r="T11" s="109"/>
      <x:c r="U11" s="109" t="str">
        <x:v>Y7</x:v>
      </x:c>
      <x:c r="V11" s="109" t="n">
        <x:v>0.4</x:v>
      </x:c>
      <x:c r="W11" s="109" t="n">
        <x:v>2.6</x:v>
      </x:c>
      <x:c r="X11" s="109" t="n">
        <x:v>4.2</x:v>
      </x:c>
      <x:c r="Y11" s="109"/>
      <x:c r="Z11" s="109"/>
    </x:row>
    <x:row r="12">
      <x:c r="A12" s="109" t="str">
        <x:v>Gross profit</x:v>
      </x:c>
      <x:c r="B12" s="114" t="n">
        <x:f>'P&amp;L'!B7</x:f>
        <x:v>1.8125000000000002</x:v>
      </x:c>
      <x:c r="C12" s="114" t="n">
        <x:f>'P&amp;L'!C7</x:f>
        <x:v>9.315</x:v>
      </x:c>
      <x:c r="D12" s="114" t="n">
        <x:f>'P&amp;L'!D7</x:f>
        <x:v>29.73</x:v>
      </x:c>
      <x:c r="E12" s="114" t="n">
        <x:f>'P&amp;L'!F7</x:f>
        <x:v>263</x:v>
      </x:c>
      <x:c r="F12" s="114" t="n">
        <x:f>'P&amp;L'!K7</x:f>
        <x:v>7659.125</x:v>
      </x:c>
      <x:c r="G12" s="109"/>
      <x:c r="H12" s="109" t="str">
        <x:v>Chronicle capabilities</x:v>
      </x:c>
      <x:c r="I12" s="115" t="n">
        <x:v>1</x:v>
      </x:c>
      <x:c r="J12" s="115" t="n">
        <x:v>30</x:v>
      </x:c>
      <x:c r="K12" s="115" t="n">
        <x:v>300</x:v>
      </x:c>
      <x:c r="L12" s="115" t="n">
        <x:v>1400</x:v>
      </x:c>
      <x:c r="M12" s="115" t="n">
        <x:v>7500</x:v>
      </x:c>
      <x:c r="N12" s="109" t="str">
        <x:v>Private reusable capability</x:v>
      </x:c>
      <x:c r="O12" s="109"/>
      <x:c r="P12" s="109" t="str">
        <x:v>Y8</x:v>
      </x:c>
      <x:c r="Q12" s="109" t="n">
        <x:f>'P&amp;L'!I5</x:f>
        <x:v>3335</x:v>
      </x:c>
      <x:c r="R12" s="109" t="n">
        <x:f>'P&amp;L'!I7</x:f>
        <x:v>2634.875</x:v>
      </x:c>
      <x:c r="S12" s="109" t="n">
        <x:f>'P&amp;L'!I14</x:f>
        <x:v>1514.875</x:v>
      </x:c>
      <x:c r="T12" s="109"/>
      <x:c r="U12" s="109" t="str">
        <x:v>Y8</x:v>
      </x:c>
      <x:c r="V12" s="109" t="n">
        <x:v>0.65</x:v>
      </x:c>
      <x:c r="W12" s="109" t="n">
        <x:v>4.5</x:v>
      </x:c>
      <x:c r="X12" s="109" t="n">
        <x:v>8</x:v>
      </x:c>
      <x:c r="Y12" s="109"/>
      <x:c r="Z12" s="109"/>
    </x:row>
    <x:row r="13">
      <x:c r="A13" s="109" t="str">
        <x:v>EBITDA</x:v>
      </x:c>
      <x:c r="B13" s="114" t="n">
        <x:f>'P&amp;L'!B14</x:f>
        <x:v>-1.6874999999999998</x:v>
      </x:c>
      <x:c r="C13" s="114" t="n">
        <x:f>'P&amp;L'!C14</x:f>
        <x:v>1.5149999999999997</x:v>
      </x:c>
      <x:c r="D13" s="114" t="n">
        <x:f>'P&amp;L'!D14</x:f>
        <x:v>9.23</x:v>
      </x:c>
      <x:c r="E13" s="114" t="n">
        <x:f>'P&amp;L'!F14</x:f>
        <x:v>123</x:v>
      </x:c>
      <x:c r="F13" s="114" t="n">
        <x:f>'P&amp;L'!K14</x:f>
        <x:v>5079.125</x:v>
      </x:c>
      <x:c r="G13" s="109"/>
      <x:c r="H13" s="109" t="str">
        <x:v>Fresh successor tests</x:v>
      </x:c>
      <x:c r="I13" s="115" t="n">
        <x:v>1</x:v>
      </x:c>
      <x:c r="J13" s="115" t="n">
        <x:v>20</x:v>
      </x:c>
      <x:c r="K13" s="115" t="n">
        <x:v>150</x:v>
      </x:c>
      <x:c r="L13" s="115" t="n">
        <x:v>700</x:v>
      </x:c>
      <x:c r="M13" s="115" t="n">
        <x:v>3500</x:v>
      </x:c>
      <x:c r="N13" s="109" t="str">
        <x:v>Measured transfer</x:v>
      </x:c>
      <x:c r="O13" s="109"/>
      <x:c r="P13" s="109" t="str">
        <x:v>Y9</x:v>
      </x:c>
      <x:c r="Q13" s="109" t="n">
        <x:f>'P&amp;L'!J5</x:f>
        <x:v>5826.5</x:v>
      </x:c>
      <x:c r="R13" s="109" t="n">
        <x:f>'P&amp;L'!J7</x:f>
        <x:v>4616.225</x:v>
      </x:c>
      <x:c r="S13" s="109" t="n">
        <x:f>'P&amp;L'!J14</x:f>
        <x:v>2866.2250000000004</x:v>
      </x:c>
      <x:c r="T13" s="109"/>
      <x:c r="U13" s="109" t="str">
        <x:v>Y9</x:v>
      </x:c>
      <x:c r="V13" s="109" t="n">
        <x:v>0.95</x:v>
      </x:c>
      <x:c r="W13" s="109" t="n">
        <x:v>6.5</x:v>
      </x:c>
      <x:c r="X13" s="109" t="n">
        <x:v>14</x:v>
      </x:c>
      <x:c r="Y13" s="109"/>
      <x:c r="Z13" s="109"/>
    </x:row>
    <x:row r="14">
      <x:c r="A14" s="116" t="str">
        <x:v>Ending cash</x:v>
      </x:c>
      <x:c r="B14" s="117" t="n">
        <x:f>'Cash &amp; Funding'!B11</x:f>
        <x:v>3.7125</x:v>
      </x:c>
      <x:c r="C14" s="117" t="n">
        <x:f>'Cash &amp; Funding'!C11</x:f>
        <x:v>17.8275</x:v>
      </x:c>
      <x:c r="D14" s="117" t="n">
        <x:f>'Cash &amp; Funding'!D11</x:f>
        <x:v>67.5575</x:v>
      </x:c>
      <x:c r="E14" s="117" t="n">
        <x:f>'Cash &amp; Funding'!F11</x:f>
        <x:v>323.72</x:v>
      </x:c>
      <x:c r="F14" s="117" t="n">
        <x:f>'Cash &amp; Funding'!K11</x:f>
        <x:v>897.1700000000001</x:v>
      </x:c>
      <x:c r="G14" s="109"/>
      <x:c r="H14" s="109" t="str">
        <x:v>Recurring + usage mix</x:v>
      </x:c>
      <x:c r="I14" s="118" t="n">
        <x:v>0.25</x:v>
      </x:c>
      <x:c r="J14" s="118" t="n">
        <x:v>0.6</x:v>
      </x:c>
      <x:c r="K14" s="118" t="n">
        <x:v>0.8</x:v>
      </x:c>
      <x:c r="L14" s="118" t="n">
        <x:v>0.87</x:v>
      </x:c>
      <x:c r="M14" s="118" t="n">
        <x:v>0.91</x:v>
      </x:c>
      <x:c r="N14" s="109" t="str">
        <x:v>Infrastructure economics</x:v>
      </x:c>
      <x:c r="O14" s="109"/>
      <x:c r="P14" s="109" t="str">
        <x:v>Y10</x:v>
      </x:c>
      <x:c r="Q14" s="109" t="n">
        <x:f>'P&amp;L'!K5</x:f>
        <x:v>9631.25</x:v>
      </x:c>
      <x:c r="R14" s="109" t="n">
        <x:f>'P&amp;L'!K7</x:f>
        <x:v>7659.125</x:v>
      </x:c>
      <x:c r="S14" s="109" t="n">
        <x:f>'P&amp;L'!K14</x:f>
        <x:v>5079.125</x:v>
      </x:c>
      <x:c r="T14" s="109"/>
      <x:c r="U14" s="109" t="str">
        <x:v>Y10</x:v>
      </x:c>
      <x:c r="V14" s="109" t="n">
        <x:v>1.3</x:v>
      </x:c>
      <x:c r="W14" s="109" t="n">
        <x:v>8.5</x:v>
      </x:c>
      <x:c r="X14" s="109" t="n">
        <x:v>22</x:v>
      </x:c>
      <x:c r="Y14" s="109"/>
      <x:c r="Z14" s="109"/>
    </x:row>
    <x:row r="15">
      <x:c r="A15" s="109"/>
      <x:c r="B15" s="109"/>
      <x:c r="C15" s="109"/>
      <x:c r="D15" s="109"/>
      <x:c r="E15" s="109"/>
      <x:c r="F15" s="109"/>
      <x:c r="G15" s="109"/>
      <x:c r="H15" s="109" t="str">
        <x:v>SVPC Index</x:v>
      </x:c>
      <x:c r="I15" s="119" t="n">
        <x:v>1</x:v>
      </x:c>
      <x:c r="J15" s="119" t="n">
        <x:v>5</x:v>
      </x:c>
      <x:c r="K15" s="119" t="n">
        <x:v>30</x:v>
      </x:c>
      <x:c r="L15" s="119" t="n">
        <x:v>150</x:v>
      </x:c>
      <x:c r="M15" s="119" t="n">
        <x:v>900</x:v>
      </x:c>
      <x:c r="N15" s="109" t="str">
        <x:v>Safe Verified Productive Capacity</x:v>
      </x:c>
      <x:c r="O15" s="109"/>
      <x:c r="P15" s="109"/>
      <x:c r="Q15" s="109"/>
      <x:c r="R15" s="109"/>
      <x:c r="S15" s="109"/>
      <x:c r="T15" s="109"/>
      <x:c r="U15" s="109"/>
      <x:c r="V15" s="109"/>
      <x:c r="W15" s="109"/>
      <x:c r="X15" s="109"/>
      <x:c r="Y15" s="109"/>
      <x:c r="Z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  <x:c r="R16" s="109"/>
      <x:c r="S16" s="109"/>
      <x:c r="T16" s="109"/>
      <x:c r="U16" s="109"/>
      <x:c r="V16" s="109"/>
      <x:c r="W16" s="109"/>
      <x:c r="X16" s="109"/>
      <x:c r="Y16" s="109"/>
      <x:c r="Z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  <x:c r="R17" s="109"/>
      <x:c r="S17" s="109"/>
      <x:c r="T17" s="109"/>
      <x:c r="U17" s="109"/>
      <x:c r="V17" s="109"/>
      <x:c r="W17" s="109"/>
      <x:c r="X17" s="109"/>
      <x:c r="Y17" s="109"/>
      <x:c r="Z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  <x:c r="R18" s="109"/>
      <x:c r="S18" s="109"/>
      <x:c r="T18" s="109"/>
      <x:c r="U18" s="109"/>
      <x:c r="V18" s="109"/>
      <x:c r="W18" s="109"/>
      <x:c r="X18" s="109"/>
      <x:c r="Y18" s="109"/>
      <x:c r="Z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  <x:c r="R19" s="109"/>
      <x:c r="S19" s="109"/>
      <x:c r="T19" s="109"/>
      <x:c r="U19" s="109"/>
      <x:c r="V19" s="109"/>
      <x:c r="W19" s="109"/>
      <x:c r="X19" s="109"/>
      <x:c r="Y19" s="109"/>
      <x:c r="Z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  <x:c r="R20" s="109"/>
      <x:c r="S20" s="109"/>
      <x:c r="T20" s="109"/>
      <x:c r="U20" s="109"/>
      <x:c r="V20" s="109"/>
      <x:c r="W20" s="109"/>
      <x:c r="X20" s="109"/>
      <x:c r="Y20" s="109"/>
      <x:c r="Z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09"/>
      <x:c r="X21" s="109"/>
      <x:c r="Y21" s="109"/>
      <x:c r="Z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  <x:c r="R22" s="109"/>
      <x:c r="S22" s="109"/>
      <x:c r="T22" s="109"/>
      <x:c r="U22" s="109"/>
      <x:c r="V22" s="109"/>
      <x:c r="W22" s="109"/>
      <x:c r="X22" s="109"/>
      <x:c r="Y22" s="109"/>
      <x:c r="Z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09"/>
      <x:c r="X23" s="109"/>
      <x:c r="Y23" s="109"/>
      <x:c r="Z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  <x:c r="R24" s="109"/>
      <x:c r="S24" s="109"/>
      <x:c r="T24" s="109"/>
      <x:c r="U24" s="109"/>
      <x:c r="V24" s="109"/>
      <x:c r="W24" s="109"/>
      <x:c r="X24" s="109"/>
      <x:c r="Y24" s="109"/>
      <x:c r="Z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  <x:c r="R25" s="109"/>
      <x:c r="S25" s="109"/>
      <x:c r="T25" s="109"/>
      <x:c r="U25" s="109"/>
      <x:c r="V25" s="109"/>
      <x:c r="W25" s="109"/>
      <x:c r="X25" s="109"/>
      <x:c r="Y25" s="109"/>
      <x:c r="Z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  <x:c r="R26" s="109"/>
      <x:c r="S26" s="109"/>
      <x:c r="T26" s="109"/>
      <x:c r="U26" s="109"/>
      <x:c r="V26" s="109"/>
      <x:c r="W26" s="109"/>
      <x:c r="X26" s="109"/>
      <x:c r="Y26" s="109"/>
      <x:c r="Z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  <x:c r="R27" s="109"/>
      <x:c r="S27" s="109"/>
      <x:c r="T27" s="109"/>
      <x:c r="U27" s="109"/>
      <x:c r="V27" s="109"/>
      <x:c r="W27" s="109"/>
      <x:c r="X27" s="109"/>
      <x:c r="Y27" s="109"/>
      <x:c r="Z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  <x:c r="R28" s="109"/>
      <x:c r="S28" s="109"/>
      <x:c r="T28" s="109"/>
      <x:c r="U28" s="109"/>
      <x:c r="V28" s="109"/>
      <x:c r="W28" s="109"/>
      <x:c r="X28" s="109"/>
      <x:c r="Y28" s="109"/>
      <x:c r="Z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  <x:c r="R29" s="109"/>
      <x:c r="S29" s="109"/>
      <x:c r="T29" s="109"/>
      <x:c r="U29" s="109"/>
      <x:c r="V29" s="109"/>
      <x:c r="W29" s="109"/>
      <x:c r="X29" s="109"/>
      <x:c r="Y29" s="109"/>
      <x:c r="Z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  <x:c r="R30" s="109"/>
      <x:c r="S30" s="109"/>
      <x:c r="T30" s="109"/>
      <x:c r="U30" s="109"/>
      <x:c r="V30" s="109"/>
      <x:c r="W30" s="109"/>
      <x:c r="X30" s="109"/>
      <x:c r="Y30" s="109"/>
      <x:c r="Z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  <x:c r="R33" s="109"/>
      <x:c r="S33" s="109"/>
      <x:c r="T33" s="109"/>
      <x:c r="U33" s="109"/>
      <x:c r="V33" s="109"/>
      <x:c r="W33" s="109"/>
      <x:c r="X33" s="109"/>
      <x:c r="Y33" s="109"/>
      <x:c r="Z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  <x:c r="R34" s="109"/>
      <x:c r="S34" s="109"/>
      <x:c r="T34" s="109"/>
      <x:c r="U34" s="109"/>
      <x:c r="V34" s="109"/>
      <x:c r="W34" s="109"/>
      <x:c r="X34" s="109"/>
      <x:c r="Y34" s="109"/>
      <x:c r="Z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  <x:c r="R35" s="109"/>
      <x:c r="S35" s="109"/>
      <x:c r="T35" s="109"/>
      <x:c r="U35" s="109"/>
      <x:c r="V35" s="109"/>
      <x:c r="W35" s="109"/>
      <x:c r="X35" s="109"/>
      <x:c r="Y35" s="109"/>
      <x:c r="Z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  <x:c r="R36" s="109"/>
      <x:c r="S36" s="109"/>
      <x:c r="T36" s="109"/>
      <x:c r="U36" s="109"/>
      <x:c r="V36" s="109"/>
      <x:c r="W36" s="109"/>
      <x:c r="X36" s="109"/>
      <x:c r="Y36" s="109"/>
      <x:c r="Z36" s="109"/>
    </x:row>
    <x:row r="37">
      <x:c r="A37" s="103" t="str">
        <x:v>THE INSTITUTION IS ITS OWN FIRST CUSTOMER. REALITY IS ITS FINAL AUTHORITY.</x:v>
      </x:c>
      <x:c r="B37" s="103"/>
      <x:c r="C37" s="103"/>
      <x:c r="D37" s="103"/>
      <x:c r="E37" s="103"/>
      <x:c r="F37" s="103"/>
      <x:c r="G37" s="103"/>
      <x:c r="H37" s="103"/>
      <x:c r="I37" s="103"/>
      <x:c r="J37" s="103"/>
      <x:c r="K37" s="103"/>
      <x:c r="L37" s="103"/>
      <x:c r="M37" s="103"/>
      <x:c r="N37" s="103"/>
      <x:c r="O37" s="109"/>
      <x:c r="P37" s="109"/>
      <x:c r="Q37" s="109"/>
      <x:c r="R37" s="109"/>
      <x:c r="S37" s="109"/>
      <x:c r="T37" s="109"/>
      <x:c r="U37" s="109"/>
      <x:c r="V37" s="109"/>
      <x:c r="W37" s="109"/>
      <x:c r="X37" s="109"/>
      <x:c r="Y37" s="109"/>
      <x:c r="Z37" s="109"/>
    </x:row>
    <x:row r="38">
      <x:c r="A38" s="103"/>
      <x:c r="B38" s="103"/>
      <x:c r="C38" s="103"/>
      <x:c r="D38" s="103"/>
      <x:c r="E38" s="103"/>
      <x:c r="F38" s="103"/>
      <x:c r="G38" s="103"/>
      <x:c r="H38" s="103"/>
      <x:c r="I38" s="103"/>
      <x:c r="J38" s="103"/>
      <x:c r="K38" s="103"/>
      <x:c r="L38" s="103"/>
      <x:c r="M38" s="103"/>
      <x:c r="N38" s="103"/>
      <x:c r="O38" s="109"/>
      <x:c r="P38" s="109"/>
      <x:c r="Q38" s="109"/>
      <x:c r="R38" s="109"/>
      <x:c r="S38" s="109"/>
      <x:c r="T38" s="109"/>
      <x:c r="U38" s="109"/>
      <x:c r="V38" s="109"/>
      <x:c r="W38" s="109"/>
      <x:c r="X38" s="109"/>
      <x:c r="Y38" s="109"/>
      <x:c r="Z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  <x:c r="R39" s="109"/>
      <x:c r="S39" s="109"/>
      <x:c r="T39" s="109"/>
      <x:c r="U39" s="109"/>
      <x:c r="V39" s="109"/>
      <x:c r="W39" s="109"/>
      <x:c r="X39" s="109"/>
      <x:c r="Y39" s="109"/>
      <x:c r="Z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  <x:c r="R40" s="109"/>
      <x:c r="S40" s="109"/>
      <x:c r="T40" s="109"/>
      <x:c r="U40" s="109"/>
      <x:c r="V40" s="109"/>
      <x:c r="W40" s="109"/>
      <x:c r="X40" s="109"/>
      <x:c r="Y40" s="109"/>
      <x:c r="Z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  <x:c r="R41" s="109"/>
      <x:c r="S41" s="109"/>
      <x:c r="T41" s="109"/>
      <x:c r="U41" s="109"/>
      <x:c r="V41" s="109"/>
      <x:c r="W41" s="109"/>
      <x:c r="X41" s="109"/>
      <x:c r="Y41" s="109"/>
      <x:c r="Z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  <x:c r="R42" s="109"/>
      <x:c r="S42" s="109"/>
      <x:c r="T42" s="109"/>
      <x:c r="U42" s="109"/>
      <x:c r="V42" s="109"/>
      <x:c r="W42" s="109"/>
      <x:c r="X42" s="109"/>
      <x:c r="Y42" s="109"/>
      <x:c r="Z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  <x:c r="R43" s="109"/>
      <x:c r="S43" s="109"/>
      <x:c r="T43" s="109"/>
      <x:c r="U43" s="109"/>
      <x:c r="V43" s="109"/>
      <x:c r="W43" s="109"/>
      <x:c r="X43" s="109"/>
      <x:c r="Y43" s="109"/>
      <x:c r="Z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  <x:c r="R44" s="109"/>
      <x:c r="S44" s="109"/>
      <x:c r="T44" s="109"/>
      <x:c r="U44" s="109"/>
      <x:c r="V44" s="109"/>
      <x:c r="W44" s="109"/>
      <x:c r="X44" s="109"/>
      <x:c r="Y44" s="109"/>
      <x:c r="Z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  <x:c r="R45" s="109"/>
      <x:c r="S45" s="109"/>
      <x:c r="T45" s="109"/>
      <x:c r="U45" s="109"/>
      <x:c r="V45" s="109"/>
      <x:c r="W45" s="109"/>
      <x:c r="X45" s="109"/>
      <x:c r="Y45" s="109"/>
      <x:c r="Z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  <x:c r="R46" s="109"/>
      <x:c r="S46" s="109"/>
      <x:c r="T46" s="109"/>
      <x:c r="U46" s="109"/>
      <x:c r="V46" s="109"/>
      <x:c r="W46" s="109"/>
      <x:c r="X46" s="109"/>
      <x:c r="Y46" s="109"/>
      <x:c r="Z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  <x:c r="R47" s="109"/>
      <x:c r="S47" s="109"/>
      <x:c r="T47" s="109"/>
      <x:c r="U47" s="109"/>
      <x:c r="V47" s="109"/>
      <x:c r="W47" s="109"/>
      <x:c r="X47" s="109"/>
      <x:c r="Y47" s="109"/>
      <x:c r="Z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  <x:c r="R48" s="109"/>
      <x:c r="S48" s="109"/>
      <x:c r="T48" s="109"/>
      <x:c r="U48" s="109"/>
      <x:c r="V48" s="109"/>
      <x:c r="W48" s="109"/>
      <x:c r="X48" s="109"/>
      <x:c r="Y48" s="109"/>
      <x:c r="Z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  <x:c r="R49" s="109"/>
      <x:c r="S49" s="109"/>
      <x:c r="T49" s="109"/>
      <x:c r="U49" s="109"/>
      <x:c r="V49" s="109"/>
      <x:c r="W49" s="109"/>
      <x:c r="X49" s="109"/>
      <x:c r="Y49" s="109"/>
      <x:c r="Z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  <x:c r="R50" s="109"/>
      <x:c r="S50" s="109"/>
      <x:c r="T50" s="109"/>
      <x:c r="U50" s="109"/>
      <x:c r="V50" s="109"/>
      <x:c r="W50" s="109"/>
      <x:c r="X50" s="109"/>
      <x:c r="Y50" s="109"/>
      <x:c r="Z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  <x:c r="R51" s="109"/>
      <x:c r="S51" s="109"/>
      <x:c r="T51" s="109"/>
      <x:c r="U51" s="109"/>
      <x:c r="V51" s="109"/>
      <x:c r="W51" s="109"/>
      <x:c r="X51" s="109"/>
      <x:c r="Y51" s="109"/>
      <x:c r="Z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  <x:c r="R52" s="109"/>
      <x:c r="S52" s="109"/>
      <x:c r="T52" s="109"/>
      <x:c r="U52" s="109"/>
      <x:c r="V52" s="109"/>
      <x:c r="W52" s="109"/>
      <x:c r="X52" s="109"/>
      <x:c r="Y52" s="109"/>
      <x:c r="Z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  <x:c r="R53" s="109"/>
      <x:c r="S53" s="109"/>
      <x:c r="T53" s="109"/>
      <x:c r="U53" s="109"/>
      <x:c r="V53" s="109"/>
      <x:c r="W53" s="109"/>
      <x:c r="X53" s="109"/>
      <x:c r="Y53" s="109"/>
      <x:c r="Z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  <x:c r="R54" s="109"/>
      <x:c r="S54" s="109"/>
      <x:c r="T54" s="109"/>
      <x:c r="U54" s="109"/>
      <x:c r="V54" s="109"/>
      <x:c r="W54" s="109"/>
      <x:c r="X54" s="109"/>
      <x:c r="Y54" s="109"/>
      <x:c r="Z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  <x:c r="R55" s="109"/>
      <x:c r="S55" s="109"/>
      <x:c r="T55" s="109"/>
      <x:c r="U55" s="109"/>
      <x:c r="V55" s="109"/>
      <x:c r="W55" s="109"/>
      <x:c r="X55" s="109"/>
      <x:c r="Y55" s="109"/>
      <x:c r="Z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  <x:c r="R56" s="109"/>
      <x:c r="S56" s="109"/>
      <x:c r="T56" s="109"/>
      <x:c r="U56" s="109"/>
      <x:c r="V56" s="109"/>
      <x:c r="W56" s="109"/>
      <x:c r="X56" s="109"/>
      <x:c r="Y56" s="109"/>
      <x:c r="Z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  <x:c r="R57" s="109"/>
      <x:c r="S57" s="109"/>
      <x:c r="T57" s="109"/>
      <x:c r="U57" s="109"/>
      <x:c r="V57" s="109"/>
      <x:c r="W57" s="109"/>
      <x:c r="X57" s="109"/>
      <x:c r="Y57" s="109"/>
      <x:c r="Z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  <x:c r="R58" s="109"/>
      <x:c r="S58" s="109"/>
      <x:c r="T58" s="109"/>
      <x:c r="U58" s="109"/>
      <x:c r="V58" s="109"/>
      <x:c r="W58" s="109"/>
      <x:c r="X58" s="109"/>
      <x:c r="Y58" s="109"/>
      <x:c r="Z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  <x:c r="R59" s="109"/>
      <x:c r="S59" s="109"/>
      <x:c r="T59" s="109"/>
      <x:c r="U59" s="109"/>
      <x:c r="V59" s="109"/>
      <x:c r="W59" s="109"/>
      <x:c r="X59" s="109"/>
      <x:c r="Y59" s="109"/>
      <x:c r="Z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  <x:c r="R60" s="109"/>
      <x:c r="S60" s="109"/>
      <x:c r="T60" s="109"/>
      <x:c r="U60" s="109"/>
      <x:c r="V60" s="109"/>
      <x:c r="W60" s="109"/>
      <x:c r="X60" s="109"/>
      <x:c r="Y60" s="109"/>
      <x:c r="Z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  <x:c r="R61" s="109"/>
      <x:c r="S61" s="109"/>
      <x:c r="T61" s="109"/>
      <x:c r="U61" s="109"/>
      <x:c r="V61" s="109"/>
      <x:c r="W61" s="109"/>
      <x:c r="X61" s="109"/>
      <x:c r="Y61" s="109"/>
      <x:c r="Z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  <x:c r="R62" s="109"/>
      <x:c r="S62" s="109"/>
      <x:c r="T62" s="109"/>
      <x:c r="U62" s="109"/>
      <x:c r="V62" s="109"/>
      <x:c r="W62" s="109"/>
      <x:c r="X62" s="109"/>
      <x:c r="Y62" s="109"/>
      <x:c r="Z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  <x:c r="R63" s="109"/>
      <x:c r="S63" s="109"/>
      <x:c r="T63" s="109"/>
      <x:c r="U63" s="109"/>
      <x:c r="V63" s="109"/>
      <x:c r="W63" s="109"/>
      <x:c r="X63" s="109"/>
      <x:c r="Y63" s="109"/>
      <x:c r="Z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  <x:c r="R64" s="109"/>
      <x:c r="S64" s="109"/>
      <x:c r="T64" s="109"/>
      <x:c r="U64" s="109"/>
      <x:c r="V64" s="109"/>
      <x:c r="W64" s="109"/>
      <x:c r="X64" s="109"/>
      <x:c r="Y64" s="109"/>
      <x:c r="Z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  <x:c r="R65" s="109"/>
      <x:c r="S65" s="109"/>
      <x:c r="T65" s="109"/>
      <x:c r="U65" s="109"/>
      <x:c r="V65" s="109"/>
      <x:c r="W65" s="109"/>
      <x:c r="X65" s="109"/>
      <x:c r="Y65" s="109"/>
      <x:c r="Z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  <x:c r="R66" s="109"/>
      <x:c r="S66" s="109"/>
      <x:c r="T66" s="109"/>
      <x:c r="U66" s="109"/>
      <x:c r="V66" s="109"/>
      <x:c r="W66" s="109"/>
      <x:c r="X66" s="109"/>
      <x:c r="Y66" s="109"/>
      <x:c r="Z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  <x:c r="R67" s="109"/>
      <x:c r="S67" s="109"/>
      <x:c r="T67" s="109"/>
      <x:c r="U67" s="109"/>
      <x:c r="V67" s="109"/>
      <x:c r="W67" s="109"/>
      <x:c r="X67" s="109"/>
      <x:c r="Y67" s="109"/>
      <x:c r="Z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  <x:c r="R68" s="109"/>
      <x:c r="S68" s="109"/>
      <x:c r="T68" s="109"/>
      <x:c r="U68" s="109"/>
      <x:c r="V68" s="109"/>
      <x:c r="W68" s="109"/>
      <x:c r="X68" s="109"/>
      <x:c r="Y68" s="109"/>
      <x:c r="Z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  <x:c r="R69" s="109"/>
      <x:c r="S69" s="109"/>
      <x:c r="T69" s="109"/>
      <x:c r="U69" s="109"/>
      <x:c r="V69" s="109"/>
      <x:c r="W69" s="109"/>
      <x:c r="X69" s="109"/>
      <x:c r="Y69" s="109"/>
      <x:c r="Z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  <x:c r="R70" s="109"/>
      <x:c r="S70" s="109"/>
      <x:c r="T70" s="109"/>
      <x:c r="U70" s="109"/>
      <x:c r="V70" s="109"/>
      <x:c r="W70" s="109"/>
      <x:c r="X70" s="109"/>
      <x:c r="Y70" s="109"/>
      <x:c r="Z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  <x:c r="R71" s="109"/>
      <x:c r="S71" s="109"/>
      <x:c r="T71" s="109"/>
      <x:c r="U71" s="109"/>
      <x:c r="V71" s="109"/>
      <x:c r="W71" s="109"/>
      <x:c r="X71" s="109"/>
      <x:c r="Y71" s="109"/>
      <x:c r="Z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  <x:c r="R72" s="109"/>
      <x:c r="S72" s="109"/>
      <x:c r="T72" s="109"/>
      <x:c r="U72" s="109"/>
      <x:c r="V72" s="109"/>
      <x:c r="W72" s="109"/>
      <x:c r="X72" s="109"/>
      <x:c r="Y72" s="109"/>
      <x:c r="Z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  <x:c r="R73" s="109"/>
      <x:c r="S73" s="109"/>
      <x:c r="T73" s="109"/>
      <x:c r="U73" s="109"/>
      <x:c r="V73" s="109"/>
      <x:c r="W73" s="109"/>
      <x:c r="X73" s="109"/>
      <x:c r="Y73" s="109"/>
      <x:c r="Z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  <x:c r="R74" s="109"/>
      <x:c r="S74" s="109"/>
      <x:c r="T74" s="109"/>
      <x:c r="U74" s="109"/>
      <x:c r="V74" s="109"/>
      <x:c r="W74" s="109"/>
      <x:c r="X74" s="109"/>
      <x:c r="Y74" s="109"/>
      <x:c r="Z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  <x:c r="R75" s="109"/>
      <x:c r="S75" s="109"/>
      <x:c r="T75" s="109"/>
      <x:c r="U75" s="109"/>
      <x:c r="V75" s="109"/>
      <x:c r="W75" s="109"/>
      <x:c r="X75" s="109"/>
      <x:c r="Y75" s="109"/>
      <x:c r="Z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  <x:c r="R76" s="109"/>
      <x:c r="S76" s="109"/>
      <x:c r="T76" s="109"/>
      <x:c r="U76" s="109"/>
      <x:c r="V76" s="109"/>
      <x:c r="W76" s="109"/>
      <x:c r="X76" s="109"/>
      <x:c r="Y76" s="109"/>
      <x:c r="Z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  <x:c r="R77" s="109"/>
      <x:c r="S77" s="109"/>
      <x:c r="T77" s="109"/>
      <x:c r="U77" s="109"/>
      <x:c r="V77" s="109"/>
      <x:c r="W77" s="109"/>
      <x:c r="X77" s="109"/>
      <x:c r="Y77" s="109"/>
      <x:c r="Z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  <x:c r="R78" s="109"/>
      <x:c r="S78" s="109"/>
      <x:c r="T78" s="109"/>
      <x:c r="U78" s="109"/>
      <x:c r="V78" s="109"/>
      <x:c r="W78" s="109"/>
      <x:c r="X78" s="109"/>
      <x:c r="Y78" s="109"/>
      <x:c r="Z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  <x:c r="R79" s="109"/>
      <x:c r="S79" s="109"/>
      <x:c r="T79" s="109"/>
      <x:c r="U79" s="109"/>
      <x:c r="V79" s="109"/>
      <x:c r="W79" s="109"/>
      <x:c r="X79" s="109"/>
      <x:c r="Y79" s="109"/>
      <x:c r="Z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  <x:c r="R80" s="109"/>
      <x:c r="S80" s="109"/>
      <x:c r="T80" s="109"/>
      <x:c r="U80" s="109"/>
      <x:c r="V80" s="109"/>
      <x:c r="W80" s="109"/>
      <x:c r="X80" s="109"/>
      <x:c r="Y80" s="109"/>
      <x:c r="Z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  <x:c r="R81" s="109"/>
      <x:c r="S81" s="109"/>
      <x:c r="T81" s="109"/>
      <x:c r="U81" s="109"/>
      <x:c r="V81" s="109"/>
      <x:c r="W81" s="109"/>
      <x:c r="X81" s="109"/>
      <x:c r="Y81" s="109"/>
      <x:c r="Z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  <x:c r="R82" s="109"/>
      <x:c r="S82" s="109"/>
      <x:c r="T82" s="109"/>
      <x:c r="U82" s="109"/>
      <x:c r="V82" s="109"/>
      <x:c r="W82" s="109"/>
      <x:c r="X82" s="109"/>
      <x:c r="Y82" s="109"/>
      <x:c r="Z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  <x:c r="R83" s="109"/>
      <x:c r="S83" s="109"/>
      <x:c r="T83" s="109"/>
      <x:c r="U83" s="109"/>
      <x:c r="V83" s="109"/>
      <x:c r="W83" s="109"/>
      <x:c r="X83" s="109"/>
      <x:c r="Y83" s="109"/>
      <x:c r="Z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  <x:c r="R84" s="109"/>
      <x:c r="S84" s="109"/>
      <x:c r="T84" s="109"/>
      <x:c r="U84" s="109"/>
      <x:c r="V84" s="109"/>
      <x:c r="W84" s="109"/>
      <x:c r="X84" s="109"/>
      <x:c r="Y84" s="109"/>
      <x:c r="Z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  <x:c r="R85" s="109"/>
      <x:c r="S85" s="109"/>
      <x:c r="T85" s="109"/>
      <x:c r="U85" s="109"/>
      <x:c r="V85" s="109"/>
      <x:c r="W85" s="109"/>
      <x:c r="X85" s="109"/>
      <x:c r="Y85" s="109"/>
      <x:c r="Z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  <x:c r="R86" s="109"/>
      <x:c r="S86" s="109"/>
      <x:c r="T86" s="109"/>
      <x:c r="U86" s="109"/>
      <x:c r="V86" s="109"/>
      <x:c r="W86" s="109"/>
      <x:c r="X86" s="109"/>
      <x:c r="Y86" s="109"/>
      <x:c r="Z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  <x:c r="R87" s="109"/>
      <x:c r="S87" s="109"/>
      <x:c r="T87" s="109"/>
      <x:c r="U87" s="109"/>
      <x:c r="V87" s="109"/>
      <x:c r="W87" s="109"/>
      <x:c r="X87" s="109"/>
      <x:c r="Y87" s="109"/>
      <x:c r="Z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  <x:c r="R88" s="109"/>
      <x:c r="S88" s="109"/>
      <x:c r="T88" s="109"/>
      <x:c r="U88" s="109"/>
      <x:c r="V88" s="109"/>
      <x:c r="W88" s="109"/>
      <x:c r="X88" s="109"/>
      <x:c r="Y88" s="109"/>
      <x:c r="Z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  <x:c r="R89" s="109"/>
      <x:c r="S89" s="109"/>
      <x:c r="T89" s="109"/>
      <x:c r="U89" s="109"/>
      <x:c r="V89" s="109"/>
      <x:c r="W89" s="109"/>
      <x:c r="X89" s="109"/>
      <x:c r="Y89" s="109"/>
      <x:c r="Z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  <x:c r="R90" s="109"/>
      <x:c r="S90" s="109"/>
      <x:c r="T90" s="109"/>
      <x:c r="U90" s="109"/>
      <x:c r="V90" s="109"/>
      <x:c r="W90" s="109"/>
      <x:c r="X90" s="109"/>
      <x:c r="Y90" s="109"/>
      <x:c r="Z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  <x:c r="R91" s="109"/>
      <x:c r="S91" s="109"/>
      <x:c r="T91" s="109"/>
      <x:c r="U91" s="109"/>
      <x:c r="V91" s="109"/>
      <x:c r="W91" s="109"/>
      <x:c r="X91" s="109"/>
      <x:c r="Y91" s="109"/>
      <x:c r="Z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  <x:c r="R92" s="109"/>
      <x:c r="S92" s="109"/>
      <x:c r="T92" s="109"/>
      <x:c r="U92" s="109"/>
      <x:c r="V92" s="109"/>
      <x:c r="W92" s="109"/>
      <x:c r="X92" s="109"/>
      <x:c r="Y92" s="109"/>
      <x:c r="Z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  <x:c r="R93" s="109"/>
      <x:c r="S93" s="109"/>
      <x:c r="T93" s="109"/>
      <x:c r="U93" s="109"/>
      <x:c r="V93" s="109"/>
      <x:c r="W93" s="109"/>
      <x:c r="X93" s="109"/>
      <x:c r="Y93" s="109"/>
      <x:c r="Z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  <x:c r="R94" s="109"/>
      <x:c r="S94" s="109"/>
      <x:c r="T94" s="109"/>
      <x:c r="U94" s="109"/>
      <x:c r="V94" s="109"/>
      <x:c r="W94" s="109"/>
      <x:c r="X94" s="109"/>
      <x:c r="Y94" s="109"/>
      <x:c r="Z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  <x:c r="R95" s="109"/>
      <x:c r="S95" s="109"/>
      <x:c r="T95" s="109"/>
      <x:c r="U95" s="109"/>
      <x:c r="V95" s="109"/>
      <x:c r="W95" s="109"/>
      <x:c r="X95" s="109"/>
      <x:c r="Y95" s="109"/>
      <x:c r="Z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  <x:c r="R96" s="109"/>
      <x:c r="S96" s="109"/>
      <x:c r="T96" s="109"/>
      <x:c r="U96" s="109"/>
      <x:c r="V96" s="109"/>
      <x:c r="W96" s="109"/>
      <x:c r="X96" s="109"/>
      <x:c r="Y96" s="109"/>
      <x:c r="Z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  <x:c r="R97" s="109"/>
      <x:c r="S97" s="109"/>
      <x:c r="T97" s="109"/>
      <x:c r="U97" s="109"/>
      <x:c r="V97" s="109"/>
      <x:c r="W97" s="109"/>
      <x:c r="X97" s="109"/>
      <x:c r="Y97" s="109"/>
      <x:c r="Z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  <x:c r="R98" s="109"/>
      <x:c r="S98" s="109"/>
      <x:c r="T98" s="109"/>
      <x:c r="U98" s="109"/>
      <x:c r="V98" s="109"/>
      <x:c r="W98" s="109"/>
      <x:c r="X98" s="109"/>
      <x:c r="Y98" s="109"/>
      <x:c r="Z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  <x:c r="R99" s="109"/>
      <x:c r="S99" s="109"/>
      <x:c r="T99" s="109"/>
      <x:c r="U99" s="109"/>
      <x:c r="V99" s="109"/>
      <x:c r="W99" s="109"/>
      <x:c r="X99" s="109"/>
      <x:c r="Y99" s="109"/>
      <x:c r="Z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  <x:c r="R100" s="109"/>
      <x:c r="S100" s="109"/>
      <x:c r="T100" s="109"/>
      <x:c r="U100" s="109"/>
      <x:c r="V100" s="109"/>
      <x:c r="W100" s="109"/>
      <x:c r="X100" s="109"/>
      <x:c r="Y100" s="109"/>
      <x:c r="Z100" s="109"/>
    </x:row>
    <x:row r="101">
      <x:c r="A101" s="109"/>
      <x:c r="B101" s="109"/>
      <x:c r="C101" s="109"/>
      <x:c r="D101" s="109"/>
      <x:c r="E101" s="109"/>
      <x:c r="F101" s="109"/>
      <x:c r="G101" s="109"/>
      <x:c r="H101" s="109"/>
      <x:c r="I101" s="109"/>
      <x:c r="J101" s="109"/>
      <x:c r="K101" s="109"/>
      <x:c r="L101" s="109"/>
      <x:c r="M101" s="109"/>
      <x:c r="N101" s="109"/>
      <x:c r="O101" s="109"/>
      <x:c r="P101" s="109"/>
      <x:c r="Q101" s="109"/>
      <x:c r="R101" s="109"/>
      <x:c r="S101" s="109"/>
      <x:c r="T101" s="109"/>
      <x:c r="U101" s="109"/>
      <x:c r="V101" s="109"/>
      <x:c r="W101" s="109"/>
      <x:c r="X101" s="109"/>
      <x:c r="Y101" s="109"/>
      <x:c r="Z101" s="109"/>
    </x:row>
    <x:row r="102">
      <x:c r="A102" s="109"/>
      <x:c r="B102" s="109"/>
      <x:c r="C102" s="109"/>
      <x:c r="D102" s="109"/>
      <x:c r="E102" s="109"/>
      <x:c r="F102" s="109"/>
      <x:c r="G102" s="109"/>
      <x:c r="H102" s="109"/>
      <x:c r="I102" s="109"/>
      <x:c r="J102" s="109"/>
      <x:c r="K102" s="109"/>
      <x:c r="L102" s="109"/>
      <x:c r="M102" s="109"/>
      <x:c r="N102" s="109"/>
      <x:c r="O102" s="109"/>
      <x:c r="P102" s="109"/>
      <x:c r="Q102" s="109"/>
      <x:c r="R102" s="109"/>
      <x:c r="S102" s="109"/>
      <x:c r="T102" s="109"/>
      <x:c r="U102" s="109"/>
      <x:c r="V102" s="109"/>
      <x:c r="W102" s="109"/>
      <x:c r="X102" s="109"/>
      <x:c r="Y102" s="109"/>
      <x:c r="Z102" s="109"/>
    </x:row>
    <x:row r="103">
      <x:c r="A103" s="109"/>
      <x:c r="B103" s="109"/>
      <x:c r="C103" s="109"/>
      <x:c r="D103" s="109"/>
      <x:c r="E103" s="109"/>
      <x:c r="F103" s="109"/>
      <x:c r="G103" s="109"/>
      <x:c r="H103" s="109"/>
      <x:c r="I103" s="109"/>
      <x:c r="J103" s="109"/>
      <x:c r="K103" s="109"/>
      <x:c r="L103" s="109"/>
      <x:c r="M103" s="109"/>
      <x:c r="N103" s="109"/>
      <x:c r="O103" s="109"/>
      <x:c r="P103" s="109"/>
      <x:c r="Q103" s="109"/>
      <x:c r="R103" s="109"/>
      <x:c r="S103" s="109"/>
      <x:c r="T103" s="109"/>
      <x:c r="U103" s="109"/>
      <x:c r="V103" s="109"/>
      <x:c r="W103" s="109"/>
      <x:c r="X103" s="109"/>
      <x:c r="Y103" s="109"/>
      <x:c r="Z103" s="109"/>
    </x:row>
    <x:row r="104">
      <x:c r="A104" s="109"/>
      <x:c r="B104" s="109"/>
      <x:c r="C104" s="109"/>
      <x:c r="D104" s="109"/>
      <x:c r="E104" s="109"/>
      <x:c r="F104" s="109"/>
      <x:c r="G104" s="109"/>
      <x:c r="H104" s="109"/>
      <x:c r="I104" s="109"/>
      <x:c r="J104" s="109"/>
      <x:c r="K104" s="109"/>
      <x:c r="L104" s="109"/>
      <x:c r="M104" s="109"/>
      <x:c r="N104" s="109"/>
      <x:c r="O104" s="109"/>
      <x:c r="P104" s="109"/>
      <x:c r="Q104" s="109"/>
      <x:c r="R104" s="109"/>
      <x:c r="S104" s="109"/>
      <x:c r="T104" s="109"/>
      <x:c r="U104" s="109"/>
      <x:c r="V104" s="109"/>
      <x:c r="W104" s="109"/>
      <x:c r="X104" s="109"/>
      <x:c r="Y104" s="109"/>
      <x:c r="Z104" s="109"/>
    </x:row>
    <x:row r="105">
      <x:c r="A105" s="109"/>
      <x:c r="B105" s="109"/>
      <x:c r="C105" s="109"/>
      <x:c r="D105" s="109"/>
      <x:c r="E105" s="109"/>
      <x:c r="F105" s="109"/>
      <x:c r="G105" s="109"/>
      <x:c r="H105" s="109"/>
      <x:c r="I105" s="109"/>
      <x:c r="J105" s="109"/>
      <x:c r="K105" s="109"/>
      <x:c r="L105" s="109"/>
      <x:c r="M105" s="109"/>
      <x:c r="N105" s="109"/>
      <x:c r="O105" s="109"/>
      <x:c r="P105" s="109"/>
      <x:c r="Q105" s="109"/>
      <x:c r="R105" s="109"/>
      <x:c r="S105" s="109"/>
      <x:c r="T105" s="109"/>
      <x:c r="U105" s="109"/>
      <x:c r="V105" s="109"/>
      <x:c r="W105" s="109"/>
      <x:c r="X105" s="109"/>
      <x:c r="Y105" s="109"/>
      <x:c r="Z105" s="109"/>
    </x:row>
    <x:row r="106">
      <x:c r="A106" s="109"/>
      <x:c r="B106" s="109"/>
      <x:c r="C106" s="109"/>
      <x:c r="D106" s="109"/>
      <x:c r="E106" s="109"/>
      <x:c r="F106" s="109"/>
      <x:c r="G106" s="109"/>
      <x:c r="H106" s="109"/>
      <x:c r="I106" s="109"/>
      <x:c r="J106" s="109"/>
      <x:c r="K106" s="109"/>
      <x:c r="L106" s="109"/>
      <x:c r="M106" s="109"/>
      <x:c r="N106" s="109"/>
      <x:c r="O106" s="109"/>
      <x:c r="P106" s="109"/>
      <x:c r="Q106" s="109"/>
      <x:c r="R106" s="109"/>
      <x:c r="S106" s="109"/>
      <x:c r="T106" s="109"/>
      <x:c r="U106" s="109"/>
      <x:c r="V106" s="109"/>
      <x:c r="W106" s="109"/>
      <x:c r="X106" s="109"/>
      <x:c r="Y106" s="109"/>
      <x:c r="Z106" s="109"/>
    </x:row>
    <x:row r="107">
      <x:c r="A107" s="109"/>
      <x:c r="B107" s="109"/>
      <x:c r="C107" s="109"/>
      <x:c r="D107" s="109"/>
      <x:c r="E107" s="109"/>
      <x:c r="F107" s="109"/>
      <x:c r="G107" s="109"/>
      <x:c r="H107" s="109"/>
      <x:c r="I107" s="109"/>
      <x:c r="J107" s="109"/>
      <x:c r="K107" s="109"/>
      <x:c r="L107" s="109"/>
      <x:c r="M107" s="109"/>
      <x:c r="N107" s="109"/>
      <x:c r="O107" s="109"/>
      <x:c r="P107" s="109"/>
      <x:c r="Q107" s="109"/>
      <x:c r="R107" s="109"/>
      <x:c r="S107" s="109"/>
      <x:c r="T107" s="109"/>
      <x:c r="U107" s="109"/>
      <x:c r="V107" s="109"/>
      <x:c r="W107" s="109"/>
      <x:c r="X107" s="109"/>
      <x:c r="Y107" s="109"/>
      <x:c r="Z107" s="109"/>
    </x:row>
    <x:row r="108">
      <x:c r="A108" s="109"/>
      <x:c r="B108" s="109"/>
      <x:c r="C108" s="109"/>
      <x:c r="D108" s="109"/>
      <x:c r="E108" s="109"/>
      <x:c r="F108" s="109"/>
      <x:c r="G108" s="109"/>
      <x:c r="H108" s="109"/>
      <x:c r="I108" s="109"/>
      <x:c r="J108" s="109"/>
      <x:c r="K108" s="109"/>
      <x:c r="L108" s="109"/>
      <x:c r="M108" s="109"/>
      <x:c r="N108" s="109"/>
      <x:c r="O108" s="109"/>
      <x:c r="P108" s="109"/>
      <x:c r="Q108" s="109"/>
      <x:c r="R108" s="109"/>
      <x:c r="S108" s="109"/>
      <x:c r="T108" s="109"/>
      <x:c r="U108" s="109"/>
      <x:c r="V108" s="109"/>
      <x:c r="W108" s="109"/>
      <x:c r="X108" s="109"/>
      <x:c r="Y108" s="109"/>
      <x:c r="Z108" s="109"/>
    </x:row>
    <x:row r="109">
      <x:c r="A109" s="109"/>
      <x:c r="B109" s="109"/>
      <x:c r="C109" s="109"/>
      <x:c r="D109" s="109"/>
      <x:c r="E109" s="109"/>
      <x:c r="F109" s="109"/>
      <x:c r="G109" s="109"/>
      <x:c r="H109" s="109"/>
      <x:c r="I109" s="109"/>
      <x:c r="J109" s="109"/>
      <x:c r="K109" s="109"/>
      <x:c r="L109" s="109"/>
      <x:c r="M109" s="109"/>
      <x:c r="N109" s="109"/>
      <x:c r="O109" s="109"/>
      <x:c r="P109" s="109"/>
      <x:c r="Q109" s="109"/>
      <x:c r="R109" s="109"/>
      <x:c r="S109" s="109"/>
      <x:c r="T109" s="109"/>
      <x:c r="U109" s="109"/>
      <x:c r="V109" s="109"/>
      <x:c r="W109" s="109"/>
      <x:c r="X109" s="109"/>
      <x:c r="Y109" s="109"/>
      <x:c r="Z109" s="109"/>
    </x:row>
    <x:row r="110">
      <x:c r="A110" s="109"/>
      <x:c r="B110" s="109"/>
      <x:c r="C110" s="109"/>
      <x:c r="D110" s="109"/>
      <x:c r="E110" s="109"/>
      <x:c r="F110" s="109"/>
      <x:c r="G110" s="109"/>
      <x:c r="H110" s="109"/>
      <x:c r="I110" s="109"/>
      <x:c r="J110" s="109"/>
      <x:c r="K110" s="109"/>
      <x:c r="L110" s="109"/>
      <x:c r="M110" s="109"/>
      <x:c r="N110" s="109"/>
      <x:c r="O110" s="109"/>
      <x:c r="P110" s="109"/>
      <x:c r="Q110" s="109"/>
      <x:c r="R110" s="109"/>
      <x:c r="S110" s="109"/>
      <x:c r="T110" s="109"/>
      <x:c r="U110" s="109"/>
      <x:c r="V110" s="109"/>
      <x:c r="W110" s="109"/>
      <x:c r="X110" s="109"/>
      <x:c r="Y110" s="109"/>
      <x:c r="Z110" s="109"/>
    </x:row>
    <x:row r="111">
      <x:c r="A111" s="109"/>
      <x:c r="B111" s="109"/>
      <x:c r="C111" s="109"/>
      <x:c r="D111" s="109"/>
      <x:c r="E111" s="109"/>
      <x:c r="F111" s="109"/>
      <x:c r="G111" s="109"/>
      <x:c r="H111" s="109"/>
      <x:c r="I111" s="109"/>
      <x:c r="J111" s="109"/>
      <x:c r="K111" s="109"/>
      <x:c r="L111" s="109"/>
      <x:c r="M111" s="109"/>
      <x:c r="N111" s="109"/>
      <x:c r="O111" s="109"/>
      <x:c r="P111" s="109"/>
      <x:c r="Q111" s="109"/>
      <x:c r="R111" s="109"/>
      <x:c r="S111" s="109"/>
      <x:c r="T111" s="109"/>
      <x:c r="U111" s="109"/>
      <x:c r="V111" s="109"/>
      <x:c r="W111" s="109"/>
      <x:c r="X111" s="109"/>
      <x:c r="Y111" s="109"/>
      <x:c r="Z111" s="109"/>
    </x:row>
    <x:row r="112">
      <x:c r="A112" s="109"/>
      <x:c r="B112" s="109"/>
      <x:c r="C112" s="109"/>
      <x:c r="D112" s="109"/>
      <x:c r="E112" s="109"/>
      <x:c r="F112" s="109"/>
      <x:c r="G112" s="109"/>
      <x:c r="H112" s="109"/>
      <x:c r="I112" s="109"/>
      <x:c r="J112" s="109"/>
      <x:c r="K112" s="109"/>
      <x:c r="L112" s="109"/>
      <x:c r="M112" s="109"/>
      <x:c r="N112" s="109"/>
      <x:c r="O112" s="109"/>
      <x:c r="P112" s="109"/>
      <x:c r="Q112" s="109"/>
      <x:c r="R112" s="109"/>
      <x:c r="S112" s="109"/>
      <x:c r="T112" s="109"/>
      <x:c r="U112" s="109"/>
      <x:c r="V112" s="109"/>
      <x:c r="W112" s="109"/>
      <x:c r="X112" s="109"/>
      <x:c r="Y112" s="109"/>
      <x:c r="Z112" s="109"/>
    </x:row>
    <x:row r="113">
      <x:c r="A113" s="109"/>
      <x:c r="B113" s="109"/>
      <x:c r="C113" s="109"/>
      <x:c r="D113" s="109"/>
      <x:c r="E113" s="109"/>
      <x:c r="F113" s="109"/>
      <x:c r="G113" s="109"/>
      <x:c r="H113" s="109"/>
      <x:c r="I113" s="109"/>
      <x:c r="J113" s="109"/>
      <x:c r="K113" s="109"/>
      <x:c r="L113" s="109"/>
      <x:c r="M113" s="109"/>
      <x:c r="N113" s="109"/>
      <x:c r="O113" s="109"/>
      <x:c r="P113" s="109"/>
      <x:c r="Q113" s="109"/>
      <x:c r="R113" s="109"/>
      <x:c r="S113" s="109"/>
      <x:c r="T113" s="109"/>
      <x:c r="U113" s="109"/>
      <x:c r="V113" s="109"/>
      <x:c r="W113" s="109"/>
      <x:c r="X113" s="109"/>
      <x:c r="Y113" s="109"/>
      <x:c r="Z113" s="109"/>
    </x:row>
    <x:row r="114">
      <x:c r="A114" s="109"/>
      <x:c r="B114" s="109"/>
      <x:c r="C114" s="109"/>
      <x:c r="D114" s="109"/>
      <x:c r="E114" s="109"/>
      <x:c r="F114" s="109"/>
      <x:c r="G114" s="109"/>
      <x:c r="H114" s="109"/>
      <x:c r="I114" s="109"/>
      <x:c r="J114" s="109"/>
      <x:c r="K114" s="109"/>
      <x:c r="L114" s="109"/>
      <x:c r="M114" s="109"/>
      <x:c r="N114" s="109"/>
      <x:c r="O114" s="109"/>
      <x:c r="P114" s="109"/>
      <x:c r="Q114" s="109"/>
      <x:c r="R114" s="109"/>
      <x:c r="S114" s="109"/>
      <x:c r="T114" s="109"/>
      <x:c r="U114" s="109"/>
      <x:c r="V114" s="109"/>
      <x:c r="W114" s="109"/>
      <x:c r="X114" s="109"/>
      <x:c r="Y114" s="109"/>
      <x:c r="Z114" s="109"/>
    </x:row>
    <x:row r="115">
      <x:c r="A115" s="109"/>
      <x:c r="B115" s="109"/>
      <x:c r="C115" s="109"/>
      <x:c r="D115" s="109"/>
      <x:c r="E115" s="109"/>
      <x:c r="F115" s="109"/>
      <x:c r="G115" s="109"/>
      <x:c r="H115" s="109"/>
      <x:c r="I115" s="109"/>
      <x:c r="J115" s="109"/>
      <x:c r="K115" s="109"/>
      <x:c r="L115" s="109"/>
      <x:c r="M115" s="109"/>
      <x:c r="N115" s="109"/>
      <x:c r="O115" s="109"/>
      <x:c r="P115" s="109"/>
      <x:c r="Q115" s="109"/>
      <x:c r="R115" s="109"/>
      <x:c r="S115" s="109"/>
      <x:c r="T115" s="109"/>
      <x:c r="U115" s="109"/>
      <x:c r="V115" s="109"/>
      <x:c r="W115" s="109"/>
      <x:c r="X115" s="109"/>
      <x:c r="Y115" s="109"/>
      <x:c r="Z115" s="109"/>
    </x:row>
    <x:row r="116">
      <x:c r="A116" s="109"/>
      <x:c r="B116" s="109"/>
      <x:c r="C116" s="109"/>
      <x:c r="D116" s="109"/>
      <x:c r="E116" s="109"/>
      <x:c r="F116" s="109"/>
      <x:c r="G116" s="109"/>
      <x:c r="H116" s="109"/>
      <x:c r="I116" s="109"/>
      <x:c r="J116" s="109"/>
      <x:c r="K116" s="109"/>
      <x:c r="L116" s="109"/>
      <x:c r="M116" s="109"/>
      <x:c r="N116" s="109"/>
      <x:c r="O116" s="109"/>
      <x:c r="P116" s="109"/>
      <x:c r="Q116" s="109"/>
      <x:c r="R116" s="109"/>
      <x:c r="S116" s="109"/>
      <x:c r="T116" s="109"/>
      <x:c r="U116" s="109"/>
      <x:c r="V116" s="109"/>
      <x:c r="W116" s="109"/>
      <x:c r="X116" s="109"/>
      <x:c r="Y116" s="109"/>
      <x:c r="Z116" s="109"/>
    </x:row>
    <x:row r="117">
      <x:c r="A117" s="109"/>
      <x:c r="B117" s="109"/>
      <x:c r="C117" s="109"/>
      <x:c r="D117" s="109"/>
      <x:c r="E117" s="109"/>
      <x:c r="F117" s="109"/>
      <x:c r="G117" s="109"/>
      <x:c r="H117" s="109"/>
      <x:c r="I117" s="109"/>
      <x:c r="J117" s="109"/>
      <x:c r="K117" s="109"/>
      <x:c r="L117" s="109"/>
      <x:c r="M117" s="109"/>
      <x:c r="N117" s="109"/>
      <x:c r="O117" s="109"/>
      <x:c r="P117" s="109"/>
      <x:c r="Q117" s="109"/>
      <x:c r="R117" s="109"/>
      <x:c r="S117" s="109"/>
      <x:c r="T117" s="109"/>
      <x:c r="U117" s="109"/>
      <x:c r="V117" s="109"/>
      <x:c r="W117" s="109"/>
      <x:c r="X117" s="109"/>
      <x:c r="Y117" s="109"/>
      <x:c r="Z117" s="109"/>
    </x:row>
    <x:row r="118">
      <x:c r="A118" s="109"/>
      <x:c r="B118" s="109"/>
      <x:c r="C118" s="109"/>
      <x:c r="D118" s="109"/>
      <x:c r="E118" s="109"/>
      <x:c r="F118" s="109"/>
      <x:c r="G118" s="109"/>
      <x:c r="H118" s="109"/>
      <x:c r="I118" s="109"/>
      <x:c r="J118" s="109"/>
      <x:c r="K118" s="109"/>
      <x:c r="L118" s="109"/>
      <x:c r="M118" s="109"/>
      <x:c r="N118" s="109"/>
      <x:c r="O118" s="109"/>
      <x:c r="P118" s="109"/>
      <x:c r="Q118" s="109"/>
      <x:c r="R118" s="109"/>
      <x:c r="S118" s="109"/>
      <x:c r="T118" s="109"/>
      <x:c r="U118" s="109"/>
      <x:c r="V118" s="109"/>
      <x:c r="W118" s="109"/>
      <x:c r="X118" s="109"/>
      <x:c r="Y118" s="109"/>
      <x:c r="Z118" s="109"/>
    </x:row>
    <x:row r="119">
      <x:c r="A119" s="109"/>
      <x:c r="B119" s="109"/>
      <x:c r="C119" s="109"/>
      <x:c r="D119" s="109"/>
      <x:c r="E119" s="109"/>
      <x:c r="F119" s="109"/>
      <x:c r="G119" s="109"/>
      <x:c r="H119" s="109"/>
      <x:c r="I119" s="109"/>
      <x:c r="J119" s="109"/>
      <x:c r="K119" s="109"/>
      <x:c r="L119" s="109"/>
      <x:c r="M119" s="109"/>
      <x:c r="N119" s="109"/>
      <x:c r="O119" s="109"/>
      <x:c r="P119" s="109"/>
      <x:c r="Q119" s="109"/>
      <x:c r="R119" s="109"/>
      <x:c r="S119" s="109"/>
      <x:c r="T119" s="109"/>
      <x:c r="U119" s="109"/>
      <x:c r="V119" s="109"/>
      <x:c r="W119" s="109"/>
      <x:c r="X119" s="109"/>
      <x:c r="Y119" s="109"/>
      <x:c r="Z119" s="109"/>
    </x:row>
    <x:row r="120">
      <x:c r="A120" s="109"/>
      <x:c r="B120" s="109"/>
      <x:c r="C120" s="109"/>
      <x:c r="D120" s="109"/>
      <x:c r="E120" s="109"/>
      <x:c r="F120" s="109"/>
      <x:c r="G120" s="109"/>
      <x:c r="H120" s="109"/>
      <x:c r="I120" s="109"/>
      <x:c r="J120" s="109"/>
      <x:c r="K120" s="109"/>
      <x:c r="L120" s="109"/>
      <x:c r="M120" s="109"/>
      <x:c r="N120" s="109"/>
      <x:c r="O120" s="109"/>
      <x:c r="P120" s="109"/>
      <x:c r="Q120" s="109"/>
      <x:c r="R120" s="109"/>
      <x:c r="S120" s="109"/>
      <x:c r="T120" s="109"/>
      <x:c r="U120" s="109"/>
      <x:c r="V120" s="109"/>
      <x:c r="W120" s="109"/>
      <x:c r="X120" s="109"/>
      <x:c r="Y120" s="109"/>
      <x:c r="Z120" s="109"/>
    </x:row>
  </x:sheetData>
  <x:mergeCells>
    <x:mergeCell ref="A1:N1"/>
    <x:mergeCell ref="A2:N2"/>
    <x:mergeCell ref="A4:B4"/>
    <x:mergeCell ref="A5:B7"/>
    <x:mergeCell ref="C4:D4"/>
    <x:mergeCell ref="C5:D7"/>
    <x:mergeCell ref="E4:F4"/>
    <x:mergeCell ref="E5:F7"/>
    <x:mergeCell ref="G4:H4"/>
    <x:mergeCell ref="G5:H7"/>
    <x:mergeCell ref="I4:J4"/>
    <x:mergeCell ref="I5:J7"/>
    <x:mergeCell ref="K4:L4"/>
    <x:mergeCell ref="K5:L7"/>
    <x:mergeCell ref="A37:N38"/>
  </x:mergeCells>
  <x:pageMargins left="0.7" right="0.7" top="0.75" bottom="0.75" header="0.3" footer="0.3"/>
  <x:drawing xmlns:r="http://schemas.openxmlformats.org/officeDocument/2006/relationships" r:id="Rab4f3ca374184a08"/>
</x:worksheet>
</file>