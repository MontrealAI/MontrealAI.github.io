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29c078aef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85c68ca69c34b01"/>
    <x:sheet xmlns:r="http://schemas.openxmlformats.org/officeDocument/2006/relationships" name="Conservative" sheetId="2" r:id="Rfb779d1bb4374d24"/>
    <x:sheet xmlns:r="http://schemas.openxmlformats.org/officeDocument/2006/relationships" name="Base" sheetId="3" r:id="Re0193e27c6de4fda"/>
    <x:sheet xmlns:r="http://schemas.openxmlformats.org/officeDocument/2006/relationships" name="Upside" sheetId="4" r:id="R11c92dd3c0db4609"/>
    <x:sheet xmlns:r="http://schemas.openxmlformats.org/officeDocument/2006/relationships" name="Annual Summary" sheetId="5" r:id="R41f51ad6424742db"/>
    <x:sheet xmlns:r="http://schemas.openxmlformats.org/officeDocument/2006/relationships" name="Executive Summary" sheetId="6" r:id="Rbb5b036ec9df4b09"/>
    <x:sheet xmlns:r="http://schemas.openxmlformats.org/officeDocument/2006/relationships" name="Unit Economics" sheetId="7" r:id="R5e68c470c07a43e8"/>
    <x:sheet xmlns:r="http://schemas.openxmlformats.org/officeDocument/2006/relationships" name="Sensitivity" sheetId="8" r:id="R6d7bf536b8214214"/>
    <x:sheet xmlns:r="http://schemas.openxmlformats.org/officeDocument/2006/relationships" name="Sources" sheetId="9" r:id="R41bb22c33f50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m d, yyyy"/>
    <x:numFmt numFmtId="201" formatCode="$#,##0;[Red]($#,##0);-"/>
    <x:numFmt numFmtId="202" formatCode="0.0%;[Red](0.0%);-"/>
    <x:numFmt numFmtId="203" formatCode="0.0;[Red](0.0);-"/>
    <x:numFmt numFmtId="204" formatCode="mmm-yy"/>
    <x:numFmt numFmtId="205" formatCode="0.0x;[Red](0.0x);-"/>
    <x:numFmt numFmtId="206" formatCode="0.0 &quot;months&quot;"/>
    <x:numFmt numFmtId="207" formatCode="$0.0,,&quot;m&quot;;[Red]($0.0,,&quot;m&quot;);-"/>
    <x:numFmt numFmtId="208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B1A3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B1A3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A31"/>
      </x:patternFill>
    </x:fill>
    <x:fill>
      <x:patternFill patternType="solid">
        <x:fgColor rgb="FFF6E7B7"/>
      </x:patternFill>
    </x:fill>
    <x:fill>
      <x:patternFill patternType="solid">
        <x:fgColor rgb="FF142A46"/>
      </x:patternFill>
    </x:fill>
    <x:fill>
      <x:patternFill patternType="solid">
        <x:fgColor rgb="FFFBF7EE"/>
      </x:patternFill>
    </x:fill>
    <x:fill>
      <x:patternFill patternType="solid">
        <x:fgColor rgb="FFE8F5EE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5" borderId="3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6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/>
    <x:xf numFmtId="200" fontId="5" fillId="5" borderId="3" xfId="0" applyNumberFormat="1" applyFont="1" applyFill="1" applyBorder="1" applyAlignment="1">
      <x:alignment vertical="center" wrapText="1"/>
    </x:xf>
    <x:xf numFmtId="200" fontId="5" fillId="5" borderId="6" xfId="0" applyNumberFormat="1" applyFont="1" applyFill="1" applyBorder="1" applyAlignment="1">
      <x:alignment vertical="center" wrapText="1"/>
    </x:xf>
    <x:xf numFmtId="201" fontId="5" fillId="5" borderId="3" xfId="0" applyNumberFormat="1" applyFont="1" applyFill="1" applyBorder="1" applyAlignment="1">
      <x:alignment vertical="center" wrapText="1"/>
    </x:xf>
    <x:xf numFmtId="201" fontId="5" fillId="5" borderId="6" xfId="0" applyNumberFormat="1" applyFont="1" applyFill="1" applyBorder="1" applyAlignment="1">
      <x:alignment vertical="center" wrapText="1"/>
    </x:xf>
    <x:xf numFmtId="202" fontId="5" fillId="5" borderId="3" xfId="0" applyNumberFormat="1" applyFont="1" applyFill="1" applyBorder="1" applyAlignment="1">
      <x:alignment vertical="center" wrapText="1"/>
    </x:xf>
    <x:xf numFmtId="202" fontId="5" fillId="5" borderId="6" xfId="0" applyNumberFormat="1" applyFont="1" applyFill="1" applyBorder="1" applyAlignment="1">
      <x:alignment vertical="center" wrapText="1"/>
    </x:xf>
    <x:xf numFmtId="203" fontId="5" fillId="5" borderId="3" xfId="0" applyNumberFormat="1" applyFont="1" applyFill="1" applyBorder="1" applyAlignment="1">
      <x:alignment vertical="center" wrapText="1"/>
    </x:xf>
    <x:xf numFmtId="203" fontId="5" fillId="5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4" fillId="0" borderId="3" xfId="0" applyNumberFormat="1" applyFont="1" applyFill="1" applyBorder="1" applyAlignment="1">
      <x:alignment vertical="center" wrapText="1"/>
    </x:xf>
    <x:xf numFmtId="203" fontId="4" fillId="0" borderId="4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center" wrapText="1"/>
    </x:xf>
    <x:xf numFmtId="203" fontId="4" fillId="0" borderId="7" xfId="0" applyNumberFormat="1" applyFont="1" applyFill="1" applyBorder="1" applyAlignment="1">
      <x:alignment vertical="center" wrapText="1"/>
    </x:xf>
    <x:xf numFmtId="203" fontId="4" fillId="5" borderId="3" xfId="0" applyNumberFormat="1" applyFont="1" applyFill="1" applyBorder="1" applyAlignment="1">
      <x:alignment vertical="center" wrapText="1"/>
    </x:xf>
    <x:xf numFmtId="203" fontId="4" fillId="5" borderId="4" xfId="0" applyNumberFormat="1" applyFont="1" applyFill="1" applyBorder="1" applyAlignment="1">
      <x:alignment vertical="center" wrapText="1"/>
    </x:xf>
    <x:xf numFmtId="203" fontId="4" fillId="5" borderId="6" xfId="0" applyNumberFormat="1" applyFont="1" applyFill="1" applyBorder="1" applyAlignment="1">
      <x:alignment vertical="center" wrapText="1"/>
    </x:xf>
    <x:xf numFmtId="203" fontId="4" fillId="5" borderId="7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4" fillId="0" borderId="7" xfId="0" applyNumberFormat="1" applyFont="1" applyFill="1" applyBorder="1" applyAlignment="1">
      <x:alignment vertical="center" wrapText="1"/>
    </x:xf>
    <x:xf numFmtId="205" fontId="4" fillId="0" borderId="3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 wrapText="1"/>
    </x:xf>
    <x:xf numFmtId="205" fontId="4" fillId="0" borderId="6" xfId="0" applyNumberFormat="1" applyFont="1" applyFill="1" applyBorder="1" applyAlignment="1">
      <x:alignment vertical="center" wrapText="1"/>
    </x:xf>
    <x:xf numFmtId="205" fontId="4" fillId="0" borderId="7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1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203" fontId="4" fillId="5" borderId="9" xfId="0" applyNumberFormat="1" applyFont="1" applyFill="1" applyBorder="1" applyAlignment="1">
      <x:alignment vertical="center" wrapText="1"/>
    </x:xf>
    <x:xf numFmtId="203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203" fontId="4" fillId="5" borderId="12" xfId="0" applyNumberFormat="1" applyFont="1" applyFill="1" applyBorder="1" applyAlignment="1">
      <x:alignment vertical="center" wrapText="1"/>
    </x:xf>
    <x:xf numFmtId="203" fontId="4" fillId="5" borderId="13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203" fontId="6" fillId="5" borderId="9" xfId="0" applyNumberFormat="1" applyFont="1" applyFill="1" applyBorder="1" applyAlignment="1">
      <x:alignment vertical="center" wrapText="1"/>
    </x:xf>
    <x:xf numFmtId="203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203" fontId="6" fillId="5" borderId="12" xfId="0" applyNumberFormat="1" applyFont="1" applyFill="1" applyBorder="1" applyAlignment="1">
      <x:alignment vertical="center" wrapText="1"/>
    </x:xf>
    <x:xf numFmtId="203" fontId="6" fillId="5" borderId="13" xfId="0" applyNumberFormat="1" applyFont="1" applyFill="1" applyBorder="1" applyAlignment="1">
      <x:alignment vertical="center" wrapText="1"/>
    </x:xf>
    <x:xf numFmtId="201" fontId="4" fillId="5" borderId="9" xfId="0" applyNumberFormat="1" applyFont="1" applyFill="1" applyBorder="1" applyAlignment="1">
      <x:alignment vertical="center" wrapText="1"/>
    </x:xf>
    <x:xf numFmtId="201" fontId="4" fillId="5" borderId="10" xfId="0" applyNumberFormat="1" applyFont="1" applyFill="1" applyBorder="1" applyAlignment="1">
      <x:alignment vertical="center" wrapText="1"/>
    </x:xf>
    <x:xf numFmtId="201" fontId="4" fillId="5" borderId="12" xfId="0" applyNumberFormat="1" applyFont="1" applyFill="1" applyBorder="1" applyAlignment="1">
      <x:alignment vertical="center" wrapText="1"/>
    </x:xf>
    <x:xf numFmtId="201" fontId="4" fillId="5" borderId="13" xfId="0" applyNumberFormat="1" applyFont="1" applyFill="1" applyBorder="1" applyAlignment="1">
      <x:alignment vertical="center" wrapText="1"/>
    </x:xf>
    <x:xf numFmtId="201" fontId="6" fillId="5" borderId="9" xfId="0" applyNumberFormat="1" applyFont="1" applyFill="1" applyBorder="1" applyAlignment="1">
      <x:alignment vertical="center" wrapText="1"/>
    </x:xf>
    <x:xf numFmtId="201" fontId="6" fillId="5" borderId="10" xfId="0" applyNumberFormat="1" applyFont="1" applyFill="1" applyBorder="1" applyAlignment="1">
      <x:alignment vertical="center" wrapText="1"/>
    </x:xf>
    <x:xf numFmtId="201" fontId="6" fillId="5" borderId="12" xfId="0" applyNumberFormat="1" applyFont="1" applyFill="1" applyBorder="1" applyAlignment="1">
      <x:alignment vertical="center" wrapText="1"/>
    </x:xf>
    <x:xf numFmtId="201" fontId="6" fillId="5" borderId="13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2" fontId="7" fillId="0" borderId="4" xfId="0" applyNumberFormat="1" applyFont="1" applyFill="1" applyBorder="1" applyAlignment="1">
      <x:alignment vertical="center" wrapText="1"/>
    </x:xf>
    <x:xf numFmtId="202" fontId="7" fillId="0" borderId="6" xfId="0" applyNumberFormat="1" applyFont="1" applyFill="1" applyBorder="1" applyAlignment="1">
      <x:alignment vertical="center" wrapText="1"/>
    </x:xf>
    <x:xf numFmtId="202" fontId="7" fillId="0" borderId="7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3" fontId="7" fillId="0" borderId="3" xfId="0" applyNumberFormat="1" applyFont="1" applyFill="1" applyBorder="1" applyAlignment="1">
      <x:alignment vertical="center" wrapText="1"/>
    </x:xf>
    <x:xf numFmtId="203" fontId="7" fillId="0" borderId="6" xfId="0" applyNumberFormat="1" applyFont="1" applyFill="1" applyBorder="1" applyAlignment="1">
      <x:alignment vertical="center" wrapText="1"/>
    </x:xf>
    <x:xf numFmtId="201" fontId="7" fillId="0" borderId="3" xfId="0" applyNumberFormat="1" applyFont="1" applyFill="1" applyBorder="1" applyAlignment="1">
      <x:alignment vertical="center" wrapText="1"/>
    </x:xf>
    <x:xf numFmtId="201" fontId="7" fillId="0" borderId="6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4" fillId="5" borderId="28" xfId="0" applyNumberFormat="1" applyFont="1" applyFill="1" applyBorder="1"/>
    <x:xf numFmtId="0" fontId="4" fillId="5" borderId="29" xfId="0" applyNumberFormat="1" applyFont="1" applyFill="1" applyBorder="1"/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4" fillId="5" borderId="28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4" fillId="5" borderId="24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6" xfId="0" applyNumberFormat="1" applyFont="1" applyFill="1" applyBorder="1" applyAlignment="1">
      <x:alignment vertical="center" wrapText="1"/>
    </x:xf>
    <x:xf numFmtId="0" fontId="4" fillId="5" borderId="27" xfId="0" applyNumberFormat="1" applyFont="1" applyFill="1" applyBorder="1" applyAlignment="1">
      <x:alignment vertical="center" wrapText="1"/>
    </x:xf>
    <x:xf numFmtId="0" fontId="4" fillId="5" borderId="28" xfId="0" applyNumberFormat="1" applyFont="1" applyFill="1" applyBorder="1" applyAlignment="1">
      <x:alignment vertical="center" wrapText="1"/>
    </x:xf>
    <x:xf numFmtId="0" fontId="4" fillId="5" borderId="29" xfId="0" applyNumberFormat="1" applyFont="1" applyFill="1" applyBorder="1" applyAlignment="1">
      <x:alignment vertical="center" wrapText="1"/>
    </x:xf>
    <x:xf numFmtId="201" fontId="4" fillId="5" borderId="15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5" borderId="20" xfId="0" applyNumberFormat="1" applyFont="1" applyFill="1" applyBorder="1" applyAlignment="1">
      <x:alignment vertical="center" wrapText="1"/>
    </x:xf>
    <x:xf numFmtId="201" fontId="4" fillId="5" borderId="23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4" fillId="5" borderId="28" xfId="0" applyNumberFormat="1" applyFont="1" applyFill="1" applyBorder="1" applyAlignment="1">
      <x:alignment vertical="center" wrapText="1"/>
    </x:xf>
    <x:xf numFmtId="203" fontId="4" fillId="5" borderId="16" xfId="0" applyNumberFormat="1" applyFont="1" applyFill="1" applyBorder="1" applyAlignment="1">
      <x:alignment vertical="center" wrapText="1"/>
    </x:xf>
    <x:xf numFmtId="203" fontId="4" fillId="5" borderId="18" xfId="0" applyNumberFormat="1" applyFont="1" applyFill="1" applyBorder="1" applyAlignment="1">
      <x:alignment vertical="center" wrapText="1"/>
    </x:xf>
    <x:xf numFmtId="203" fontId="4" fillId="5" borderId="21" xfId="0" applyNumberFormat="1" applyFont="1" applyFill="1" applyBorder="1" applyAlignment="1">
      <x:alignment vertical="center" wrapText="1"/>
    </x:xf>
    <x:xf numFmtId="203" fontId="4" fillId="5" borderId="24" xfId="0" applyNumberFormat="1" applyFont="1" applyFill="1" applyBorder="1" applyAlignment="1">
      <x:alignment vertical="center" wrapText="1"/>
    </x:xf>
    <x:xf numFmtId="203" fontId="4" fillId="5" borderId="26" xfId="0" applyNumberFormat="1" applyFont="1" applyFill="1" applyBorder="1" applyAlignment="1">
      <x:alignment vertical="center" wrapText="1"/>
    </x:xf>
    <x:xf numFmtId="203" fontId="4" fillId="5" borderId="29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17" xfId="0" applyNumberFormat="1" applyFont="1" applyFill="1" applyBorder="1" applyAlignment="1">
      <x:alignment vertical="center" wrapText="1"/>
    </x:xf>
    <x:xf numFmtId="0" fontId="8" fillId="5" borderId="19" xfId="0" applyNumberFormat="1" applyFont="1" applyFill="1" applyBorder="1" applyAlignment="1">
      <x:alignment vertical="center" wrapText="1"/>
    </x:xf>
    <x:xf numFmtId="0" fontId="8" fillId="5" borderId="22" xfId="0" applyNumberFormat="1" applyFont="1" applyFill="1" applyBorder="1" applyAlignment="1">
      <x:alignment vertical="center" wrapText="1"/>
    </x:xf>
    <x:xf numFmtId="0" fontId="8" fillId="5" borderId="25" xfId="0" applyNumberFormat="1" applyFont="1" applyFill="1" applyBorder="1" applyAlignment="1">
      <x:alignment vertical="center" wrapText="1"/>
    </x:xf>
    <x:xf numFmtId="0" fontId="8" fillId="5" borderId="27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0" fontId="4" fillId="0" borderId="27" xfId="0" applyNumberFormat="1" applyFont="1" applyFill="1" applyBorder="1"/>
    <x:xf numFmtId="0" fontId="4" fillId="0" borderId="28" xfId="0" applyNumberFormat="1" applyFont="1" applyFill="1" applyBorder="1"/>
    <x:xf numFmtId="0" fontId="4" fillId="0" borderId="29" xfId="0" applyNumberFormat="1" applyFont="1" applyFill="1" applyBorder="1"/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6" xfId="0" applyNumberFormat="1" applyFont="1" applyFill="1" applyBorder="1" applyAlignment="1">
      <x:alignment wrapText="1"/>
    </x:xf>
    <x:xf numFmtId="0" fontId="4" fillId="0" borderId="27" xfId="0" applyNumberFormat="1" applyFont="1" applyFill="1" applyBorder="1" applyAlignment="1">
      <x:alignment wrapText="1"/>
    </x:xf>
    <x:xf numFmtId="0" fontId="4" fillId="0" borderId="28" xfId="0" applyNumberFormat="1" applyFont="1" applyFill="1" applyBorder="1" applyAlignment="1">
      <x:alignment wrapText="1"/>
    </x:xf>
    <x:xf numFmtId="0" fontId="4" fillId="0" borderId="29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4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6" xfId="0" applyNumberFormat="1" applyFont="1" applyFill="1" applyBorder="1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4" fillId="0" borderId="29" xfId="0" applyNumberFormat="1" applyFont="1" applyFill="1" applyBorder="1" applyAlignment="1">
      <x:alignment vertical="center" wrapText="1"/>
    </x:xf>
    <x:xf numFmtId="201" fontId="4" fillId="0" borderId="15" xfId="0" applyNumberFormat="1" applyFont="1" applyFill="1" applyBorder="1" applyAlignment="1">
      <x:alignment vertical="center" wrapText="1"/>
    </x:xf>
    <x:xf numFmtId="201" fontId="4" fillId="0" borderId="16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8" xfId="0" applyNumberFormat="1" applyFont="1" applyFill="1" applyBorder="1" applyAlignment="1">
      <x:alignment vertical="center" wrapText="1"/>
    </x:xf>
    <x:xf numFmtId="201" fontId="4" fillId="0" borderId="20" xfId="0" applyNumberFormat="1" applyFont="1" applyFill="1" applyBorder="1" applyAlignment="1">
      <x:alignment vertical="center" wrapText="1"/>
    </x:xf>
    <x:xf numFmtId="201" fontId="4" fillId="0" borderId="21" xfId="0" applyNumberFormat="1" applyFont="1" applyFill="1" applyBorder="1" applyAlignment="1">
      <x:alignment vertical="center" wrapText="1"/>
    </x:xf>
    <x:xf numFmtId="201" fontId="4" fillId="0" borderId="23" xfId="0" applyNumberFormat="1" applyFont="1" applyFill="1" applyBorder="1" applyAlignment="1">
      <x:alignment vertical="center" wrapText="1"/>
    </x:xf>
    <x:xf numFmtId="201" fontId="4" fillId="0" borderId="24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0" borderId="26" xfId="0" applyNumberFormat="1" applyFont="1" applyFill="1" applyBorder="1" applyAlignment="1">
      <x:alignment vertical="center" wrapText="1"/>
    </x:xf>
    <x:xf numFmtId="201" fontId="4" fillId="0" borderId="28" xfId="0" applyNumberFormat="1" applyFont="1" applyFill="1" applyBorder="1" applyAlignment="1">
      <x:alignment vertical="center" wrapText="1"/>
    </x:xf>
    <x:xf numFmtId="201" fontId="4" fillId="0" borderId="29" xfId="0" applyNumberFormat="1" applyFont="1" applyFill="1" applyBorder="1" applyAlignment="1">
      <x:alignment vertical="center" wrapText="1"/>
    </x:xf>
    <x:xf numFmtId="204" fontId="4" fillId="0" borderId="14" xfId="0" applyNumberFormat="1" applyFont="1" applyFill="1" applyBorder="1" applyAlignment="1">
      <x:alignment vertical="center" wrapText="1"/>
    </x:xf>
    <x:xf numFmtId="204" fontId="4" fillId="0" borderId="17" xfId="0" applyNumberFormat="1" applyFont="1" applyFill="1" applyBorder="1" applyAlignment="1">
      <x:alignment vertical="center" wrapText="1"/>
    </x:xf>
    <x:xf numFmtId="204" fontId="4" fillId="0" borderId="19" xfId="0" applyNumberFormat="1" applyFont="1" applyFill="1" applyBorder="1" applyAlignment="1">
      <x:alignment vertical="center" wrapText="1"/>
    </x:xf>
    <x:xf numFmtId="204" fontId="4" fillId="0" borderId="22" xfId="0" applyNumberFormat="1" applyFont="1" applyFill="1" applyBorder="1" applyAlignment="1">
      <x:alignment vertical="center" wrapText="1"/>
    </x:xf>
    <x:xf numFmtId="204" fontId="4" fillId="0" borderId="25" xfId="0" applyNumberFormat="1" applyFont="1" applyFill="1" applyBorder="1" applyAlignment="1">
      <x:alignment vertical="center" wrapText="1"/>
    </x:xf>
    <x:xf numFmtId="204" fontId="4" fillId="0" borderId="27" xfId="0" applyNumberFormat="1" applyFont="1" applyFill="1" applyBorder="1" applyAlignment="1">
      <x:alignment vertical="center" wrapText="1"/>
    </x:xf>
    <x:xf numFmtId="201" fontId="4" fillId="5" borderId="14" xfId="0" applyNumberFormat="1" applyFont="1" applyFill="1" applyBorder="1" applyAlignment="1">
      <x:alignment vertical="center" wrapText="1"/>
    </x:xf>
    <x:xf numFmtId="201" fontId="4" fillId="5" borderId="16" xfId="0" applyNumberFormat="1" applyFont="1" applyFill="1" applyBorder="1" applyAlignment="1">
      <x:alignment vertical="center" wrapText="1"/>
    </x:xf>
    <x:xf numFmtId="201" fontId="4" fillId="5" borderId="17" xfId="0" applyNumberFormat="1" applyFont="1" applyFill="1" applyBorder="1" applyAlignment="1">
      <x:alignment vertical="center" wrapText="1"/>
    </x:xf>
    <x:xf numFmtId="201" fontId="4" fillId="5" borderId="18" xfId="0" applyNumberFormat="1" applyFont="1" applyFill="1" applyBorder="1" applyAlignment="1">
      <x:alignment vertical="center" wrapText="1"/>
    </x:xf>
    <x:xf numFmtId="201" fontId="4" fillId="5" borderId="19" xfId="0" applyNumberFormat="1" applyFont="1" applyFill="1" applyBorder="1" applyAlignment="1">
      <x:alignment vertical="center" wrapText="1"/>
    </x:xf>
    <x:xf numFmtId="201" fontId="4" fillId="5" borderId="21" xfId="0" applyNumberFormat="1" applyFont="1" applyFill="1" applyBorder="1" applyAlignment="1">
      <x:alignment vertical="center" wrapText="1"/>
    </x:xf>
    <x:xf numFmtId="201" fontId="4" fillId="5" borderId="22" xfId="0" applyNumberFormat="1" applyFont="1" applyFill="1" applyBorder="1" applyAlignment="1">
      <x:alignment vertical="center" wrapText="1"/>
    </x:xf>
    <x:xf numFmtId="201" fontId="4" fillId="5" borderId="24" xfId="0" applyNumberFormat="1" applyFont="1" applyFill="1" applyBorder="1" applyAlignment="1">
      <x:alignment vertical="center" wrapText="1"/>
    </x:xf>
    <x:xf numFmtId="201" fontId="4" fillId="5" borderId="25" xfId="0" applyNumberFormat="1" applyFont="1" applyFill="1" applyBorder="1" applyAlignment="1">
      <x:alignment vertical="center" wrapText="1"/>
    </x:xf>
    <x:xf numFmtId="201" fontId="4" fillId="5" borderId="26" xfId="0" applyNumberFormat="1" applyFont="1" applyFill="1" applyBorder="1" applyAlignment="1">
      <x:alignment vertical="center" wrapText="1"/>
    </x:xf>
    <x:xf numFmtId="201" fontId="4" fillId="5" borderId="27" xfId="0" applyNumberFormat="1" applyFont="1" applyFill="1" applyBorder="1" applyAlignment="1">
      <x:alignment vertical="center" wrapText="1"/>
    </x:xf>
    <x:xf numFmtId="201" fontId="4" fillId="5" borderId="29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9" xfId="0" applyNumberFormat="1" applyFont="1" applyFill="1" applyBorder="1"/>
    <x:xf numFmtId="0" fontId="4" fillId="3" borderId="20" xfId="0" applyNumberFormat="1" applyFont="1" applyFill="1" applyBorder="1"/>
    <x:xf numFmtId="0" fontId="4" fillId="3" borderId="21" xfId="0" applyNumberFormat="1" applyFont="1" applyFill="1" applyBorder="1"/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4" fillId="3" borderId="21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4" fillId="3" borderId="16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4" fillId="3" borderId="24" xfId="0" applyNumberFormat="1" applyFont="1" applyFill="1" applyBorder="1"/>
    <x:xf numFmtId="0" fontId="4" fillId="3" borderId="27" xfId="0" applyNumberFormat="1" applyFont="1" applyFill="1" applyBorder="1"/>
    <x:xf numFmtId="0" fontId="4" fillId="3" borderId="28" xfId="0" applyNumberFormat="1" applyFont="1" applyFill="1" applyBorder="1"/>
    <x:xf numFmtId="0" fontId="4" fillId="3" borderId="29" xfId="0" applyNumberFormat="1" applyFont="1" applyFill="1" applyBorder="1"/>
    <x:xf numFmtId="0" fontId="4" fillId="3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4" fillId="3" borderId="24" xfId="0" applyNumberFormat="1" applyFont="1" applyFill="1" applyBorder="1" applyAlignment="1">
      <x:alignment wrapText="1"/>
    </x:xf>
    <x:xf numFmtId="0" fontId="4" fillId="3" borderId="27" xfId="0" applyNumberFormat="1" applyFont="1" applyFill="1" applyBorder="1" applyAlignment="1">
      <x:alignment wrapText="1"/>
    </x:xf>
    <x:xf numFmtId="0" fontId="4" fillId="3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vertical="center" wrapText="1"/>
    </x:xf>
    <x:xf numFmtId="0" fontId="4" fillId="3" borderId="24" xfId="0" applyNumberFormat="1" applyFont="1" applyFill="1" applyBorder="1" applyAlignment="1">
      <x:alignment vertical="center" wrapText="1"/>
    </x:xf>
    <x:xf numFmtId="0" fontId="4" fillId="3" borderId="27" xfId="0" applyNumberFormat="1" applyFont="1" applyFill="1" applyBorder="1" applyAlignment="1">
      <x:alignment vertical="center" wrapText="1"/>
    </x:xf>
    <x:xf numFmtId="0" fontId="4" fillId="3" borderId="28" xfId="0" applyNumberFormat="1" applyFont="1" applyFill="1" applyBorder="1" applyAlignment="1">
      <x:alignment vertical="center" wrapText="1"/>
    </x:xf>
    <x:xf numFmtId="0" fontId="4" fillId="3" borderId="29" xfId="0" applyNumberFormat="1" applyFont="1" applyFill="1" applyBorder="1" applyAlignment="1">
      <x:alignment vertical="center" wrapText="1"/>
    </x:xf>
    <x:xf numFmtId="202" fontId="4" fillId="5" borderId="15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2" fontId="4" fillId="5" borderId="20" xfId="0" applyNumberFormat="1" applyFont="1" applyFill="1" applyBorder="1" applyAlignment="1">
      <x:alignment vertical="center" wrapText="1"/>
    </x:xf>
    <x:xf numFmtId="202" fontId="4" fillId="5" borderId="23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2" fontId="4" fillId="5" borderId="28" xfId="0" applyNumberFormat="1" applyFont="1" applyFill="1" applyBorder="1" applyAlignment="1">
      <x:alignment vertical="center" wrapText="1"/>
    </x:xf>
    <x:xf numFmtId="203" fontId="4" fillId="5" borderId="15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4" fillId="5" borderId="20" xfId="0" applyNumberFormat="1" applyFont="1" applyFill="1" applyBorder="1" applyAlignment="1">
      <x:alignment vertical="center" wrapText="1"/>
    </x:xf>
    <x:xf numFmtId="203" fontId="4" fillId="5" borderId="23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3" fontId="4" fillId="5" borderId="28" xfId="0" applyNumberFormat="1" applyFont="1" applyFill="1" applyBorder="1" applyAlignment="1">
      <x:alignment vertical="center" wrapText="1"/>
    </x:xf>
    <x:xf numFmtId="201" fontId="7" fillId="5" borderId="15" xfId="0" applyNumberFormat="1" applyFont="1" applyFill="1" applyBorder="1" applyAlignment="1">
      <x:alignment vertical="center" wrapText="1"/>
    </x:xf>
    <x:xf numFmtId="202" fontId="7" fillId="5" borderId="15" xfId="0" applyNumberFormat="1" applyFont="1" applyFill="1" applyBorder="1" applyAlignment="1">
      <x:alignment vertical="center" wrapText="1"/>
    </x:xf>
    <x:xf numFmtId="201" fontId="7" fillId="5" borderId="0" xfId="0" applyNumberFormat="1" applyFont="1" applyFill="1" applyBorder="1" applyAlignment="1">
      <x:alignment vertical="center" wrapText="1"/>
    </x:xf>
    <x:xf numFmtId="202" fontId="7" fillId="5" borderId="0" xfId="0" applyNumberFormat="1" applyFont="1" applyFill="1" applyBorder="1" applyAlignment="1">
      <x:alignment vertical="center" wrapText="1"/>
    </x:xf>
    <x:xf numFmtId="201" fontId="7" fillId="5" borderId="20" xfId="0" applyNumberFormat="1" applyFont="1" applyFill="1" applyBorder="1" applyAlignment="1">
      <x:alignment vertical="center" wrapText="1"/>
    </x:xf>
    <x:xf numFmtId="202" fontId="7" fillId="5" borderId="20" xfId="0" applyNumberFormat="1" applyFont="1" applyFill="1" applyBorder="1" applyAlignment="1">
      <x:alignment vertical="center" wrapText="1"/>
    </x:xf>
    <x:xf numFmtId="201" fontId="7" fillId="5" borderId="23" xfId="0" applyNumberFormat="1" applyFont="1" applyFill="1" applyBorder="1" applyAlignment="1">
      <x:alignment vertical="center" wrapText="1"/>
    </x:xf>
    <x:xf numFmtId="202" fontId="7" fillId="5" borderId="23" xfId="0" applyNumberFormat="1" applyFont="1" applyFill="1" applyBorder="1" applyAlignment="1">
      <x:alignment vertical="center" wrapText="1"/>
    </x:xf>
    <x:xf numFmtId="201" fontId="7" fillId="5" borderId="1" xfId="0" applyNumberFormat="1" applyFont="1" applyFill="1" applyBorder="1" applyAlignment="1">
      <x:alignment vertical="center" wrapText="1"/>
    </x:xf>
    <x:xf numFmtId="202" fontId="7" fillId="5" borderId="1" xfId="0" applyNumberFormat="1" applyFont="1" applyFill="1" applyBorder="1" applyAlignment="1">
      <x:alignment vertical="center" wrapText="1"/>
    </x:xf>
    <x:xf numFmtId="201" fontId="7" fillId="5" borderId="28" xfId="0" applyNumberFormat="1" applyFont="1" applyFill="1" applyBorder="1" applyAlignment="1">
      <x:alignment vertical="center" wrapText="1"/>
    </x:xf>
    <x:xf numFmtId="202" fontId="7" fillId="5" borderId="28" xfId="0" applyNumberFormat="1" applyFont="1" applyFill="1" applyBorder="1" applyAlignment="1">
      <x:alignment vertical="center" wrapText="1"/>
    </x:xf>
    <x:xf numFmtId="203" fontId="7" fillId="5" borderId="15" xfId="0" applyNumberFormat="1" applyFont="1" applyFill="1" applyBorder="1" applyAlignment="1">
      <x:alignment vertical="center" wrapText="1"/>
    </x:xf>
    <x:xf numFmtId="203" fontId="7" fillId="5" borderId="0" xfId="0" applyNumberFormat="1" applyFont="1" applyFill="1" applyBorder="1" applyAlignment="1">
      <x:alignment vertical="center" wrapText="1"/>
    </x:xf>
    <x:xf numFmtId="203" fontId="7" fillId="5" borderId="20" xfId="0" applyNumberFormat="1" applyFont="1" applyFill="1" applyBorder="1" applyAlignment="1">
      <x:alignment vertical="center" wrapText="1"/>
    </x:xf>
    <x:xf numFmtId="203" fontId="7" fillId="5" borderId="23" xfId="0" applyNumberFormat="1" applyFont="1" applyFill="1" applyBorder="1" applyAlignment="1">
      <x:alignment vertical="center" wrapText="1"/>
    </x:xf>
    <x:xf numFmtId="203" fontId="7" fillId="5" borderId="1" xfId="0" applyNumberFormat="1" applyFont="1" applyFill="1" applyBorder="1" applyAlignment="1">
      <x:alignment vertical="center" wrapText="1"/>
    </x:xf>
    <x:xf numFmtId="203" fontId="7" fillId="5" borderId="28" xfId="0" applyNumberFormat="1" applyFont="1" applyFill="1" applyBorder="1" applyAlignment="1">
      <x:alignment vertical="center" wrapText="1"/>
    </x:xf>
    <x:xf numFmtId="202" fontId="4" fillId="5" borderId="18" xfId="0" applyNumberFormat="1" applyFont="1" applyFill="1" applyBorder="1" applyAlignment="1">
      <x:alignment vertical="center" wrapText="1"/>
    </x:xf>
    <x:xf numFmtId="202" fontId="4" fillId="5" borderId="26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/>
    <x:xf numFmtId="0" fontId="4" fillId="3" borderId="18" xfId="0" applyNumberFormat="1" applyFont="1" applyFill="1" applyBorder="1"/>
    <x:xf numFmtId="0" fontId="4" fillId="3" borderId="17" xfId="0" applyNumberFormat="1" applyFont="1" applyFill="1" applyBorder="1" applyAlignment="1">
      <x:alignment wrapText="1"/>
    </x:xf>
    <x:xf numFmtId="0" fontId="4" fillId="3" borderId="18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25" xfId="0" applyNumberFormat="1" applyFont="1" applyFill="1" applyBorder="1"/>
    <x:xf numFmtId="0" fontId="4" fillId="3" borderId="26" xfId="0" applyNumberFormat="1" applyFont="1" applyFill="1" applyBorder="1"/>
    <x:xf numFmtId="0" fontId="4" fillId="3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4" fillId="3" borderId="25" xfId="0" applyNumberFormat="1" applyFont="1" applyFill="1" applyBorder="1" applyAlignment="1">
      <x:alignment vertical="center" wrapText="1"/>
    </x:xf>
    <x:xf numFmtId="0" fontId="4" fillId="3" borderId="26" xfId="0" applyNumberFormat="1" applyFont="1" applyFill="1" applyBorder="1" applyAlignment="1">
      <x:alignment vertical="center" wrapText="1"/>
    </x:xf>
    <x:xf numFmtId="205" fontId="4" fillId="3" borderId="16" xfId="0" applyNumberFormat="1" applyFont="1" applyFill="1" applyBorder="1" applyAlignment="1">
      <x:alignment vertical="center" wrapText="1"/>
    </x:xf>
    <x:xf numFmtId="205" fontId="4" fillId="3" borderId="24" xfId="0" applyNumberFormat="1" applyFont="1" applyFill="1" applyBorder="1" applyAlignment="1">
      <x:alignment vertical="center" wrapText="1"/>
    </x:xf>
    <x:xf numFmtId="206" fontId="4" fillId="3" borderId="18" xfId="0" applyNumberFormat="1" applyFont="1" applyFill="1" applyBorder="1" applyAlignment="1">
      <x:alignment vertical="center" wrapText="1"/>
    </x:xf>
    <x:xf numFmtId="206" fontId="4" fillId="3" borderId="26" xfId="0" applyNumberFormat="1" applyFont="1" applyFill="1" applyBorder="1" applyAlignment="1">
      <x:alignment vertical="center" wrapText="1"/>
    </x:xf>
    <x:xf numFmtId="202" fontId="4" fillId="5" borderId="16" xfId="0" applyNumberFormat="1" applyFont="1" applyFill="1" applyBorder="1" applyAlignment="1">
      <x:alignment vertical="center" wrapText="1"/>
    </x:xf>
    <x:xf numFmtId="202" fontId="4" fillId="5" borderId="21" xfId="0" applyNumberFormat="1" applyFont="1" applyFill="1" applyBorder="1" applyAlignment="1">
      <x:alignment vertical="center" wrapText="1"/>
    </x:xf>
    <x:xf numFmtId="202" fontId="4" fillId="5" borderId="24" xfId="0" applyNumberFormat="1" applyFont="1" applyFill="1" applyBorder="1" applyAlignment="1">
      <x:alignment vertical="center" wrapText="1"/>
    </x:xf>
    <x:xf numFmtId="202" fontId="4" fillId="5" borderId="29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7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7" fontId="4" fillId="5" borderId="15" xfId="0" applyNumberFormat="1" applyFont="1" applyFill="1" applyBorder="1" applyAlignment="1">
      <x:alignment vertical="center" wrapText="1"/>
    </x:xf>
    <x:xf numFmtId="207" fontId="4" fillId="5" borderId="0" xfId="0" applyNumberFormat="1" applyFont="1" applyFill="1" applyBorder="1" applyAlignment="1">
      <x:alignment vertical="center" wrapText="1"/>
    </x:xf>
    <x:xf numFmtId="207" fontId="4" fillId="5" borderId="20" xfId="0" applyNumberFormat="1" applyFont="1" applyFill="1" applyBorder="1" applyAlignment="1">
      <x:alignment vertical="center" wrapText="1"/>
    </x:xf>
    <x:xf numFmtId="207" fontId="4" fillId="5" borderId="23" xfId="0" applyNumberFormat="1" applyFont="1" applyFill="1" applyBorder="1" applyAlignment="1">
      <x:alignment vertical="center" wrapText="1"/>
    </x:xf>
    <x:xf numFmtId="207" fontId="4" fillId="5" borderId="1" xfId="0" applyNumberFormat="1" applyFont="1" applyFill="1" applyBorder="1" applyAlignment="1">
      <x:alignment vertical="center" wrapText="1"/>
    </x:xf>
    <x:xf numFmtId="207" fontId="4" fillId="5" borderId="28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207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203" fontId="4" fillId="6" borderId="18" xfId="0" applyNumberFormat="1" applyFont="1" applyFill="1" applyBorder="1" applyAlignment="1">
      <x:alignment vertical="center" wrapText="1"/>
    </x:xf>
    <x:xf numFmtId="0" fontId="8" fillId="6" borderId="25" xfId="0" applyNumberFormat="1" applyFont="1" applyFill="1" applyBorder="1" applyAlignment="1">
      <x:alignment vertical="center" wrapText="1"/>
    </x:xf>
    <x:xf numFmtId="207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3" fontId="4" fillId="6" borderId="26" xfId="0" applyNumberFormat="1" applyFont="1" applyFill="1" applyBorder="1" applyAlignment="1">
      <x:alignment vertical="center" wrapText="1"/>
    </x:xf>
    <x:xf numFmtId="207" fontId="8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 wrapText="1"/>
    </x:xf>
    <x:xf numFmtId="203" fontId="8" fillId="6" borderId="18" xfId="0" applyNumberFormat="1" applyFont="1" applyFill="1" applyBorder="1" applyAlignment="1">
      <x:alignment vertical="center" wrapText="1"/>
    </x:xf>
    <x:xf numFmtId="207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201" fontId="8" fillId="6" borderId="1" xfId="0" applyNumberFormat="1" applyFont="1" applyFill="1" applyBorder="1" applyAlignment="1">
      <x:alignment vertical="center" wrapText="1"/>
    </x:xf>
    <x:xf numFmtId="203" fontId="8" fillId="6" borderId="26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14" xfId="0" applyNumberFormat="1" applyFont="1" applyFill="1" applyBorder="1" applyAlignment="1">
      <x:alignment vertical="center" wrapText="1"/>
    </x:xf>
    <x:xf numFmtId="201" fontId="4" fillId="2" borderId="15" xfId="0" applyNumberFormat="1" applyFont="1" applyFill="1" applyBorder="1" applyAlignment="1">
      <x:alignment vertical="center" wrapText="1"/>
    </x:xf>
    <x:xf numFmtId="201" fontId="4" fillId="2" borderId="1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vertical="center" wrapText="1"/>
    </x:xf>
    <x:xf numFmtId="201" fontId="3" fillId="2" borderId="15" xfId="0" applyNumberFormat="1" applyFont="1" applyFill="1" applyBorder="1" applyAlignment="1">
      <x:alignment vertical="center" wrapText="1"/>
    </x:xf>
    <x:xf numFmtId="201" fontId="3" fillId="2" borderId="16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201" fontId="3" fillId="2" borderId="3" xfId="0" applyNumberFormat="1" applyFont="1" applyFill="1" applyBorder="1" applyAlignment="1">
      <x:alignment vertical="center" wrapText="1"/>
    </x:xf>
    <x:xf numFmtId="201" fontId="3" fillId="2" borderId="4" xfId="0" applyNumberFormat="1" applyFont="1" applyFill="1" applyBorder="1" applyAlignment="1">
      <x:alignment vertical="center" wrapText="1"/>
    </x:xf>
    <x:xf numFmtId="201" fontId="3" fillId="2" borderId="3" xfId="0" applyNumberFormat="1" applyFont="1" applyFill="1" applyBorder="1" applyAlignment="1">
      <x:alignment horizontal="center" vertical="center" wrapText="1"/>
    </x:xf>
    <x:xf numFmtId="201" fontId="3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22" xfId="0" applyNumberFormat="1" applyFont="1" applyFill="1" applyBorder="1" applyAlignment="1">
      <x:alignment vertical="center" wrapText="1"/>
    </x:xf>
    <x:xf numFmtId="201" fontId="4" fillId="2" borderId="23" xfId="0" applyNumberFormat="1" applyFont="1" applyFill="1" applyBorder="1" applyAlignment="1">
      <x:alignment vertical="center" wrapText="1"/>
    </x:xf>
    <x:xf numFmtId="201" fontId="4" fillId="2" borderId="24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vertical="center" wrapText="1"/>
    </x:xf>
    <x:xf numFmtId="201" fontId="3" fillId="2" borderId="23" xfId="0" applyNumberFormat="1" applyFont="1" applyFill="1" applyBorder="1" applyAlignment="1">
      <x:alignment vertical="center" wrapText="1"/>
    </x:xf>
    <x:xf numFmtId="201" fontId="3" fillId="2" borderId="2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201" fontId="3" fillId="2" borderId="6" xfId="0" applyNumberFormat="1" applyFont="1" applyFill="1" applyBorder="1" applyAlignment="1">
      <x:alignment vertical="center" wrapText="1"/>
    </x:xf>
    <x:xf numFmtId="201" fontId="3" fillId="2" borderId="7" xfId="0" applyNumberFormat="1" applyFont="1" applyFill="1" applyBorder="1" applyAlignment="1">
      <x:alignment vertical="center" wrapText="1"/>
    </x:xf>
    <x:xf numFmtId="201" fontId="3" fillId="2" borderId="6" xfId="0" applyNumberFormat="1" applyFont="1" applyFill="1" applyBorder="1" applyAlignment="1">
      <x:alignment horizontal="center" vertical="center" wrapText="1"/>
    </x:xf>
    <x:xf numFmtId="201" fontId="3" fillId="2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208" fontId="4" fillId="5" borderId="14" xfId="0" applyNumberFormat="1" applyFont="1" applyFill="1" applyBorder="1" applyAlignment="1">
      <x:alignment vertical="center" wrapText="1"/>
    </x:xf>
    <x:xf numFmtId="208" fontId="4" fillId="5" borderId="15" xfId="0" applyNumberFormat="1" applyFont="1" applyFill="1" applyBorder="1" applyAlignment="1">
      <x:alignment vertical="center" wrapText="1"/>
    </x:xf>
    <x:xf numFmtId="208" fontId="4" fillId="5" borderId="16" xfId="0" applyNumberFormat="1" applyFont="1" applyFill="1" applyBorder="1" applyAlignment="1">
      <x:alignment vertical="center" wrapText="1"/>
    </x:xf>
    <x:xf numFmtId="208" fontId="4" fillId="5" borderId="17" xfId="0" applyNumberFormat="1" applyFont="1" applyFill="1" applyBorder="1" applyAlignment="1">
      <x:alignment vertical="center" wrapText="1"/>
    </x:xf>
    <x:xf numFmtId="208" fontId="4" fillId="5" borderId="0" xfId="0" applyNumberFormat="1" applyFont="1" applyFill="1" applyBorder="1" applyAlignment="1">
      <x:alignment vertical="center" wrapText="1"/>
    </x:xf>
    <x:xf numFmtId="208" fontId="4" fillId="5" borderId="18" xfId="0" applyNumberFormat="1" applyFont="1" applyFill="1" applyBorder="1" applyAlignment="1">
      <x:alignment vertical="center" wrapText="1"/>
    </x:xf>
    <x:xf numFmtId="208" fontId="4" fillId="5" borderId="19" xfId="0" applyNumberFormat="1" applyFont="1" applyFill="1" applyBorder="1" applyAlignment="1">
      <x:alignment vertical="center" wrapText="1"/>
    </x:xf>
    <x:xf numFmtId="208" fontId="4" fillId="5" borderId="20" xfId="0" applyNumberFormat="1" applyFont="1" applyFill="1" applyBorder="1" applyAlignment="1">
      <x:alignment vertical="center" wrapText="1"/>
    </x:xf>
    <x:xf numFmtId="208" fontId="4" fillId="5" borderId="21" xfId="0" applyNumberFormat="1" applyFont="1" applyFill="1" applyBorder="1" applyAlignment="1">
      <x:alignment vertical="center" wrapText="1"/>
    </x:xf>
    <x:xf numFmtId="208" fontId="4" fillId="5" borderId="22" xfId="0" applyNumberFormat="1" applyFont="1" applyFill="1" applyBorder="1" applyAlignment="1">
      <x:alignment vertical="center" wrapText="1"/>
    </x:xf>
    <x:xf numFmtId="208" fontId="4" fillId="5" borderId="23" xfId="0" applyNumberFormat="1" applyFont="1" applyFill="1" applyBorder="1" applyAlignment="1">
      <x:alignment vertical="center" wrapText="1"/>
    </x:xf>
    <x:xf numFmtId="208" fontId="4" fillId="5" borderId="24" xfId="0" applyNumberFormat="1" applyFont="1" applyFill="1" applyBorder="1" applyAlignment="1">
      <x:alignment vertical="center" wrapText="1"/>
    </x:xf>
    <x:xf numFmtId="208" fontId="4" fillId="5" borderId="25" xfId="0" applyNumberFormat="1" applyFont="1" applyFill="1" applyBorder="1" applyAlignment="1">
      <x:alignment vertical="center" wrapText="1"/>
    </x:xf>
    <x:xf numFmtId="208" fontId="4" fillId="5" borderId="1" xfId="0" applyNumberFormat="1" applyFont="1" applyFill="1" applyBorder="1" applyAlignment="1">
      <x:alignment vertical="center" wrapText="1"/>
    </x:xf>
    <x:xf numFmtId="208" fontId="4" fillId="5" borderId="26" xfId="0" applyNumberFormat="1" applyFont="1" applyFill="1" applyBorder="1" applyAlignment="1">
      <x:alignment vertical="center" wrapText="1"/>
    </x:xf>
    <x:xf numFmtId="208" fontId="4" fillId="5" borderId="27" xfId="0" applyNumberFormat="1" applyFont="1" applyFill="1" applyBorder="1" applyAlignment="1">
      <x:alignment vertical="center" wrapText="1"/>
    </x:xf>
    <x:xf numFmtId="208" fontId="4" fillId="5" borderId="28" xfId="0" applyNumberFormat="1" applyFont="1" applyFill="1" applyBorder="1" applyAlignment="1">
      <x:alignment vertical="center" wrapText="1"/>
    </x:xf>
    <x:xf numFmtId="208" fontId="4" fillId="5" borderId="2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vertical="center" wrapText="1"/>
    </x:xf>
    <x:xf numFmtId="0" fontId="8" fillId="3" borderId="19" xfId="0" applyNumberFormat="1" applyFont="1" applyFill="1" applyBorder="1" applyAlignment="1">
      <x:alignment vertical="center" wrapText="1"/>
    </x:xf>
    <x:xf numFmtId="0" fontId="8" fillId="3" borderId="22" xfId="0" applyNumberFormat="1" applyFont="1" applyFill="1" applyBorder="1" applyAlignment="1">
      <x:alignment vertical="center" wrapText="1"/>
    </x:xf>
    <x:xf numFmtId="0" fontId="8" fillId="3" borderId="27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3" borderId="14" xfId="0" applyNumberFormat="1" applyFont="1" applyFill="1" applyBorder="1" applyAlignment="1">
      <x:alignment vertical="center" wrapText="1"/>
    </x:xf>
    <x:xf numFmtId="0" fontId="6" fillId="3" borderId="19" xfId="0" applyNumberFormat="1" applyFont="1" applyFill="1" applyBorder="1" applyAlignment="1">
      <x:alignment vertical="center" wrapText="1"/>
    </x:xf>
    <x:xf numFmtId="0" fontId="6" fillId="3" borderId="22" xfId="0" applyNumberFormat="1" applyFont="1" applyFill="1" applyBorder="1" applyAlignment="1">
      <x:alignment vertical="center" wrapText="1"/>
    </x:xf>
    <x:xf numFmtId="0" fontId="6" fillId="3" borderId="2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10">
    <x:dxf>
      <x:font>
        <x:color rgb="FFC00000"/>
      </x:font>
    </x:dxf>
    <x:dxf>
      <x:font>
        <x:b/>
        <x:color rgb="FFC00000"/>
      </x:font>
      <x:fill>
        <x:patternFill patternType="solid">
          <x:bgColor rgb="FFFBE9E8"/>
        </x:patternFill>
      </x:fill>
    </x:dxf>
    <x:dxf>
      <x:font>
        <x:color rgb="FFC00000"/>
      </x:font>
    </x:dxf>
    <x:dxf>
      <x:font>
        <x:b/>
        <x:color rgb="FFC00000"/>
      </x:font>
      <x:fill>
        <x:patternFill patternType="solid">
          <x:bgColor rgb="FFFBE9E8"/>
        </x:patternFill>
      </x:fill>
    </x:dxf>
    <x:dxf>
      <x:font>
        <x:b/>
        <x:color rgb="FFC00000"/>
      </x:font>
      <x:fill>
        <x:patternFill patternType="solid">
          <x:bgColor rgb="FFFBE9E8"/>
        </x:patternFill>
      </x:fill>
    </x:dxf>
    <x:dxf>
      <x:font>
        <x:color rgb="FFC00000"/>
      </x:font>
    </x:dxf>
    <x:dxf>
      <x:font>
        <x:b/>
        <x:color rgb="FFC00000"/>
      </x:font>
      <x:fill>
        <x:patternFill patternType="solid">
          <x:bgColor rgb="FFFBE9E8"/>
        </x:patternFill>
      </x:fill>
    </x:dxf>
    <x:dxf>
      <x:font>
        <x:b/>
        <x:color rgb="FFC00000"/>
      </x:font>
      <x:fill>
        <x:patternFill patternType="solid">
          <x:bgColor rgb="FFFBE9E8"/>
        </x:patternFill>
      </x:fill>
    </x:dxf>
    <x:dxf>
      <x:font>
        <x:color rgb="FFC00000"/>
      </x:font>
    </x:dxf>
    <x:dxf>
      <x:font>
        <x:b/>
        <x:color rgb="FFC00000"/>
      </x:font>
      <x:fill>
        <x:patternFill patternType="solid">
          <x:bgColor rgb="FFFBE9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ae9d1e0834259" /><Relationship Type="http://schemas.openxmlformats.org/officeDocument/2006/relationships/theme" Target="/xl/theme/theme1.xml" Id="Rd8c64c2593e248f7" /><Relationship Type="http://schemas.openxmlformats.org/officeDocument/2006/relationships/sharedStrings" Target="/xl/sharedStrings.xml" Id="R88b7844ac6ee4cba" /><Relationship Type="http://schemas.openxmlformats.org/officeDocument/2006/relationships/worksheet" Target="/xl/worksheets/sheet1.xml" Id="Ra85c68ca69c34b01" /><Relationship Type="http://schemas.openxmlformats.org/officeDocument/2006/relationships/worksheet" Target="/xl/worksheets/sheet2.xml" Id="Rfb779d1bb4374d24" /><Relationship Type="http://schemas.openxmlformats.org/officeDocument/2006/relationships/worksheet" Target="/xl/worksheets/sheet3.xml" Id="Re0193e27c6de4fda" /><Relationship Type="http://schemas.openxmlformats.org/officeDocument/2006/relationships/worksheet" Target="/xl/worksheets/sheet4.xml" Id="R11c92dd3c0db4609" /><Relationship Type="http://schemas.openxmlformats.org/officeDocument/2006/relationships/worksheet" Target="/xl/worksheets/sheet5.xml" Id="R41f51ad6424742db" /><Relationship Type="http://schemas.openxmlformats.org/officeDocument/2006/relationships/worksheet" Target="/xl/worksheets/sheet6.xml" Id="Rbb5b036ec9df4b09" /><Relationship Type="http://schemas.openxmlformats.org/officeDocument/2006/relationships/worksheet" Target="/xl/worksheets/sheet7.xml" Id="R5e68c470c07a43e8" /><Relationship Type="http://schemas.openxmlformats.org/officeDocument/2006/relationships/worksheet" Target="/xl/worksheets/sheet8.xml" Id="R6d7bf536b8214214" /><Relationship Type="http://schemas.openxmlformats.org/officeDocument/2006/relationships/worksheet" Target="/xl/worksheets/sheet9.xml" Id="R41bb22c33f5043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6c3055a06b452e" /><Relationship Type="http://schemas.openxmlformats.org/officeDocument/2006/relationships/chart" Target="/xl/drawings/charts/chart2.xml" Id="R53b233e10d964b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6006f793de54874" /><Relationship Type="http://schemas.openxmlformats.org/officeDocument/2006/relationships/chart" Target="/xl/drawings/charts/chart4.xml" Id="R7dbaf8f8080a45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Revenue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 1</c:v>
          </c:tx>
          <c:cat>
            <c:strRef>
              <c:f>'Annual Summary'!$H$11:$H$13</c:f>
              <c:strCache>
                <c:ptCount val="0"/>
              </c:strCache>
            </c:strRef>
          </c:cat>
          <c:val>
            <c:numRef>
              <c:f>'Annual Summary'!$I$11:$I$13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Year 2</c:v>
          </c:tx>
          <c:cat>
            <c:strRef>
              <c:f>'Annual Summary'!$H$11:$H$13</c:f>
              <c:strCache>
                <c:ptCount val="0"/>
              </c:strCache>
            </c:strRef>
          </c:cat>
          <c:val>
            <c:numRef>
              <c:f>'Annual Summary'!$J$11:$J$13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Year 3</c:v>
          </c:tx>
          <c:cat>
            <c:strRef>
              <c:f>'Annual Summary'!$H$11:$H$13</c:f>
              <c:strCache>
                <c:ptCount val="0"/>
              </c:strCache>
            </c:strRef>
          </c:cat>
          <c:val>
            <c:numRef>
              <c:f>'Annual Summary'!$K$11:$K$13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 Case — Monthly Revenue, EBITDA, and Exit MRR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'Annual Summary'!$H$34:$H$69</c:f>
              <c:strCache>
                <c:ptCount val="0"/>
              </c:strCache>
            </c:strRef>
          </c:cat>
          <c:val>
            <c:numRef>
              <c:f>'Annual Summary'!$I$34:$I$69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'Annual Summary'!$H$34:$H$69</c:f>
              <c:strCache>
                <c:ptCount val="0"/>
              </c:strCache>
            </c:strRef>
          </c:cat>
          <c:val>
            <c:numRef>
              <c:f>'Annual Summary'!$J$34:$J$69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Exit MRR</c:v>
          </c:tx>
          <c:cat>
            <c:strRef>
              <c:f>'Annual Summary'!$H$34:$H$69</c:f>
              <c:strCache>
                <c:ptCount val="0"/>
              </c:strCache>
            </c:strRef>
          </c:cat>
          <c:val>
            <c:numRef>
              <c:f>'Annual Summary'!$K$34:$K$69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Ramp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Year 1</c:v>
          </c:tx>
          <c:cat>
            <c:strRef>
              <c:f>'Executive Summary'!$P$4:$P$6</c:f>
              <c:strCache>
                <c:ptCount val="0"/>
              </c:strCache>
            </c:strRef>
          </c:cat>
          <c:val>
            <c:numRef>
              <c:f>'Executive Summary'!$Q$4:$Q$6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Year 2</c:v>
          </c:tx>
          <c:cat>
            <c:strRef>
              <c:f>'Executive Summary'!$P$4:$P$6</c:f>
              <c:strCache>
                <c:ptCount val="0"/>
              </c:strCache>
            </c:strRef>
          </c:cat>
          <c:val>
            <c:numRef>
              <c:f>'Executive Summary'!$R$4:$R$6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Year 3</c:v>
          </c:tx>
          <c:cat>
            <c:strRef>
              <c:f>'Executive Summary'!$P$4:$P$6</c:f>
              <c:strCache>
                <c:ptCount val="0"/>
              </c:strCache>
            </c:strRef>
          </c:cat>
          <c:val>
            <c:numRef>
              <c:f>'Executive Summary'!$S$4:$S$6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 Case Monthly Operating Trajectory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'Executive Summary'!$P$10:$P$45</c:f>
              <c:strCache>
                <c:ptCount val="0"/>
              </c:strCache>
            </c:strRef>
          </c:cat>
          <c:val>
            <c:numRef>
              <c:f>'Executive Summary'!$Q$10:$Q$45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'Executive Summary'!$P$10:$P$45</c:f>
              <c:strCache>
                <c:ptCount val="0"/>
              </c:strCache>
            </c:strRef>
          </c:cat>
          <c:val>
            <c:numRef>
              <c:f>'Executive Summary'!$R$10:$R$45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Exit MRR</c:v>
          </c:tx>
          <c:cat>
            <c:strRef>
              <c:f>'Executive Summary'!$P$10:$P$45</c:f>
              <c:strCache>
                <c:ptCount val="0"/>
              </c:strCache>
            </c:strRef>
          </c:cat>
          <c:val>
            <c:numRef>
              <c:f>'Executive Summary'!$S$10:$S$45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rot="-2700000" anchorCtr="1"/>
          <a:lstStyle xmlns:a="http://schemas.openxmlformats.org/drawingml/2006/main"/>
          <a:p xmlns:a="http://schemas.openxmlformats.org/drawingml/2006/main">
            <a:pPr>
              <a:defRPr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c3055a06b452e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b233e10d964b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006f793de54874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baf8f8080a45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e1d887a04e7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6074807c76834c1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</x:cols>
  <x:sheetData>
    <x:row r="1" ht="34" customHeight="1">
      <x:c r="A1" s="414" t="str">
        <x:v>GoalOS Financial Model — Assumptions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Illustrative management scenarios. All figures are synthetic planning inputs—not guarantees, forecasts of actual returns, or valuation advice.</x:v>
      </x:c>
      <x:c r="B2" s="415" t="str"/>
      <x:c r="C2" s="415" t="str"/>
      <x:c r="D2" s="415" t="str"/>
      <x:c r="E2" s="415" t="str"/>
      <x:c r="F2" s="415" t="str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 ht="28" customHeight="1">
      <x:c r="A3" s="26" t="str">
        <x:v>Assumption</x:v>
      </x:c>
      <x:c r="B3" s="27" t="str">
        <x:v>Unit</x:v>
      </x:c>
      <x:c r="C3" s="27" t="str">
        <x:v>Conservative</x:v>
      </x:c>
      <x:c r="D3" s="27" t="str">
        <x:v>Base</x:v>
      </x:c>
      <x:c r="E3" s="27" t="str">
        <x:v>Upside</x:v>
      </x:c>
      <x:c r="F3" s="28" t="str">
        <x:v>Source / rationale</x:v>
      </x:c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>
      <x:c r="A4" s="49" t="str">
        <x:v>Projection start date</x:v>
      </x:c>
      <x:c r="B4" s="50" t="str">
        <x:v>date</x:v>
      </x:c>
      <x:c r="C4" s="78" t="n">
        <x:v>46235</x:v>
      </x:c>
      <x:c r="D4" s="78" t="n">
        <x:v>46235</x:v>
      </x:c>
      <x:c r="E4" s="78" t="n">
        <x:v>46235</x:v>
      </x:c>
      <x:c r="F4" s="51" t="str">
        <x:v>Management launch assumption; editable.</x:v>
      </x:c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>
      <x:c r="A5" s="49" t="str">
        <x:v>Initial cash</x:v>
      </x:c>
      <x:c r="B5" s="50" t="str">
        <x:v>$</x:v>
      </x:c>
      <x:c r="C5" s="80" t="n">
        <x:v>1500000</x:v>
      </x:c>
      <x:c r="D5" s="80" t="n">
        <x:v>1500000</x:v>
      </x:c>
      <x:c r="E5" s="80" t="n">
        <x:v>1500000</x:v>
      </x:c>
      <x:c r="F5" s="51" t="str">
        <x:v>Management planning assumption.</x:v>
      </x:c>
      <x:c r="G5" s="415"/>
      <x:c r="H5" s="415"/>
      <x:c r="I5" s="415"/>
      <x:c r="J5" s="415"/>
      <x:c r="K5" s="415"/>
      <x:c r="L5" s="415"/>
      <x:c r="M5" s="415"/>
      <x:c r="N5" s="415"/>
      <x:c r="O5" s="415"/>
      <x:c r="P5" s="415"/>
      <x:c r="Q5" s="415"/>
      <x:c r="R5" s="415"/>
      <x:c r="S5" s="415"/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>
      <x:c r="A6" s="49" t="str">
        <x:v>Projection months</x:v>
      </x:c>
      <x:c r="B6" s="50" t="str">
        <x:v>months</x:v>
      </x:c>
      <x:c r="C6" s="74" t="n">
        <x:v>36</x:v>
      </x:c>
      <x:c r="D6" s="74" t="n">
        <x:v>36</x:v>
      </x:c>
      <x:c r="E6" s="74" t="n">
        <x:v>36</x:v>
      </x:c>
      <x:c r="F6" s="51" t="str">
        <x:v>Three-year operating model.</x:v>
      </x:c>
      <x:c r="G6" s="415"/>
      <x:c r="H6" s="415"/>
      <x:c r="I6" s="415"/>
      <x:c r="J6" s="415"/>
      <x:c r="K6" s="415"/>
      <x:c r="L6" s="415"/>
      <x:c r="M6" s="415"/>
      <x:c r="N6" s="415"/>
      <x:c r="O6" s="415"/>
      <x:c r="P6" s="415"/>
      <x:c r="Q6" s="415"/>
      <x:c r="R6" s="415"/>
      <x:c r="S6" s="415"/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>
      <x:c r="A7" s="415"/>
      <x:c r="B7" s="415"/>
      <x:c r="C7" s="420"/>
      <x:c r="D7" s="420"/>
      <x:c r="E7" s="420"/>
      <x:c r="F7" s="415"/>
      <x:c r="G7" s="415"/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 ht="23" customHeight="1">
      <x:c r="A8" s="416" t="str">
        <x:v>PRICING &amp; GROSS MARGIN</x:v>
      </x:c>
      <x:c r="B8" s="415"/>
      <x:c r="C8" s="420"/>
      <x:c r="D8" s="420"/>
      <x:c r="E8" s="420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9" t="str">
        <x:v>Frontier Executive Briefing — price</x:v>
      </x:c>
      <x:c r="B9" s="50" t="str">
        <x:v>$ / engagement</x:v>
      </x:c>
      <x:c r="C9" s="80" t="n">
        <x:v>10000</x:v>
      </x:c>
      <x:c r="D9" s="80" t="n">
        <x:v>15000</x:v>
      </x:c>
      <x:c r="E9" s="80" t="n">
        <x:v>20000</x:v>
      </x:c>
      <x:c r="F9" s="51" t="str">
        <x:v>Current GoalOS offer ladder; management planning assumption.</x:v>
      </x:c>
      <x:c r="G9" s="415"/>
      <x:c r="H9" s="415"/>
      <x:c r="I9" s="415"/>
      <x:c r="J9" s="415"/>
      <x:c r="K9" s="415"/>
      <x:c r="L9" s="415"/>
      <x:c r="M9" s="415"/>
      <x:c r="N9" s="415"/>
      <x:c r="O9" s="415"/>
      <x:c r="P9" s="415"/>
      <x:c r="Q9" s="415"/>
      <x:c r="R9" s="415"/>
      <x:c r="S9" s="415"/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>
      <x:c r="A10" s="49" t="str">
        <x:v>Frontier Executive Briefing — gross margin</x:v>
      </x:c>
      <x:c r="B10" s="50" t="str">
        <x:v>%</x:v>
      </x:c>
      <x:c r="C10" s="82" t="n">
        <x:v>0.75</x:v>
      </x:c>
      <x:c r="D10" s="82" t="n">
        <x:v>0.78</x:v>
      </x:c>
      <x:c r="E10" s="82" t="n">
        <x:v>0.8</x:v>
      </x:c>
      <x:c r="F10" s="51" t="str">
        <x:v>Delivery-cost assumption.</x:v>
      </x:c>
      <x:c r="G10" s="415"/>
      <x:c r="H10" s="415"/>
      <x:c r="I10" s="415"/>
      <x:c r="J10" s="415"/>
      <x:c r="K10" s="415"/>
      <x:c r="L10" s="415"/>
      <x:c r="M10" s="415"/>
      <x:c r="N10" s="415"/>
      <x:c r="O10" s="415"/>
      <x:c r="P10" s="415"/>
      <x:c r="Q10" s="415"/>
      <x:c r="R10" s="415"/>
      <x:c r="S10" s="415"/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>
      <x:c r="A11" s="49" t="str">
        <x:v>Private Flagship MasterClass — price</x:v>
      </x:c>
      <x:c r="B11" s="50" t="str">
        <x:v>$ / engagement</x:v>
      </x:c>
      <x:c r="C11" s="80" t="n">
        <x:v>25000</x:v>
      </x:c>
      <x:c r="D11" s="80" t="n">
        <x:v>35000</x:v>
      </x:c>
      <x:c r="E11" s="80" t="n">
        <x:v>45000</x:v>
      </x:c>
      <x:c r="F11" s="51" t="str">
        <x:v>Current GoalOS offer ladder; management planning assumption.</x:v>
      </x:c>
      <x:c r="G11" s="415"/>
      <x:c r="H11" s="415"/>
      <x:c r="I11" s="415"/>
      <x:c r="J11" s="415"/>
      <x:c r="K11" s="415"/>
      <x:c r="L11" s="415"/>
      <x:c r="M11" s="415"/>
      <x:c r="N11" s="415"/>
      <x:c r="O11" s="415"/>
      <x:c r="P11" s="415"/>
      <x:c r="Q11" s="415"/>
      <x:c r="R11" s="415"/>
      <x:c r="S11" s="415"/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>
      <x:c r="A12" s="49" t="str">
        <x:v>Private Flagship MasterClass — gross margin</x:v>
      </x:c>
      <x:c r="B12" s="50" t="str">
        <x:v>%</x:v>
      </x:c>
      <x:c r="C12" s="82" t="n">
        <x:v>0.7</x:v>
      </x:c>
      <x:c r="D12" s="82" t="n">
        <x:v>0.72</x:v>
      </x:c>
      <x:c r="E12" s="82" t="n">
        <x:v>0.75</x:v>
      </x:c>
      <x:c r="F12" s="51" t="str">
        <x:v>Delivery-cost assumption.</x:v>
      </x:c>
      <x:c r="G12" s="415"/>
      <x:c r="H12" s="415"/>
      <x:c r="I12" s="415"/>
      <x:c r="J12" s="415"/>
      <x:c r="K12" s="415"/>
      <x:c r="L12" s="415"/>
      <x:c r="M12" s="415"/>
      <x:c r="N12" s="415"/>
      <x:c r="O12" s="415"/>
      <x:c r="P12" s="415"/>
      <x:c r="Q12" s="415"/>
      <x:c r="R12" s="415"/>
      <x:c r="S12" s="415"/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>
      <x:c r="A13" s="49" t="str">
        <x:v>Money Machine Design Lab — price</x:v>
      </x:c>
      <x:c r="B13" s="50" t="str">
        <x:v>$ / engagement</x:v>
      </x:c>
      <x:c r="C13" s="80" t="n">
        <x:v>50000</x:v>
      </x:c>
      <x:c r="D13" s="80" t="n">
        <x:v>75000</x:v>
      </x:c>
      <x:c r="E13" s="80" t="n">
        <x:v>100000</x:v>
      </x:c>
      <x:c r="F13" s="51" t="str">
        <x:v>Current GoalOS offer ladder; management planning assumption.</x:v>
      </x:c>
      <x:c r="G13" s="415"/>
      <x:c r="H13" s="415"/>
      <x:c r="I13" s="415"/>
      <x:c r="J13" s="415"/>
      <x:c r="K13" s="415"/>
      <x:c r="L13" s="415"/>
      <x:c r="M13" s="415"/>
      <x:c r="N13" s="415"/>
      <x:c r="O13" s="415"/>
      <x:c r="P13" s="415"/>
      <x:c r="Q13" s="415"/>
      <x:c r="R13" s="415"/>
      <x:c r="S13" s="415"/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>
      <x:c r="A14" s="49" t="str">
        <x:v>Money Machine Design Lab — gross margin</x:v>
      </x:c>
      <x:c r="B14" s="50" t="str">
        <x:v>%</x:v>
      </x:c>
      <x:c r="C14" s="82" t="n">
        <x:v>0.65</x:v>
      </x:c>
      <x:c r="D14" s="82" t="n">
        <x:v>0.68</x:v>
      </x:c>
      <x:c r="E14" s="82" t="n">
        <x:v>0.7</x:v>
      </x:c>
      <x:c r="F14" s="51" t="str">
        <x:v>Delivery-cost assumption.</x:v>
      </x:c>
      <x:c r="G14" s="415"/>
      <x:c r="H14" s="415"/>
      <x:c r="I14" s="415"/>
      <x:c r="J14" s="415"/>
      <x:c r="K14" s="415"/>
      <x:c r="L14" s="415"/>
      <x:c r="M14" s="415"/>
      <x:c r="N14" s="415"/>
      <x:c r="O14" s="415"/>
      <x:c r="P14" s="415"/>
      <x:c r="Q14" s="415"/>
      <x:c r="R14" s="415"/>
      <x:c r="S14" s="415"/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>
      <x:c r="A15" s="49" t="str">
        <x:v>Revenue Institution Sprint — price</x:v>
      </x:c>
      <x:c r="B15" s="50" t="str">
        <x:v>$ / engagement</x:v>
      </x:c>
      <x:c r="C15" s="80" t="n">
        <x:v>100000</x:v>
      </x:c>
      <x:c r="D15" s="80" t="n">
        <x:v>150000</x:v>
      </x:c>
      <x:c r="E15" s="80" t="n">
        <x:v>225000</x:v>
      </x:c>
      <x:c r="F15" s="51" t="str">
        <x:v>Current GoalOS offer ladder; management planning assumption.</x:v>
      </x:c>
      <x:c r="G15" s="415"/>
      <x:c r="H15" s="415"/>
      <x:c r="I15" s="415"/>
      <x:c r="J15" s="415"/>
      <x:c r="K15" s="415"/>
      <x:c r="L15" s="415"/>
      <x:c r="M15" s="415"/>
      <x:c r="N15" s="415"/>
      <x:c r="O15" s="415"/>
      <x:c r="P15" s="415"/>
      <x:c r="Q15" s="415"/>
      <x:c r="R15" s="415"/>
      <x:c r="S15" s="415"/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49" t="str">
        <x:v>Revenue Institution Sprint — gross margin</x:v>
      </x:c>
      <x:c r="B16" s="50" t="str">
        <x:v>%</x:v>
      </x:c>
      <x:c r="C16" s="82" t="n">
        <x:v>0.6</x:v>
      </x:c>
      <x:c r="D16" s="82" t="n">
        <x:v>0.62</x:v>
      </x:c>
      <x:c r="E16" s="82" t="n">
        <x:v>0.65</x:v>
      </x:c>
      <x:c r="F16" s="51" t="str">
        <x:v>Delivery-cost assumption.</x:v>
      </x:c>
      <x:c r="G16" s="415"/>
      <x:c r="H16" s="415"/>
      <x:c r="I16" s="415"/>
      <x:c r="J16" s="415"/>
      <x:c r="K16" s="415"/>
      <x:c r="L16" s="415"/>
      <x:c r="M16" s="415"/>
      <x:c r="N16" s="415"/>
      <x:c r="O16" s="415"/>
      <x:c r="P16" s="415"/>
      <x:c r="Q16" s="415"/>
      <x:c r="R16" s="415"/>
      <x:c r="S16" s="415"/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>
      <x:c r="A17" s="49" t="str">
        <x:v>Proof-to-Revenue Run — price</x:v>
      </x:c>
      <x:c r="B17" s="50" t="str">
        <x:v>$ / engagement</x:v>
      </x:c>
      <x:c r="C17" s="80" t="n">
        <x:v>200000</x:v>
      </x:c>
      <x:c r="D17" s="80" t="n">
        <x:v>300000</x:v>
      </x:c>
      <x:c r="E17" s="80" t="n">
        <x:v>450000</x:v>
      </x:c>
      <x:c r="F17" s="51" t="str">
        <x:v>Current GoalOS offer ladder; management planning assumption.</x:v>
      </x:c>
      <x:c r="G17" s="415"/>
      <x:c r="H17" s="415"/>
      <x:c r="I17" s="415"/>
      <x:c r="J17" s="415"/>
      <x:c r="K17" s="415"/>
      <x:c r="L17" s="415"/>
      <x:c r="M17" s="415"/>
      <x:c r="N17" s="415"/>
      <x:c r="O17" s="415"/>
      <x:c r="P17" s="415"/>
      <x:c r="Q17" s="415"/>
      <x:c r="R17" s="415"/>
      <x:c r="S17" s="415"/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>
      <x:c r="A18" s="49" t="str">
        <x:v>Proof-to-Revenue Run — gross margin</x:v>
      </x:c>
      <x:c r="B18" s="50" t="str">
        <x:v>%</x:v>
      </x:c>
      <x:c r="C18" s="82" t="n">
        <x:v>0.55</x:v>
      </x:c>
      <x:c r="D18" s="82" t="n">
        <x:v>0.58</x:v>
      </x:c>
      <x:c r="E18" s="82" t="n">
        <x:v>0.6</x:v>
      </x:c>
      <x:c r="F18" s="51" t="str">
        <x:v>Delivery-cost assumption.</x:v>
      </x:c>
      <x:c r="G18" s="415"/>
      <x:c r="H18" s="415"/>
      <x:c r="I18" s="415"/>
      <x:c r="J18" s="415"/>
      <x:c r="K18" s="415"/>
      <x:c r="L18" s="415"/>
      <x:c r="M18" s="415"/>
      <x:c r="N18" s="415"/>
      <x:c r="O18" s="415"/>
      <x:c r="P18" s="415"/>
      <x:c r="Q18" s="415"/>
      <x:c r="R18" s="415"/>
      <x:c r="S18" s="415"/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49" t="str">
        <x:v>Enterprise Proof Institution — price</x:v>
      </x:c>
      <x:c r="B19" s="50" t="str">
        <x:v>$ / engagement</x:v>
      </x:c>
      <x:c r="C19" s="80" t="n">
        <x:v>500000</x:v>
      </x:c>
      <x:c r="D19" s="80" t="n">
        <x:v>750000</x:v>
      </x:c>
      <x:c r="E19" s="80" t="n">
        <x:v>1000000</x:v>
      </x:c>
      <x:c r="F19" s="51" t="str">
        <x:v>Current GoalOS offer ladder; management planning assumption.</x:v>
      </x:c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49" t="str">
        <x:v>Enterprise Proof Institution — gross margin</x:v>
      </x:c>
      <x:c r="B20" s="50" t="str">
        <x:v>%</x:v>
      </x:c>
      <x:c r="C20" s="82" t="n">
        <x:v>0.5</x:v>
      </x:c>
      <x:c r="D20" s="82" t="n">
        <x:v>0.55</x:v>
      </x:c>
      <x:c r="E20" s="82" t="n">
        <x:v>0.58</x:v>
      </x:c>
      <x:c r="F20" s="51" t="str">
        <x:v>Delivery-cost assumption.</x:v>
      </x:c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9" t="str">
        <x:v>GoalOS Proof OS — monthly recurring price</x:v>
      </x:c>
      <x:c r="B21" s="50" t="str">
        <x:v>$ / month</x:v>
      </x:c>
      <x:c r="C21" s="80" t="n">
        <x:v>7500</x:v>
      </x:c>
      <x:c r="D21" s="80" t="n">
        <x:v>10000</x:v>
      </x:c>
      <x:c r="E21" s="80" t="n">
        <x:v>15000</x:v>
      </x:c>
      <x:c r="F21" s="51" t="str">
        <x:v>Recurring proof and decision-support assumption.</x:v>
      </x:c>
      <x:c r="G21" s="415"/>
      <x:c r="H21" s="415"/>
      <x:c r="I21" s="415"/>
      <x:c r="J21" s="415"/>
      <x:c r="K21" s="415"/>
      <x:c r="L21" s="415"/>
      <x:c r="M21" s="415"/>
      <x:c r="N21" s="415"/>
      <x:c r="O21" s="415"/>
      <x:c r="P21" s="415"/>
      <x:c r="Q21" s="415"/>
      <x:c r="R21" s="415"/>
      <x:c r="S21" s="415"/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49" t="str">
        <x:v>GoalOS Proof OS — gross margin</x:v>
      </x:c>
      <x:c r="B22" s="50" t="str">
        <x:v>%</x:v>
      </x:c>
      <x:c r="C22" s="82" t="n">
        <x:v>0.78</x:v>
      </x:c>
      <x:c r="D22" s="82" t="n">
        <x:v>0.8</x:v>
      </x:c>
      <x:c r="E22" s="82" t="n">
        <x:v>0.82</x:v>
      </x:c>
      <x:c r="F22" s="51" t="str">
        <x:v>Recurring delivery-cost assumption.</x:v>
      </x:c>
      <x:c r="G22" s="415"/>
      <x:c r="H22" s="415"/>
      <x:c r="I22" s="415"/>
      <x:c r="J22" s="415"/>
      <x:c r="K22" s="415"/>
      <x:c r="L22" s="415"/>
      <x:c r="M22" s="415"/>
      <x:c r="N22" s="415"/>
      <x:c r="O22" s="415"/>
      <x:c r="P22" s="415"/>
      <x:c r="Q22" s="415"/>
      <x:c r="R22" s="415"/>
      <x:c r="S22" s="415"/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>
      <x:c r="A23" s="415"/>
      <x:c r="B23" s="415"/>
      <x:c r="C23" s="420"/>
      <x:c r="D23" s="420"/>
      <x:c r="E23" s="420"/>
      <x:c r="F23" s="415"/>
      <x:c r="G23" s="415"/>
      <x:c r="H23" s="415"/>
      <x:c r="I23" s="415"/>
      <x:c r="J23" s="415"/>
      <x:c r="K23" s="415"/>
      <x:c r="L23" s="415"/>
      <x:c r="M23" s="415"/>
      <x:c r="N23" s="415"/>
      <x:c r="O23" s="415"/>
      <x:c r="P23" s="415"/>
      <x:c r="Q23" s="415"/>
      <x:c r="R23" s="415"/>
      <x:c r="S23" s="415"/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 ht="23" customHeight="1">
      <x:c r="A24" s="416" t="str">
        <x:v>DEMAND &amp; FUNNEL</x:v>
      </x:c>
      <x:c r="B24" s="415"/>
      <x:c r="C24" s="420"/>
      <x:c r="D24" s="420"/>
      <x:c r="E24" s="420"/>
      <x:c r="F24" s="415"/>
      <x:c r="G24" s="415"/>
      <x:c r="H24" s="415"/>
      <x:c r="I24" s="415"/>
      <x:c r="J24" s="415"/>
      <x:c r="K24" s="415"/>
      <x:c r="L24" s="415"/>
      <x:c r="M24" s="415"/>
      <x:c r="N24" s="415"/>
      <x:c r="O24" s="415"/>
      <x:c r="P24" s="415"/>
      <x:c r="Q24" s="415"/>
      <x:c r="R24" s="415"/>
      <x:c r="S24" s="415"/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9" t="str">
        <x:v>Qualified leads — Month 1</x:v>
      </x:c>
      <x:c r="B25" s="50" t="str">
        <x:v>leads / month</x:v>
      </x:c>
      <x:c r="C25" s="84" t="n">
        <x:v>20</x:v>
      </x:c>
      <x:c r="D25" s="84" t="n">
        <x:v>24</x:v>
      </x:c>
      <x:c r="E25" s="84" t="n">
        <x:v>35</x:v>
      </x:c>
      <x:c r="F25" s="51" t="str">
        <x:v>Warm, qualified demand—not scraped contacts.</x:v>
      </x:c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9" t="str">
        <x:v>Monthly qualified-lead growth</x:v>
      </x:c>
      <x:c r="B26" s="50" t="str">
        <x:v>% / month</x:v>
      </x:c>
      <x:c r="C26" s="82" t="n">
        <x:v>0.04</x:v>
      </x:c>
      <x:c r="D26" s="82" t="n">
        <x:v>0.05</x:v>
      </x:c>
      <x:c r="E26" s="82" t="n">
        <x:v>0.07</x:v>
      </x:c>
      <x:c r="F26" s="51" t="str">
        <x:v>Illustrative growth from referrals, content, partnerships, and reinvestment.</x:v>
      </x:c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9" t="str">
        <x:v>Qualified lead → discovery call</x:v>
      </x:c>
      <x:c r="B27" s="50" t="str">
        <x:v>%</x:v>
      </x:c>
      <x:c r="C27" s="82" t="n">
        <x:v>0.3</x:v>
      </x:c>
      <x:c r="D27" s="82" t="n">
        <x:v>0.3</x:v>
      </x:c>
      <x:c r="E27" s="82" t="n">
        <x:v>0.33</x:v>
      </x:c>
      <x:c r="F27" s="51" t="str">
        <x:v>Management conversion hypothesis.</x:v>
      </x:c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/>
      <x:c r="Q27" s="415"/>
      <x:c r="R27" s="415"/>
      <x:c r="S27" s="415"/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>
      <x:c r="A28" s="49" t="str">
        <x:v>Discovery call → proposal</x:v>
      </x:c>
      <x:c r="B28" s="50" t="str">
        <x:v>%</x:v>
      </x:c>
      <x:c r="C28" s="82" t="n">
        <x:v>0.55</x:v>
      </x:c>
      <x:c r="D28" s="82" t="n">
        <x:v>0.58</x:v>
      </x:c>
      <x:c r="E28" s="82" t="n">
        <x:v>0.62</x:v>
      </x:c>
      <x:c r="F28" s="51" t="str">
        <x:v>Management conversion hypothesis.</x:v>
      </x:c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/>
      <x:c r="Q28" s="415"/>
      <x:c r="R28" s="415"/>
      <x:c r="S28" s="415"/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49" t="str">
        <x:v>Proposal → paid entry engagement</x:v>
      </x:c>
      <x:c r="B29" s="50" t="str">
        <x:v>%</x:v>
      </x:c>
      <x:c r="C29" s="82" t="n">
        <x:v>0.25</x:v>
      </x:c>
      <x:c r="D29" s="82" t="n">
        <x:v>0.28</x:v>
      </x:c>
      <x:c r="E29" s="82" t="n">
        <x:v>0.32</x:v>
      </x:c>
      <x:c r="F29" s="51" t="str">
        <x:v>Management conversion hypothesis.</x:v>
      </x:c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/>
      <x:c r="Q29" s="415"/>
      <x:c r="R29" s="415"/>
      <x:c r="S29" s="415"/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49" t="str">
        <x:v>Proof-driven close-rate lift per validated case</x:v>
      </x:c>
      <x:c r="B30" s="50" t="str">
        <x:v>percentage points</x:v>
      </x:c>
      <x:c r="C30" s="82" t="n">
        <x:v>0.002</x:v>
      </x:c>
      <x:c r="D30" s="82" t="n">
        <x:v>0.003</x:v>
      </x:c>
      <x:c r="E30" s="82" t="n">
        <x:v>0.004</x:v>
      </x:c>
      <x:c r="F30" s="51" t="str">
        <x:v>Only validated customer cases compound into the forecast.</x:v>
      </x:c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/>
      <x:c r="Q30" s="415"/>
      <x:c r="R30" s="415"/>
      <x:c r="S30" s="415"/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49" t="str">
        <x:v>Maximum proof-driven close-rate lift</x:v>
      </x:c>
      <x:c r="B31" s="50" t="str">
        <x:v>percentage points</x:v>
      </x:c>
      <x:c r="C31" s="82" t="n">
        <x:v>0.05</x:v>
      </x:c>
      <x:c r="D31" s="82" t="n">
        <x:v>0.08</x:v>
      </x:c>
      <x:c r="E31" s="82" t="n">
        <x:v>0.1</x:v>
      </x:c>
      <x:c r="F31" s="51" t="str">
        <x:v>Cap prevents self-referential exponential assumptions.</x:v>
      </x:c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/>
      <x:c r="Q31" s="415"/>
      <x:c r="R31" s="415"/>
      <x:c r="S31" s="415"/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49" t="str">
        <x:v>Executive Briefing mix of paid entry engagements</x:v>
      </x:c>
      <x:c r="B32" s="50" t="str">
        <x:v>%</x:v>
      </x:c>
      <x:c r="C32" s="82" t="n">
        <x:v>0.35</x:v>
      </x:c>
      <x:c r="D32" s="82" t="n">
        <x:v>0.3</x:v>
      </x:c>
      <x:c r="E32" s="82" t="n">
        <x:v>0.25</x:v>
      </x:c>
      <x:c r="F32" s="51" t="str">
        <x:v>Remaining paid entry engagements are Private MasterClasses.</x:v>
      </x:c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/>
      <x:c r="Q32" s="415"/>
      <x:c r="R32" s="415"/>
      <x:c r="S32" s="415"/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>
      <x:c r="A33" s="415"/>
      <x:c r="B33" s="415"/>
      <x:c r="C33" s="420"/>
      <x:c r="D33" s="420"/>
      <x:c r="E33" s="420"/>
      <x:c r="F33" s="415"/>
      <x:c r="G33" s="415"/>
      <x:c r="H33" s="415"/>
      <x:c r="I33" s="415"/>
      <x:c r="J33" s="415"/>
      <x:c r="K33" s="415"/>
      <x:c r="L33" s="415"/>
      <x:c r="M33" s="415"/>
      <x:c r="N33" s="415"/>
      <x:c r="O33" s="415"/>
      <x:c r="P33" s="415"/>
      <x:c r="Q33" s="415"/>
      <x:c r="R33" s="415"/>
      <x:c r="S33" s="415"/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 ht="23" customHeight="1">
      <x:c r="A34" s="416" t="str">
        <x:v>OFFER-LADDER CONVERSION</x:v>
      </x:c>
      <x:c r="B34" s="415"/>
      <x:c r="C34" s="420"/>
      <x:c r="D34" s="420"/>
      <x:c r="E34" s="420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49" t="str">
        <x:v>Paid entry → Design Lab</x:v>
      </x:c>
      <x:c r="B35" s="50" t="str">
        <x:v>%</x:v>
      </x:c>
      <x:c r="C35" s="82" t="n">
        <x:v>0.3</x:v>
      </x:c>
      <x:c r="D35" s="82" t="n">
        <x:v>0.38</x:v>
      </x:c>
      <x:c r="E35" s="82" t="n">
        <x:v>0.45</x:v>
      </x:c>
      <x:c r="F35" s="51" t="str">
        <x:v>Expected-value conversion with one-month lag.</x:v>
      </x:c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9" t="str">
        <x:v>Design Lab → Revenue Institution Sprint</x:v>
      </x:c>
      <x:c r="B36" s="50" t="str">
        <x:v>%</x:v>
      </x:c>
      <x:c r="C36" s="82" t="n">
        <x:v>0.4</x:v>
      </x:c>
      <x:c r="D36" s="82" t="n">
        <x:v>0.48</x:v>
      </x:c>
      <x:c r="E36" s="82" t="n">
        <x:v>0.55</x:v>
      </x:c>
      <x:c r="F36" s="51" t="str">
        <x:v>Expected-value conversion with one-month lag.</x:v>
      </x:c>
      <x:c r="G36" s="415"/>
      <x:c r="H36" s="415"/>
      <x:c r="I36" s="415"/>
      <x:c r="J36" s="415"/>
      <x:c r="K36" s="415"/>
      <x:c r="L36" s="415"/>
      <x:c r="M36" s="415"/>
      <x:c r="N36" s="415"/>
      <x:c r="O36" s="415"/>
      <x:c r="P36" s="415"/>
      <x:c r="Q36" s="415"/>
      <x:c r="R36" s="415"/>
      <x:c r="S36" s="415"/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>
      <x:c r="A37" s="49" t="str">
        <x:v>Sprint → Proof-to-Revenue Run</x:v>
      </x:c>
      <x:c r="B37" s="50" t="str">
        <x:v>%</x:v>
      </x:c>
      <x:c r="C37" s="82" t="n">
        <x:v>0.4</x:v>
      </x:c>
      <x:c r="D37" s="82" t="n">
        <x:v>0.48</x:v>
      </x:c>
      <x:c r="E37" s="82" t="n">
        <x:v>0.55</x:v>
      </x:c>
      <x:c r="F37" s="51" t="str">
        <x:v>Expected-value conversion with two-month lag.</x:v>
      </x:c>
      <x:c r="G37" s="415"/>
      <x:c r="H37" s="415"/>
      <x:c r="I37" s="415"/>
      <x:c r="J37" s="415"/>
      <x:c r="K37" s="415"/>
      <x:c r="L37" s="415"/>
      <x:c r="M37" s="415"/>
      <x:c r="N37" s="415"/>
      <x:c r="O37" s="415"/>
      <x:c r="P37" s="415"/>
      <x:c r="Q37" s="415"/>
      <x:c r="R37" s="415"/>
      <x:c r="S37" s="415"/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>
      <x:c r="A38" s="49" t="str">
        <x:v>Proof Run → Enterprise Proof Institution</x:v>
      </x:c>
      <x:c r="B38" s="50" t="str">
        <x:v>%</x:v>
      </x:c>
      <x:c r="C38" s="82" t="n">
        <x:v>0.1</x:v>
      </x:c>
      <x:c r="D38" s="82" t="n">
        <x:v>0.18</x:v>
      </x:c>
      <x:c r="E38" s="82" t="n">
        <x:v>0.25</x:v>
      </x:c>
      <x:c r="F38" s="51" t="str">
        <x:v>Expected-value conversion with three-month lag.</x:v>
      </x:c>
      <x:c r="G38" s="415"/>
      <x:c r="H38" s="415"/>
      <x:c r="I38" s="415"/>
      <x:c r="J38" s="415"/>
      <x:c r="K38" s="415"/>
      <x:c r="L38" s="415"/>
      <x:c r="M38" s="415"/>
      <x:c r="N38" s="415"/>
      <x:c r="O38" s="415"/>
      <x:c r="P38" s="415"/>
      <x:c r="Q38" s="415"/>
      <x:c r="R38" s="415"/>
      <x:c r="S38" s="415"/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9" t="str">
        <x:v>Proof Run → Proof OS recurring attach</x:v>
      </x:c>
      <x:c r="B39" s="50" t="str">
        <x:v>%</x:v>
      </x:c>
      <x:c r="C39" s="82" t="n">
        <x:v>0.35</x:v>
      </x:c>
      <x:c r="D39" s="82" t="n">
        <x:v>0.5</x:v>
      </x:c>
      <x:c r="E39" s="82" t="n">
        <x:v>0.6</x:v>
      </x:c>
      <x:c r="F39" s="51" t="str">
        <x:v>Recurring attach after a completed Proof Run.</x:v>
      </x:c>
      <x:c r="G39" s="415"/>
      <x:c r="H39" s="415"/>
      <x:c r="I39" s="415"/>
      <x:c r="J39" s="415"/>
      <x:c r="K39" s="415"/>
      <x:c r="L39" s="415"/>
      <x:c r="M39" s="415"/>
      <x:c r="N39" s="415"/>
      <x:c r="O39" s="415"/>
      <x:c r="P39" s="415"/>
      <x:c r="Q39" s="415"/>
      <x:c r="R39" s="415"/>
      <x:c r="S39" s="415"/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9" t="str">
        <x:v>Enterprise → Proof OS recurring attach</x:v>
      </x:c>
      <x:c r="B40" s="50" t="str">
        <x:v>%</x:v>
      </x:c>
      <x:c r="C40" s="82" t="n">
        <x:v>0.9</x:v>
      </x:c>
      <x:c r="D40" s="82" t="n">
        <x:v>0.9</x:v>
      </x:c>
      <x:c r="E40" s="82" t="n">
        <x:v>1</x:v>
      </x:c>
      <x:c r="F40" s="51" t="str">
        <x:v>Enterprise programs usually require recurring support.</x:v>
      </x:c>
      <x:c r="G40" s="415"/>
      <x:c r="H40" s="415"/>
      <x:c r="I40" s="415"/>
      <x:c r="J40" s="415"/>
      <x:c r="K40" s="415"/>
      <x:c r="L40" s="415"/>
      <x:c r="M40" s="415"/>
      <x:c r="N40" s="415"/>
      <x:c r="O40" s="415"/>
      <x:c r="P40" s="415"/>
      <x:c r="Q40" s="415"/>
      <x:c r="R40" s="415"/>
      <x:c r="S40" s="415"/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9" t="str">
        <x:v>Monthly recurring-client churn</x:v>
      </x:c>
      <x:c r="B41" s="50" t="str">
        <x:v>%</x:v>
      </x:c>
      <x:c r="C41" s="82" t="n">
        <x:v>0.04</x:v>
      </x:c>
      <x:c r="D41" s="82" t="n">
        <x:v>0.03</x:v>
      </x:c>
      <x:c r="E41" s="82" t="n">
        <x:v>0.025</x:v>
      </x:c>
      <x:c r="F41" s="51" t="str">
        <x:v>Illustrative logo churn; editable.</x:v>
      </x:c>
      <x:c r="G41" s="415"/>
      <x:c r="H41" s="415"/>
      <x:c r="I41" s="415"/>
      <x:c r="J41" s="415"/>
      <x:c r="K41" s="415"/>
      <x:c r="L41" s="415"/>
      <x:c r="M41" s="415"/>
      <x:c r="N41" s="415"/>
      <x:c r="O41" s="415"/>
      <x:c r="P41" s="415"/>
      <x:c r="Q41" s="415"/>
      <x:c r="R41" s="415"/>
      <x:c r="S41" s="415"/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20"/>
      <x:c r="D42" s="420"/>
      <x:c r="E42" s="420"/>
      <x:c r="F42" s="415"/>
      <x:c r="G42" s="415"/>
      <x:c r="H42" s="415"/>
      <x:c r="I42" s="415"/>
      <x:c r="J42" s="415"/>
      <x:c r="K42" s="415"/>
      <x:c r="L42" s="415"/>
      <x:c r="M42" s="415"/>
      <x:c r="N42" s="415"/>
      <x:c r="O42" s="415"/>
      <x:c r="P42" s="415"/>
      <x:c r="Q42" s="415"/>
      <x:c r="R42" s="415"/>
      <x:c r="S42" s="415"/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 ht="23" customHeight="1">
      <x:c r="A43" s="416" t="str">
        <x:v>VALIDATION &amp; CAPACITY</x:v>
      </x:c>
      <x:c r="B43" s="415"/>
      <x:c r="C43" s="420"/>
      <x:c r="D43" s="420"/>
      <x:c r="E43" s="420"/>
      <x:c r="F43" s="415"/>
      <x:c r="G43" s="415"/>
      <x:c r="H43" s="415"/>
      <x:c r="I43" s="415"/>
      <x:c r="J43" s="415"/>
      <x:c r="K43" s="415"/>
      <x:c r="L43" s="415"/>
      <x:c r="M43" s="415"/>
      <x:c r="N43" s="415"/>
      <x:c r="O43" s="415"/>
      <x:c r="P43" s="415"/>
      <x:c r="Q43" s="415"/>
      <x:c r="R43" s="415"/>
      <x:c r="S43" s="415"/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9" t="str">
        <x:v>Validation pass rate</x:v>
      </x:c>
      <x:c r="B44" s="50" t="str">
        <x:v>%</x:v>
      </x:c>
      <x:c r="C44" s="82" t="n">
        <x:v>0.75</x:v>
      </x:c>
      <x:c r="D44" s="82" t="n">
        <x:v>0.85</x:v>
      </x:c>
      <x:c r="E44" s="82" t="n">
        <x:v>0.9</x:v>
      </x:c>
      <x:c r="F44" s="51" t="str">
        <x:v>Failed or unsupported work does not enter the compounding loop.</x:v>
      </x:c>
      <x:c r="G44" s="415"/>
      <x:c r="H44" s="415"/>
      <x:c r="I44" s="415"/>
      <x:c r="J44" s="415"/>
      <x:c r="K44" s="415"/>
      <x:c r="L44" s="415"/>
      <x:c r="M44" s="415"/>
      <x:c r="N44" s="415"/>
      <x:c r="O44" s="415"/>
      <x:c r="P44" s="415"/>
      <x:c r="Q44" s="415"/>
      <x:c r="R44" s="415"/>
      <x:c r="S44" s="415"/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9" t="str">
        <x:v>Capacity lift per validated case</x:v>
      </x:c>
      <x:c r="B45" s="50" t="str">
        <x:v>%</x:v>
      </x:c>
      <x:c r="C45" s="82" t="n">
        <x:v>0.005</x:v>
      </x:c>
      <x:c r="D45" s="82" t="n">
        <x:v>0.008</x:v>
      </x:c>
      <x:c r="E45" s="82" t="n">
        <x:v>0.01</x:v>
      </x:c>
      <x:c r="F45" s="51" t="str">
        <x:v>Illustrative delivery improvement from reusable capability.</x:v>
      </x:c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9" t="str">
        <x:v>Maximum capacity lift</x:v>
      </x:c>
      <x:c r="B46" s="50" t="str">
        <x:v>%</x:v>
      </x:c>
      <x:c r="C46" s="82" t="n">
        <x:v>0.25</x:v>
      </x:c>
      <x:c r="D46" s="82" t="n">
        <x:v>0.45</x:v>
      </x:c>
      <x:c r="E46" s="82" t="n">
        <x:v>0.65</x:v>
      </x:c>
      <x:c r="F46" s="51" t="str">
        <x:v>Cap prevents unrealistic unlimited operating leverage.</x:v>
      </x:c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9" t="str">
        <x:v>Briefing base capacity</x:v>
      </x:c>
      <x:c r="B47" s="50" t="str">
        <x:v>engagements / month</x:v>
      </x:c>
      <x:c r="C47" s="84" t="n">
        <x:v>5</x:v>
      </x:c>
      <x:c r="D47" s="84" t="n">
        <x:v>6</x:v>
      </x:c>
      <x:c r="E47" s="84" t="n">
        <x:v>8</x:v>
      </x:c>
      <x:c r="F47" s="51" t="str">
        <x:v>Initial delivery capacity before validated-skill lift.</x:v>
      </x:c>
      <x:c r="G47" s="415"/>
      <x:c r="H47" s="415"/>
      <x:c r="I47" s="415"/>
      <x:c r="J47" s="415"/>
      <x:c r="K47" s="415"/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9" t="str">
        <x:v>MasterClass base capacity</x:v>
      </x:c>
      <x:c r="B48" s="50" t="str">
        <x:v>engagements / month</x:v>
      </x:c>
      <x:c r="C48" s="84" t="n">
        <x:v>4</x:v>
      </x:c>
      <x:c r="D48" s="84" t="n">
        <x:v>4</x:v>
      </x:c>
      <x:c r="E48" s="84" t="n">
        <x:v>6</x:v>
      </x:c>
      <x:c r="F48" s="51" t="str">
        <x:v>Initial delivery capacity before validated-skill lift.</x:v>
      </x:c>
      <x:c r="G48" s="415"/>
      <x:c r="H48" s="415"/>
      <x:c r="I48" s="415"/>
      <x:c r="J48" s="415"/>
      <x:c r="K48" s="415"/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9" t="str">
        <x:v>Design Lab base capacity</x:v>
      </x:c>
      <x:c r="B49" s="50" t="str">
        <x:v>engagements / month</x:v>
      </x:c>
      <x:c r="C49" s="84" t="n">
        <x:v>2</x:v>
      </x:c>
      <x:c r="D49" s="84" t="n">
        <x:v>2</x:v>
      </x:c>
      <x:c r="E49" s="84" t="n">
        <x:v>3</x:v>
      </x:c>
      <x:c r="F49" s="51" t="str">
        <x:v>Initial delivery capacity before validated-skill lift.</x:v>
      </x:c>
      <x:c r="G49" s="415"/>
      <x:c r="H49" s="415"/>
      <x:c r="I49" s="415"/>
      <x:c r="J49" s="415"/>
      <x:c r="K49" s="415"/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9" t="str">
        <x:v>Sprint base capacity</x:v>
      </x:c>
      <x:c r="B50" s="50" t="str">
        <x:v>engagements / month</x:v>
      </x:c>
      <x:c r="C50" s="84" t="n">
        <x:v>1</x:v>
      </x:c>
      <x:c r="D50" s="84" t="n">
        <x:v>1.2</x:v>
      </x:c>
      <x:c r="E50" s="84" t="n">
        <x:v>2</x:v>
      </x:c>
      <x:c r="F50" s="51" t="str">
        <x:v>Initial delivery capacity before validated-skill lift.</x:v>
      </x:c>
      <x:c r="G50" s="415"/>
      <x:c r="H50" s="415"/>
      <x:c r="I50" s="415"/>
      <x:c r="J50" s="415"/>
      <x:c r="K50" s="415"/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9" t="str">
        <x:v>Proof Run base capacity</x:v>
      </x:c>
      <x:c r="B51" s="50" t="str">
        <x:v>engagements / month</x:v>
      </x:c>
      <x:c r="C51" s="84" t="n">
        <x:v>0.5</x:v>
      </x:c>
      <x:c r="D51" s="84" t="n">
        <x:v>0.7</x:v>
      </x:c>
      <x:c r="E51" s="84" t="n">
        <x:v>1.1</x:v>
      </x:c>
      <x:c r="F51" s="51" t="str">
        <x:v>Initial delivery capacity before validated-skill lift.</x:v>
      </x:c>
      <x:c r="G51" s="415"/>
      <x:c r="H51" s="415"/>
      <x:c r="I51" s="415"/>
      <x:c r="J51" s="415"/>
      <x:c r="K51" s="415"/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9" t="str">
        <x:v>Enterprise base capacity</x:v>
      </x:c>
      <x:c r="B52" s="50" t="str">
        <x:v>engagements / month</x:v>
      </x:c>
      <x:c r="C52" s="84" t="n">
        <x:v>0.12</x:v>
      </x:c>
      <x:c r="D52" s="84" t="n">
        <x:v>0.25</x:v>
      </x:c>
      <x:c r="E52" s="84" t="n">
        <x:v>0.4</x:v>
      </x:c>
      <x:c r="F52" s="51" t="str">
        <x:v>Expected-value capacity; fractional units reflect pipeline probability.</x:v>
      </x:c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20"/>
      <x:c r="D53" s="420"/>
      <x:c r="E53" s="420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 ht="23" customHeight="1">
      <x:c r="A54" s="416" t="str">
        <x:v>OPERATING MODEL</x:v>
      </x:c>
      <x:c r="B54" s="415"/>
      <x:c r="C54" s="420"/>
      <x:c r="D54" s="420"/>
      <x:c r="E54" s="420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9" t="str">
        <x:v>Payroll and contractors — Month 1</x:v>
      </x:c>
      <x:c r="B55" s="50" t="str">
        <x:v>$ / month</x:v>
      </x:c>
      <x:c r="C55" s="80" t="n">
        <x:v>50000</x:v>
      </x:c>
      <x:c r="D55" s="80" t="n">
        <x:v>80000</x:v>
      </x:c>
      <x:c r="E55" s="80" t="n">
        <x:v>125000</x:v>
      </x:c>
      <x:c r="F55" s="51" t="str">
        <x:v>Lean team assumption; includes founders, delivery, product, and commercial support.</x:v>
      </x:c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9" t="str">
        <x:v>Product and hosting — Month 1</x:v>
      </x:c>
      <x:c r="B56" s="50" t="str">
        <x:v>$ / month</x:v>
      </x:c>
      <x:c r="C56" s="80" t="n">
        <x:v>7000</x:v>
      </x:c>
      <x:c r="D56" s="80" t="n">
        <x:v>15000</x:v>
      </x:c>
      <x:c r="E56" s="80" t="n">
        <x:v>25000</x:v>
      </x:c>
      <x:c r="F56" s="51" t="str">
        <x:v>Software, infrastructure, compute, and tooling.</x:v>
      </x:c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9" t="str">
        <x:v>G&amp;A — Month 1</x:v>
      </x:c>
      <x:c r="B57" s="50" t="str">
        <x:v>$ / month</x:v>
      </x:c>
      <x:c r="C57" s="80" t="n">
        <x:v>7000</x:v>
      </x:c>
      <x:c r="D57" s="80" t="n">
        <x:v>10000</x:v>
      </x:c>
      <x:c r="E57" s="80" t="n">
        <x:v>18000</x:v>
      </x:c>
      <x:c r="F57" s="51" t="str">
        <x:v>Finance, insurance, administration, and general overhead.</x:v>
      </x:c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9" t="str">
        <x:v>Legal, security, and compliance — Month 1</x:v>
      </x:c>
      <x:c r="B58" s="50" t="str">
        <x:v>$ / month</x:v>
      </x:c>
      <x:c r="C58" s="80" t="n">
        <x:v>5000</x:v>
      </x:c>
      <x:c r="D58" s="80" t="n">
        <x:v>8000</x:v>
      </x:c>
      <x:c r="E58" s="80" t="n">
        <x:v>12000</x:v>
      </x:c>
      <x:c r="F58" s="51" t="str">
        <x:v>Contracting, privacy, security, and reviewer assurance.</x:v>
      </x:c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9" t="str">
        <x:v>Fixed marketing — Month 1</x:v>
      </x:c>
      <x:c r="B59" s="50" t="str">
        <x:v>$ / month</x:v>
      </x:c>
      <x:c r="C59" s="80" t="n">
        <x:v>5000</x:v>
      </x:c>
      <x:c r="D59" s="80" t="n">
        <x:v>10000</x:v>
      </x:c>
      <x:c r="E59" s="80" t="n">
        <x:v>18000</x:v>
      </x:c>
      <x:c r="F59" s="51" t="str">
        <x:v>Events, content, design, and targeted account development.</x:v>
      </x:c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9" t="str">
        <x:v>Variable marketing</x:v>
      </x:c>
      <x:c r="B60" s="50" t="str">
        <x:v>% of revenue</x:v>
      </x:c>
      <x:c r="C60" s="82" t="n">
        <x:v>0.05</x:v>
      </x:c>
      <x:c r="D60" s="82" t="n">
        <x:v>0.07</x:v>
      </x:c>
      <x:c r="E60" s="82" t="n">
        <x:v>0.09</x:v>
      </x:c>
      <x:c r="F60" s="51" t="str">
        <x:v>Scales with commercial activity.</x:v>
      </x:c>
      <x:c r="G60" s="415"/>
      <x:c r="H60" s="415"/>
      <x:c r="I60" s="415"/>
      <x:c r="J60" s="415"/>
      <x:c r="K60" s="415"/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9" t="str">
        <x:v>Quarterly fixed-opex growth</x:v>
      </x:c>
      <x:c r="B61" s="50" t="str">
        <x:v>% / quarter</x:v>
      </x:c>
      <x:c r="C61" s="82" t="n">
        <x:v>0.03</x:v>
      </x:c>
      <x:c r="D61" s="82" t="n">
        <x:v>0.05</x:v>
      </x:c>
      <x:c r="E61" s="82" t="n">
        <x:v>0.07</x:v>
      </x:c>
      <x:c r="F61" s="51" t="str">
        <x:v>Team and infrastructure ramp.</x:v>
      </x:c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9" t="str">
        <x:v>Growth reinvestment</x:v>
      </x:c>
      <x:c r="B62" s="50" t="str">
        <x:v>% of positive EBITDA</x:v>
      </x:c>
      <x:c r="C62" s="82" t="n">
        <x:v>0.15</x:v>
      </x:c>
      <x:c r="D62" s="82" t="n">
        <x:v>0.2</x:v>
      </x:c>
      <x:c r="E62" s="82" t="n">
        <x:v>0.25</x:v>
      </x:c>
      <x:c r="F62" s="51" t="str">
        <x:v>Capital allocation into product, proof, validators, and distribution.</x:v>
      </x:c>
      <x:c r="G62" s="415"/>
      <x:c r="H62" s="415"/>
      <x:c r="I62" s="415"/>
      <x:c r="J62" s="415"/>
      <x:c r="K62" s="415"/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9" t="str">
        <x:v>Capex / capitalized infrastructure</x:v>
      </x:c>
      <x:c r="B63" s="50" t="str">
        <x:v>% of revenue</x:v>
      </x:c>
      <x:c r="C63" s="82" t="n">
        <x:v>0.01</x:v>
      </x:c>
      <x:c r="D63" s="82" t="n">
        <x:v>0.015</x:v>
      </x:c>
      <x:c r="E63" s="82" t="n">
        <x:v>0.02</x:v>
      </x:c>
      <x:c r="F63" s="51" t="str">
        <x:v>Illustrative cash investment outside EBITDA.</x:v>
      </x:c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9" t="str">
        <x:v>Briefing delivery days</x:v>
      </x:c>
      <x:c r="B64" s="50" t="str">
        <x:v>days</x:v>
      </x:c>
      <x:c r="C64" s="84" t="n">
        <x:v>1</x:v>
      </x:c>
      <x:c r="D64" s="84" t="n">
        <x:v>1</x:v>
      </x:c>
      <x:c r="E64" s="84" t="n">
        <x:v>1</x:v>
      </x:c>
      <x:c r="F64" s="51" t="str">
        <x:v>Unit-economics planning assumption.</x:v>
      </x:c>
      <x:c r="G64" s="415"/>
      <x:c r="H64" s="415"/>
      <x:c r="I64" s="415"/>
      <x:c r="J64" s="415"/>
      <x:c r="K64" s="415"/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9" t="str">
        <x:v>MasterClass delivery days</x:v>
      </x:c>
      <x:c r="B65" s="50" t="str">
        <x:v>days</x:v>
      </x:c>
      <x:c r="C65" s="84" t="n">
        <x:v>2</x:v>
      </x:c>
      <x:c r="D65" s="84" t="n">
        <x:v>2</x:v>
      </x:c>
      <x:c r="E65" s="84" t="n">
        <x:v>2</x:v>
      </x:c>
      <x:c r="F65" s="51" t="str">
        <x:v>Unit-economics planning assumption.</x:v>
      </x:c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9" t="str">
        <x:v>Design Lab delivery days</x:v>
      </x:c>
      <x:c r="B66" s="50" t="str">
        <x:v>days</x:v>
      </x:c>
      <x:c r="C66" s="84" t="n">
        <x:v>4</x:v>
      </x:c>
      <x:c r="D66" s="84" t="n">
        <x:v>4</x:v>
      </x:c>
      <x:c r="E66" s="84" t="n">
        <x:v>4</x:v>
      </x:c>
      <x:c r="F66" s="51" t="str">
        <x:v>Unit-economics planning assumption.</x:v>
      </x:c>
      <x:c r="G66" s="415"/>
      <x:c r="H66" s="415"/>
      <x:c r="I66" s="415"/>
      <x:c r="J66" s="415"/>
      <x:c r="K66" s="415"/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9" t="str">
        <x:v>Sprint delivery days</x:v>
      </x:c>
      <x:c r="B67" s="50" t="str">
        <x:v>days</x:v>
      </x:c>
      <x:c r="C67" s="84" t="n">
        <x:v>10</x:v>
      </x:c>
      <x:c r="D67" s="84" t="n">
        <x:v>10</x:v>
      </x:c>
      <x:c r="E67" s="84" t="n">
        <x:v>10</x:v>
      </x:c>
      <x:c r="F67" s="51" t="str">
        <x:v>Unit-economics planning assumption.</x:v>
      </x:c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9" t="str">
        <x:v>Proof Run delivery days</x:v>
      </x:c>
      <x:c r="B68" s="50" t="str">
        <x:v>days</x:v>
      </x:c>
      <x:c r="C68" s="84" t="n">
        <x:v>30</x:v>
      </x:c>
      <x:c r="D68" s="84" t="n">
        <x:v>30</x:v>
      </x:c>
      <x:c r="E68" s="84" t="n">
        <x:v>30</x:v>
      </x:c>
      <x:c r="F68" s="51" t="str">
        <x:v>Unit-economics planning assumption.</x:v>
      </x:c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9" t="str">
        <x:v>Enterprise delivery days</x:v>
      </x:c>
      <x:c r="B69" s="50" t="str">
        <x:v>days</x:v>
      </x:c>
      <x:c r="C69" s="84" t="n">
        <x:v>90</x:v>
      </x:c>
      <x:c r="D69" s="84" t="n">
        <x:v>90</x:v>
      </x:c>
      <x:c r="E69" s="84" t="n">
        <x:v>90</x:v>
      </x:c>
      <x:c r="F69" s="51" t="str">
        <x:v>Unit-economics planning assumption.</x:v>
      </x:c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9" t="str">
        <x:v>Proof OS recurring delivery days</x:v>
      </x:c>
      <x:c r="B70" s="50" t="str">
        <x:v>days / month</x:v>
      </x:c>
      <x:c r="C70" s="84" t="n">
        <x:v>3</x:v>
      </x:c>
      <x:c r="D70" s="84" t="n">
        <x:v>3</x:v>
      </x:c>
      <x:c r="E70" s="84" t="n">
        <x:v>3</x:v>
      </x:c>
      <x:c r="F70" s="51" t="str">
        <x:v>Unit-economics planning assumption.</x:v>
      </x:c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F1"/>
    <x:mergeCell ref="A2:F2"/>
    <x:mergeCell ref="A8:F8"/>
    <x:mergeCell ref="A24:F24"/>
    <x:mergeCell ref="A34:F34"/>
    <x:mergeCell ref="A43:F43"/>
    <x:mergeCell ref="A54:F54"/>
  </x:mergeCells>
  <x:conditionalFormatting sqref="C4:E70">
    <x:cfRule type="expression" dxfId="0" priority="1">
      <x:formula>AND(ISNUMBER(C4),C4&lt;0)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414" t="str">
        <x:v>GoalOS Financial Projection — Conservative Scenario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Expected-value monthly model. Fractional engagements represent probability-weighted pipeline outcomes. All assumptions are editable on the Assumptions sheet.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>
      <x:c r="A4" s="415"/>
      <x:c r="B4" s="415"/>
      <x:c r="C4" s="415"/>
      <x:c r="D4" s="415"/>
      <x:c r="E4" s="415"/>
      <x:c r="F4" s="415"/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 ht="28" customHeight="1">
      <x:c r="A5" s="26" t="str">
        <x:v>Date</x:v>
      </x:c>
      <x:c r="B5" s="28" t="str">
        <x:v>Unit</x:v>
      </x:c>
      <x:c r="C5" s="422" t="n">
        <x:f>Assumptions!$C$4</x:f>
        <x:v>46235</x:v>
      </x:c>
      <x:c r="D5" s="423" t="n">
        <x:f>DATE(YEAR(C5),MONTH(C5)+1,1)</x:f>
        <x:v>46266</x:v>
      </x:c>
      <x:c r="E5" s="423" t="n">
        <x:f>DATE(YEAR(D5),MONTH(D5)+1,1)</x:f>
        <x:v>46296</x:v>
      </x:c>
      <x:c r="F5" s="423" t="n">
        <x:f>DATE(YEAR(E5),MONTH(E5)+1,1)</x:f>
        <x:v>46327</x:v>
      </x:c>
      <x:c r="G5" s="423" t="n">
        <x:f>DATE(YEAR(F5),MONTH(F5)+1,1)</x:f>
        <x:v>46357</x:v>
      </x:c>
      <x:c r="H5" s="423" t="n">
        <x:f>DATE(YEAR(G5),MONTH(G5)+1,1)</x:f>
        <x:v>46388</x:v>
      </x:c>
      <x:c r="I5" s="423" t="n">
        <x:f>DATE(YEAR(H5),MONTH(H5)+1,1)</x:f>
        <x:v>46419</x:v>
      </x:c>
      <x:c r="J5" s="423" t="n">
        <x:f>DATE(YEAR(I5),MONTH(I5)+1,1)</x:f>
        <x:v>46447</x:v>
      </x:c>
      <x:c r="K5" s="423" t="n">
        <x:f>DATE(YEAR(J5),MONTH(J5)+1,1)</x:f>
        <x:v>46478</x:v>
      </x:c>
      <x:c r="L5" s="423" t="n">
        <x:f>DATE(YEAR(K5),MONTH(K5)+1,1)</x:f>
        <x:v>46508</x:v>
      </x:c>
      <x:c r="M5" s="423" t="n">
        <x:f>DATE(YEAR(L5),MONTH(L5)+1,1)</x:f>
        <x:v>46539</x:v>
      </x:c>
      <x:c r="N5" s="423" t="n">
        <x:f>DATE(YEAR(M5),MONTH(M5)+1,1)</x:f>
        <x:v>46569</x:v>
      </x:c>
      <x:c r="O5" s="423" t="n">
        <x:f>DATE(YEAR(N5),MONTH(N5)+1,1)</x:f>
        <x:v>46600</x:v>
      </x:c>
      <x:c r="P5" s="423" t="n">
        <x:f>DATE(YEAR(O5),MONTH(O5)+1,1)</x:f>
        <x:v>46631</x:v>
      </x:c>
      <x:c r="Q5" s="423" t="n">
        <x:f>DATE(YEAR(P5),MONTH(P5)+1,1)</x:f>
        <x:v>46661</x:v>
      </x:c>
      <x:c r="R5" s="423" t="n">
        <x:f>DATE(YEAR(Q5),MONTH(Q5)+1,1)</x:f>
        <x:v>46692</x:v>
      </x:c>
      <x:c r="S5" s="423" t="n">
        <x:f>DATE(YEAR(R5),MONTH(R5)+1,1)</x:f>
        <x:v>46722</x:v>
      </x:c>
      <x:c r="T5" s="423" t="n">
        <x:f>DATE(YEAR(S5),MONTH(S5)+1,1)</x:f>
        <x:v>46753</x:v>
      </x:c>
      <x:c r="U5" s="423" t="n">
        <x:f>DATE(YEAR(T5),MONTH(T5)+1,1)</x:f>
        <x:v>46784</x:v>
      </x:c>
      <x:c r="V5" s="423" t="n">
        <x:f>DATE(YEAR(U5),MONTH(U5)+1,1)</x:f>
        <x:v>46813</x:v>
      </x:c>
      <x:c r="W5" s="423" t="n">
        <x:f>DATE(YEAR(V5),MONTH(V5)+1,1)</x:f>
        <x:v>46844</x:v>
      </x:c>
      <x:c r="X5" s="423" t="n">
        <x:f>DATE(YEAR(W5),MONTH(W5)+1,1)</x:f>
        <x:v>46874</x:v>
      </x:c>
      <x:c r="Y5" s="423" t="n">
        <x:f>DATE(YEAR(X5),MONTH(X5)+1,1)</x:f>
        <x:v>46905</x:v>
      </x:c>
      <x:c r="Z5" s="423" t="n">
        <x:f>DATE(YEAR(Y5),MONTH(Y5)+1,1)</x:f>
        <x:v>46935</x:v>
      </x:c>
      <x:c r="AA5" s="423" t="n">
        <x:f>DATE(YEAR(Z5),MONTH(Z5)+1,1)</x:f>
        <x:v>46966</x:v>
      </x:c>
      <x:c r="AB5" s="423" t="n">
        <x:f>DATE(YEAR(AA5),MONTH(AA5)+1,1)</x:f>
        <x:v>46997</x:v>
      </x:c>
      <x:c r="AC5" s="423" t="n">
        <x:f>DATE(YEAR(AB5),MONTH(AB5)+1,1)</x:f>
        <x:v>47027</x:v>
      </x:c>
      <x:c r="AD5" s="423" t="n">
        <x:f>DATE(YEAR(AC5),MONTH(AC5)+1,1)</x:f>
        <x:v>47058</x:v>
      </x:c>
      <x:c r="AE5" s="423" t="n">
        <x:f>DATE(YEAR(AD5),MONTH(AD5)+1,1)</x:f>
        <x:v>47088</x:v>
      </x:c>
      <x:c r="AF5" s="423" t="n">
        <x:f>DATE(YEAR(AE5),MONTH(AE5)+1,1)</x:f>
        <x:v>47119</x:v>
      </x:c>
      <x:c r="AG5" s="423" t="n">
        <x:f>DATE(YEAR(AF5),MONTH(AF5)+1,1)</x:f>
        <x:v>47150</x:v>
      </x:c>
      <x:c r="AH5" s="423" t="n">
        <x:f>DATE(YEAR(AG5),MONTH(AG5)+1,1)</x:f>
        <x:v>47178</x:v>
      </x:c>
      <x:c r="AI5" s="423" t="n">
        <x:f>DATE(YEAR(AH5),MONTH(AH5)+1,1)</x:f>
        <x:v>47209</x:v>
      </x:c>
      <x:c r="AJ5" s="423" t="n">
        <x:f>DATE(YEAR(AI5),MONTH(AI5)+1,1)</x:f>
        <x:v>47239</x:v>
      </x:c>
      <x:c r="AK5" s="423" t="n">
        <x:f>DATE(YEAR(AJ5),MONTH(AJ5)+1,1)</x:f>
        <x:v>47270</x:v>
      </x:c>
      <x:c r="AL5" s="423" t="n">
        <x:f>DATE(YEAR(AK5),MONTH(AK5)+1,1)</x:f>
        <x:v>47300</x:v>
      </x:c>
    </x:row>
    <x:row r="6">
      <x:c r="A6" s="49" t="str">
        <x:v>Month</x:v>
      </x:c>
      <x:c r="B6" s="51" t="str">
        <x:v>#</x:v>
      </x:c>
      <x:c r="C6" s="415" t="n">
        <x:f>1</x:f>
        <x:v>1</x:v>
      </x:c>
      <x:c r="D6" s="415" t="n">
        <x:f>C6+1</x:f>
        <x:v>2</x:v>
      </x:c>
      <x:c r="E6" s="415" t="n">
        <x:f>D6+1</x:f>
        <x:v>3</x:v>
      </x:c>
      <x:c r="F6" s="415" t="n">
        <x:f>E6+1</x:f>
        <x:v>4</x:v>
      </x:c>
      <x:c r="G6" s="415" t="n">
        <x:f>F6+1</x:f>
        <x:v>5</x:v>
      </x:c>
      <x:c r="H6" s="415" t="n">
        <x:f>G6+1</x:f>
        <x:v>6</x:v>
      </x:c>
      <x:c r="I6" s="415" t="n">
        <x:f>H6+1</x:f>
        <x:v>7</x:v>
      </x:c>
      <x:c r="J6" s="415" t="n">
        <x:f>I6+1</x:f>
        <x:v>8</x:v>
      </x:c>
      <x:c r="K6" s="415" t="n">
        <x:f>J6+1</x:f>
        <x:v>9</x:v>
      </x:c>
      <x:c r="L6" s="415" t="n">
        <x:f>K6+1</x:f>
        <x:v>10</x:v>
      </x:c>
      <x:c r="M6" s="415" t="n">
        <x:f>L6+1</x:f>
        <x:v>11</x:v>
      </x:c>
      <x:c r="N6" s="415" t="n">
        <x:f>M6+1</x:f>
        <x:v>12</x:v>
      </x:c>
      <x:c r="O6" s="415" t="n">
        <x:f>N6+1</x:f>
        <x:v>13</x:v>
      </x:c>
      <x:c r="P6" s="415" t="n">
        <x:f>O6+1</x:f>
        <x:v>14</x:v>
      </x:c>
      <x:c r="Q6" s="415" t="n">
        <x:f>P6+1</x:f>
        <x:v>15</x:v>
      </x:c>
      <x:c r="R6" s="415" t="n">
        <x:f>Q6+1</x:f>
        <x:v>16</x:v>
      </x:c>
      <x:c r="S6" s="415" t="n">
        <x:f>R6+1</x:f>
        <x:v>17</x:v>
      </x:c>
      <x:c r="T6" s="415" t="n">
        <x:f>S6+1</x:f>
        <x:v>18</x:v>
      </x:c>
      <x:c r="U6" s="415" t="n">
        <x:f>T6+1</x:f>
        <x:v>19</x:v>
      </x:c>
      <x:c r="V6" s="415" t="n">
        <x:f>U6+1</x:f>
        <x:v>20</x:v>
      </x:c>
      <x:c r="W6" s="415" t="n">
        <x:f>V6+1</x:f>
        <x:v>21</x:v>
      </x:c>
      <x:c r="X6" s="415" t="n">
        <x:f>W6+1</x:f>
        <x:v>22</x:v>
      </x:c>
      <x:c r="Y6" s="415" t="n">
        <x:f>X6+1</x:f>
        <x:v>23</x:v>
      </x:c>
      <x:c r="Z6" s="415" t="n">
        <x:f>Y6+1</x:f>
        <x:v>24</x:v>
      </x:c>
      <x:c r="AA6" s="415" t="n">
        <x:f>Z6+1</x:f>
        <x:v>25</x:v>
      </x:c>
      <x:c r="AB6" s="415" t="n">
        <x:f>AA6+1</x:f>
        <x:v>26</x:v>
      </x:c>
      <x:c r="AC6" s="415" t="n">
        <x:f>AB6+1</x:f>
        <x:v>27</x:v>
      </x:c>
      <x:c r="AD6" s="415" t="n">
        <x:f>AC6+1</x:f>
        <x:v>28</x:v>
      </x:c>
      <x:c r="AE6" s="415" t="n">
        <x:f>AD6+1</x:f>
        <x:v>29</x:v>
      </x:c>
      <x:c r="AF6" s="415" t="n">
        <x:f>AE6+1</x:f>
        <x:v>30</x:v>
      </x:c>
      <x:c r="AG6" s="415" t="n">
        <x:f>AF6+1</x:f>
        <x:v>31</x:v>
      </x:c>
      <x:c r="AH6" s="415" t="n">
        <x:f>AG6+1</x:f>
        <x:v>32</x:v>
      </x:c>
      <x:c r="AI6" s="415" t="n">
        <x:f>AH6+1</x:f>
        <x:v>33</x:v>
      </x:c>
      <x:c r="AJ6" s="415" t="n">
        <x:f>AI6+1</x:f>
        <x:v>34</x:v>
      </x:c>
      <x:c r="AK6" s="415" t="n">
        <x:f>AJ6+1</x:f>
        <x:v>35</x:v>
      </x:c>
      <x:c r="AL6" s="415" t="n">
        <x:f>AK6+1</x:f>
        <x:v>36</x:v>
      </x:c>
    </x:row>
    <x:row r="7">
      <x:c r="A7" s="415"/>
      <x:c r="B7" s="415"/>
      <x:c r="C7" s="415"/>
      <x:c r="D7" s="415"/>
      <x:c r="E7" s="415"/>
      <x:c r="F7" s="415"/>
      <x:c r="G7" s="415"/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 ht="23" customHeight="1">
      <x:c r="A8" s="416" t="str">
        <x:v>FUNNEL</x:v>
      </x:c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9" t="str">
        <x:v>Qualified leads</x:v>
      </x:c>
      <x:c r="B9" s="50" t="str">
        <x:v>leads</x:v>
      </x:c>
      <x:c r="C9" s="164" t="n">
        <x:f>Assumptions!$C$25</x:f>
        <x:v>20</x:v>
      </x:c>
      <x:c r="D9" s="110" t="n">
        <x:f>C9*(1+Assumptions!$C$26)</x:f>
        <x:v>20.8</x:v>
      </x:c>
      <x:c r="E9" s="110" t="n">
        <x:f>D9*(1+Assumptions!$C$26)</x:f>
        <x:v>21.632</x:v>
      </x:c>
      <x:c r="F9" s="110" t="n">
        <x:f>E9*(1+Assumptions!$C$26)</x:f>
        <x:v>22.497280000000003</x:v>
      </x:c>
      <x:c r="G9" s="110" t="n">
        <x:f>F9*(1+Assumptions!$C$26)</x:f>
        <x:v>23.397171200000006</x:v>
      </x:c>
      <x:c r="H9" s="110" t="n">
        <x:f>G9*(1+Assumptions!$C$26)</x:f>
        <x:v>24.33305804800001</x:v>
      </x:c>
      <x:c r="I9" s="110" t="n">
        <x:f>H9*(1+Assumptions!$C$26)</x:f>
        <x:v>25.30638036992001</x:v>
      </x:c>
      <x:c r="J9" s="110" t="n">
        <x:f>I9*(1+Assumptions!$C$26)</x:f>
        <x:v>26.318635584716812</x:v>
      </x:c>
      <x:c r="K9" s="110" t="n">
        <x:f>J9*(1+Assumptions!$C$26)</x:f>
        <x:v>27.371381008105487</x:v>
      </x:c>
      <x:c r="L9" s="110" t="n">
        <x:f>K9*(1+Assumptions!$C$26)</x:f>
        <x:v>28.46623624842971</x:v>
      </x:c>
      <x:c r="M9" s="110" t="n">
        <x:f>L9*(1+Assumptions!$C$26)</x:f>
        <x:v>29.6048856983669</x:v>
      </x:c>
      <x:c r="N9" s="110" t="n">
        <x:f>M9*(1+Assumptions!$C$26)</x:f>
        <x:v>30.78908112630158</x:v>
      </x:c>
      <x:c r="O9" s="110" t="n">
        <x:f>N9*(1+Assumptions!$C$26)</x:f>
        <x:v>32.02064437135364</x:v>
      </x:c>
      <x:c r="P9" s="110" t="n">
        <x:f>O9*(1+Assumptions!$C$26)</x:f>
        <x:v>33.301470146207784</x:v>
      </x:c>
      <x:c r="Q9" s="110" t="n">
        <x:f>P9*(1+Assumptions!$C$26)</x:f>
        <x:v>34.633528952056096</x:v>
      </x:c>
      <x:c r="R9" s="110" t="n">
        <x:f>Q9*(1+Assumptions!$C$26)</x:f>
        <x:v>36.018870110138344</x:v>
      </x:c>
      <x:c r="S9" s="110" t="n">
        <x:f>R9*(1+Assumptions!$C$26)</x:f>
        <x:v>37.45962491454388</x:v>
      </x:c>
      <x:c r="T9" s="110" t="n">
        <x:f>S9*(1+Assumptions!$C$26)</x:f>
        <x:v>38.958009911125636</x:v>
      </x:c>
      <x:c r="U9" s="110" t="n">
        <x:f>T9*(1+Assumptions!$C$26)</x:f>
        <x:v>40.51633030757066</x:v>
      </x:c>
      <x:c r="V9" s="110" t="n">
        <x:f>U9*(1+Assumptions!$C$26)</x:f>
        <x:v>42.13698351987349</x:v>
      </x:c>
      <x:c r="W9" s="110" t="n">
        <x:f>V9*(1+Assumptions!$C$26)</x:f>
        <x:v>43.82246286066843</x:v>
      </x:c>
      <x:c r="X9" s="110" t="n">
        <x:f>W9*(1+Assumptions!$C$26)</x:f>
        <x:v>45.57536137509517</x:v>
      </x:c>
      <x:c r="Y9" s="110" t="n">
        <x:f>X9*(1+Assumptions!$C$26)</x:f>
        <x:v>47.39837583009898</x:v>
      </x:c>
      <x:c r="Z9" s="110" t="n">
        <x:f>Y9*(1+Assumptions!$C$26)</x:f>
        <x:v>49.29431086330294</x:v>
      </x:c>
      <x:c r="AA9" s="110" t="n">
        <x:f>Z9*(1+Assumptions!$C$26)</x:f>
        <x:v>51.26608329783506</x:v>
      </x:c>
      <x:c r="AB9" s="110" t="n">
        <x:f>AA9*(1+Assumptions!$C$26)</x:f>
        <x:v>53.316726629748466</x:v>
      </x:c>
      <x:c r="AC9" s="110" t="n">
        <x:f>AB9*(1+Assumptions!$C$26)</x:f>
        <x:v>55.44939569493841</x:v>
      </x:c>
      <x:c r="AD9" s="110" t="n">
        <x:f>AC9*(1+Assumptions!$C$26)</x:f>
        <x:v>57.66737152273595</x:v>
      </x:c>
      <x:c r="AE9" s="110" t="n">
        <x:f>AD9*(1+Assumptions!$C$26)</x:f>
        <x:v>59.974066383645386</x:v>
      </x:c>
      <x:c r="AF9" s="110" t="n">
        <x:f>AE9*(1+Assumptions!$C$26)</x:f>
        <x:v>62.373029038991206</x:v>
      </x:c>
      <x:c r="AG9" s="110" t="n">
        <x:f>AF9*(1+Assumptions!$C$26)</x:f>
        <x:v>64.86795020055085</x:v>
      </x:c>
      <x:c r="AH9" s="110" t="n">
        <x:f>AG9*(1+Assumptions!$C$26)</x:f>
        <x:v>67.4626682085729</x:v>
      </x:c>
      <x:c r="AI9" s="110" t="n">
        <x:f>AH9*(1+Assumptions!$C$26)</x:f>
        <x:v>70.16117493691581</x:v>
      </x:c>
      <x:c r="AJ9" s="110" t="n">
        <x:f>AI9*(1+Assumptions!$C$26)</x:f>
        <x:v>72.96762193439245</x:v>
      </x:c>
      <x:c r="AK9" s="110" t="n">
        <x:f>AJ9*(1+Assumptions!$C$26)</x:f>
        <x:v>75.88632681176816</x:v>
      </x:c>
      <x:c r="AL9" s="111" t="n">
        <x:f>AK9*(1+Assumptions!$C$26)</x:f>
        <x:v>78.92177988423889</x:v>
      </x:c>
    </x:row>
    <x:row r="10">
      <x:c r="A10" s="49" t="str">
        <x:v>Lead → discovery call</x:v>
      </x:c>
      <x:c r="B10" s="50" t="str">
        <x:v>%</x:v>
      </x:c>
      <x:c r="C10" s="158" t="n">
        <x:f>Assumptions!$C$27</x:f>
        <x:v>0.3</x:v>
      </x:c>
      <x:c r="D10" s="158" t="n">
        <x:f>Assumptions!$C$27</x:f>
        <x:v>0.3</x:v>
      </x:c>
      <x:c r="E10" s="158" t="n">
        <x:f>Assumptions!$C$27</x:f>
        <x:v>0.3</x:v>
      </x:c>
      <x:c r="F10" s="158" t="n">
        <x:f>Assumptions!$C$27</x:f>
        <x:v>0.3</x:v>
      </x:c>
      <x:c r="G10" s="158" t="n">
        <x:f>Assumptions!$C$27</x:f>
        <x:v>0.3</x:v>
      </x:c>
      <x:c r="H10" s="158" t="n">
        <x:f>Assumptions!$C$27</x:f>
        <x:v>0.3</x:v>
      </x:c>
      <x:c r="I10" s="158" t="n">
        <x:f>Assumptions!$C$27</x:f>
        <x:v>0.3</x:v>
      </x:c>
      <x:c r="J10" s="158" t="n">
        <x:f>Assumptions!$C$27</x:f>
        <x:v>0.3</x:v>
      </x:c>
      <x:c r="K10" s="158" t="n">
        <x:f>Assumptions!$C$27</x:f>
        <x:v>0.3</x:v>
      </x:c>
      <x:c r="L10" s="158" t="n">
        <x:f>Assumptions!$C$27</x:f>
        <x:v>0.3</x:v>
      </x:c>
      <x:c r="M10" s="158" t="n">
        <x:f>Assumptions!$C$27</x:f>
        <x:v>0.3</x:v>
      </x:c>
      <x:c r="N10" s="158" t="n">
        <x:f>Assumptions!$C$27</x:f>
        <x:v>0.3</x:v>
      </x:c>
      <x:c r="O10" s="158" t="n">
        <x:f>Assumptions!$C$27</x:f>
        <x:v>0.3</x:v>
      </x:c>
      <x:c r="P10" s="158" t="n">
        <x:f>Assumptions!$C$27</x:f>
        <x:v>0.3</x:v>
      </x:c>
      <x:c r="Q10" s="158" t="n">
        <x:f>Assumptions!$C$27</x:f>
        <x:v>0.3</x:v>
      </x:c>
      <x:c r="R10" s="158" t="n">
        <x:f>Assumptions!$C$27</x:f>
        <x:v>0.3</x:v>
      </x:c>
      <x:c r="S10" s="158" t="n">
        <x:f>Assumptions!$C$27</x:f>
        <x:v>0.3</x:v>
      </x:c>
      <x:c r="T10" s="158" t="n">
        <x:f>Assumptions!$C$27</x:f>
        <x:v>0.3</x:v>
      </x:c>
      <x:c r="U10" s="158" t="n">
        <x:f>Assumptions!$C$27</x:f>
        <x:v>0.3</x:v>
      </x:c>
      <x:c r="V10" s="158" t="n">
        <x:f>Assumptions!$C$27</x:f>
        <x:v>0.3</x:v>
      </x:c>
      <x:c r="W10" s="158" t="n">
        <x:f>Assumptions!$C$27</x:f>
        <x:v>0.3</x:v>
      </x:c>
      <x:c r="X10" s="158" t="n">
        <x:f>Assumptions!$C$27</x:f>
        <x:v>0.3</x:v>
      </x:c>
      <x:c r="Y10" s="158" t="n">
        <x:f>Assumptions!$C$27</x:f>
        <x:v>0.3</x:v>
      </x:c>
      <x:c r="Z10" s="158" t="n">
        <x:f>Assumptions!$C$27</x:f>
        <x:v>0.3</x:v>
      </x:c>
      <x:c r="AA10" s="158" t="n">
        <x:f>Assumptions!$C$27</x:f>
        <x:v>0.3</x:v>
      </x:c>
      <x:c r="AB10" s="158" t="n">
        <x:f>Assumptions!$C$27</x:f>
        <x:v>0.3</x:v>
      </x:c>
      <x:c r="AC10" s="158" t="n">
        <x:f>Assumptions!$C$27</x:f>
        <x:v>0.3</x:v>
      </x:c>
      <x:c r="AD10" s="158" t="n">
        <x:f>Assumptions!$C$27</x:f>
        <x:v>0.3</x:v>
      </x:c>
      <x:c r="AE10" s="158" t="n">
        <x:f>Assumptions!$C$27</x:f>
        <x:v>0.3</x:v>
      </x:c>
      <x:c r="AF10" s="158" t="n">
        <x:f>Assumptions!$C$27</x:f>
        <x:v>0.3</x:v>
      </x:c>
      <x:c r="AG10" s="158" t="n">
        <x:f>Assumptions!$C$27</x:f>
        <x:v>0.3</x:v>
      </x:c>
      <x:c r="AH10" s="158" t="n">
        <x:f>Assumptions!$C$27</x:f>
        <x:v>0.3</x:v>
      </x:c>
      <x:c r="AI10" s="158" t="n">
        <x:f>Assumptions!$C$27</x:f>
        <x:v>0.3</x:v>
      </x:c>
      <x:c r="AJ10" s="158" t="n">
        <x:f>Assumptions!$C$27</x:f>
        <x:v>0.3</x:v>
      </x:c>
      <x:c r="AK10" s="158" t="n">
        <x:f>Assumptions!$C$27</x:f>
        <x:v>0.3</x:v>
      </x:c>
      <x:c r="AL10" s="159" t="n">
        <x:f>Assumptions!$C$27</x:f>
        <x:v>0.3</x:v>
      </x:c>
    </x:row>
    <x:row r="11">
      <x:c r="A11" s="49" t="str">
        <x:v>Discovery calls</x:v>
      </x:c>
      <x:c r="B11" s="50" t="str">
        <x:v>calls</x:v>
      </x:c>
      <x:c r="C11" s="110" t="n">
        <x:f>C9*C10</x:f>
        <x:v>6</x:v>
      </x:c>
      <x:c r="D11" s="110" t="n">
        <x:f>D9*D10</x:f>
        <x:v>6.24</x:v>
      </x:c>
      <x:c r="E11" s="110" t="n">
        <x:f>E9*E10</x:f>
        <x:v>6.4896</x:v>
      </x:c>
      <x:c r="F11" s="110" t="n">
        <x:f>F9*F10</x:f>
        <x:v>6.7491840000000005</x:v>
      </x:c>
      <x:c r="G11" s="110" t="n">
        <x:f>G9*G10</x:f>
        <x:v>7.019151360000001</x:v>
      </x:c>
      <x:c r="H11" s="110" t="n">
        <x:f>H9*H10</x:f>
        <x:v>7.299917414400002</x:v>
      </x:c>
      <x:c r="I11" s="110" t="n">
        <x:f>I9*I10</x:f>
        <x:v>7.591914110976003</x:v>
      </x:c>
      <x:c r="J11" s="110" t="n">
        <x:f>J9*J10</x:f>
        <x:v>7.895590675415043</x:v>
      </x:c>
      <x:c r="K11" s="110" t="n">
        <x:f>K9*K10</x:f>
        <x:v>8.211414302431645</x:v>
      </x:c>
      <x:c r="L11" s="110" t="n">
        <x:f>L9*L10</x:f>
        <x:v>8.539870874528912</x:v>
      </x:c>
      <x:c r="M11" s="110" t="n">
        <x:f>M9*M10</x:f>
        <x:v>8.881465709510069</x:v>
      </x:c>
      <x:c r="N11" s="110" t="n">
        <x:f>N9*N10</x:f>
        <x:v>9.236724337890474</x:v>
      </x:c>
      <x:c r="O11" s="110" t="n">
        <x:f>O9*O10</x:f>
        <x:v>9.606193311406091</x:v>
      </x:c>
      <x:c r="P11" s="110" t="n">
        <x:f>P9*P10</x:f>
        <x:v>9.990441043862335</x:v>
      </x:c>
      <x:c r="Q11" s="110" t="n">
        <x:f>Q9*Q10</x:f>
        <x:v>10.390058685616829</x:v>
      </x:c>
      <x:c r="R11" s="110" t="n">
        <x:f>R9*R10</x:f>
        <x:v>10.805661033041503</x:v>
      </x:c>
      <x:c r="S11" s="110" t="n">
        <x:f>S9*S10</x:f>
        <x:v>11.237887474363164</x:v>
      </x:c>
      <x:c r="T11" s="110" t="n">
        <x:f>T9*T10</x:f>
        <x:v>11.68740297333769</x:v>
      </x:c>
      <x:c r="U11" s="110" t="n">
        <x:f>U9*U10</x:f>
        <x:v>12.154899092271199</x:v>
      </x:c>
      <x:c r="V11" s="110" t="n">
        <x:f>V9*V10</x:f>
        <x:v>12.641095055962046</x:v>
      </x:c>
      <x:c r="W11" s="110" t="n">
        <x:f>W9*W10</x:f>
        <x:v>13.146738858200528</x:v>
      </x:c>
      <x:c r="X11" s="110" t="n">
        <x:f>X9*X10</x:f>
        <x:v>13.67260841252855</x:v>
      </x:c>
      <x:c r="Y11" s="110" t="n">
        <x:f>Y9*Y10</x:f>
        <x:v>14.219512749029693</x:v>
      </x:c>
      <x:c r="Z11" s="110" t="n">
        <x:f>Z9*Z10</x:f>
        <x:v>14.788293258990882</x:v>
      </x:c>
      <x:c r="AA11" s="110" t="n">
        <x:f>AA9*AA10</x:f>
        <x:v>15.379824989350517</x:v>
      </x:c>
      <x:c r="AB11" s="110" t="n">
        <x:f>AB9*AB10</x:f>
        <x:v>15.99501798892454</x:v>
      </x:c>
      <x:c r="AC11" s="110" t="n">
        <x:f>AC9*AC10</x:f>
        <x:v>16.63481870848152</x:v>
      </x:c>
      <x:c r="AD11" s="110" t="n">
        <x:f>AD9*AD10</x:f>
        <x:v>17.300211456820783</x:v>
      </x:c>
      <x:c r="AE11" s="110" t="n">
        <x:f>AE9*AE10</x:f>
        <x:v>17.992219915093614</x:v>
      </x:c>
      <x:c r="AF11" s="110" t="n">
        <x:f>AF9*AF10</x:f>
        <x:v>18.71190871169736</x:v>
      </x:c>
      <x:c r="AG11" s="110" t="n">
        <x:f>AG9*AG10</x:f>
        <x:v>19.460385060165255</x:v>
      </x:c>
      <x:c r="AH11" s="110" t="n">
        <x:f>AH9*AH10</x:f>
        <x:v>20.238800462571866</x:v>
      </x:c>
      <x:c r="AI11" s="110" t="n">
        <x:f>AI9*AI10</x:f>
        <x:v>21.048352481074744</x:v>
      </x:c>
      <x:c r="AJ11" s="110" t="n">
        <x:f>AJ9*AJ10</x:f>
        <x:v>21.890286580317735</x:v>
      </x:c>
      <x:c r="AK11" s="110" t="n">
        <x:f>AK9*AK10</x:f>
        <x:v>22.765898043530445</x:v>
      </x:c>
      <x:c r="AL11" s="111" t="n">
        <x:f>AL9*AL10</x:f>
        <x:v>23.676533965271666</x:v>
      </x:c>
    </x:row>
    <x:row r="12">
      <x:c r="A12" s="49" t="str">
        <x:v>Discovery call → proposal</x:v>
      </x:c>
      <x:c r="B12" s="50" t="str">
        <x:v>%</x:v>
      </x:c>
      <x:c r="C12" s="158" t="n">
        <x:f>Assumptions!$C$28</x:f>
        <x:v>0.55</x:v>
      </x:c>
      <x:c r="D12" s="158" t="n">
        <x:f>Assumptions!$C$28</x:f>
        <x:v>0.55</x:v>
      </x:c>
      <x:c r="E12" s="158" t="n">
        <x:f>Assumptions!$C$28</x:f>
        <x:v>0.55</x:v>
      </x:c>
      <x:c r="F12" s="158" t="n">
        <x:f>Assumptions!$C$28</x:f>
        <x:v>0.55</x:v>
      </x:c>
      <x:c r="G12" s="158" t="n">
        <x:f>Assumptions!$C$28</x:f>
        <x:v>0.55</x:v>
      </x:c>
      <x:c r="H12" s="158" t="n">
        <x:f>Assumptions!$C$28</x:f>
        <x:v>0.55</x:v>
      </x:c>
      <x:c r="I12" s="158" t="n">
        <x:f>Assumptions!$C$28</x:f>
        <x:v>0.55</x:v>
      </x:c>
      <x:c r="J12" s="158" t="n">
        <x:f>Assumptions!$C$28</x:f>
        <x:v>0.55</x:v>
      </x:c>
      <x:c r="K12" s="158" t="n">
        <x:f>Assumptions!$C$28</x:f>
        <x:v>0.55</x:v>
      </x:c>
      <x:c r="L12" s="158" t="n">
        <x:f>Assumptions!$C$28</x:f>
        <x:v>0.55</x:v>
      </x:c>
      <x:c r="M12" s="158" t="n">
        <x:f>Assumptions!$C$28</x:f>
        <x:v>0.55</x:v>
      </x:c>
      <x:c r="N12" s="158" t="n">
        <x:f>Assumptions!$C$28</x:f>
        <x:v>0.55</x:v>
      </x:c>
      <x:c r="O12" s="158" t="n">
        <x:f>Assumptions!$C$28</x:f>
        <x:v>0.55</x:v>
      </x:c>
      <x:c r="P12" s="158" t="n">
        <x:f>Assumptions!$C$28</x:f>
        <x:v>0.55</x:v>
      </x:c>
      <x:c r="Q12" s="158" t="n">
        <x:f>Assumptions!$C$28</x:f>
        <x:v>0.55</x:v>
      </x:c>
      <x:c r="R12" s="158" t="n">
        <x:f>Assumptions!$C$28</x:f>
        <x:v>0.55</x:v>
      </x:c>
      <x:c r="S12" s="158" t="n">
        <x:f>Assumptions!$C$28</x:f>
        <x:v>0.55</x:v>
      </x:c>
      <x:c r="T12" s="158" t="n">
        <x:f>Assumptions!$C$28</x:f>
        <x:v>0.55</x:v>
      </x:c>
      <x:c r="U12" s="158" t="n">
        <x:f>Assumptions!$C$28</x:f>
        <x:v>0.55</x:v>
      </x:c>
      <x:c r="V12" s="158" t="n">
        <x:f>Assumptions!$C$28</x:f>
        <x:v>0.55</x:v>
      </x:c>
      <x:c r="W12" s="158" t="n">
        <x:f>Assumptions!$C$28</x:f>
        <x:v>0.55</x:v>
      </x:c>
      <x:c r="X12" s="158" t="n">
        <x:f>Assumptions!$C$28</x:f>
        <x:v>0.55</x:v>
      </x:c>
      <x:c r="Y12" s="158" t="n">
        <x:f>Assumptions!$C$28</x:f>
        <x:v>0.55</x:v>
      </x:c>
      <x:c r="Z12" s="158" t="n">
        <x:f>Assumptions!$C$28</x:f>
        <x:v>0.55</x:v>
      </x:c>
      <x:c r="AA12" s="158" t="n">
        <x:f>Assumptions!$C$28</x:f>
        <x:v>0.55</x:v>
      </x:c>
      <x:c r="AB12" s="158" t="n">
        <x:f>Assumptions!$C$28</x:f>
        <x:v>0.55</x:v>
      </x:c>
      <x:c r="AC12" s="158" t="n">
        <x:f>Assumptions!$C$28</x:f>
        <x:v>0.55</x:v>
      </x:c>
      <x:c r="AD12" s="158" t="n">
        <x:f>Assumptions!$C$28</x:f>
        <x:v>0.55</x:v>
      </x:c>
      <x:c r="AE12" s="158" t="n">
        <x:f>Assumptions!$C$28</x:f>
        <x:v>0.55</x:v>
      </x:c>
      <x:c r="AF12" s="158" t="n">
        <x:f>Assumptions!$C$28</x:f>
        <x:v>0.55</x:v>
      </x:c>
      <x:c r="AG12" s="158" t="n">
        <x:f>Assumptions!$C$28</x:f>
        <x:v>0.55</x:v>
      </x:c>
      <x:c r="AH12" s="158" t="n">
        <x:f>Assumptions!$C$28</x:f>
        <x:v>0.55</x:v>
      </x:c>
      <x:c r="AI12" s="158" t="n">
        <x:f>Assumptions!$C$28</x:f>
        <x:v>0.55</x:v>
      </x:c>
      <x:c r="AJ12" s="158" t="n">
        <x:f>Assumptions!$C$28</x:f>
        <x:v>0.55</x:v>
      </x:c>
      <x:c r="AK12" s="158" t="n">
        <x:f>Assumptions!$C$28</x:f>
        <x:v>0.55</x:v>
      </x:c>
      <x:c r="AL12" s="159" t="n">
        <x:f>Assumptions!$C$28</x:f>
        <x:v>0.55</x:v>
      </x:c>
    </x:row>
    <x:row r="13">
      <x:c r="A13" s="49" t="str">
        <x:v>Proposals</x:v>
      </x:c>
      <x:c r="B13" s="50" t="str">
        <x:v>proposals</x:v>
      </x:c>
      <x:c r="C13" s="110" t="n">
        <x:f>C11*C12</x:f>
        <x:v>3.3000000000000003</x:v>
      </x:c>
      <x:c r="D13" s="110" t="n">
        <x:f>D11*D12</x:f>
        <x:v>3.4320000000000004</x:v>
      </x:c>
      <x:c r="E13" s="110" t="n">
        <x:f>E11*E12</x:f>
        <x:v>3.5692800000000005</x:v>
      </x:c>
      <x:c r="F13" s="110" t="n">
        <x:f>F11*F12</x:f>
        <x:v>3.7120512000000008</x:v>
      </x:c>
      <x:c r="G13" s="110" t="n">
        <x:f>G11*G12</x:f>
        <x:v>3.860533248000001</x:v>
      </x:c>
      <x:c r="H13" s="110" t="n">
        <x:f>H11*H12</x:f>
        <x:v>4.014954577920001</x:v>
      </x:c>
      <x:c r="I13" s="110" t="n">
        <x:f>I11*I12</x:f>
        <x:v>4.175552761036802</x:v>
      </x:c>
      <x:c r="J13" s="110" t="n">
        <x:f>J11*J12</x:f>
        <x:v>4.342574871478274</x:v>
      </x:c>
      <x:c r="K13" s="110" t="n">
        <x:f>K11*K12</x:f>
        <x:v>4.516277866337405</x:v>
      </x:c>
      <x:c r="L13" s="110" t="n">
        <x:f>L11*L12</x:f>
        <x:v>4.696928980990902</x:v>
      </x:c>
      <x:c r="M13" s="110" t="n">
        <x:f>M11*M12</x:f>
        <x:v>4.8848061402305385</x:v>
      </x:c>
      <x:c r="N13" s="110" t="n">
        <x:f>N11*N12</x:f>
        <x:v>5.080198385839761</x:v>
      </x:c>
      <x:c r="O13" s="110" t="n">
        <x:f>O11*O12</x:f>
        <x:v>5.28340632127335</x:v>
      </x:c>
      <x:c r="P13" s="110" t="n">
        <x:f>P11*P12</x:f>
        <x:v>5.494742574124285</x:v>
      </x:c>
      <x:c r="Q13" s="110" t="n">
        <x:f>Q11*Q12</x:f>
        <x:v>5.714532277089257</x:v>
      </x:c>
      <x:c r="R13" s="110" t="n">
        <x:f>R11*R12</x:f>
        <x:v>5.943113568172827</x:v>
      </x:c>
      <x:c r="S13" s="110" t="n">
        <x:f>S11*S12</x:f>
        <x:v>6.180838110899741</x:v>
      </x:c>
      <x:c r="T13" s="110" t="n">
        <x:f>T11*T12</x:f>
        <x:v>6.42807163533573</x:v>
      </x:c>
      <x:c r="U13" s="110" t="n">
        <x:f>U11*U12</x:f>
        <x:v>6.68519450074916</x:v>
      </x:c>
      <x:c r="V13" s="110" t="n">
        <x:f>V11*V12</x:f>
        <x:v>6.952602280779126</x:v>
      </x:c>
      <x:c r="W13" s="110" t="n">
        <x:f>W11*W12</x:f>
        <x:v>7.2307063720102915</x:v>
      </x:c>
      <x:c r="X13" s="110" t="n">
        <x:f>X11*X12</x:f>
        <x:v>7.519934626890703</x:v>
      </x:c>
      <x:c r="Y13" s="110" t="n">
        <x:f>Y11*Y12</x:f>
        <x:v>7.820732011966332</x:v>
      </x:c>
      <x:c r="Z13" s="110" t="n">
        <x:f>Z11*Z12</x:f>
        <x:v>8.133561292444986</x:v>
      </x:c>
      <x:c r="AA13" s="110" t="n">
        <x:f>AA11*AA12</x:f>
        <x:v>8.458903744142786</x:v>
      </x:c>
      <x:c r="AB13" s="110" t="n">
        <x:f>AB11*AB12</x:f>
        <x:v>8.797259893908498</x:v>
      </x:c>
      <x:c r="AC13" s="110" t="n">
        <x:f>AC11*AC12</x:f>
        <x:v>9.149150289664838</x:v>
      </x:c>
      <x:c r="AD13" s="110" t="n">
        <x:f>AD11*AD12</x:f>
        <x:v>9.515116301251432</x:v>
      </x:c>
      <x:c r="AE13" s="110" t="n">
        <x:f>AE11*AE12</x:f>
        <x:v>9.895720953301488</x:v>
      </x:c>
      <x:c r="AF13" s="110" t="n">
        <x:f>AF11*AF12</x:f>
        <x:v>10.29154979143355</x:v>
      </x:c>
      <x:c r="AG13" s="110" t="n">
        <x:f>AG11*AG12</x:f>
        <x:v>10.703211783090891</x:v>
      </x:c>
      <x:c r="AH13" s="110" t="n">
        <x:f>AH11*AH12</x:f>
        <x:v>11.131340254414528</x:v>
      </x:c>
      <x:c r="AI13" s="110" t="n">
        <x:f>AI11*AI12</x:f>
        <x:v>11.57659386459111</x:v>
      </x:c>
      <x:c r="AJ13" s="110" t="n">
        <x:f>AJ11*AJ12</x:f>
        <x:v>12.039657619174756</x:v>
      </x:c>
      <x:c r="AK13" s="110" t="n">
        <x:f>AK11*AK12</x:f>
        <x:v>12.521243923941746</x:v>
      </x:c>
      <x:c r="AL13" s="111" t="n">
        <x:f>AL11*AL12</x:f>
        <x:v>13.022093680899417</x:v>
      </x:c>
    </x:row>
    <x:row r="14">
      <x:c r="A14" s="49" t="str">
        <x:v>Base proposal → paid entry close</x:v>
      </x:c>
      <x:c r="B14" s="50" t="str">
        <x:v>%</x:v>
      </x:c>
      <x:c r="C14" s="158" t="n">
        <x:f>Assumptions!$C$29</x:f>
        <x:v>0.25</x:v>
      </x:c>
      <x:c r="D14" s="158" t="n">
        <x:f>Assumptions!$C$29</x:f>
        <x:v>0.25</x:v>
      </x:c>
      <x:c r="E14" s="158" t="n">
        <x:f>Assumptions!$C$29</x:f>
        <x:v>0.25</x:v>
      </x:c>
      <x:c r="F14" s="158" t="n">
        <x:f>Assumptions!$C$29</x:f>
        <x:v>0.25</x:v>
      </x:c>
      <x:c r="G14" s="158" t="n">
        <x:f>Assumptions!$C$29</x:f>
        <x:v>0.25</x:v>
      </x:c>
      <x:c r="H14" s="158" t="n">
        <x:f>Assumptions!$C$29</x:f>
        <x:v>0.25</x:v>
      </x:c>
      <x:c r="I14" s="158" t="n">
        <x:f>Assumptions!$C$29</x:f>
        <x:v>0.25</x:v>
      </x:c>
      <x:c r="J14" s="158" t="n">
        <x:f>Assumptions!$C$29</x:f>
        <x:v>0.25</x:v>
      </x:c>
      <x:c r="K14" s="158" t="n">
        <x:f>Assumptions!$C$29</x:f>
        <x:v>0.25</x:v>
      </x:c>
      <x:c r="L14" s="158" t="n">
        <x:f>Assumptions!$C$29</x:f>
        <x:v>0.25</x:v>
      </x:c>
      <x:c r="M14" s="158" t="n">
        <x:f>Assumptions!$C$29</x:f>
        <x:v>0.25</x:v>
      </x:c>
      <x:c r="N14" s="158" t="n">
        <x:f>Assumptions!$C$29</x:f>
        <x:v>0.25</x:v>
      </x:c>
      <x:c r="O14" s="158" t="n">
        <x:f>Assumptions!$C$29</x:f>
        <x:v>0.25</x:v>
      </x:c>
      <x:c r="P14" s="158" t="n">
        <x:f>Assumptions!$C$29</x:f>
        <x:v>0.25</x:v>
      </x:c>
      <x:c r="Q14" s="158" t="n">
        <x:f>Assumptions!$C$29</x:f>
        <x:v>0.25</x:v>
      </x:c>
      <x:c r="R14" s="158" t="n">
        <x:f>Assumptions!$C$29</x:f>
        <x:v>0.25</x:v>
      </x:c>
      <x:c r="S14" s="158" t="n">
        <x:f>Assumptions!$C$29</x:f>
        <x:v>0.25</x:v>
      </x:c>
      <x:c r="T14" s="158" t="n">
        <x:f>Assumptions!$C$29</x:f>
        <x:v>0.25</x:v>
      </x:c>
      <x:c r="U14" s="158" t="n">
        <x:f>Assumptions!$C$29</x:f>
        <x:v>0.25</x:v>
      </x:c>
      <x:c r="V14" s="158" t="n">
        <x:f>Assumptions!$C$29</x:f>
        <x:v>0.25</x:v>
      </x:c>
      <x:c r="W14" s="158" t="n">
        <x:f>Assumptions!$C$29</x:f>
        <x:v>0.25</x:v>
      </x:c>
      <x:c r="X14" s="158" t="n">
        <x:f>Assumptions!$C$29</x:f>
        <x:v>0.25</x:v>
      </x:c>
      <x:c r="Y14" s="158" t="n">
        <x:f>Assumptions!$C$29</x:f>
        <x:v>0.25</x:v>
      </x:c>
      <x:c r="Z14" s="158" t="n">
        <x:f>Assumptions!$C$29</x:f>
        <x:v>0.25</x:v>
      </x:c>
      <x:c r="AA14" s="158" t="n">
        <x:f>Assumptions!$C$29</x:f>
        <x:v>0.25</x:v>
      </x:c>
      <x:c r="AB14" s="158" t="n">
        <x:f>Assumptions!$C$29</x:f>
        <x:v>0.25</x:v>
      </x:c>
      <x:c r="AC14" s="158" t="n">
        <x:f>Assumptions!$C$29</x:f>
        <x:v>0.25</x:v>
      </x:c>
      <x:c r="AD14" s="158" t="n">
        <x:f>Assumptions!$C$29</x:f>
        <x:v>0.25</x:v>
      </x:c>
      <x:c r="AE14" s="158" t="n">
        <x:f>Assumptions!$C$29</x:f>
        <x:v>0.25</x:v>
      </x:c>
      <x:c r="AF14" s="158" t="n">
        <x:f>Assumptions!$C$29</x:f>
        <x:v>0.25</x:v>
      </x:c>
      <x:c r="AG14" s="158" t="n">
        <x:f>Assumptions!$C$29</x:f>
        <x:v>0.25</x:v>
      </x:c>
      <x:c r="AH14" s="158" t="n">
        <x:f>Assumptions!$C$29</x:f>
        <x:v>0.25</x:v>
      </x:c>
      <x:c r="AI14" s="158" t="n">
        <x:f>Assumptions!$C$29</x:f>
        <x:v>0.25</x:v>
      </x:c>
      <x:c r="AJ14" s="158" t="n">
        <x:f>Assumptions!$C$29</x:f>
        <x:v>0.25</x:v>
      </x:c>
      <x:c r="AK14" s="158" t="n">
        <x:f>Assumptions!$C$29</x:f>
        <x:v>0.25</x:v>
      </x:c>
      <x:c r="AL14" s="159" t="n">
        <x:f>Assumptions!$C$29</x:f>
        <x:v>0.25</x:v>
      </x:c>
    </x:row>
    <x:row r="15">
      <x:c r="A15" s="49" t="str">
        <x:v>Proof-driven close-rate lift</x:v>
      </x:c>
      <x:c r="B15" s="50" t="str">
        <x:v>pp</x:v>
      </x:c>
      <x:c r="C15" s="118" t="n">
        <x:f>0</x:f>
        <x:v>0</x:v>
      </x:c>
      <x:c r="D15" s="118" t="n">
        <x:f>MIN(Assumptions!$C$31,C77*Assumptions!$C$30)</x:f>
        <x:v>0.0012375000000000003</x:v>
      </x:c>
      <x:c r="E15" s="118" t="n">
        <x:f>MIN(Assumptions!$C$31,D77*Assumptions!$C$30)</x:f>
        <x:v>0.0029021206500000007</x:v>
      </x:c>
      <x:c r="F15" s="118" t="n">
        <x:f>MIN(Assumptions!$C$31,E77*Assumptions!$C$30)</x:f>
        <x:v>0.004792649566790449</x:v>
      </x:c>
      <x:c r="G15" s="118" t="n">
        <x:f>MIN(Assumptions!$C$31,F77*Assumptions!$C$30)</x:f>
        <x:v>0.00677276440219096</x:v>
      </x:c>
      <x:c r="H15" s="118" t="n">
        <x:f>MIN(Assumptions!$C$31,G77*Assumptions!$C$30)</x:f>
        <x:v>0.00890717773229812</x:v>
      </x:c>
      <x:c r="I15" s="118" t="n">
        <x:f>MIN(Assumptions!$C$31,H77*Assumptions!$C$30)</x:f>
        <x:v>0.011144830873510671</x:v>
      </x:c>
      <x:c r="J15" s="118" t="n">
        <x:f>MIN(Assumptions!$C$31,I77*Assumptions!$C$30)</x:f>
        <x:v>0.01349166536780286</x:v>
      </x:c>
      <x:c r="K15" s="118" t="n">
        <x:f>MIN(Assumptions!$C$31,J77*Assumptions!$C$30)</x:f>
        <x:v>0.015959852546411222</x:v>
      </x:c>
      <x:c r="L15" s="118" t="n">
        <x:f>MIN(Assumptions!$C$31,K77*Assumptions!$C$30)</x:f>
        <x:v>0.018550336615511764</x:v>
      </x:c>
      <x:c r="M15" s="118" t="n">
        <x:f>MIN(Assumptions!$C$31,L77*Assumptions!$C$30)</x:f>
        <x:v>0.021270201408346224</x:v>
      </x:c>
      <x:c r="N15" s="118" t="n">
        <x:f>MIN(Assumptions!$C$31,M77*Assumptions!$C$30)</x:f>
        <x:v>0.024126994823881105</x:v>
      </x:c>
      <x:c r="O15" s="118" t="n">
        <x:f>MIN(Assumptions!$C$31,N77*Assumptions!$C$30)</x:f>
        <x:v>0.027128787227917003</x:v>
      </x:c>
      <x:c r="P15" s="118" t="n">
        <x:f>MIN(Assumptions!$C$31,O77*Assumptions!$C$30)</x:f>
        <x:v>0.030284227514845313</x:v>
      </x:c>
      <x:c r="Q15" s="118" t="n">
        <x:f>MIN(Assumptions!$C$31,P77*Assumptions!$C$30)</x:f>
        <x:v>0.03360258544510201</x:v>
      </x:c>
      <x:c r="R15" s="118" t="n">
        <x:f>MIN(Assumptions!$C$31,Q77*Assumptions!$C$30)</x:f>
        <x:v>0.037093808951543183</x:v>
      </x:c>
      <x:c r="S15" s="118" t="n">
        <x:f>MIN(Assumptions!$C$31,R77*Assumptions!$C$30)</x:f>
        <x:v>0.04076858389338113</x:v>
      </x:c>
      <x:c r="T15" s="118" t="n">
        <x:f>MIN(Assumptions!$C$31,S77*Assumptions!$C$30)</x:f>
        <x:v>0.044638399366149654</x:v>
      </x:c>
      <x:c r="U15" s="118" t="n">
        <x:f>MIN(Assumptions!$C$31,T77*Assumptions!$C$30)</x:f>
        <x:v>0.048715620361495474</x:v>
      </x:c>
      <x:c r="V15" s="118" t="n">
        <x:f>MIN(Assumptions!$C$31,U77*Assumptions!$C$30)</x:f>
        <x:v>0.05</x:v>
      </x:c>
      <x:c r="W15" s="118" t="n">
        <x:f>MIN(Assumptions!$C$31,V77*Assumptions!$C$30)</x:f>
        <x:v>0.05</x:v>
      </x:c>
      <x:c r="X15" s="118" t="n">
        <x:f>MIN(Assumptions!$C$31,W77*Assumptions!$C$30)</x:f>
        <x:v>0.05</x:v>
      </x:c>
      <x:c r="Y15" s="118" t="n">
        <x:f>MIN(Assumptions!$C$31,X77*Assumptions!$C$30)</x:f>
        <x:v>0.05</x:v>
      </x:c>
      <x:c r="Z15" s="118" t="n">
        <x:f>MIN(Assumptions!$C$31,Y77*Assumptions!$C$30)</x:f>
        <x:v>0.05</x:v>
      </x:c>
      <x:c r="AA15" s="118" t="n">
        <x:f>MIN(Assumptions!$C$31,Z77*Assumptions!$C$30)</x:f>
        <x:v>0.05</x:v>
      </x:c>
      <x:c r="AB15" s="118" t="n">
        <x:f>MIN(Assumptions!$C$31,AA77*Assumptions!$C$30)</x:f>
        <x:v>0.05</x:v>
      </x:c>
      <x:c r="AC15" s="118" t="n">
        <x:f>MIN(Assumptions!$C$31,AB77*Assumptions!$C$30)</x:f>
        <x:v>0.05</x:v>
      </x:c>
      <x:c r="AD15" s="118" t="n">
        <x:f>MIN(Assumptions!$C$31,AC77*Assumptions!$C$30)</x:f>
        <x:v>0.05</x:v>
      </x:c>
      <x:c r="AE15" s="118" t="n">
        <x:f>MIN(Assumptions!$C$31,AD77*Assumptions!$C$30)</x:f>
        <x:v>0.05</x:v>
      </x:c>
      <x:c r="AF15" s="118" t="n">
        <x:f>MIN(Assumptions!$C$31,AE77*Assumptions!$C$30)</x:f>
        <x:v>0.05</x:v>
      </x:c>
      <x:c r="AG15" s="118" t="n">
        <x:f>MIN(Assumptions!$C$31,AF77*Assumptions!$C$30)</x:f>
        <x:v>0.05</x:v>
      </x:c>
      <x:c r="AH15" s="118" t="n">
        <x:f>MIN(Assumptions!$C$31,AG77*Assumptions!$C$30)</x:f>
        <x:v>0.05</x:v>
      </x:c>
      <x:c r="AI15" s="118" t="n">
        <x:f>MIN(Assumptions!$C$31,AH77*Assumptions!$C$30)</x:f>
        <x:v>0.05</x:v>
      </x:c>
      <x:c r="AJ15" s="118" t="n">
        <x:f>MIN(Assumptions!$C$31,AI77*Assumptions!$C$30)</x:f>
        <x:v>0.05</x:v>
      </x:c>
      <x:c r="AK15" s="118" t="n">
        <x:f>MIN(Assumptions!$C$31,AJ77*Assumptions!$C$30)</x:f>
        <x:v>0.05</x:v>
      </x:c>
      <x:c r="AL15" s="119" t="n">
        <x:f>MIN(Assumptions!$C$31,AK77*Assumptions!$C$30)</x:f>
        <x:v>0.05</x:v>
      </x:c>
    </x:row>
    <x:row r="16">
      <x:c r="A16" s="49" t="str">
        <x:v>Effective proposal → paid entry close</x:v>
      </x:c>
      <x:c r="B16" s="50" t="str">
        <x:v>%</x:v>
      </x:c>
      <x:c r="C16" s="118" t="n">
        <x:f>C14+C15</x:f>
        <x:v>0.25</x:v>
      </x:c>
      <x:c r="D16" s="118" t="n">
        <x:f>D14+D15</x:f>
        <x:v>0.2512375</x:v>
      </x:c>
      <x:c r="E16" s="118" t="n">
        <x:f>E14+E15</x:f>
        <x:v>0.25290212065</x:v>
      </x:c>
      <x:c r="F16" s="118" t="n">
        <x:f>F14+F15</x:f>
        <x:v>0.25479264956679043</x:v>
      </x:c>
      <x:c r="G16" s="118" t="n">
        <x:f>G14+G15</x:f>
        <x:v>0.25677276440219093</x:v>
      </x:c>
      <x:c r="H16" s="118" t="n">
        <x:f>H14+H15</x:f>
        <x:v>0.2589071777322981</x:v>
      </x:c>
      <x:c r="I16" s="118" t="n">
        <x:f>I14+I15</x:f>
        <x:v>0.26114483087351065</x:v>
      </x:c>
      <x:c r="J16" s="118" t="n">
        <x:f>J14+J15</x:f>
        <x:v>0.2634916653678029</x:v>
      </x:c>
      <x:c r="K16" s="118" t="n">
        <x:f>K14+K15</x:f>
        <x:v>0.26595985254641125</x:v>
      </x:c>
      <x:c r="L16" s="118" t="n">
        <x:f>L14+L15</x:f>
        <x:v>0.26855033661551175</x:v>
      </x:c>
      <x:c r="M16" s="118" t="n">
        <x:f>M14+M15</x:f>
        <x:v>0.27127020140834623</x:v>
      </x:c>
      <x:c r="N16" s="118" t="n">
        <x:f>N14+N15</x:f>
        <x:v>0.2741269948238811</x:v>
      </x:c>
      <x:c r="O16" s="118" t="n">
        <x:f>O14+O15</x:f>
        <x:v>0.277128787227917</x:v>
      </x:c>
      <x:c r="P16" s="118" t="n">
        <x:f>P14+P15</x:f>
        <x:v>0.28028422751484533</x:v>
      </x:c>
      <x:c r="Q16" s="118" t="n">
        <x:f>Q14+Q15</x:f>
        <x:v>0.28360258544510203</x:v>
      </x:c>
      <x:c r="R16" s="118" t="n">
        <x:f>R14+R15</x:f>
        <x:v>0.2870938089515432</x:v>
      </x:c>
      <x:c r="S16" s="118" t="n">
        <x:f>S14+S15</x:f>
        <x:v>0.2907685838933811</x:v>
      </x:c>
      <x:c r="T16" s="118" t="n">
        <x:f>T14+T15</x:f>
        <x:v>0.29463839936614966</x:v>
      </x:c>
      <x:c r="U16" s="118" t="n">
        <x:f>U14+U15</x:f>
        <x:v>0.29871562036149546</x:v>
      </x:c>
      <x:c r="V16" s="118" t="n">
        <x:f>V14+V15</x:f>
        <x:v>0.3</x:v>
      </x:c>
      <x:c r="W16" s="118" t="n">
        <x:f>W14+W15</x:f>
        <x:v>0.3</x:v>
      </x:c>
      <x:c r="X16" s="118" t="n">
        <x:f>X14+X15</x:f>
        <x:v>0.3</x:v>
      </x:c>
      <x:c r="Y16" s="118" t="n">
        <x:f>Y14+Y15</x:f>
        <x:v>0.3</x:v>
      </x:c>
      <x:c r="Z16" s="118" t="n">
        <x:f>Z14+Z15</x:f>
        <x:v>0.3</x:v>
      </x:c>
      <x:c r="AA16" s="118" t="n">
        <x:f>AA14+AA15</x:f>
        <x:v>0.3</x:v>
      </x:c>
      <x:c r="AB16" s="118" t="n">
        <x:f>AB14+AB15</x:f>
        <x:v>0.3</x:v>
      </x:c>
      <x:c r="AC16" s="118" t="n">
        <x:f>AC14+AC15</x:f>
        <x:v>0.3</x:v>
      </x:c>
      <x:c r="AD16" s="118" t="n">
        <x:f>AD14+AD15</x:f>
        <x:v>0.3</x:v>
      </x:c>
      <x:c r="AE16" s="118" t="n">
        <x:f>AE14+AE15</x:f>
        <x:v>0.3</x:v>
      </x:c>
      <x:c r="AF16" s="118" t="n">
        <x:f>AF14+AF15</x:f>
        <x:v>0.3</x:v>
      </x:c>
      <x:c r="AG16" s="118" t="n">
        <x:f>AG14+AG15</x:f>
        <x:v>0.3</x:v>
      </x:c>
      <x:c r="AH16" s="118" t="n">
        <x:f>AH14+AH15</x:f>
        <x:v>0.3</x:v>
      </x:c>
      <x:c r="AI16" s="118" t="n">
        <x:f>AI14+AI15</x:f>
        <x:v>0.3</x:v>
      </x:c>
      <x:c r="AJ16" s="118" t="n">
        <x:f>AJ14+AJ15</x:f>
        <x:v>0.3</x:v>
      </x:c>
      <x:c r="AK16" s="118" t="n">
        <x:f>AK14+AK15</x:f>
        <x:v>0.3</x:v>
      </x:c>
      <x:c r="AL16" s="119" t="n">
        <x:f>AL14+AL15</x:f>
        <x:v>0.3</x:v>
      </x:c>
    </x:row>
    <x:row r="17">
      <x:c r="A17" s="49" t="str">
        <x:v>Raw paid-entry demand</x:v>
      </x:c>
      <x:c r="B17" s="50" t="str">
        <x:v>engagements</x:v>
      </x:c>
      <x:c r="C17" s="110" t="n">
        <x:f>C13*C16</x:f>
        <x:v>0.8250000000000001</x:v>
      </x:c>
      <x:c r="D17" s="110" t="n">
        <x:f>D13*D16</x:f>
        <x:v>0.8622471000000002</x:v>
      </x:c>
      <x:c r="E17" s="110" t="n">
        <x:f>E13*E16</x:f>
        <x:v>0.9026784811936321</x:v>
      </x:c>
      <x:c r="F17" s="110" t="n">
        <x:f>F13*F16</x:f>
        <x:v>0.9458033605755841</x:v>
      </x:c>
      <x:c r="G17" s="110" t="n">
        <x:f>G13*G16</x:f>
        <x:v>0.9912797941555292</x:v>
      </x:c>
      <x:c r="H17" s="110" t="n">
        <x:f>H13*H16</x:f>
        <x:v>1.0395005584926376</x:v>
      </x:c>
      <x:c r="I17" s="110" t="n">
        <x:f>I13*I16</x:f>
        <x:v>1.0904240195843762</x:v>
      </x:c>
      <x:c r="J17" s="110" t="n">
        <x:f>J13*J16</x:f>
        <x:v>1.1442322848701831</x:v>
      </x:c>
      <x:c r="K17" s="110" t="n">
        <x:f>K13*K16</x:f>
        <x:v>1.201148595389717</x:v>
      </x:c>
      <x:c r="L17" s="110" t="n">
        <x:f>L13*L16</x:f>
        <x:v>1.2613618589042592</x:v>
      </x:c>
      <x:c r="M17" s="110" t="n">
        <x:f>M13*M16</x:f>
        <x:v>1.3251023455010646</x:v>
      </x:c>
      <x:c r="N17" s="110" t="n">
        <x:f>N13*N16</x:f>
        <x:v>1.3926195166193853</x:v>
      </x:c>
      <x:c r="O17" s="110" t="n">
        <x:f>O13*O16</x:f>
        <x:v>1.464183986246794</x:v>
      </x:c>
      <x:c r="P17" s="110" t="n">
        <x:f>P13*P16</x:f>
        <x:v>1.5400896777813577</x:v>
      </x:c>
      <x:c r="Q17" s="110" t="n">
        <x:f>Q13*Q16</x:f>
        <x:v>1.6206561283919994</x:v>
      </x:c>
      <x:c r="R17" s="110" t="n">
        <x:f>R13*R16</x:f>
        <x:v>1.7062311113183337</x:v>
      </x:c>
      <x:c r="S17" s="110" t="n">
        <x:f>S13*S16</x:f>
        <x:v>1.7971935447805585</x:v>
      </x:c>
      <x:c r="T17" s="110" t="n">
        <x:f>T13*T16</x:f>
        <x:v>1.8939567376462676</x:v>
      </x:c>
      <x:c r="U17" s="110" t="n">
        <x:f>U13*U16</x:f>
        <x:v>1.9969720225285434</x:v>
      </x:c>
      <x:c r="V17" s="110" t="n">
        <x:f>V13*V16</x:f>
        <x:v>2.085780684233738</x:v>
      </x:c>
      <x:c r="W17" s="110" t="n">
        <x:f>W13*W16</x:f>
        <x:v>2.1692119116030875</x:v>
      </x:c>
      <x:c r="X17" s="110" t="n">
        <x:f>X13*X16</x:f>
        <x:v>2.255980388067211</x:v>
      </x:c>
      <x:c r="Y17" s="110" t="n">
        <x:f>Y13*Y16</x:f>
        <x:v>2.3462196035898994</x:v>
      </x:c>
      <x:c r="Z17" s="110" t="n">
        <x:f>Z13*Z16</x:f>
        <x:v>2.4400683877334957</x:v>
      </x:c>
      <x:c r="AA17" s="110" t="n">
        <x:f>AA13*AA16</x:f>
        <x:v>2.5376711232428355</x:v>
      </x:c>
      <x:c r="AB17" s="110" t="n">
        <x:f>AB13*AB16</x:f>
        <x:v>2.6391779681725493</x:v>
      </x:c>
      <x:c r="AC17" s="110" t="n">
        <x:f>AC13*AC16</x:f>
        <x:v>2.7447450868994516</x:v>
      </x:c>
      <x:c r="AD17" s="110" t="n">
        <x:f>AD13*AD16</x:f>
        <x:v>2.8545348903754295</x:v>
      </x:c>
      <x:c r="AE17" s="110" t="n">
        <x:f>AE13*AE16</x:f>
        <x:v>2.9687162859904466</x:v>
      </x:c>
      <x:c r="AF17" s="110" t="n">
        <x:f>AF13*AF16</x:f>
        <x:v>3.087464937430065</x:v>
      </x:c>
      <x:c r="AG17" s="110" t="n">
        <x:f>AG13*AG16</x:f>
        <x:v>3.2109635349272674</x:v>
      </x:c>
      <x:c r="AH17" s="110" t="n">
        <x:f>AH13*AH16</x:f>
        <x:v>3.3394020763243586</x:v>
      </x:c>
      <x:c r="AI17" s="110" t="n">
        <x:f>AI13*AI16</x:f>
        <x:v>3.472978159377333</x:v>
      </x:c>
      <x:c r="AJ17" s="110" t="n">
        <x:f>AJ13*AJ16</x:f>
        <x:v>3.6118972857524265</x:v>
      </x:c>
      <x:c r="AK17" s="110" t="n">
        <x:f>AK13*AK16</x:f>
        <x:v>3.7563731771825237</x:v>
      </x:c>
      <x:c r="AL17" s="111" t="n">
        <x:f>AL13*AL16</x:f>
        <x:v>3.9066281042698248</x:v>
      </x:c>
    </x:row>
    <x:row r="18">
      <x:c r="A18" s="49" t="str">
        <x:v>Capacity multiplier</x:v>
      </x:c>
      <x:c r="B18" s="50" t="str">
        <x:v>x</x:v>
      </x:c>
      <x:c r="C18" s="122" t="n">
        <x:f>1</x:f>
        <x:v>1</x:v>
      </x:c>
      <x:c r="D18" s="122" t="n">
        <x:f>1+MIN(Assumptions!$C$46,C77*Assumptions!$C$45)</x:f>
        <x:v>1.00309375</x:v>
      </x:c>
      <x:c r="E18" s="122" t="n">
        <x:f>1+MIN(Assumptions!$C$46,D77*Assumptions!$C$45)</x:f>
        <x:v>1.007255301625</x:v>
      </x:c>
      <x:c r="F18" s="122" t="n">
        <x:f>1+MIN(Assumptions!$C$46,E77*Assumptions!$C$45)</x:f>
        <x:v>1.011981623916976</x:v>
      </x:c>
      <x:c r="G18" s="122" t="n">
        <x:f>1+MIN(Assumptions!$C$46,F77*Assumptions!$C$45)</x:f>
        <x:v>1.0169319110054773</x:v>
      </x:c>
      <x:c r="H18" s="122" t="n">
        <x:f>1+MIN(Assumptions!$C$46,G77*Assumptions!$C$45)</x:f>
        <x:v>1.0222679443307452</x:v>
      </x:c>
      <x:c r="I18" s="122" t="n">
        <x:f>1+MIN(Assumptions!$C$46,H77*Assumptions!$C$45)</x:f>
        <x:v>1.0278620771837768</x:v>
      </x:c>
      <x:c r="J18" s="122" t="n">
        <x:f>1+MIN(Assumptions!$C$46,I77*Assumptions!$C$45)</x:f>
        <x:v>1.0337291634195072</x:v>
      </x:c>
      <x:c r="K18" s="122" t="n">
        <x:f>1+MIN(Assumptions!$C$46,J77*Assumptions!$C$45)</x:f>
        <x:v>1.039899631366028</x:v>
      </x:c>
      <x:c r="L18" s="122" t="n">
        <x:f>1+MIN(Assumptions!$C$46,K77*Assumptions!$C$45)</x:f>
        <x:v>1.0463758415387794</x:v>
      </x:c>
      <x:c r="M18" s="122" t="n">
        <x:f>1+MIN(Assumptions!$C$46,L77*Assumptions!$C$45)</x:f>
        <x:v>1.0531755035208656</x:v>
      </x:c>
      <x:c r="N18" s="122" t="n">
        <x:f>1+MIN(Assumptions!$C$46,M77*Assumptions!$C$45)</x:f>
        <x:v>1.0603174870597027</x:v>
      </x:c>
      <x:c r="O18" s="122" t="n">
        <x:f>1+MIN(Assumptions!$C$46,N77*Assumptions!$C$45)</x:f>
        <x:v>1.0678219680697925</x:v>
      </x:c>
      <x:c r="P18" s="122" t="n">
        <x:f>1+MIN(Assumptions!$C$46,O77*Assumptions!$C$45)</x:f>
        <x:v>1.0757105687871134</x:v>
      </x:c>
      <x:c r="Q18" s="122" t="n">
        <x:f>1+MIN(Assumptions!$C$46,P77*Assumptions!$C$45)</x:f>
        <x:v>1.084006463612755</x:v>
      </x:c>
      <x:c r="R18" s="122" t="n">
        <x:f>1+MIN(Assumptions!$C$46,Q77*Assumptions!$C$45)</x:f>
        <x:v>1.092734522378858</x:v>
      </x:c>
      <x:c r="S18" s="122" t="n">
        <x:f>1+MIN(Assumptions!$C$46,R77*Assumptions!$C$45)</x:f>
        <x:v>1.1019214597334528</x:v>
      </x:c>
      <x:c r="T18" s="122" t="n">
        <x:f>1+MIN(Assumptions!$C$46,S77*Assumptions!$C$45)</x:f>
        <x:v>1.111595998415374</x:v>
      </x:c>
      <x:c r="U18" s="122" t="n">
        <x:f>1+MIN(Assumptions!$C$46,T77*Assumptions!$C$45)</x:f>
        <x:v>1.1217890509037387</x:v>
      </x:c>
      <x:c r="V18" s="122" t="n">
        <x:f>1+MIN(Assumptions!$C$46,U77*Assumptions!$C$45)</x:f>
        <x:v>1.1325339196676338</x:v>
      </x:c>
      <x:c r="W18" s="122" t="n">
        <x:f>1+MIN(Assumptions!$C$46,V77*Assumptions!$C$45)</x:f>
        <x:v>1.1437879482025854</x:v>
      </x:c>
      <x:c r="X18" s="122" t="n">
        <x:f>1+MIN(Assumptions!$C$46,W77*Assumptions!$C$45)</x:f>
        <x:v>1.1555188500032583</x:v>
      </x:c>
      <x:c r="Y18" s="122" t="n">
        <x:f>1+MIN(Assumptions!$C$46,X77*Assumptions!$C$45)</x:f>
        <x:v>1.1677278251900565</x:v>
      </x:c>
      <x:c r="Z18" s="122" t="n">
        <x:f>1+MIN(Assumptions!$C$46,Y77*Assumptions!$C$45)</x:f>
        <x:v>1.1804304391243745</x:v>
      </x:c>
      <x:c r="AA18" s="122" t="n">
        <x:f>1+MIN(Assumptions!$C$46,Z77*Assumptions!$C$45)</x:f>
        <x:v>1.193643173814012</x:v>
      </x:c>
      <x:c r="AB18" s="122" t="n">
        <x:f>1+MIN(Assumptions!$C$46,AA77*Assumptions!$C$45)</x:f>
        <x:v>1.2073848656493544</x:v>
      </x:c>
      <x:c r="AC18" s="122" t="n">
        <x:f>1+MIN(Assumptions!$C$46,AB77*Assumptions!$C$45)</x:f>
        <x:v>1.2216767157843875</x:v>
      </x:c>
      <x:c r="AD18" s="122" t="n">
        <x:f>1+MIN(Assumptions!$C$46,AC77*Assumptions!$C$45)</x:f>
        <x:v>1.2365404006608762</x:v>
      </x:c>
      <x:c r="AE18" s="122" t="n">
        <x:f>1+MIN(Assumptions!$C$46,AD77*Assumptions!$C$45)</x:f>
        <x:v>1.25</x:v>
      </x:c>
      <x:c r="AF18" s="122" t="n">
        <x:f>1+MIN(Assumptions!$C$46,AE77*Assumptions!$C$45)</x:f>
        <x:v>1.25</x:v>
      </x:c>
      <x:c r="AG18" s="122" t="n">
        <x:f>1+MIN(Assumptions!$C$46,AF77*Assumptions!$C$45)</x:f>
        <x:v>1.25</x:v>
      </x:c>
      <x:c r="AH18" s="122" t="n">
        <x:f>1+MIN(Assumptions!$C$46,AG77*Assumptions!$C$45)</x:f>
        <x:v>1.25</x:v>
      </x:c>
      <x:c r="AI18" s="122" t="n">
        <x:f>1+MIN(Assumptions!$C$46,AH77*Assumptions!$C$45)</x:f>
        <x:v>1.25</x:v>
      </x:c>
      <x:c r="AJ18" s="122" t="n">
        <x:f>1+MIN(Assumptions!$C$46,AI77*Assumptions!$C$45)</x:f>
        <x:v>1.25</x:v>
      </x:c>
      <x:c r="AK18" s="122" t="n">
        <x:f>1+MIN(Assumptions!$C$46,AJ77*Assumptions!$C$45)</x:f>
        <x:v>1.25</x:v>
      </x:c>
      <x:c r="AL18" s="123" t="n">
        <x:f>1+MIN(Assumptions!$C$46,AK77*Assumptions!$C$45)</x:f>
        <x:v>1.25</x:v>
      </x:c>
    </x:row>
    <x:row r="19">
      <x:c r="A19" s="415"/>
      <x:c r="B19" s="415"/>
      <x:c r="C19" s="415"/>
      <x:c r="D19" s="415"/>
      <x:c r="E19" s="415"/>
      <x:c r="F19" s="415"/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 ht="23" customHeight="1">
      <x:c r="A20" s="416" t="str">
        <x:v>PAID ENTRY OFFERS</x:v>
      </x:c>
      <x:c r="B20" s="415"/>
      <x:c r="C20" s="415"/>
      <x:c r="D20" s="415"/>
      <x:c r="E20" s="415"/>
      <x:c r="F20" s="415"/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9" t="str">
        <x:v>Frontier Executive Briefings</x:v>
      </x:c>
      <x:c r="B21" s="50" t="str">
        <x:v>units</x:v>
      </x:c>
      <x:c r="C21" s="110" t="n">
        <x:f>MIN(C17*Assumptions!$C$32,Assumptions!$C$47*C18)</x:f>
        <x:v>0.28875</x:v>
      </x:c>
      <x:c r="D21" s="110" t="n">
        <x:f>MIN(D17*Assumptions!$C$32,Assumptions!$C$47*D18)</x:f>
        <x:v>0.30178648500000005</x:v>
      </x:c>
      <x:c r="E21" s="110" t="n">
        <x:f>MIN(E17*Assumptions!$C$32,Assumptions!$C$47*E18)</x:f>
        <x:v>0.3159374684177712</x:v>
      </x:c>
      <x:c r="F21" s="110" t="n">
        <x:f>MIN(F17*Assumptions!$C$32,Assumptions!$C$47*F18)</x:f>
        <x:v>0.33103117620145445</x:v>
      </x:c>
      <x:c r="G21" s="110" t="n">
        <x:f>MIN(G17*Assumptions!$C$32,Assumptions!$C$47*G18)</x:f>
        <x:v>0.34694792795443524</x:v>
      </x:c>
      <x:c r="H21" s="110" t="n">
        <x:f>MIN(H17*Assumptions!$C$32,Assumptions!$C$47*H18)</x:f>
        <x:v>0.36382519547242315</x:v>
      </x:c>
      <x:c r="I21" s="110" t="n">
        <x:f>MIN(I17*Assumptions!$C$32,Assumptions!$C$47*I18)</x:f>
        <x:v>0.38164840685453166</x:v>
      </x:c>
      <x:c r="J21" s="110" t="n">
        <x:f>MIN(J17*Assumptions!$C$32,Assumptions!$C$47*J18)</x:f>
        <x:v>0.4004812997045641</x:v>
      </x:c>
      <x:c r="K21" s="110" t="n">
        <x:f>MIN(K17*Assumptions!$C$32,Assumptions!$C$47*K18)</x:f>
        <x:v>0.4204020083864009</x:v>
      </x:c>
      <x:c r="L21" s="110" t="n">
        <x:f>MIN(L17*Assumptions!$C$32,Assumptions!$C$47*L18)</x:f>
        <x:v>0.4414766506164907</x:v>
      </x:c>
      <x:c r="M21" s="110" t="n">
        <x:f>MIN(M17*Assumptions!$C$32,Assumptions!$C$47*M18)</x:f>
        <x:v>0.46378582092537257</x:v>
      </x:c>
      <x:c r="N21" s="110" t="n">
        <x:f>MIN(N17*Assumptions!$C$32,Assumptions!$C$47*N18)</x:f>
        <x:v>0.48741683081678483</x:v>
      </x:c>
      <x:c r="O21" s="110" t="n">
        <x:f>MIN(O17*Assumptions!$C$32,Assumptions!$C$47*O18)</x:f>
        <x:v>0.5124643951863779</x:v>
      </x:c>
      <x:c r="P21" s="110" t="n">
        <x:f>MIN(P17*Assumptions!$C$32,Assumptions!$C$47*P18)</x:f>
        <x:v>0.5390313872234752</x:v>
      </x:c>
      <x:c r="Q21" s="110" t="n">
        <x:f>MIN(Q17*Assumptions!$C$32,Assumptions!$C$47*Q18)</x:f>
        <x:v>0.5672296449371997</x:v>
      </x:c>
      <x:c r="R21" s="110" t="n">
        <x:f>MIN(R17*Assumptions!$C$32,Assumptions!$C$47*R18)</x:f>
        <x:v>0.5971808889614167</x:v>
      </x:c>
      <x:c r="S21" s="110" t="n">
        <x:f>MIN(S17*Assumptions!$C$32,Assumptions!$C$47*S18)</x:f>
        <x:v>0.6290177406731954</x:v>
      </x:c>
      <x:c r="T21" s="110" t="n">
        <x:f>MIN(T17*Assumptions!$C$32,Assumptions!$C$47*T18)</x:f>
        <x:v>0.6628848581761936</x:v>
      </x:c>
      <x:c r="U21" s="110" t="n">
        <x:f>MIN(U17*Assumptions!$C$32,Assumptions!$C$47*U18)</x:f>
        <x:v>0.6989402078849901</x:v>
      </x:c>
      <x:c r="V21" s="110" t="n">
        <x:f>MIN(V17*Assumptions!$C$32,Assumptions!$C$47*V18)</x:f>
        <x:v>0.7300232394818083</x:v>
      </x:c>
      <x:c r="W21" s="110" t="n">
        <x:f>MIN(W17*Assumptions!$C$32,Assumptions!$C$47*W18)</x:f>
        <x:v>0.7592241690610806</x:v>
      </x:c>
      <x:c r="X21" s="110" t="n">
        <x:f>MIN(X17*Assumptions!$C$32,Assumptions!$C$47*X18)</x:f>
        <x:v>0.7895931358235238</x:v>
      </x:c>
      <x:c r="Y21" s="110" t="n">
        <x:f>MIN(Y17*Assumptions!$C$32,Assumptions!$C$47*Y18)</x:f>
        <x:v>0.8211768612564647</x:v>
      </x:c>
      <x:c r="Z21" s="110" t="n">
        <x:f>MIN(Z17*Assumptions!$C$32,Assumptions!$C$47*Z18)</x:f>
        <x:v>0.8540239357067234</x:v>
      </x:c>
      <x:c r="AA21" s="110" t="n">
        <x:f>MIN(AA17*Assumptions!$C$32,Assumptions!$C$47*AA18)</x:f>
        <x:v>0.8881848931349924</x:v>
      </x:c>
      <x:c r="AB21" s="110" t="n">
        <x:f>MIN(AB17*Assumptions!$C$32,Assumptions!$C$47*AB18)</x:f>
        <x:v>0.9237122888603922</x:v>
      </x:c>
      <x:c r="AC21" s="110" t="n">
        <x:f>MIN(AC17*Assumptions!$C$32,Assumptions!$C$47*AC18)</x:f>
        <x:v>0.960660780414808</x:v>
      </x:c>
      <x:c r="AD21" s="110" t="n">
        <x:f>MIN(AD17*Assumptions!$C$32,Assumptions!$C$47*AD18)</x:f>
        <x:v>0.9990872116314002</x:v>
      </x:c>
      <x:c r="AE21" s="110" t="n">
        <x:f>MIN(AE17*Assumptions!$C$32,Assumptions!$C$47*AE18)</x:f>
        <x:v>1.0390507000966562</x:v>
      </x:c>
      <x:c r="AF21" s="110" t="n">
        <x:f>MIN(AF17*Assumptions!$C$32,Assumptions!$C$47*AF18)</x:f>
        <x:v>1.0806127281005227</x:v>
      </x:c>
      <x:c r="AG21" s="110" t="n">
        <x:f>MIN(AG17*Assumptions!$C$32,Assumptions!$C$47*AG18)</x:f>
        <x:v>1.1238372372245435</x:v>
      </x:c>
      <x:c r="AH21" s="110" t="n">
        <x:f>MIN(AH17*Assumptions!$C$32,Assumptions!$C$47*AH18)</x:f>
        <x:v>1.1687907267135254</x:v>
      </x:c>
      <x:c r="AI21" s="110" t="n">
        <x:f>MIN(AI17*Assumptions!$C$32,Assumptions!$C$47*AI18)</x:f>
        <x:v>1.2155423557820664</x:v>
      </x:c>
      <x:c r="AJ21" s="110" t="n">
        <x:f>MIN(AJ17*Assumptions!$C$32,Assumptions!$C$47*AJ18)</x:f>
        <x:v>1.2641640500133493</x:v>
      </x:c>
      <x:c r="AK21" s="110" t="n">
        <x:f>MIN(AK17*Assumptions!$C$32,Assumptions!$C$47*AK18)</x:f>
        <x:v>1.3147306120138833</x:v>
      </x:c>
      <x:c r="AL21" s="111" t="n">
        <x:f>MIN(AL17*Assumptions!$C$32,Assumptions!$C$47*AL18)</x:f>
        <x:v>1.3673198364944386</x:v>
      </x:c>
    </x:row>
    <x:row r="22">
      <x:c r="A22" s="49" t="str">
        <x:v>Private Flagship MasterClasses</x:v>
      </x:c>
      <x:c r="B22" s="50" t="str">
        <x:v>units</x:v>
      </x:c>
      <x:c r="C22" s="110" t="n">
        <x:f>MIN(C17*(1-Assumptions!$C$32),Assumptions!$C$48*C18)</x:f>
        <x:v>0.5362500000000001</x:v>
      </x:c>
      <x:c r="D22" s="110" t="n">
        <x:f>MIN(D17*(1-Assumptions!$C$32),Assumptions!$C$48*D18)</x:f>
        <x:v>0.5604606150000001</x:v>
      </x:c>
      <x:c r="E22" s="110" t="n">
        <x:f>MIN(E17*(1-Assumptions!$C$32),Assumptions!$C$48*E18)</x:f>
        <x:v>0.5867410127758609</x:v>
      </x:c>
      <x:c r="F22" s="110" t="n">
        <x:f>MIN(F17*(1-Assumptions!$C$32),Assumptions!$C$48*F18)</x:f>
        <x:v>0.6147721843741297</x:v>
      </x:c>
      <x:c r="G22" s="110" t="n">
        <x:f>MIN(G17*(1-Assumptions!$C$32),Assumptions!$C$48*G18)</x:f>
        <x:v>0.6443318662010941</x:v>
      </x:c>
      <x:c r="H22" s="110" t="n">
        <x:f>MIN(H17*(1-Assumptions!$C$32),Assumptions!$C$48*H18)</x:f>
        <x:v>0.6756753630202145</x:v>
      </x:c>
      <x:c r="I22" s="110" t="n">
        <x:f>MIN(I17*(1-Assumptions!$C$32),Assumptions!$C$48*I18)</x:f>
        <x:v>0.7087756127298446</x:v>
      </x:c>
      <x:c r="J22" s="110" t="n">
        <x:f>MIN(J17*(1-Assumptions!$C$32),Assumptions!$C$48*J18)</x:f>
        <x:v>0.7437509851656191</x:v>
      </x:c>
      <x:c r="K22" s="110" t="n">
        <x:f>MIN(K17*(1-Assumptions!$C$32),Assumptions!$C$48*K18)</x:f>
        <x:v>0.780746587003316</x:v>
      </x:c>
      <x:c r="L22" s="110" t="n">
        <x:f>MIN(L17*(1-Assumptions!$C$32),Assumptions!$C$48*L18)</x:f>
        <x:v>0.8198852082877686</x:v>
      </x:c>
      <x:c r="M22" s="110" t="n">
        <x:f>MIN(M17*(1-Assumptions!$C$32),Assumptions!$C$48*M18)</x:f>
        <x:v>0.8613165245756921</x:v>
      </x:c>
      <x:c r="N22" s="110" t="n">
        <x:f>MIN(N17*(1-Assumptions!$C$32),Assumptions!$C$48*N18)</x:f>
        <x:v>0.9052026858026004</x:v>
      </x:c>
      <x:c r="O22" s="110" t="n">
        <x:f>MIN(O17*(1-Assumptions!$C$32),Assumptions!$C$48*O18)</x:f>
        <x:v>0.9517195910604161</x:v>
      </x:c>
      <x:c r="P22" s="110" t="n">
        <x:f>MIN(P17*(1-Assumptions!$C$32),Assumptions!$C$48*P18)</x:f>
        <x:v>1.0010582905578826</x:v>
      </x:c>
      <x:c r="Q22" s="110" t="n">
        <x:f>MIN(Q17*(1-Assumptions!$C$32),Assumptions!$C$48*Q18)</x:f>
        <x:v>1.0534264834547997</x:v>
      </x:c>
      <x:c r="R22" s="110" t="n">
        <x:f>MIN(R17*(1-Assumptions!$C$32),Assumptions!$C$48*R18)</x:f>
        <x:v>1.109050222356917</x:v>
      </x:c>
      <x:c r="S22" s="110" t="n">
        <x:f>MIN(S17*(1-Assumptions!$C$32),Assumptions!$C$48*S18)</x:f>
        <x:v>1.168175804107363</x:v>
      </x:c>
      <x:c r="T22" s="110" t="n">
        <x:f>MIN(T17*(1-Assumptions!$C$32),Assumptions!$C$48*T18)</x:f>
        <x:v>1.231071879470074</x:v>
      </x:c>
      <x:c r="U22" s="110" t="n">
        <x:f>MIN(U17*(1-Assumptions!$C$32),Assumptions!$C$48*U18)</x:f>
        <x:v>1.2980318146435532</x:v>
      </x:c>
      <x:c r="V22" s="110" t="n">
        <x:f>MIN(V17*(1-Assumptions!$C$32),Assumptions!$C$48*V18)</x:f>
        <x:v>1.3557574447519296</x:v>
      </x:c>
      <x:c r="W22" s="110" t="n">
        <x:f>MIN(W17*(1-Assumptions!$C$32),Assumptions!$C$48*W18)</x:f>
        <x:v>1.4099877425420069</x:v>
      </x:c>
      <x:c r="X22" s="110" t="n">
        <x:f>MIN(X17*(1-Assumptions!$C$32),Assumptions!$C$48*X18)</x:f>
        <x:v>1.4663872522436872</x:v>
      </x:c>
      <x:c r="Y22" s="110" t="n">
        <x:f>MIN(Y17*(1-Assumptions!$C$32),Assumptions!$C$48*Y18)</x:f>
        <x:v>1.5250427423334347</x:v>
      </x:c>
      <x:c r="Z22" s="110" t="n">
        <x:f>MIN(Z17*(1-Assumptions!$C$32),Assumptions!$C$48*Z18)</x:f>
        <x:v>1.5860444520267722</x:v>
      </x:c>
      <x:c r="AA22" s="110" t="n">
        <x:f>MIN(AA17*(1-Assumptions!$C$32),Assumptions!$C$48*AA18)</x:f>
        <x:v>1.6494862301078432</x:v>
      </x:c>
      <x:c r="AB22" s="110" t="n">
        <x:f>MIN(AB17*(1-Assumptions!$C$32),Assumptions!$C$48*AB18)</x:f>
        <x:v>1.7154656793121572</x:v>
      </x:c>
      <x:c r="AC22" s="110" t="n">
        <x:f>MIN(AC17*(1-Assumptions!$C$32),Assumptions!$C$48*AC18)</x:f>
        <x:v>1.7840843064846437</x:v>
      </x:c>
      <x:c r="AD22" s="110" t="n">
        <x:f>MIN(AD17*(1-Assumptions!$C$32),Assumptions!$C$48*AD18)</x:f>
        <x:v>1.8554476787440293</x:v>
      </x:c>
      <x:c r="AE22" s="110" t="n">
        <x:f>MIN(AE17*(1-Assumptions!$C$32),Assumptions!$C$48*AE18)</x:f>
        <x:v>1.9296655858937903</x:v>
      </x:c>
      <x:c r="AF22" s="110" t="n">
        <x:f>MIN(AF17*(1-Assumptions!$C$32),Assumptions!$C$48*AF18)</x:f>
        <x:v>2.0068522093295424</x:v>
      </x:c>
      <x:c r="AG22" s="110" t="n">
        <x:f>MIN(AG17*(1-Assumptions!$C$32),Assumptions!$C$48*AG18)</x:f>
        <x:v>2.087126297702724</x:v>
      </x:c>
      <x:c r="AH22" s="110" t="n">
        <x:f>MIN(AH17*(1-Assumptions!$C$32),Assumptions!$C$48*AH18)</x:f>
        <x:v>2.1706113496108332</x:v>
      </x:c>
      <x:c r="AI22" s="110" t="n">
        <x:f>MIN(AI17*(1-Assumptions!$C$32),Assumptions!$C$48*AI18)</x:f>
        <x:v>2.2574358035952664</x:v>
      </x:c>
      <x:c r="AJ22" s="110" t="n">
        <x:f>MIN(AJ17*(1-Assumptions!$C$32),Assumptions!$C$48*AJ18)</x:f>
        <x:v>2.3477332357390774</x:v>
      </x:c>
      <x:c r="AK22" s="110" t="n">
        <x:f>MIN(AK17*(1-Assumptions!$C$32),Assumptions!$C$48*AK18)</x:f>
        <x:v>2.4416425651686406</x:v>
      </x:c>
      <x:c r="AL22" s="111" t="n">
        <x:f>MIN(AL17*(1-Assumptions!$C$32),Assumptions!$C$48*AL18)</x:f>
        <x:v>2.539308267775386</x:v>
      </x:c>
    </x:row>
    <x:row r="23">
      <x:c r="A23" s="142" t="str">
        <x:v>Total paid entry engagements</x:v>
      </x:c>
      <x:c r="B23" s="143" t="str">
        <x:v>units</x:v>
      </x:c>
      <x:c r="C23" s="144" t="n">
        <x:f>SUM(C21:C22)</x:f>
        <x:v>0.8250000000000002</x:v>
      </x:c>
      <x:c r="D23" s="144" t="n">
        <x:f>SUM(D21:D22)</x:f>
        <x:v>0.8622471000000002</x:v>
      </x:c>
      <x:c r="E23" s="144" t="n">
        <x:f>SUM(E21:E22)</x:f>
        <x:v>0.9026784811936321</x:v>
      </x:c>
      <x:c r="F23" s="144" t="n">
        <x:f>SUM(F21:F22)</x:f>
        <x:v>0.9458033605755842</x:v>
      </x:c>
      <x:c r="G23" s="144" t="n">
        <x:f>SUM(G21:G22)</x:f>
        <x:v>0.9912797941555294</x:v>
      </x:c>
      <x:c r="H23" s="144" t="n">
        <x:f>SUM(H21:H22)</x:f>
        <x:v>1.0395005584926376</x:v>
      </x:c>
      <x:c r="I23" s="144" t="n">
        <x:f>SUM(I21:I22)</x:f>
        <x:v>1.0904240195843762</x:v>
      </x:c>
      <x:c r="J23" s="144" t="n">
        <x:f>SUM(J21:J22)</x:f>
        <x:v>1.1442322848701831</x:v>
      </x:c>
      <x:c r="K23" s="144" t="n">
        <x:f>SUM(K21:K22)</x:f>
        <x:v>1.201148595389717</x:v>
      </x:c>
      <x:c r="L23" s="144" t="n">
        <x:f>SUM(L21:L22)</x:f>
        <x:v>1.2613618589042592</x:v>
      </x:c>
      <x:c r="M23" s="144" t="n">
        <x:f>SUM(M21:M22)</x:f>
        <x:v>1.3251023455010646</x:v>
      </x:c>
      <x:c r="N23" s="144" t="n">
        <x:f>SUM(N21:N22)</x:f>
        <x:v>1.3926195166193853</x:v>
      </x:c>
      <x:c r="O23" s="144" t="n">
        <x:f>SUM(O21:O22)</x:f>
        <x:v>1.464183986246794</x:v>
      </x:c>
      <x:c r="P23" s="144" t="n">
        <x:f>SUM(P21:P22)</x:f>
        <x:v>1.5400896777813577</x:v>
      </x:c>
      <x:c r="Q23" s="144" t="n">
        <x:f>SUM(Q21:Q22)</x:f>
        <x:v>1.6206561283919996</x:v>
      </x:c>
      <x:c r="R23" s="144" t="n">
        <x:f>SUM(R21:R22)</x:f>
        <x:v>1.7062311113183337</x:v>
      </x:c>
      <x:c r="S23" s="144" t="n">
        <x:f>SUM(S21:S22)</x:f>
        <x:v>1.7971935447805585</x:v>
      </x:c>
      <x:c r="T23" s="144" t="n">
        <x:f>SUM(T21:T22)</x:f>
        <x:v>1.8939567376462674</x:v>
      </x:c>
      <x:c r="U23" s="144" t="n">
        <x:f>SUM(U21:U22)</x:f>
        <x:v>1.9969720225285434</x:v>
      </x:c>
      <x:c r="V23" s="144" t="n">
        <x:f>SUM(V21:V22)</x:f>
        <x:v>2.085780684233738</x:v>
      </x:c>
      <x:c r="W23" s="144" t="n">
        <x:f>SUM(W21:W22)</x:f>
        <x:v>2.1692119116030875</x:v>
      </x:c>
      <x:c r="X23" s="144" t="n">
        <x:f>SUM(X21:X22)</x:f>
        <x:v>2.255980388067211</x:v>
      </x:c>
      <x:c r="Y23" s="144" t="n">
        <x:f>SUM(Y21:Y22)</x:f>
        <x:v>2.3462196035898994</x:v>
      </x:c>
      <x:c r="Z23" s="144" t="n">
        <x:f>SUM(Z21:Z22)</x:f>
        <x:v>2.4400683877334957</x:v>
      </x:c>
      <x:c r="AA23" s="144" t="n">
        <x:f>SUM(AA21:AA22)</x:f>
        <x:v>2.5376711232428355</x:v>
      </x:c>
      <x:c r="AB23" s="144" t="n">
        <x:f>SUM(AB21:AB22)</x:f>
        <x:v>2.6391779681725493</x:v>
      </x:c>
      <x:c r="AC23" s="144" t="n">
        <x:f>SUM(AC21:AC22)</x:f>
        <x:v>2.7447450868994516</x:v>
      </x:c>
      <x:c r="AD23" s="144" t="n">
        <x:f>SUM(AD21:AD22)</x:f>
        <x:v>2.8545348903754295</x:v>
      </x:c>
      <x:c r="AE23" s="144" t="n">
        <x:f>SUM(AE21:AE22)</x:f>
        <x:v>2.9687162859904466</x:v>
      </x:c>
      <x:c r="AF23" s="144" t="n">
        <x:f>SUM(AF21:AF22)</x:f>
        <x:v>3.087464937430065</x:v>
      </x:c>
      <x:c r="AG23" s="144" t="n">
        <x:f>SUM(AG21:AG22)</x:f>
        <x:v>3.2109635349272674</x:v>
      </x:c>
      <x:c r="AH23" s="144" t="n">
        <x:f>SUM(AH21:AH22)</x:f>
        <x:v>3.3394020763243586</x:v>
      </x:c>
      <x:c r="AI23" s="144" t="n">
        <x:f>SUM(AI21:AI22)</x:f>
        <x:v>3.472978159377333</x:v>
      </x:c>
      <x:c r="AJ23" s="144" t="n">
        <x:f>SUM(AJ21:AJ22)</x:f>
        <x:v>3.611897285752427</x:v>
      </x:c>
      <x:c r="AK23" s="144" t="n">
        <x:f>SUM(AK21:AK22)</x:f>
        <x:v>3.7563731771825237</x:v>
      </x:c>
      <x:c r="AL23" s="145" t="n">
        <x:f>SUM(AL21:AL22)</x:f>
        <x:v>3.9066281042698243</x:v>
      </x:c>
    </x:row>
    <x:row r="24">
      <x:c r="A24" s="49" t="str">
        <x:v>Paid entry revenue</x:v>
      </x:c>
      <x:c r="B24" s="50" t="str">
        <x:v>$</x:v>
      </x:c>
      <x:c r="C24" s="126" t="n">
        <x:f>C21*Assumptions!$C$9+C22*Assumptions!$C$11</x:f>
        <x:v>16293.750000000004</x:v>
      </x:c>
      <x:c r="D24" s="126" t="n">
        <x:f>D21*Assumptions!$C$9+D22*Assumptions!$C$11</x:f>
        <x:v>17029.380225000004</x:v>
      </x:c>
      <x:c r="E24" s="126" t="n">
        <x:f>E21*Assumptions!$C$9+E22*Assumptions!$C$11</x:f>
        <x:v>17827.900003574236</x:v>
      </x:c>
      <x:c r="F24" s="126" t="n">
        <x:f>F21*Assumptions!$C$9+F22*Assumptions!$C$11</x:f>
        <x:v>18679.61637136779</x:v>
      </x:c>
      <x:c r="G24" s="126" t="n">
        <x:f>G21*Assumptions!$C$9+G22*Assumptions!$C$11</x:f>
        <x:v>19577.775934571706</x:v>
      </x:c>
      <x:c r="H24" s="126" t="n">
        <x:f>H21*Assumptions!$C$9+H22*Assumptions!$C$11</x:f>
        <x:v>20530.13603022959</x:v>
      </x:c>
      <x:c r="I24" s="126" t="n">
        <x:f>I21*Assumptions!$C$9+I22*Assumptions!$C$11</x:f>
        <x:v>21535.87438679143</x:v>
      </x:c>
      <x:c r="J24" s="126" t="n">
        <x:f>J21*Assumptions!$C$9+J22*Assumptions!$C$11</x:f>
        <x:v>22598.587626186116</x:v>
      </x:c>
      <x:c r="K24" s="126" t="n">
        <x:f>K21*Assumptions!$C$9+K22*Assumptions!$C$11</x:f>
        <x:v>23722.684758946907</x:v>
      </x:c>
      <x:c r="L24" s="126" t="n">
        <x:f>L21*Assumptions!$C$9+L22*Assumptions!$C$11</x:f>
        <x:v>24911.89671335912</x:v>
      </x:c>
      <x:c r="M24" s="126" t="n">
        <x:f>M21*Assumptions!$C$9+M22*Assumptions!$C$11</x:f>
        <x:v>26170.771323646026</x:v>
      </x:c>
      <x:c r="N24" s="126" t="n">
        <x:f>N21*Assumptions!$C$9+N22*Assumptions!$C$11</x:f>
        <x:v>27504.23545323286</x:v>
      </x:c>
      <x:c r="O24" s="126" t="n">
        <x:f>O21*Assumptions!$C$9+O22*Assumptions!$C$11</x:f>
        <x:v>28917.63372837418</x:v>
      </x:c>
      <x:c r="P24" s="126" t="n">
        <x:f>P21*Assumptions!$C$9+P22*Assumptions!$C$11</x:f>
        <x:v>30416.771136181815</x:v>
      </x:c>
      <x:c r="Q24" s="126" t="n">
        <x:f>Q21*Assumptions!$C$9+Q22*Assumptions!$C$11</x:f>
        <x:v>32007.958535741993</x:v>
      </x:c>
      <x:c r="R24" s="126" t="n">
        <x:f>R21*Assumptions!$C$9+R22*Assumptions!$C$11</x:f>
        <x:v>33698.06444853709</x:v>
      </x:c>
      <x:c r="S24" s="126" t="n">
        <x:f>S21*Assumptions!$C$9+S22*Assumptions!$C$11</x:f>
        <x:v>35494.57250941603</x:v>
      </x:c>
      <x:c r="T24" s="126" t="n">
        <x:f>T21*Assumptions!$C$9+T22*Assumptions!$C$11</x:f>
        <x:v>37405.645568513784</x:v>
      </x:c>
      <x:c r="U24" s="126" t="n">
        <x:f>U21*Assumptions!$C$9+U22*Assumptions!$C$11</x:f>
        <x:v>39440.197444938734</x:v>
      </x:c>
      <x:c r="V24" s="126" t="n">
        <x:f>V21*Assumptions!$C$9+V22*Assumptions!$C$11</x:f>
        <x:v>41194.16851361633</x:v>
      </x:c>
      <x:c r="W24" s="126" t="n">
        <x:f>W21*Assumptions!$C$9+W22*Assumptions!$C$11</x:f>
        <x:v>42841.93525416098</x:v>
      </x:c>
      <x:c r="X24" s="126" t="n">
        <x:f>X21*Assumptions!$C$9+X22*Assumptions!$C$11</x:f>
        <x:v>44555.61266432742</x:v>
      </x:c>
      <x:c r="Y24" s="126" t="n">
        <x:f>Y21*Assumptions!$C$9+Y22*Assumptions!$C$11</x:f>
        <x:v>46337.837170900515</x:v>
      </x:c>
      <x:c r="Z24" s="126" t="n">
        <x:f>Z21*Assumptions!$C$9+Z22*Assumptions!$C$11</x:f>
        <x:v>48191.35065773654</x:v>
      </x:c>
      <x:c r="AA24" s="126" t="n">
        <x:f>AA21*Assumptions!$C$9+AA22*Assumptions!$C$11</x:f>
        <x:v>50119.004684046005</x:v>
      </x:c>
      <x:c r="AB24" s="126" t="n">
        <x:f>AB21*Assumptions!$C$9+AB22*Assumptions!$C$11</x:f>
        <x:v>52123.76487140785</x:v>
      </x:c>
      <x:c r="AC24" s="126" t="n">
        <x:f>AC21*Assumptions!$C$9+AC22*Assumptions!$C$11</x:f>
        <x:v>54208.71546626417</x:v>
      </x:c>
      <x:c r="AD24" s="126" t="n">
        <x:f>AD21*Assumptions!$C$9+AD22*Assumptions!$C$11</x:f>
        <x:v>56377.06408491473</x:v>
      </x:c>
      <x:c r="AE24" s="126" t="n">
        <x:f>AE21*Assumptions!$C$9+AE22*Assumptions!$C$11</x:f>
        <x:v>58632.14664831132</x:v>
      </x:c>
      <x:c r="AF24" s="126" t="n">
        <x:f>AF21*Assumptions!$C$9+AF22*Assumptions!$C$11</x:f>
        <x:v>60977.43251424379</x:v>
      </x:c>
      <x:c r="AG24" s="126" t="n">
        <x:f>AG21*Assumptions!$C$9+AG22*Assumptions!$C$11</x:f>
        <x:v>63416.52981481353</x:v>
      </x:c>
      <x:c r="AH24" s="126" t="n">
        <x:f>AH21*Assumptions!$C$9+AH22*Assumptions!$C$11</x:f>
        <x:v>65953.19100740609</x:v>
      </x:c>
      <x:c r="AI24" s="126" t="n">
        <x:f>AI21*Assumptions!$C$9+AI22*Assumptions!$C$11</x:f>
        <x:v>68591.31864770233</x:v>
      </x:c>
      <x:c r="AJ24" s="126" t="n">
        <x:f>AJ21*Assumptions!$C$9+AJ22*Assumptions!$C$11</x:f>
        <x:v>71334.97139361044</x:v>
      </x:c>
      <x:c r="AK24" s="126" t="n">
        <x:f>AK21*Assumptions!$C$9+AK22*Assumptions!$C$11</x:f>
        <x:v>74188.37024935485</x:v>
      </x:c>
      <x:c r="AL24" s="127" t="n">
        <x:f>AL21*Assumptions!$C$9+AL22*Assumptions!$C$11</x:f>
        <x:v>77155.90505932903</x:v>
      </x:c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 ht="23" customHeight="1">
      <x:c r="A26" s="416" t="str">
        <x:v>DOWNSTREAM OFFERS &amp; RECURRING</x:v>
      </x:c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9" t="str">
        <x:v>Money Machine Design Labs</x:v>
      </x:c>
      <x:c r="B27" s="50" t="str">
        <x:v>units</x:v>
      </x:c>
      <x:c r="C27" s="110" t="n">
        <x:f>0</x:f>
        <x:v>0</x:v>
      </x:c>
      <x:c r="D27" s="110" t="n">
        <x:f>MIN(C23*Assumptions!$C$35,Assumptions!$C$49*D18)</x:f>
        <x:v>0.24750000000000005</x:v>
      </x:c>
      <x:c r="E27" s="110" t="n">
        <x:f>MIN(D23*Assumptions!$C$35,Assumptions!$C$49*E18)</x:f>
        <x:v>0.25867413000000006</x:v>
      </x:c>
      <x:c r="F27" s="110" t="n">
        <x:f>MIN(E23*Assumptions!$C$35,Assumptions!$C$49*F18)</x:f>
        <x:v>0.2708035443580896</x:v>
      </x:c>
      <x:c r="G27" s="110" t="n">
        <x:f>MIN(F23*Assumptions!$C$35,Assumptions!$C$49*G18)</x:f>
        <x:v>0.2837410081726753</x:v>
      </x:c>
      <x:c r="H27" s="110" t="n">
        <x:f>MIN(G23*Assumptions!$C$35,Assumptions!$C$49*H18)</x:f>
        <x:v>0.2973839382466588</x:v>
      </x:c>
      <x:c r="I27" s="110" t="n">
        <x:f>MIN(H23*Assumptions!$C$35,Assumptions!$C$49*I18)</x:f>
        <x:v>0.31185016754779127</x:v>
      </x:c>
      <x:c r="J27" s="110" t="n">
        <x:f>MIN(I23*Assumptions!$C$35,Assumptions!$C$49*J18)</x:f>
        <x:v>0.32712720587531285</x:v>
      </x:c>
      <x:c r="K27" s="110" t="n">
        <x:f>MIN(J23*Assumptions!$C$35,Assumptions!$C$49*K18)</x:f>
        <x:v>0.3432696854610549</x:v>
      </x:c>
      <x:c r="L27" s="110" t="n">
        <x:f>MIN(K23*Assumptions!$C$35,Assumptions!$C$49*L18)</x:f>
        <x:v>0.3603445786169151</x:v>
      </x:c>
      <x:c r="M27" s="110" t="n">
        <x:f>MIN(L23*Assumptions!$C$35,Assumptions!$C$49*M18)</x:f>
        <x:v>0.37840855767127773</x:v>
      </x:c>
      <x:c r="N27" s="110" t="n">
        <x:f>MIN(M23*Assumptions!$C$35,Assumptions!$C$49*N18)</x:f>
        <x:v>0.3975307036503194</x:v>
      </x:c>
      <x:c r="O27" s="110" t="n">
        <x:f>MIN(N23*Assumptions!$C$35,Assumptions!$C$49*O18)</x:f>
        <x:v>0.4177858549858156</x:v>
      </x:c>
      <x:c r="P27" s="110" t="n">
        <x:f>MIN(O23*Assumptions!$C$35,Assumptions!$C$49*P18)</x:f>
        <x:v>0.4392551958740382</x:v>
      </x:c>
      <x:c r="Q27" s="110" t="n">
        <x:f>MIN(P23*Assumptions!$C$35,Assumptions!$C$49*Q18)</x:f>
        <x:v>0.4620269033344073</x:v>
      </x:c>
      <x:c r="R27" s="110" t="n">
        <x:f>MIN(Q23*Assumptions!$C$35,Assumptions!$C$49*R18)</x:f>
        <x:v>0.48619683851759987</x:v>
      </x:c>
      <x:c r="S27" s="110" t="n">
        <x:f>MIN(R23*Assumptions!$C$35,Assumptions!$C$49*S18)</x:f>
        <x:v>0.5118693333955001</x:v>
      </x:c>
      <x:c r="T27" s="110" t="n">
        <x:f>MIN(S23*Assumptions!$C$35,Assumptions!$C$49*T18)</x:f>
        <x:v>0.5391580634341675</x:v>
      </x:c>
      <x:c r="U27" s="110" t="n">
        <x:f>MIN(T23*Assumptions!$C$35,Assumptions!$C$49*U18)</x:f>
        <x:v>0.5681870212938802</x:v>
      </x:c>
      <x:c r="V27" s="110" t="n">
        <x:f>MIN(U23*Assumptions!$C$35,Assumptions!$C$49*V18)</x:f>
        <x:v>0.599091606758563</x:v>
      </x:c>
      <x:c r="W27" s="110" t="n">
        <x:f>MIN(V23*Assumptions!$C$35,Assumptions!$C$49*W18)</x:f>
        <x:v>0.6257342052701214</x:v>
      </x:c>
      <x:c r="X27" s="110" t="n">
        <x:f>MIN(W23*Assumptions!$C$35,Assumptions!$C$49*X18)</x:f>
        <x:v>0.6507635734809262</x:v>
      </x:c>
      <x:c r="Y27" s="110" t="n">
        <x:f>MIN(X23*Assumptions!$C$35,Assumptions!$C$49*Y18)</x:f>
        <x:v>0.6767941164201633</x:v>
      </x:c>
      <x:c r="Z27" s="110" t="n">
        <x:f>MIN(Y23*Assumptions!$C$35,Assumptions!$C$49*Z18)</x:f>
        <x:v>0.7038658810769698</x:v>
      </x:c>
      <x:c r="AA27" s="110" t="n">
        <x:f>MIN(Z23*Assumptions!$C$35,Assumptions!$C$49*AA18)</x:f>
        <x:v>0.7320205163200487</x:v>
      </x:c>
      <x:c r="AB27" s="110" t="n">
        <x:f>MIN(AA23*Assumptions!$C$35,Assumptions!$C$49*AB18)</x:f>
        <x:v>0.7613013369728506</x:v>
      </x:c>
      <x:c r="AC27" s="110" t="n">
        <x:f>MIN(AB23*Assumptions!$C$35,Assumptions!$C$49*AC18)</x:f>
        <x:v>0.7917533904517647</x:v>
      </x:c>
      <x:c r="AD27" s="110" t="n">
        <x:f>MIN(AC23*Assumptions!$C$35,Assumptions!$C$49*AD18)</x:f>
        <x:v>0.8234235260698355</x:v>
      </x:c>
      <x:c r="AE27" s="110" t="n">
        <x:f>MIN(AD23*Assumptions!$C$35,Assumptions!$C$49*AE18)</x:f>
        <x:v>0.8563604671126288</x:v>
      </x:c>
      <x:c r="AF27" s="110" t="n">
        <x:f>MIN(AE23*Assumptions!$C$35,Assumptions!$C$49*AF18)</x:f>
        <x:v>0.890614885797134</x:v>
      </x:c>
      <x:c r="AG27" s="110" t="n">
        <x:f>MIN(AF23*Assumptions!$C$35,Assumptions!$C$49*AG18)</x:f>
        <x:v>0.9262394812290194</x:v>
      </x:c>
      <x:c r="AH27" s="110" t="n">
        <x:f>MIN(AG23*Assumptions!$C$35,Assumptions!$C$49*AH18)</x:f>
        <x:v>0.9632890604781802</x:v>
      </x:c>
      <x:c r="AI27" s="110" t="n">
        <x:f>MIN(AH23*Assumptions!$C$35,Assumptions!$C$49*AI18)</x:f>
        <x:v>1.0018206228973074</x:v>
      </x:c>
      <x:c r="AJ27" s="110" t="n">
        <x:f>MIN(AI23*Assumptions!$C$35,Assumptions!$C$49*AJ18)</x:f>
        <x:v>1.0418934478131998</x:v>
      </x:c>
      <x:c r="AK27" s="110" t="n">
        <x:f>MIN(AJ23*Assumptions!$C$35,Assumptions!$C$49*AK18)</x:f>
        <x:v>1.0835691857257281</x:v>
      </x:c>
      <x:c r="AL27" s="111" t="n">
        <x:f>MIN(AK23*Assumptions!$C$35,Assumptions!$C$49*AL18)</x:f>
        <x:v>1.1269119531547571</x:v>
      </x:c>
    </x:row>
    <x:row r="28">
      <x:c r="A28" s="49" t="str">
        <x:v>Revenue Institution Sprints</x:v>
      </x:c>
      <x:c r="B28" s="50" t="str">
        <x:v>units</x:v>
      </x:c>
      <x:c r="C28" s="110" t="n">
        <x:f>0</x:f>
        <x:v>0</x:v>
      </x:c>
      <x:c r="D28" s="110" t="n">
        <x:f>MIN(C27*Assumptions!$C$36,Assumptions!$C$50*D18)</x:f>
        <x:v>0</x:v>
      </x:c>
      <x:c r="E28" s="110" t="n">
        <x:f>MIN(D27*Assumptions!$C$36,Assumptions!$C$50*E18)</x:f>
        <x:v>0.09900000000000003</x:v>
      </x:c>
      <x:c r="F28" s="110" t="n">
        <x:f>MIN(E27*Assumptions!$C$36,Assumptions!$C$50*F18)</x:f>
        <x:v>0.10346965200000002</x:v>
      </x:c>
      <x:c r="G28" s="110" t="n">
        <x:f>MIN(F27*Assumptions!$C$36,Assumptions!$C$50*G18)</x:f>
        <x:v>0.10832141774323585</x:v>
      </x:c>
      <x:c r="H28" s="110" t="n">
        <x:f>MIN(G27*Assumptions!$C$36,Assumptions!$C$50*H18)</x:f>
        <x:v>0.11349640326907012</x:v>
      </x:c>
      <x:c r="I28" s="110" t="n">
        <x:f>MIN(H27*Assumptions!$C$36,Assumptions!$C$50*I18)</x:f>
        <x:v>0.11895357529866353</x:v>
      </x:c>
      <x:c r="J28" s="110" t="n">
        <x:f>MIN(I27*Assumptions!$C$36,Assumptions!$C$50*J18)</x:f>
        <x:v>0.12474006701911651</x:v>
      </x:c>
      <x:c r="K28" s="110" t="n">
        <x:f>MIN(J27*Assumptions!$C$36,Assumptions!$C$50*K18)</x:f>
        <x:v>0.13085088235012515</x:v>
      </x:c>
      <x:c r="L28" s="110" t="n">
        <x:f>MIN(K27*Assumptions!$C$36,Assumptions!$C$50*L18)</x:f>
        <x:v>0.13730787418442197</x:v>
      </x:c>
      <x:c r="M28" s="110" t="n">
        <x:f>MIN(L27*Assumptions!$C$36,Assumptions!$C$50*M18)</x:f>
        <x:v>0.14413783144676603</x:v>
      </x:c>
      <x:c r="N28" s="110" t="n">
        <x:f>MIN(M27*Assumptions!$C$36,Assumptions!$C$50*N18)</x:f>
        <x:v>0.1513634230685111</x:v>
      </x:c>
      <x:c r="O28" s="110" t="n">
        <x:f>MIN(N27*Assumptions!$C$36,Assumptions!$C$50*O18)</x:f>
        <x:v>0.15901228146012777</x:v>
      </x:c>
      <x:c r="P28" s="110" t="n">
        <x:f>MIN(O27*Assumptions!$C$36,Assumptions!$C$50*P18)</x:f>
        <x:v>0.16711434199432626</x:v>
      </x:c>
      <x:c r="Q28" s="110" t="n">
        <x:f>MIN(P27*Assumptions!$C$36,Assumptions!$C$50*Q18)</x:f>
        <x:v>0.1757020783496153</x:v>
      </x:c>
      <x:c r="R28" s="110" t="n">
        <x:f>MIN(Q27*Assumptions!$C$36,Assumptions!$C$50*R18)</x:f>
        <x:v>0.18481076133376295</x:v>
      </x:c>
      <x:c r="S28" s="110" t="n">
        <x:f>MIN(R27*Assumptions!$C$36,Assumptions!$C$50*S18)</x:f>
        <x:v>0.19447873540703997</x:v>
      </x:c>
      <x:c r="T28" s="110" t="n">
        <x:f>MIN(S27*Assumptions!$C$36,Assumptions!$C$50*T18)</x:f>
        <x:v>0.20474773335820007</x:v>
      </x:c>
      <x:c r="U28" s="110" t="n">
        <x:f>MIN(T27*Assumptions!$C$36,Assumptions!$C$50*U18)</x:f>
        <x:v>0.215663225373667</x:v>
      </x:c>
      <x:c r="V28" s="110" t="n">
        <x:f>MIN(U27*Assumptions!$C$36,Assumptions!$C$50*V18)</x:f>
        <x:v>0.2272748085175521</x:v>
      </x:c>
      <x:c r="W28" s="110" t="n">
        <x:f>MIN(V27*Assumptions!$C$36,Assumptions!$C$50*W18)</x:f>
        <x:v>0.23963664270342522</x:v>
      </x:c>
      <x:c r="X28" s="110" t="n">
        <x:f>MIN(W27*Assumptions!$C$36,Assumptions!$C$50*X18)</x:f>
        <x:v>0.25029368210804853</x:v>
      </x:c>
      <x:c r="Y28" s="110" t="n">
        <x:f>MIN(X27*Assumptions!$C$36,Assumptions!$C$50*Y18)</x:f>
        <x:v>0.2603054293923705</x:v>
      </x:c>
      <x:c r="Z28" s="110" t="n">
        <x:f>MIN(Y27*Assumptions!$C$36,Assumptions!$C$50*Z18)</x:f>
        <x:v>0.27071764656806535</x:v>
      </x:c>
      <x:c r="AA28" s="110" t="n">
        <x:f>MIN(Z27*Assumptions!$C$36,Assumptions!$C$50*AA18)</x:f>
        <x:v>0.2815463524307879</x:v>
      </x:c>
      <x:c r="AB28" s="110" t="n">
        <x:f>MIN(AA27*Assumptions!$C$36,Assumptions!$C$50*AB18)</x:f>
        <x:v>0.2928082065280195</x:v>
      </x:c>
      <x:c r="AC28" s="110" t="n">
        <x:f>MIN(AB27*Assumptions!$C$36,Assumptions!$C$50*AC18)</x:f>
        <x:v>0.30452053478914026</x:v>
      </x:c>
      <x:c r="AD28" s="110" t="n">
        <x:f>MIN(AC27*Assumptions!$C$36,Assumptions!$C$50*AD18)</x:f>
        <x:v>0.31670135618070594</x:v>
      </x:c>
      <x:c r="AE28" s="110" t="n">
        <x:f>MIN(AD27*Assumptions!$C$36,Assumptions!$C$50*AE18)</x:f>
        <x:v>0.3293694104279342</x:v>
      </x:c>
      <x:c r="AF28" s="110" t="n">
        <x:f>MIN(AE27*Assumptions!$C$36,Assumptions!$C$50*AF18)</x:f>
        <x:v>0.34254418684505156</x:v>
      </x:c>
      <x:c r="AG28" s="110" t="n">
        <x:f>MIN(AF27*Assumptions!$C$36,Assumptions!$C$50*AG18)</x:f>
        <x:v>0.35624595431885364</x:v>
      </x:c>
      <x:c r="AH28" s="110" t="n">
        <x:f>MIN(AG27*Assumptions!$C$36,Assumptions!$C$50*AH18)</x:f>
        <x:v>0.3704957924916078</x:v>
      </x:c>
      <x:c r="AI28" s="110" t="n">
        <x:f>MIN(AH27*Assumptions!$C$36,Assumptions!$C$50*AI18)</x:f>
        <x:v>0.3853156241912721</x:v>
      </x:c>
      <x:c r="AJ28" s="110" t="n">
        <x:f>MIN(AI27*Assumptions!$C$36,Assumptions!$C$50*AJ18)</x:f>
        <x:v>0.400728249158923</x:v>
      </x:c>
      <x:c r="AK28" s="110" t="n">
        <x:f>MIN(AJ27*Assumptions!$C$36,Assumptions!$C$50*AK18)</x:f>
        <x:v>0.41675737912527994</x:v>
      </x:c>
      <x:c r="AL28" s="111" t="n">
        <x:f>MIN(AK27*Assumptions!$C$36,Assumptions!$C$50*AL18)</x:f>
        <x:v>0.4334276742902913</x:v>
      </x:c>
    </x:row>
    <x:row r="29">
      <x:c r="A29" s="49" t="str">
        <x:v>Proof-to-Revenue Runs</x:v>
      </x:c>
      <x:c r="B29" s="50" t="str">
        <x:v>units</x:v>
      </x:c>
      <x:c r="C29" s="110" t="n">
        <x:f>0</x:f>
        <x:v>0</x:v>
      </x:c>
      <x:c r="D29" s="110" t="n">
        <x:f>0</x:f>
        <x:v>0</x:v>
      </x:c>
      <x:c r="E29" s="110" t="n">
        <x:f>MIN(C28*Assumptions!$C$37,Assumptions!$C$51*E18)</x:f>
        <x:v>0</x:v>
      </x:c>
      <x:c r="F29" s="110" t="n">
        <x:f>MIN(D28*Assumptions!$C$37,Assumptions!$C$51*F18)</x:f>
        <x:v>0</x:v>
      </x:c>
      <x:c r="G29" s="110" t="n">
        <x:f>MIN(E28*Assumptions!$C$37,Assumptions!$C$51*G18)</x:f>
        <x:v>0.03960000000000002</x:v>
      </x:c>
      <x:c r="H29" s="110" t="n">
        <x:f>MIN(F28*Assumptions!$C$37,Assumptions!$C$51*H18)</x:f>
        <x:v>0.04138786080000001</x:v>
      </x:c>
      <x:c r="I29" s="110" t="n">
        <x:f>MIN(G28*Assumptions!$C$37,Assumptions!$C$51*I18)</x:f>
        <x:v>0.043328567097294345</x:v>
      </x:c>
      <x:c r="J29" s="110" t="n">
        <x:f>MIN(H28*Assumptions!$C$37,Assumptions!$C$51*J18)</x:f>
        <x:v>0.04539856130762805</x:v>
      </x:c>
      <x:c r="K29" s="110" t="n">
        <x:f>MIN(I28*Assumptions!$C$37,Assumptions!$C$51*K18)</x:f>
        <x:v>0.04758143011946542</x:v>
      </x:c>
      <x:c r="L29" s="110" t="n">
        <x:f>MIN(J28*Assumptions!$C$37,Assumptions!$C$51*L18)</x:f>
        <x:v>0.049896026807646605</x:v>
      </x:c>
      <x:c r="M29" s="110" t="n">
        <x:f>MIN(K28*Assumptions!$C$37,Assumptions!$C$51*M18)</x:f>
        <x:v>0.052340352940050065</x:v>
      </x:c>
      <x:c r="N29" s="110" t="n">
        <x:f>MIN(L28*Assumptions!$C$37,Assumptions!$C$51*N18)</x:f>
        <x:v>0.054923149673768795</x:v>
      </x:c>
      <x:c r="O29" s="110" t="n">
        <x:f>MIN(M28*Assumptions!$C$37,Assumptions!$C$51*O18)</x:f>
        <x:v>0.057655132578706414</x:v>
      </x:c>
      <x:c r="P29" s="110" t="n">
        <x:f>MIN(N28*Assumptions!$C$37,Assumptions!$C$51*P18)</x:f>
        <x:v>0.060545369227404444</x:v>
      </x:c>
      <x:c r="Q29" s="110" t="n">
        <x:f>MIN(O28*Assumptions!$C$37,Assumptions!$C$51*Q18)</x:f>
        <x:v>0.06360491258405111</x:v>
      </x:c>
      <x:c r="R29" s="110" t="n">
        <x:f>MIN(P28*Assumptions!$C$37,Assumptions!$C$51*R18)</x:f>
        <x:v>0.06684573679773051</x:v>
      </x:c>
      <x:c r="S29" s="110" t="n">
        <x:f>MIN(Q28*Assumptions!$C$37,Assumptions!$C$51*S18)</x:f>
        <x:v>0.07028083133984613</x:v>
      </x:c>
      <x:c r="T29" s="110" t="n">
        <x:f>MIN(R28*Assumptions!$C$37,Assumptions!$C$51*T18)</x:f>
        <x:v>0.07392430453350518</x:v>
      </x:c>
      <x:c r="U29" s="110" t="n">
        <x:f>MIN(S28*Assumptions!$C$37,Assumptions!$C$51*U18)</x:f>
        <x:v>0.077791494162816</x:v>
      </x:c>
      <x:c r="V29" s="110" t="n">
        <x:f>MIN(T28*Assumptions!$C$37,Assumptions!$C$51*V18)</x:f>
        <x:v>0.08189909334328004</x:v>
      </x:c>
      <x:c r="W29" s="110" t="n">
        <x:f>MIN(U28*Assumptions!$C$37,Assumptions!$C$51*W18)</x:f>
        <x:v>0.08626529014946681</x:v>
      </x:c>
      <x:c r="X29" s="110" t="n">
        <x:f>MIN(V28*Assumptions!$C$37,Assumptions!$C$51*X18)</x:f>
        <x:v>0.09090992340702085</x:v>
      </x:c>
      <x:c r="Y29" s="110" t="n">
        <x:f>MIN(W28*Assumptions!$C$37,Assumptions!$C$51*Y18)</x:f>
        <x:v>0.09585465708137009</x:v>
      </x:c>
      <x:c r="Z29" s="110" t="n">
        <x:f>MIN(X28*Assumptions!$C$37,Assumptions!$C$51*Z18)</x:f>
        <x:v>0.10011747284321942</x:v>
      </x:c>
      <x:c r="AA29" s="110" t="n">
        <x:f>MIN(Y28*Assumptions!$C$37,Assumptions!$C$51*AA18)</x:f>
        <x:v>0.10412217175694821</x:v>
      </x:c>
      <x:c r="AB29" s="110" t="n">
        <x:f>MIN(Z28*Assumptions!$C$37,Assumptions!$C$51*AB18)</x:f>
        <x:v>0.10828705862722615</x:v>
      </x:c>
      <x:c r="AC29" s="110" t="n">
        <x:f>MIN(AA28*Assumptions!$C$37,Assumptions!$C$51*AC18)</x:f>
        <x:v>0.11261854097231516</x:v>
      </x:c>
      <x:c r="AD29" s="110" t="n">
        <x:f>MIN(AB28*Assumptions!$C$37,Assumptions!$C$51*AD18)</x:f>
        <x:v>0.1171232826112078</x:v>
      </x:c>
      <x:c r="AE29" s="110" t="n">
        <x:f>MIN(AC28*Assumptions!$C$37,Assumptions!$C$51*AE18)</x:f>
        <x:v>0.1218082139156561</x:v>
      </x:c>
      <x:c r="AF29" s="110" t="n">
        <x:f>MIN(AD28*Assumptions!$C$37,Assumptions!$C$51*AF18)</x:f>
        <x:v>0.1266805424722824</x:v>
      </x:c>
      <x:c r="AG29" s="110" t="n">
        <x:f>MIN(AE28*Assumptions!$C$37,Assumptions!$C$51*AG18)</x:f>
        <x:v>0.1317477641711737</x:v>
      </x:c>
      <x:c r="AH29" s="110" t="n">
        <x:f>MIN(AF28*Assumptions!$C$37,Assumptions!$C$51*AH18)</x:f>
        <x:v>0.13701767473802062</x:v>
      </x:c>
      <x:c r="AI29" s="110" t="n">
        <x:f>MIN(AG28*Assumptions!$C$37,Assumptions!$C$51*AI18)</x:f>
        <x:v>0.14249838172754145</x:v>
      </x:c>
      <x:c r="AJ29" s="110" t="n">
        <x:f>MIN(AH28*Assumptions!$C$37,Assumptions!$C$51*AJ18)</x:f>
        <x:v>0.14819831699664313</x:v>
      </x:c>
      <x:c r="AK29" s="110" t="n">
        <x:f>MIN(AI28*Assumptions!$C$37,Assumptions!$C$51*AK18)</x:f>
        <x:v>0.15412624967650884</x:v>
      </x:c>
      <x:c r="AL29" s="111" t="n">
        <x:f>MIN(AJ28*Assumptions!$C$37,Assumptions!$C$51*AL18)</x:f>
        <x:v>0.16029129966356923</x:v>
      </x:c>
    </x:row>
    <x:row r="30">
      <x:c r="A30" s="49" t="str">
        <x:v>Enterprise Proof Institutions</x:v>
      </x:c>
      <x:c r="B30" s="50" t="str">
        <x:v>units</x:v>
      </x:c>
      <x:c r="C30" s="110" t="n">
        <x:f>0</x:f>
        <x:v>0</x:v>
      </x:c>
      <x:c r="D30" s="110" t="n">
        <x:f>0</x:f>
        <x:v>0</x:v>
      </x:c>
      <x:c r="E30" s="110" t="n">
        <x:f>0</x:f>
        <x:v>0</x:v>
      </x:c>
      <x:c r="F30" s="110" t="n">
        <x:f>MIN(C29*Assumptions!$C$38,Assumptions!$C$52*F18)</x:f>
        <x:v>0</x:v>
      </x:c>
      <x:c r="G30" s="110" t="n">
        <x:f>MIN(D29*Assumptions!$C$38,Assumptions!$C$52*G18)</x:f>
        <x:v>0</x:v>
      </x:c>
      <x:c r="H30" s="110" t="n">
        <x:f>MIN(E29*Assumptions!$C$38,Assumptions!$C$52*H18)</x:f>
        <x:v>0</x:v>
      </x:c>
      <x:c r="I30" s="110" t="n">
        <x:f>MIN(F29*Assumptions!$C$38,Assumptions!$C$52*I18)</x:f>
        <x:v>0</x:v>
      </x:c>
      <x:c r="J30" s="110" t="n">
        <x:f>MIN(G29*Assumptions!$C$38,Assumptions!$C$52*J18)</x:f>
        <x:v>0.003960000000000002</x:v>
      </x:c>
      <x:c r="K30" s="110" t="n">
        <x:f>MIN(H29*Assumptions!$C$38,Assumptions!$C$52*K18)</x:f>
        <x:v>0.004138786080000001</x:v>
      </x:c>
      <x:c r="L30" s="110" t="n">
        <x:f>MIN(I29*Assumptions!$C$38,Assumptions!$C$52*L18)</x:f>
        <x:v>0.0043328567097294345</x:v>
      </x:c>
      <x:c r="M30" s="110" t="n">
        <x:f>MIN(J29*Assumptions!$C$38,Assumptions!$C$52*M18)</x:f>
        <x:v>0.004539856130762805</x:v>
      </x:c>
      <x:c r="N30" s="110" t="n">
        <x:f>MIN(K29*Assumptions!$C$38,Assumptions!$C$52*N18)</x:f>
        <x:v>0.004758143011946542</x:v>
      </x:c>
      <x:c r="O30" s="110" t="n">
        <x:f>MIN(L29*Assumptions!$C$38,Assumptions!$C$52*O18)</x:f>
        <x:v>0.004989602680764661</x:v>
      </x:c>
      <x:c r="P30" s="110" t="n">
        <x:f>MIN(M29*Assumptions!$C$38,Assumptions!$C$52*P18)</x:f>
        <x:v>0.005234035294005007</x:v>
      </x:c>
      <x:c r="Q30" s="110" t="n">
        <x:f>MIN(N29*Assumptions!$C$38,Assumptions!$C$52*Q18)</x:f>
        <x:v>0.00549231496737688</x:v>
      </x:c>
      <x:c r="R30" s="110" t="n">
        <x:f>MIN(O29*Assumptions!$C$38,Assumptions!$C$52*R18)</x:f>
        <x:v>0.005765513257870641</x:v>
      </x:c>
      <x:c r="S30" s="110" t="n">
        <x:f>MIN(P29*Assumptions!$C$38,Assumptions!$C$52*S18)</x:f>
        <x:v>0.006054536922740445</x:v>
      </x:c>
      <x:c r="T30" s="110" t="n">
        <x:f>MIN(Q29*Assumptions!$C$38,Assumptions!$C$52*T18)</x:f>
        <x:v>0.006360491258405112</x:v>
      </x:c>
      <x:c r="U30" s="110" t="n">
        <x:f>MIN(R29*Assumptions!$C$38,Assumptions!$C$52*U18)</x:f>
        <x:v>0.006684573679773051</x:v>
      </x:c>
      <x:c r="V30" s="110" t="n">
        <x:f>MIN(S29*Assumptions!$C$38,Assumptions!$C$52*V18)</x:f>
        <x:v>0.0070280831339846125</x:v>
      </x:c>
      <x:c r="W30" s="110" t="n">
        <x:f>MIN(T29*Assumptions!$C$38,Assumptions!$C$52*W18)</x:f>
        <x:v>0.007392430453350519</x:v>
      </x:c>
      <x:c r="X30" s="110" t="n">
        <x:f>MIN(U29*Assumptions!$C$38,Assumptions!$C$52*X18)</x:f>
        <x:v>0.0077791494162816</x:v>
      </x:c>
      <x:c r="Y30" s="110" t="n">
        <x:f>MIN(V29*Assumptions!$C$38,Assumptions!$C$52*Y18)</x:f>
        <x:v>0.008189909334328003</x:v>
      </x:c>
      <x:c r="Z30" s="110" t="n">
        <x:f>MIN(W29*Assumptions!$C$38,Assumptions!$C$52*Z18)</x:f>
        <x:v>0.008626529014946682</x:v>
      </x:c>
      <x:c r="AA30" s="110" t="n">
        <x:f>MIN(X29*Assumptions!$C$38,Assumptions!$C$52*AA18)</x:f>
        <x:v>0.009090992340702085</x:v>
      </x:c>
      <x:c r="AB30" s="110" t="n">
        <x:f>MIN(Y29*Assumptions!$C$38,Assumptions!$C$52*AB18)</x:f>
        <x:v>0.009585465708137009</x:v>
      </x:c>
      <x:c r="AC30" s="110" t="n">
        <x:f>MIN(Z29*Assumptions!$C$38,Assumptions!$C$52*AC18)</x:f>
        <x:v>0.010011747284321942</x:v>
      </x:c>
      <x:c r="AD30" s="110" t="n">
        <x:f>MIN(AA29*Assumptions!$C$38,Assumptions!$C$52*AD18)</x:f>
        <x:v>0.010412217175694821</x:v>
      </x:c>
      <x:c r="AE30" s="110" t="n">
        <x:f>MIN(AB29*Assumptions!$C$38,Assumptions!$C$52*AE18)</x:f>
        <x:v>0.010828705862722617</x:v>
      </x:c>
      <x:c r="AF30" s="110" t="n">
        <x:f>MIN(AC29*Assumptions!$C$38,Assumptions!$C$52*AF18)</x:f>
        <x:v>0.011261854097231516</x:v>
      </x:c>
      <x:c r="AG30" s="110" t="n">
        <x:f>MIN(AD29*Assumptions!$C$38,Assumptions!$C$52*AG18)</x:f>
        <x:v>0.01171232826112078</x:v>
      </x:c>
      <x:c r="AH30" s="110" t="n">
        <x:f>MIN(AE29*Assumptions!$C$38,Assumptions!$C$52*AH18)</x:f>
        <x:v>0.012180821391565611</x:v>
      </x:c>
      <x:c r="AI30" s="110" t="n">
        <x:f>MIN(AF29*Assumptions!$C$38,Assumptions!$C$52*AI18)</x:f>
        <x:v>0.01266805424722824</x:v>
      </x:c>
      <x:c r="AJ30" s="110" t="n">
        <x:f>MIN(AG29*Assumptions!$C$38,Assumptions!$C$52*AJ18)</x:f>
        <x:v>0.013174776417117371</x:v>
      </x:c>
      <x:c r="AK30" s="110" t="n">
        <x:f>MIN(AH29*Assumptions!$C$38,Assumptions!$C$52*AK18)</x:f>
        <x:v>0.013701767473802064</x:v>
      </x:c>
      <x:c r="AL30" s="111" t="n">
        <x:f>MIN(AI29*Assumptions!$C$38,Assumptions!$C$52*AL18)</x:f>
        <x:v>0.014249838172754145</x:v>
      </x:c>
    </x:row>
    <x:row r="31">
      <x:c r="A31" s="49" t="str">
        <x:v>New Proof OS recurring clients</x:v>
      </x:c>
      <x:c r="B31" s="50" t="str">
        <x:v>clients</x:v>
      </x:c>
      <x:c r="C31" s="110" t="n">
        <x:f>C30*Assumptions!$C$40</x:f>
        <x:v>0</x:v>
      </x:c>
      <x:c r="D31" s="110" t="n">
        <x:f>C29*Assumptions!$C$39+D30*Assumptions!$C$40</x:f>
        <x:v>0</x:v>
      </x:c>
      <x:c r="E31" s="110" t="n">
        <x:f>D29*Assumptions!$C$39+E30*Assumptions!$C$40</x:f>
        <x:v>0</x:v>
      </x:c>
      <x:c r="F31" s="110" t="n">
        <x:f>E29*Assumptions!$C$39+F30*Assumptions!$C$40</x:f>
        <x:v>0</x:v>
      </x:c>
      <x:c r="G31" s="110" t="n">
        <x:f>F29*Assumptions!$C$39+G30*Assumptions!$C$40</x:f>
        <x:v>0</x:v>
      </x:c>
      <x:c r="H31" s="110" t="n">
        <x:f>G29*Assumptions!$C$39+H30*Assumptions!$C$40</x:f>
        <x:v>0.013860000000000004</x:v>
      </x:c>
      <x:c r="I31" s="110" t="n">
        <x:f>H29*Assumptions!$C$39+I30*Assumptions!$C$40</x:f>
        <x:v>0.014485751280000002</x:v>
      </x:c>
      <x:c r="J31" s="110" t="n">
        <x:f>I29*Assumptions!$C$39+J30*Assumptions!$C$40</x:f>
        <x:v>0.01872899848405302</x:v>
      </x:c>
      <x:c r="K31" s="110" t="n">
        <x:f>J29*Assumptions!$C$39+K30*Assumptions!$C$40</x:f>
        <x:v>0.01961440392966982</x:v>
      </x:c>
      <x:c r="L31" s="110" t="n">
        <x:f>K29*Assumptions!$C$39+L30*Assumptions!$C$40</x:f>
        <x:v>0.020553071580569387</x:v>
      </x:c>
      <x:c r="M31" s="110" t="n">
        <x:f>L29*Assumptions!$C$39+M30*Assumptions!$C$40</x:f>
        <x:v>0.021549479900362836</x:v>
      </x:c>
      <x:c r="N31" s="110" t="n">
        <x:f>M29*Assumptions!$C$39+N30*Assumptions!$C$40</x:f>
        <x:v>0.022601452239769407</x:v>
      </x:c>
      <x:c r="O31" s="110" t="n">
        <x:f>N29*Assumptions!$C$39+O30*Assumptions!$C$40</x:f>
        <x:v>0.023713744798507273</x:v>
      </x:c>
      <x:c r="P31" s="110" t="n">
        <x:f>O29*Assumptions!$C$39+P30*Assumptions!$C$40</x:f>
        <x:v>0.02488992816715175</x:v>
      </x:c>
      <x:c r="Q31" s="110" t="n">
        <x:f>P29*Assumptions!$C$39+Q30*Assumptions!$C$40</x:f>
        <x:v>0.026133962700230745</x:v>
      </x:c>
      <x:c r="R31" s="110" t="n">
        <x:f>Q29*Assumptions!$C$39+R30*Assumptions!$C$40</x:f>
        <x:v>0.027450681336501463</x:v>
      </x:c>
      <x:c r="S31" s="110" t="n">
        <x:f>R29*Assumptions!$C$39+S30*Assumptions!$C$40</x:f>
        <x:v>0.028845091109672077</x:v>
      </x:c>
      <x:c r="T31" s="110" t="n">
        <x:f>S29*Assumptions!$C$39+T30*Assumptions!$C$40</x:f>
        <x:v>0.030322733101510745</x:v>
      </x:c>
      <x:c r="U31" s="110" t="n">
        <x:f>T29*Assumptions!$C$39+U30*Assumptions!$C$40</x:f>
        <x:v>0.031889622898522554</x:v>
      </x:c>
      <x:c r="V31" s="110" t="n">
        <x:f>U29*Assumptions!$C$39+V30*Assumptions!$C$40</x:f>
        <x:v>0.03355229777757175</x:v>
      </x:c>
      <x:c r="W31" s="110" t="n">
        <x:f>V29*Assumptions!$C$39+W30*Assumptions!$C$40</x:f>
        <x:v>0.03531787007816348</x:v>
      </x:c>
      <x:c r="X31" s="110" t="n">
        <x:f>W29*Assumptions!$C$39+X30*Assumptions!$C$40</x:f>
        <x:v>0.03719408602696682</x:v>
      </x:c>
      <x:c r="Y31" s="110" t="n">
        <x:f>X29*Assumptions!$C$39+Y30*Assumptions!$C$40</x:f>
        <x:v>0.039189391593352496</x:v>
      </x:c>
      <x:c r="Z31" s="110" t="n">
        <x:f>Y29*Assumptions!$C$39+Z30*Assumptions!$C$40</x:f>
        <x:v>0.041313006091931545</x:v>
      </x:c>
      <x:c r="AA31" s="110" t="n">
        <x:f>Z29*Assumptions!$C$39+AA30*Assumptions!$C$40</x:f>
        <x:v>0.04322300860175868</x:v>
      </x:c>
      <x:c r="AB31" s="110" t="n">
        <x:f>AA29*Assumptions!$C$39+AB30*Assumptions!$C$40</x:f>
        <x:v>0.04506967925225518</x:v>
      </x:c>
      <x:c r="AC31" s="110" t="n">
        <x:f>AB29*Assumptions!$C$39+AC30*Assumptions!$C$40</x:f>
        <x:v>0.04691104307541889</x:v>
      </x:c>
      <x:c r="AD31" s="110" t="n">
        <x:f>AC29*Assumptions!$C$39+AD30*Assumptions!$C$40</x:f>
        <x:v>0.04878748479843564</x:v>
      </x:c>
      <x:c r="AE31" s="110" t="n">
        <x:f>AD29*Assumptions!$C$39+AE30*Assumptions!$C$40</x:f>
        <x:v>0.050738984190373086</x:v>
      </x:c>
      <x:c r="AF31" s="110" t="n">
        <x:f>AE29*Assumptions!$C$39+AF30*Assumptions!$C$40</x:f>
        <x:v>0.052768543557988</x:v>
      </x:c>
      <x:c r="AG31" s="110" t="n">
        <x:f>AF29*Assumptions!$C$39+AG30*Assumptions!$C$40</x:f>
        <x:v>0.054879285300307536</x:v>
      </x:c>
      <x:c r="AH31" s="110" t="n">
        <x:f>AG29*Assumptions!$C$39+AH30*Assumptions!$C$40</x:f>
        <x:v>0.057074456712319845</x:v>
      </x:c>
      <x:c r="AI31" s="110" t="n">
        <x:f>AH29*Assumptions!$C$39+AI30*Assumptions!$C$40</x:f>
        <x:v>0.059357434980812626</x:v>
      </x:c>
      <x:c r="AJ31" s="110" t="n">
        <x:f>AI29*Assumptions!$C$39+AJ30*Assumptions!$C$40</x:f>
        <x:v>0.061731732380045146</x:v>
      </x:c>
      <x:c r="AK31" s="110" t="n">
        <x:f>AJ29*Assumptions!$C$39+AK30*Assumptions!$C$40</x:f>
        <x:v>0.06420100167524695</x:v>
      </x:c>
      <x:c r="AL31" s="111" t="n">
        <x:f>AK29*Assumptions!$C$39+AL30*Assumptions!$C$40</x:f>
        <x:v>0.06676904174225683</x:v>
      </x:c>
    </x:row>
    <x:row r="32">
      <x:c r="A32" s="49" t="str">
        <x:v>Churned Proof OS clients</x:v>
      </x:c>
      <x:c r="B32" s="50" t="str">
        <x:v>clients</x:v>
      </x:c>
      <x:c r="C32" s="110" t="n">
        <x:f>0</x:f>
        <x:v>0</x:v>
      </x:c>
      <x:c r="D32" s="110" t="n">
        <x:f>C33*Assumptions!$C$41</x:f>
        <x:v>0</x:v>
      </x:c>
      <x:c r="E32" s="110" t="n">
        <x:f>D33*Assumptions!$C$41</x:f>
        <x:v>0</x:v>
      </x:c>
      <x:c r="F32" s="110" t="n">
        <x:f>E33*Assumptions!$C$41</x:f>
        <x:v>0</x:v>
      </x:c>
      <x:c r="G32" s="110" t="n">
        <x:f>F33*Assumptions!$C$41</x:f>
        <x:v>0</x:v>
      </x:c>
      <x:c r="H32" s="110" t="n">
        <x:f>G33*Assumptions!$C$41</x:f>
        <x:v>0</x:v>
      </x:c>
      <x:c r="I32" s="110" t="n">
        <x:f>H33*Assumptions!$C$41</x:f>
        <x:v>0.0005544000000000001</x:v>
      </x:c>
      <x:c r="J32" s="110" t="n">
        <x:f>I33*Assumptions!$C$41</x:f>
        <x:v>0.0011116540512000003</x:v>
      </x:c>
      <x:c r="K32" s="110" t="n">
        <x:f>J33*Assumptions!$C$41</x:f>
        <x:v>0.001816347828514121</x:v>
      </x:c>
      <x:c r="L32" s="110" t="n">
        <x:f>K33*Assumptions!$C$41</x:f>
        <x:v>0.0025282700725603492</x:v>
      </x:c>
      <x:c r="M32" s="110" t="n">
        <x:f>L33*Assumptions!$C$41</x:f>
        <x:v>0.003249262132880711</x:v>
      </x:c>
      <x:c r="N32" s="110" t="n">
        <x:f>M33*Assumptions!$C$41</x:f>
        <x:v>0.003981270843579996</x:v>
      </x:c>
      <x:c r="O32" s="110" t="n">
        <x:f>N33*Assumptions!$C$41</x:f>
        <x:v>0.004726078099427573</x:v>
      </x:c>
      <x:c r="P32" s="110" t="n">
        <x:f>O33*Assumptions!$C$41</x:f>
        <x:v>0.005485584767390761</x:v>
      </x:c>
      <x:c r="Q32" s="110" t="n">
        <x:f>P33*Assumptions!$C$41</x:f>
        <x:v>0.0062617585033812005</x:v>
      </x:c>
      <x:c r="R32" s="110" t="n">
        <x:f>Q33*Assumptions!$C$41</x:f>
        <x:v>0.007056646671255182</x:v>
      </x:c>
      <x:c r="S32" s="110" t="n">
        <x:f>R33*Assumptions!$C$41</x:f>
        <x:v>0.007872408057865033</x:v>
      </x:c>
      <x:c r="T32" s="110" t="n">
        <x:f>S33*Assumptions!$C$41</x:f>
        <x:v>0.008711315379937315</x:v>
      </x:c>
      <x:c r="U32" s="110" t="n">
        <x:f>T33*Assumptions!$C$41</x:f>
        <x:v>0.009575772088800252</x:v>
      </x:c>
      <x:c r="V32" s="110" t="n">
        <x:f>U33*Assumptions!$C$41</x:f>
        <x:v>0.010468326121189144</x:v>
      </x:c>
      <x:c r="W32" s="110" t="n">
        <x:f>V33*Assumptions!$C$41</x:f>
        <x:v>0.011391684987444448</x:v>
      </x:c>
      <x:c r="X32" s="110" t="n">
        <x:f>W33*Assumptions!$C$41</x:f>
        <x:v>0.01234873239107321</x:v>
      </x:c>
      <x:c r="Y32" s="110" t="n">
        <x:f>X33*Assumptions!$C$41</x:f>
        <x:v>0.013342546536508956</x:v>
      </x:c>
      <x:c r="Z32" s="110" t="n">
        <x:f>Y33*Assumptions!$C$41</x:f>
        <x:v>0.014376420338782697</x:v>
      </x:c>
      <x:c r="AA32" s="110" t="n">
        <x:f>Z33*Assumptions!$C$41</x:f>
        <x:v>0.015453883768908652</x:v>
      </x:c>
      <x:c r="AB32" s="110" t="n">
        <x:f>AA33*Assumptions!$C$41</x:f>
        <x:v>0.01656464876222265</x:v>
      </x:c>
      <x:c r="AC32" s="110" t="n">
        <x:f>AB33*Assumptions!$C$41</x:f>
        <x:v>0.017704849981823954</x:v>
      </x:c>
      <x:c r="AD32" s="110" t="n">
        <x:f>AC33*Assumptions!$C$41</x:f>
        <x:v>0.01887309770556775</x:v>
      </x:c>
      <x:c r="AE32" s="110" t="n">
        <x:f>AD33*Assumptions!$C$41</x:f>
        <x:v>0.020069673189282464</x:v>
      </x:c>
      <x:c r="AF32" s="110" t="n">
        <x:f>AE33*Assumptions!$C$41</x:f>
        <x:v>0.02129644562932609</x:v>
      </x:c>
      <x:c r="AG32" s="110" t="n">
        <x:f>AF33*Assumptions!$C$41</x:f>
        <x:v>0.022555329546472564</x:v>
      </x:c>
      <x:c r="AH32" s="110" t="n">
        <x:f>AG33*Assumptions!$C$41</x:f>
        <x:v>0.023848287776625964</x:v>
      </x:c>
      <x:c r="AI32" s="110" t="n">
        <x:f>AH33*Assumptions!$C$41</x:f>
        <x:v>0.025177334534053717</x:v>
      </x:c>
      <x:c r="AJ32" s="110" t="n">
        <x:f>AI33*Assumptions!$C$41</x:f>
        <x:v>0.026544538551924072</x:v>
      </x:c>
      <x:c r="AK32" s="110" t="n">
        <x:f>AJ33*Assumptions!$C$41</x:f>
        <x:v>0.027952026305048918</x:v>
      </x:c>
      <x:c r="AL32" s="111" t="n">
        <x:f>AK33*Assumptions!$C$41</x:f>
        <x:v>0.02940198531985684</x:v>
      </x:c>
    </x:row>
    <x:row r="33">
      <x:c r="A33" s="49" t="str">
        <x:v>Ending Proof OS clients</x:v>
      </x:c>
      <x:c r="B33" s="50" t="str">
        <x:v>clients</x:v>
      </x:c>
      <x:c r="C33" s="110" t="n">
        <x:f>C31-C32</x:f>
        <x:v>0</x:v>
      </x:c>
      <x:c r="D33" s="110" t="n">
        <x:f>C33+D31-D32</x:f>
        <x:v>0</x:v>
      </x:c>
      <x:c r="E33" s="110" t="n">
        <x:f>D33+E31-E32</x:f>
        <x:v>0</x:v>
      </x:c>
      <x:c r="F33" s="110" t="n">
        <x:f>E33+F31-F32</x:f>
        <x:v>0</x:v>
      </x:c>
      <x:c r="G33" s="110" t="n">
        <x:f>F33+G31-G32</x:f>
        <x:v>0</x:v>
      </x:c>
      <x:c r="H33" s="110" t="n">
        <x:f>G33+H31-H32</x:f>
        <x:v>0.013860000000000004</x:v>
      </x:c>
      <x:c r="I33" s="110" t="n">
        <x:f>H33+I31-I32</x:f>
        <x:v>0.027791351280000005</x:v>
      </x:c>
      <x:c r="J33" s="110" t="n">
        <x:f>I33+J31-J32</x:f>
        <x:v>0.045408695712853026</x:v>
      </x:c>
      <x:c r="K33" s="110" t="n">
        <x:f>J33+K31-K32</x:f>
        <x:v>0.06320675181400873</x:v>
      </x:c>
      <x:c r="L33" s="110" t="n">
        <x:f>K33+L31-L32</x:f>
        <x:v>0.08123155332201777</x:v>
      </x:c>
      <x:c r="M33" s="110" t="n">
        <x:f>L33+M31-M32</x:f>
        <x:v>0.0995317710894999</x:v>
      </x:c>
      <x:c r="N33" s="110" t="n">
        <x:f>M33+N31-N32</x:f>
        <x:v>0.11815195248568931</x:v>
      </x:c>
      <x:c r="O33" s="110" t="n">
        <x:f>N33+O31-O32</x:f>
        <x:v>0.13713961918476902</x:v>
      </x:c>
      <x:c r="P33" s="110" t="n">
        <x:f>O33+P31-P32</x:f>
        <x:v>0.15654396258453002</x:v>
      </x:c>
      <x:c r="Q33" s="110" t="n">
        <x:f>P33+Q31-Q32</x:f>
        <x:v>0.17641616678137956</x:v>
      </x:c>
      <x:c r="R33" s="110" t="n">
        <x:f>Q33+R31-R32</x:f>
        <x:v>0.19681020144662584</x:v>
      </x:c>
      <x:c r="S33" s="110" t="n">
        <x:f>R33+S31-S32</x:f>
        <x:v>0.21778288449843286</x:v>
      </x:c>
      <x:c r="T33" s="110" t="n">
        <x:f>S33+T31-T32</x:f>
        <x:v>0.2393943022200063</x:v>
      </x:c>
      <x:c r="U33" s="110" t="n">
        <x:f>T33+U31-U32</x:f>
        <x:v>0.2617081530297286</x:v>
      </x:c>
      <x:c r="V33" s="110" t="n">
        <x:f>U33+V31-V32</x:f>
        <x:v>0.2847921246861112</x:v>
      </x:c>
      <x:c r="W33" s="110" t="n">
        <x:f>V33+W31-W32</x:f>
        <x:v>0.30871830977683024</x:v>
      </x:c>
      <x:c r="X33" s="110" t="n">
        <x:f>W33+X31-X32</x:f>
        <x:v>0.33356366341272387</x:v>
      </x:c>
      <x:c r="Y33" s="110" t="n">
        <x:f>X33+Y31-Y32</x:f>
        <x:v>0.3594105084695674</x:v>
      </x:c>
      <x:c r="Z33" s="110" t="n">
        <x:f>Y33+Z31-Z32</x:f>
        <x:v>0.3863470942227163</x:v>
      </x:c>
      <x:c r="AA33" s="110" t="n">
        <x:f>Z33+AA31-AA32</x:f>
        <x:v>0.4141162190555663</x:v>
      </x:c>
      <x:c r="AB33" s="110" t="n">
        <x:f>AA33+AB31-AB32</x:f>
        <x:v>0.44262124954559884</x:v>
      </x:c>
      <x:c r="AC33" s="110" t="n">
        <x:f>AB33+AC31-AC32</x:f>
        <x:v>0.47182744263919374</x:v>
      </x:c>
      <x:c r="AD33" s="110" t="n">
        <x:f>AC33+AD31-AD32</x:f>
        <x:v>0.5017418297320616</x:v>
      </x:c>
      <x:c r="AE33" s="110" t="n">
        <x:f>AD33+AE31-AE32</x:f>
        <x:v>0.5324111407331522</x:v>
      </x:c>
      <x:c r="AF33" s="110" t="n">
        <x:f>AE33+AF31-AF32</x:f>
        <x:v>0.5638832386618141</x:v>
      </x:c>
      <x:c r="AG33" s="110" t="n">
        <x:f>AF33+AG31-AG32</x:f>
        <x:v>0.5962071944156491</x:v>
      </x:c>
      <x:c r="AH33" s="110" t="n">
        <x:f>AG33+AH31-AH32</x:f>
        <x:v>0.6294333633513429</x:v>
      </x:c>
      <x:c r="AI33" s="110" t="n">
        <x:f>AH33+AI31-AI32</x:f>
        <x:v>0.6636134637981018</x:v>
      </x:c>
      <x:c r="AJ33" s="110" t="n">
        <x:f>AI33+AJ31-AJ32</x:f>
        <x:v>0.6988006576262229</x:v>
      </x:c>
      <x:c r="AK33" s="110" t="n">
        <x:f>AJ33+AK31-AK32</x:f>
        <x:v>0.735049632996421</x:v>
      </x:c>
      <x:c r="AL33" s="111" t="n">
        <x:f>AK33+AL31-AL32</x:f>
        <x:v>0.772416689418821</x:v>
      </x:c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 ht="23" customHeight="1">
      <x:c r="A35" s="416" t="str">
        <x:v>REVENUE</x:v>
      </x:c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9" t="str">
        <x:v>Executive Briefing revenue</x:v>
      </x:c>
      <x:c r="B36" s="50" t="str">
        <x:v>$</x:v>
      </x:c>
      <x:c r="C36" s="126" t="n">
        <x:f>C21*Assumptions!$C$9</x:f>
        <x:v>2887.5</x:v>
      </x:c>
      <x:c r="D36" s="126" t="n">
        <x:f>D21*Assumptions!$C$9</x:f>
        <x:v>3017.8648500000004</x:v>
      </x:c>
      <x:c r="E36" s="126" t="n">
        <x:f>E21*Assumptions!$C$9</x:f>
        <x:v>3159.374684177712</x:v>
      </x:c>
      <x:c r="F36" s="126" t="n">
        <x:f>F21*Assumptions!$C$9</x:f>
        <x:v>3310.3117620145445</x:v>
      </x:c>
      <x:c r="G36" s="126" t="n">
        <x:f>G21*Assumptions!$C$9</x:f>
        <x:v>3469.4792795443523</x:v>
      </x:c>
      <x:c r="H36" s="126" t="n">
        <x:f>H21*Assumptions!$C$9</x:f>
        <x:v>3638.2519547242314</x:v>
      </x:c>
      <x:c r="I36" s="126" t="n">
        <x:f>I21*Assumptions!$C$9</x:f>
        <x:v>3816.484068545317</x:v>
      </x:c>
      <x:c r="J36" s="126" t="n">
        <x:f>J21*Assumptions!$C$9</x:f>
        <x:v>4004.8129970456407</x:v>
      </x:c>
      <x:c r="K36" s="126" t="n">
        <x:f>K21*Assumptions!$C$9</x:f>
        <x:v>4204.020083864009</x:v>
      </x:c>
      <x:c r="L36" s="126" t="n">
        <x:f>L21*Assumptions!$C$9</x:f>
        <x:v>4414.766506164907</x:v>
      </x:c>
      <x:c r="M36" s="126" t="n">
        <x:f>M21*Assumptions!$C$9</x:f>
        <x:v>4637.858209253725</x:v>
      </x:c>
      <x:c r="N36" s="126" t="n">
        <x:f>N21*Assumptions!$C$9</x:f>
        <x:v>4874.168308167848</x:v>
      </x:c>
      <x:c r="O36" s="126" t="n">
        <x:f>O21*Assumptions!$C$9</x:f>
        <x:v>5124.643951863779</x:v>
      </x:c>
      <x:c r="P36" s="126" t="n">
        <x:f>P21*Assumptions!$C$9</x:f>
        <x:v>5390.313872234752</x:v>
      </x:c>
      <x:c r="Q36" s="126" t="n">
        <x:f>Q21*Assumptions!$C$9</x:f>
        <x:v>5672.296449371997</x:v>
      </x:c>
      <x:c r="R36" s="126" t="n">
        <x:f>R21*Assumptions!$C$9</x:f>
        <x:v>5971.808889614167</x:v>
      </x:c>
      <x:c r="S36" s="126" t="n">
        <x:f>S21*Assumptions!$C$9</x:f>
        <x:v>6290.177406731954</x:v>
      </x:c>
      <x:c r="T36" s="126" t="n">
        <x:f>T21*Assumptions!$C$9</x:f>
        <x:v>6628.848581761936</x:v>
      </x:c>
      <x:c r="U36" s="126" t="n">
        <x:f>U21*Assumptions!$C$9</x:f>
        <x:v>6989.402078849901</x:v>
      </x:c>
      <x:c r="V36" s="126" t="n">
        <x:f>V21*Assumptions!$C$9</x:f>
        <x:v>7300.232394818083</x:v>
      </x:c>
      <x:c r="W36" s="126" t="n">
        <x:f>W21*Assumptions!$C$9</x:f>
        <x:v>7592.241690610806</x:v>
      </x:c>
      <x:c r="X36" s="126" t="n">
        <x:f>X21*Assumptions!$C$9</x:f>
        <x:v>7895.931358235238</x:v>
      </x:c>
      <x:c r="Y36" s="126" t="n">
        <x:f>Y21*Assumptions!$C$9</x:f>
        <x:v>8211.768612564647</x:v>
      </x:c>
      <x:c r="Z36" s="126" t="n">
        <x:f>Z21*Assumptions!$C$9</x:f>
        <x:v>8540.239357067234</x:v>
      </x:c>
      <x:c r="AA36" s="126" t="n">
        <x:f>AA21*Assumptions!$C$9</x:f>
        <x:v>8881.848931349923</x:v>
      </x:c>
      <x:c r="AB36" s="126" t="n">
        <x:f>AB21*Assumptions!$C$9</x:f>
        <x:v>9237.122888603923</x:v>
      </x:c>
      <x:c r="AC36" s="126" t="n">
        <x:f>AC21*Assumptions!$C$9</x:f>
        <x:v>9606.60780414808</x:v>
      </x:c>
      <x:c r="AD36" s="126" t="n">
        <x:f>AD21*Assumptions!$C$9</x:f>
        <x:v>9990.872116314002</x:v>
      </x:c>
      <x:c r="AE36" s="126" t="n">
        <x:f>AE21*Assumptions!$C$9</x:f>
        <x:v>10390.507000966561</x:v>
      </x:c>
      <x:c r="AF36" s="126" t="n">
        <x:f>AF21*Assumptions!$C$9</x:f>
        <x:v>10806.127281005227</x:v>
      </x:c>
      <x:c r="AG36" s="126" t="n">
        <x:f>AG21*Assumptions!$C$9</x:f>
        <x:v>11238.372372245436</x:v>
      </x:c>
      <x:c r="AH36" s="126" t="n">
        <x:f>AH21*Assumptions!$C$9</x:f>
        <x:v>11687.907267135253</x:v>
      </x:c>
      <x:c r="AI36" s="126" t="n">
        <x:f>AI21*Assumptions!$C$9</x:f>
        <x:v>12155.423557820664</x:v>
      </x:c>
      <x:c r="AJ36" s="126" t="n">
        <x:f>AJ21*Assumptions!$C$9</x:f>
        <x:v>12641.640500133493</x:v>
      </x:c>
      <x:c r="AK36" s="126" t="n">
        <x:f>AK21*Assumptions!$C$9</x:f>
        <x:v>13147.306120138834</x:v>
      </x:c>
      <x:c r="AL36" s="127" t="n">
        <x:f>AL21*Assumptions!$C$9</x:f>
        <x:v>13673.198364944386</x:v>
      </x:c>
    </x:row>
    <x:row r="37">
      <x:c r="A37" s="49" t="str">
        <x:v>MasterClass revenue</x:v>
      </x:c>
      <x:c r="B37" s="50" t="str">
        <x:v>$</x:v>
      </x:c>
      <x:c r="C37" s="126" t="n">
        <x:f>C22*Assumptions!$C$11</x:f>
        <x:v>13406.250000000004</x:v>
      </x:c>
      <x:c r="D37" s="126" t="n">
        <x:f>D22*Assumptions!$C$11</x:f>
        <x:v>14011.515375000003</x:v>
      </x:c>
      <x:c r="E37" s="126" t="n">
        <x:f>E22*Assumptions!$C$11</x:f>
        <x:v>14668.525319396522</x:v>
      </x:c>
      <x:c r="F37" s="126" t="n">
        <x:f>F22*Assumptions!$C$11</x:f>
        <x:v>15369.304609353243</x:v>
      </x:c>
      <x:c r="G37" s="126" t="n">
        <x:f>G22*Assumptions!$C$11</x:f>
        <x:v>16108.296655027352</x:v>
      </x:c>
      <x:c r="H37" s="126" t="n">
        <x:f>H22*Assumptions!$C$11</x:f>
        <x:v>16891.88407550536</x:v>
      </x:c>
      <x:c r="I37" s="126" t="n">
        <x:f>I22*Assumptions!$C$11</x:f>
        <x:v>17719.390318246114</x:v>
      </x:c>
      <x:c r="J37" s="126" t="n">
        <x:f>J22*Assumptions!$C$11</x:f>
        <x:v>18593.774629140476</x:v>
      </x:c>
      <x:c r="K37" s="126" t="n">
        <x:f>K22*Assumptions!$C$11</x:f>
        <x:v>19518.6646750829</x:v>
      </x:c>
      <x:c r="L37" s="126" t="n">
        <x:f>L22*Assumptions!$C$11</x:f>
        <x:v>20497.130207194215</x:v>
      </x:c>
      <x:c r="M37" s="126" t="n">
        <x:f>M22*Assumptions!$C$11</x:f>
        <x:v>21532.9131143923</x:v>
      </x:c>
      <x:c r="N37" s="126" t="n">
        <x:f>N22*Assumptions!$C$11</x:f>
        <x:v>22630.06714506501</x:v>
      </x:c>
      <x:c r="O37" s="126" t="n">
        <x:f>O22*Assumptions!$C$11</x:f>
        <x:v>23792.989776510403</x:v>
      </x:c>
      <x:c r="P37" s="126" t="n">
        <x:f>P22*Assumptions!$C$11</x:f>
        <x:v>25026.457263947064</x:v>
      </x:c>
      <x:c r="Q37" s="126" t="n">
        <x:f>Q22*Assumptions!$C$11</x:f>
        <x:v>26335.662086369994</x:v>
      </x:c>
      <x:c r="R37" s="126" t="n">
        <x:f>R22*Assumptions!$C$11</x:f>
        <x:v>27726.255558922923</x:v>
      </x:c>
      <x:c r="S37" s="126" t="n">
        <x:f>S22*Assumptions!$C$11</x:f>
        <x:v>29204.395102684077</x:v>
      </x:c>
      <x:c r="T37" s="126" t="n">
        <x:f>T22*Assumptions!$C$11</x:f>
        <x:v>30776.796986751848</x:v>
      </x:c>
      <x:c r="U37" s="126" t="n">
        <x:f>U22*Assumptions!$C$11</x:f>
        <x:v>32450.79536608883</x:v>
      </x:c>
      <x:c r="V37" s="126" t="n">
        <x:f>V22*Assumptions!$C$11</x:f>
        <x:v>33893.93611879824</x:v>
      </x:c>
      <x:c r="W37" s="126" t="n">
        <x:f>W22*Assumptions!$C$11</x:f>
        <x:v>35249.69356355017</x:v>
      </x:c>
      <x:c r="X37" s="126" t="n">
        <x:f>X22*Assumptions!$C$11</x:f>
        <x:v>36659.68130609218</x:v>
      </x:c>
      <x:c r="Y37" s="126" t="n">
        <x:f>Y22*Assumptions!$C$11</x:f>
        <x:v>38126.06855833587</x:v>
      </x:c>
      <x:c r="Z37" s="126" t="n">
        <x:f>Z22*Assumptions!$C$11</x:f>
        <x:v>39651.111300669305</x:v>
      </x:c>
      <x:c r="AA37" s="126" t="n">
        <x:f>AA22*Assumptions!$C$11</x:f>
        <x:v>41237.15575269608</x:v>
      </x:c>
      <x:c r="AB37" s="126" t="n">
        <x:f>AB22*Assumptions!$C$11</x:f>
        <x:v>42886.64198280393</x:v>
      </x:c>
      <x:c r="AC37" s="126" t="n">
        <x:f>AC22*Assumptions!$C$11</x:f>
        <x:v>44602.10766211609</x:v>
      </x:c>
      <x:c r="AD37" s="126" t="n">
        <x:f>AD22*Assumptions!$C$11</x:f>
        <x:v>46386.19196860073</x:v>
      </x:c>
      <x:c r="AE37" s="126" t="n">
        <x:f>AE22*Assumptions!$C$11</x:f>
        <x:v>48241.63964734476</x:v>
      </x:c>
      <x:c r="AF37" s="126" t="n">
        <x:f>AF22*Assumptions!$C$11</x:f>
        <x:v>50171.30523323856</x:v>
      </x:c>
      <x:c r="AG37" s="126" t="n">
        <x:f>AG22*Assumptions!$C$11</x:f>
        <x:v>52178.157442568096</x:v>
      </x:c>
      <x:c r="AH37" s="126" t="n">
        <x:f>AH22*Assumptions!$C$11</x:f>
        <x:v>54265.28374027083</x:v>
      </x:c>
      <x:c r="AI37" s="126" t="n">
        <x:f>AI22*Assumptions!$C$11</x:f>
        <x:v>56435.89508988166</x:v>
      </x:c>
      <x:c r="AJ37" s="126" t="n">
        <x:f>AJ22*Assumptions!$C$11</x:f>
        <x:v>58693.33089347694</x:v>
      </x:c>
      <x:c r="AK37" s="126" t="n">
        <x:f>AK22*Assumptions!$C$11</x:f>
        <x:v>61041.064129216014</x:v>
      </x:c>
      <x:c r="AL37" s="127" t="n">
        <x:f>AL22*Assumptions!$C$11</x:f>
        <x:v>63482.70669438465</x:v>
      </x:c>
    </x:row>
    <x:row r="38">
      <x:c r="A38" s="49" t="str">
        <x:v>Design Lab revenue</x:v>
      </x:c>
      <x:c r="B38" s="50" t="str">
        <x:v>$</x:v>
      </x:c>
      <x:c r="C38" s="126" t="n">
        <x:f>C27*Assumptions!$C$13</x:f>
        <x:v>0</x:v>
      </x:c>
      <x:c r="D38" s="126" t="n">
        <x:f>D27*Assumptions!$C$13</x:f>
        <x:v>12375.000000000002</x:v>
      </x:c>
      <x:c r="E38" s="126" t="n">
        <x:f>E27*Assumptions!$C$13</x:f>
        <x:v>12933.706500000002</x:v>
      </x:c>
      <x:c r="F38" s="126" t="n">
        <x:f>F27*Assumptions!$C$13</x:f>
        <x:v>13540.17721790448</x:v>
      </x:c>
      <x:c r="G38" s="126" t="n">
        <x:f>G27*Assumptions!$C$13</x:f>
        <x:v>14187.050408633764</x:v>
      </x:c>
      <x:c r="H38" s="126" t="n">
        <x:f>H27*Assumptions!$C$13</x:f>
        <x:v>14869.196912332942</x:v>
      </x:c>
      <x:c r="I38" s="126" t="n">
        <x:f>I27*Assumptions!$C$13</x:f>
        <x:v>15592.508377389564</x:v>
      </x:c>
      <x:c r="J38" s="126" t="n">
        <x:f>J27*Assumptions!$C$13</x:f>
        <x:v>16356.360293765643</x:v>
      </x:c>
      <x:c r="K38" s="126" t="n">
        <x:f>K27*Assumptions!$C$13</x:f>
        <x:v>17163.484273052745</x:v>
      </x:c>
      <x:c r="L38" s="126" t="n">
        <x:f>L27*Assumptions!$C$13</x:f>
        <x:v>18017.228930845755</x:v>
      </x:c>
      <x:c r="M38" s="126" t="n">
        <x:f>M27*Assumptions!$C$13</x:f>
        <x:v>18920.427883563887</x:v>
      </x:c>
      <x:c r="N38" s="126" t="n">
        <x:f>N27*Assumptions!$C$13</x:f>
        <x:v>19876.53518251597</x:v>
      </x:c>
      <x:c r="O38" s="126" t="n">
        <x:f>O27*Assumptions!$C$13</x:f>
        <x:v>20889.29274929078</x:v>
      </x:c>
      <x:c r="P38" s="126" t="n">
        <x:f>P27*Assumptions!$C$13</x:f>
        <x:v>21962.75979370191</x:v>
      </x:c>
      <x:c r="Q38" s="126" t="n">
        <x:f>Q27*Assumptions!$C$13</x:f>
        <x:v>23101.345166720366</x:v>
      </x:c>
      <x:c r="R38" s="126" t="n">
        <x:f>R27*Assumptions!$C$13</x:f>
        <x:v>24309.841925879995</x:v>
      </x:c>
      <x:c r="S38" s="126" t="n">
        <x:f>S27*Assumptions!$C$13</x:f>
        <x:v>25593.466669775007</x:v>
      </x:c>
      <x:c r="T38" s="126" t="n">
        <x:f>T27*Assumptions!$C$13</x:f>
        <x:v>26957.903171708374</x:v>
      </x:c>
      <x:c r="U38" s="126" t="n">
        <x:f>U27*Assumptions!$C$13</x:f>
        <x:v>28409.351064694012</x:v>
      </x:c>
      <x:c r="V38" s="126" t="n">
        <x:f>V27*Assumptions!$C$13</x:f>
        <x:v>29954.58033792815</x:v>
      </x:c>
      <x:c r="W38" s="126" t="n">
        <x:f>W27*Assumptions!$C$13</x:f>
        <x:v>31286.71026350607</x:v>
      </x:c>
      <x:c r="X38" s="126" t="n">
        <x:f>X27*Assumptions!$C$13</x:f>
        <x:v>32538.17867404631</x:v>
      </x:c>
      <x:c r="Y38" s="126" t="n">
        <x:f>Y27*Assumptions!$C$13</x:f>
        <x:v>33839.70582100817</x:v>
      </x:c>
      <x:c r="Z38" s="126" t="n">
        <x:f>Z27*Assumptions!$C$13</x:f>
        <x:v>35193.29405384849</x:v>
      </x:c>
      <x:c r="AA38" s="126" t="n">
        <x:f>AA27*Assumptions!$C$13</x:f>
        <x:v>36601.02581600244</x:v>
      </x:c>
      <x:c r="AB38" s="126" t="n">
        <x:f>AB27*Assumptions!$C$13</x:f>
        <x:v>38065.066848642535</x:v>
      </x:c>
      <x:c r="AC38" s="126" t="n">
        <x:f>AC27*Assumptions!$C$13</x:f>
        <x:v>39587.669522588236</x:v>
      </x:c>
      <x:c r="AD38" s="126" t="n">
        <x:f>AD27*Assumptions!$C$13</x:f>
        <x:v>41171.176303491775</x:v>
      </x:c>
      <x:c r="AE38" s="126" t="n">
        <x:f>AE27*Assumptions!$C$13</x:f>
        <x:v>42818.02335563144</x:v>
      </x:c>
      <x:c r="AF38" s="126" t="n">
        <x:f>AF27*Assumptions!$C$13</x:f>
        <x:v>44530.7442898567</x:v>
      </x:c>
      <x:c r="AG38" s="126" t="n">
        <x:f>AG27*Assumptions!$C$13</x:f>
        <x:v>46311.97406145097</x:v>
      </x:c>
      <x:c r="AH38" s="126" t="n">
        <x:f>AH27*Assumptions!$C$13</x:f>
        <x:v>48164.45302390901</x:v>
      </x:c>
      <x:c r="AI38" s="126" t="n">
        <x:f>AI27*Assumptions!$C$13</x:f>
        <x:v>50091.031144865374</x:v>
      </x:c>
      <x:c r="AJ38" s="126" t="n">
        <x:f>AJ27*Assumptions!$C$13</x:f>
        <x:v>52094.67239065999</x:v>
      </x:c>
      <x:c r="AK38" s="126" t="n">
        <x:f>AK27*Assumptions!$C$13</x:f>
        <x:v>54178.45928628641</x:v>
      </x:c>
      <x:c r="AL38" s="127" t="n">
        <x:f>AL27*Assumptions!$C$13</x:f>
        <x:v>56345.59765773785</x:v>
      </x:c>
    </x:row>
    <x:row r="39">
      <x:c r="A39" s="49" t="str">
        <x:v>Sprint revenue</x:v>
      </x:c>
      <x:c r="B39" s="50" t="str">
        <x:v>$</x:v>
      </x:c>
      <x:c r="C39" s="126" t="n">
        <x:f>C28*Assumptions!$C$15</x:f>
        <x:v>0</x:v>
      </x:c>
      <x:c r="D39" s="126" t="n">
        <x:f>D28*Assumptions!$C$15</x:f>
        <x:v>0</x:v>
      </x:c>
      <x:c r="E39" s="126" t="n">
        <x:f>E28*Assumptions!$C$15</x:f>
        <x:v>9900.000000000004</x:v>
      </x:c>
      <x:c r="F39" s="126" t="n">
        <x:f>F28*Assumptions!$C$15</x:f>
        <x:v>10346.965200000002</x:v>
      </x:c>
      <x:c r="G39" s="126" t="n">
        <x:f>G28*Assumptions!$C$15</x:f>
        <x:v>10832.141774323585</x:v>
      </x:c>
      <x:c r="H39" s="126" t="n">
        <x:f>H28*Assumptions!$C$15</x:f>
        <x:v>11349.640326907012</x:v>
      </x:c>
      <x:c r="I39" s="126" t="n">
        <x:f>I28*Assumptions!$C$15</x:f>
        <x:v>11895.357529866353</x:v>
      </x:c>
      <x:c r="J39" s="126" t="n">
        <x:f>J28*Assumptions!$C$15</x:f>
        <x:v>12474.00670191165</x:v>
      </x:c>
      <x:c r="K39" s="126" t="n">
        <x:f>K28*Assumptions!$C$15</x:f>
        <x:v>13085.088235012516</x:v>
      </x:c>
      <x:c r="L39" s="126" t="n">
        <x:f>L28*Assumptions!$C$15</x:f>
        <x:v>13730.787418442198</x:v>
      </x:c>
      <x:c r="M39" s="126" t="n">
        <x:f>M28*Assumptions!$C$15</x:f>
        <x:v>14413.783144676603</x:v>
      </x:c>
      <x:c r="N39" s="126" t="n">
        <x:f>N28*Assumptions!$C$15</x:f>
        <x:v>15136.342306851111</x:v>
      </x:c>
      <x:c r="O39" s="126" t="n">
        <x:f>O28*Assumptions!$C$15</x:f>
        <x:v>15901.228146012778</x:v>
      </x:c>
      <x:c r="P39" s="126" t="n">
        <x:f>P28*Assumptions!$C$15</x:f>
        <x:v>16711.434199432628</x:v>
      </x:c>
      <x:c r="Q39" s="126" t="n">
        <x:f>Q28*Assumptions!$C$15</x:f>
        <x:v>17570.20783496153</x:v>
      </x:c>
      <x:c r="R39" s="126" t="n">
        <x:f>R28*Assumptions!$C$15</x:f>
        <x:v>18481.076133376297</x:v>
      </x:c>
      <x:c r="S39" s="126" t="n">
        <x:f>S28*Assumptions!$C$15</x:f>
        <x:v>19447.873540703997</x:v>
      </x:c>
      <x:c r="T39" s="126" t="n">
        <x:f>T28*Assumptions!$C$15</x:f>
        <x:v>20474.773335820006</x:v>
      </x:c>
      <x:c r="U39" s="126" t="n">
        <x:f>U28*Assumptions!$C$15</x:f>
        <x:v>21566.3225373667</x:v>
      </x:c>
      <x:c r="V39" s="126" t="n">
        <x:f>V28*Assumptions!$C$15</x:f>
        <x:v>22727.480851755212</x:v>
      </x:c>
      <x:c r="W39" s="126" t="n">
        <x:f>W28*Assumptions!$C$15</x:f>
        <x:v>23963.66427034252</x:v>
      </x:c>
      <x:c r="X39" s="126" t="n">
        <x:f>X28*Assumptions!$C$15</x:f>
        <x:v>25029.368210804852</x:v>
      </x:c>
      <x:c r="Y39" s="126" t="n">
        <x:f>Y28*Assumptions!$C$15</x:f>
        <x:v>26030.54293923705</x:v>
      </x:c>
      <x:c r="Z39" s="126" t="n">
        <x:f>Z28*Assumptions!$C$15</x:f>
        <x:v>27071.764656806536</x:v>
      </x:c>
      <x:c r="AA39" s="126" t="n">
        <x:f>AA28*Assumptions!$C$15</x:f>
        <x:v>28154.635243078792</x:v>
      </x:c>
      <x:c r="AB39" s="126" t="n">
        <x:f>AB28*Assumptions!$C$15</x:f>
        <x:v>29280.820652801947</x:v>
      </x:c>
      <x:c r="AC39" s="126" t="n">
        <x:f>AC28*Assumptions!$C$15</x:f>
        <x:v>30452.053478914026</x:v>
      </x:c>
      <x:c r="AD39" s="126" t="n">
        <x:f>AD28*Assumptions!$C$15</x:f>
        <x:v>31670.135618070595</x:v>
      </x:c>
      <x:c r="AE39" s="126" t="n">
        <x:f>AE28*Assumptions!$C$15</x:f>
        <x:v>32936.94104279342</x:v>
      </x:c>
      <x:c r="AF39" s="126" t="n">
        <x:f>AF28*Assumptions!$C$15</x:f>
        <x:v>34254.41868450516</x:v>
      </x:c>
      <x:c r="AG39" s="126" t="n">
        <x:f>AG28*Assumptions!$C$15</x:f>
        <x:v>35624.59543188536</x:v>
      </x:c>
      <x:c r="AH39" s="126" t="n">
        <x:f>AH28*Assumptions!$C$15</x:f>
        <x:v>37049.57924916078</x:v>
      </x:c>
      <x:c r="AI39" s="126" t="n">
        <x:f>AI28*Assumptions!$C$15</x:f>
        <x:v>38531.56241912721</x:v>
      </x:c>
      <x:c r="AJ39" s="126" t="n">
        <x:f>AJ28*Assumptions!$C$15</x:f>
        <x:v>40072.8249158923</x:v>
      </x:c>
      <x:c r="AK39" s="126" t="n">
        <x:f>AK28*Assumptions!$C$15</x:f>
        <x:v>41675.73791252799</x:v>
      </x:c>
      <x:c r="AL39" s="127" t="n">
        <x:f>AL28*Assumptions!$C$15</x:f>
        <x:v>43342.767429029125</x:v>
      </x:c>
    </x:row>
    <x:row r="40">
      <x:c r="A40" s="49" t="str">
        <x:v>Proof Run revenue</x:v>
      </x:c>
      <x:c r="B40" s="50" t="str">
        <x:v>$</x:v>
      </x:c>
      <x:c r="C40" s="126" t="n">
        <x:f>C29*Assumptions!$C$17</x:f>
        <x:v>0</x:v>
      </x:c>
      <x:c r="D40" s="126" t="n">
        <x:f>D29*Assumptions!$C$17</x:f>
        <x:v>0</x:v>
      </x:c>
      <x:c r="E40" s="126" t="n">
        <x:f>E29*Assumptions!$C$17</x:f>
        <x:v>0</x:v>
      </x:c>
      <x:c r="F40" s="126" t="n">
        <x:f>F29*Assumptions!$C$17</x:f>
        <x:v>0</x:v>
      </x:c>
      <x:c r="G40" s="126" t="n">
        <x:f>G29*Assumptions!$C$17</x:f>
        <x:v>7920.000000000004</x:v>
      </x:c>
      <x:c r="H40" s="126" t="n">
        <x:f>H29*Assumptions!$C$17</x:f>
        <x:v>8277.572160000002</x:v>
      </x:c>
      <x:c r="I40" s="126" t="n">
        <x:f>I29*Assumptions!$C$17</x:f>
        <x:v>8665.713419458869</x:v>
      </x:c>
      <x:c r="J40" s="126" t="n">
        <x:f>J29*Assumptions!$C$17</x:f>
        <x:v>9079.71226152561</x:v>
      </x:c>
      <x:c r="K40" s="126" t="n">
        <x:f>K29*Assumptions!$C$17</x:f>
        <x:v>9516.286023893084</x:v>
      </x:c>
      <x:c r="L40" s="126" t="n">
        <x:f>L29*Assumptions!$C$17</x:f>
        <x:v>9979.20536152932</x:v>
      </x:c>
      <x:c r="M40" s="126" t="n">
        <x:f>M29*Assumptions!$C$17</x:f>
        <x:v>10468.070588010012</x:v>
      </x:c>
      <x:c r="N40" s="126" t="n">
        <x:f>N29*Assumptions!$C$17</x:f>
        <x:v>10984.629934753759</x:v>
      </x:c>
      <x:c r="O40" s="126" t="n">
        <x:f>O29*Assumptions!$C$17</x:f>
        <x:v>11531.026515741283</x:v>
      </x:c>
      <x:c r="P40" s="126" t="n">
        <x:f>P29*Assumptions!$C$17</x:f>
        <x:v>12109.073845480889</x:v>
      </x:c>
      <x:c r="Q40" s="126" t="n">
        <x:f>Q29*Assumptions!$C$17</x:f>
        <x:v>12720.982516810223</x:v>
      </x:c>
      <x:c r="R40" s="126" t="n">
        <x:f>R29*Assumptions!$C$17</x:f>
        <x:v>13369.147359546101</x:v>
      </x:c>
      <x:c r="S40" s="126" t="n">
        <x:f>S29*Assumptions!$C$17</x:f>
        <x:v>14056.166267969225</x:v>
      </x:c>
      <x:c r="T40" s="126" t="n">
        <x:f>T29*Assumptions!$C$17</x:f>
        <x:v>14784.860906701037</x:v>
      </x:c>
      <x:c r="U40" s="126" t="n">
        <x:f>U29*Assumptions!$C$17</x:f>
        <x:v>15558.2988325632</x:v>
      </x:c>
      <x:c r="V40" s="126" t="n">
        <x:f>V29*Assumptions!$C$17</x:f>
        <x:v>16379.818668656008</x:v>
      </x:c>
      <x:c r="W40" s="126" t="n">
        <x:f>W29*Assumptions!$C$17</x:f>
        <x:v>17253.05802989336</x:v>
      </x:c>
      <x:c r="X40" s="126" t="n">
        <x:f>X29*Assumptions!$C$17</x:f>
        <x:v>18181.98468140417</x:v>
      </x:c>
      <x:c r="Y40" s="126" t="n">
        <x:f>Y29*Assumptions!$C$17</x:f>
        <x:v>19170.931416274016</x:v>
      </x:c>
      <x:c r="Z40" s="126" t="n">
        <x:f>Z29*Assumptions!$C$17</x:f>
        <x:v>20023.494568643884</x:v>
      </x:c>
      <x:c r="AA40" s="126" t="n">
        <x:f>AA29*Assumptions!$C$17</x:f>
        <x:v>20824.434351389642</x:v>
      </x:c>
      <x:c r="AB40" s="126" t="n">
        <x:f>AB29*Assumptions!$C$17</x:f>
        <x:v>21657.41172544523</x:v>
      </x:c>
      <x:c r="AC40" s="126" t="n">
        <x:f>AC29*Assumptions!$C$17</x:f>
        <x:v>22523.708194463034</x:v>
      </x:c>
      <x:c r="AD40" s="126" t="n">
        <x:f>AD29*Assumptions!$C$17</x:f>
        <x:v>23424.65652224156</x:v>
      </x:c>
      <x:c r="AE40" s="126" t="n">
        <x:f>AE29*Assumptions!$C$17</x:f>
        <x:v>24361.64278313122</x:v>
      </x:c>
      <x:c r="AF40" s="126" t="n">
        <x:f>AF29*Assumptions!$C$17</x:f>
        <x:v>25336.10849445648</x:v>
      </x:c>
      <x:c r="AG40" s="126" t="n">
        <x:f>AG29*Assumptions!$C$17</x:f>
        <x:v>26349.552834234742</x:v>
      </x:c>
      <x:c r="AH40" s="126" t="n">
        <x:f>AH29*Assumptions!$C$17</x:f>
        <x:v>27403.534947604123</x:v>
      </x:c>
      <x:c r="AI40" s="126" t="n">
        <x:f>AI29*Assumptions!$C$17</x:f>
        <x:v>28499.67634550829</x:v>
      </x:c>
      <x:c r="AJ40" s="126" t="n">
        <x:f>AJ29*Assumptions!$C$17</x:f>
        <x:v>29639.663399328627</x:v>
      </x:c>
      <x:c r="AK40" s="126" t="n">
        <x:f>AK29*Assumptions!$C$17</x:f>
        <x:v>30825.24993530177</x:v>
      </x:c>
      <x:c r="AL40" s="127" t="n">
        <x:f>AL29*Assumptions!$C$17</x:f>
        <x:v>32058.259932713845</x:v>
      </x:c>
    </x:row>
    <x:row r="41">
      <x:c r="A41" s="49" t="str">
        <x:v>Enterprise revenue</x:v>
      </x:c>
      <x:c r="B41" s="50" t="str">
        <x:v>$</x:v>
      </x:c>
      <x:c r="C41" s="126" t="n">
        <x:f>C30*Assumptions!$C$19</x:f>
        <x:v>0</x:v>
      </x:c>
      <x:c r="D41" s="126" t="n">
        <x:f>D30*Assumptions!$C$19</x:f>
        <x:v>0</x:v>
      </x:c>
      <x:c r="E41" s="126" t="n">
        <x:f>E30*Assumptions!$C$19</x:f>
        <x:v>0</x:v>
      </x:c>
      <x:c r="F41" s="126" t="n">
        <x:f>F30*Assumptions!$C$19</x:f>
        <x:v>0</x:v>
      </x:c>
      <x:c r="G41" s="126" t="n">
        <x:f>G30*Assumptions!$C$19</x:f>
        <x:v>0</x:v>
      </x:c>
      <x:c r="H41" s="126" t="n">
        <x:f>H30*Assumptions!$C$19</x:f>
        <x:v>0</x:v>
      </x:c>
      <x:c r="I41" s="126" t="n">
        <x:f>I30*Assumptions!$C$19</x:f>
        <x:v>0</x:v>
      </x:c>
      <x:c r="J41" s="126" t="n">
        <x:f>J30*Assumptions!$C$19</x:f>
        <x:v>1980.000000000001</x:v>
      </x:c>
      <x:c r="K41" s="126" t="n">
        <x:f>K30*Assumptions!$C$19</x:f>
        <x:v>2069.3930400000004</x:v>
      </x:c>
      <x:c r="L41" s="126" t="n">
        <x:f>L30*Assumptions!$C$19</x:f>
        <x:v>2166.428354864717</x:v>
      </x:c>
      <x:c r="M41" s="126" t="n">
        <x:f>M30*Assumptions!$C$19</x:f>
        <x:v>2269.9280653814026</x:v>
      </x:c>
      <x:c r="N41" s="126" t="n">
        <x:f>N30*Assumptions!$C$19</x:f>
        <x:v>2379.071505973271</x:v>
      </x:c>
      <x:c r="O41" s="126" t="n">
        <x:f>O30*Assumptions!$C$19</x:f>
        <x:v>2494.8013403823306</x:v>
      </x:c>
      <x:c r="P41" s="126" t="n">
        <x:f>P30*Assumptions!$C$19</x:f>
        <x:v>2617.0176470025035</x:v>
      </x:c>
      <x:c r="Q41" s="126" t="n">
        <x:f>Q30*Assumptions!$C$19</x:f>
        <x:v>2746.15748368844</x:v>
      </x:c>
      <x:c r="R41" s="126" t="n">
        <x:f>R30*Assumptions!$C$19</x:f>
        <x:v>2882.756628935321</x:v>
      </x:c>
      <x:c r="S41" s="126" t="n">
        <x:f>S30*Assumptions!$C$19</x:f>
        <x:v>3027.2684613702227</x:v>
      </x:c>
      <x:c r="T41" s="126" t="n">
        <x:f>T30*Assumptions!$C$19</x:f>
        <x:v>3180.245629202556</x:v>
      </x:c>
      <x:c r="U41" s="126" t="n">
        <x:f>U30*Assumptions!$C$19</x:f>
        <x:v>3342.2868398865257</x:v>
      </x:c>
      <x:c r="V41" s="126" t="n">
        <x:f>V30*Assumptions!$C$19</x:f>
        <x:v>3514.0415669923063</x:v>
      </x:c>
      <x:c r="W41" s="126" t="n">
        <x:f>W30*Assumptions!$C$19</x:f>
        <x:v>3696.2152266752596</x:v>
      </x:c>
      <x:c r="X41" s="126" t="n">
        <x:f>X30*Assumptions!$C$19</x:f>
        <x:v>3889.5747081408003</x:v>
      </x:c>
      <x:c r="Y41" s="126" t="n">
        <x:f>Y30*Assumptions!$C$19</x:f>
        <x:v>4094.9546671640014</x:v>
      </x:c>
      <x:c r="Z41" s="126" t="n">
        <x:f>Z30*Assumptions!$C$19</x:f>
        <x:v>4313.264507473341</x:v>
      </x:c>
      <x:c r="AA41" s="126" t="n">
        <x:f>AA30*Assumptions!$C$19</x:f>
        <x:v>4545.496170351043</x:v>
      </x:c>
      <x:c r="AB41" s="126" t="n">
        <x:f>AB30*Assumptions!$C$19</x:f>
        <x:v>4792.732854068504</x:v>
      </x:c>
      <x:c r="AC41" s="126" t="n">
        <x:f>AC30*Assumptions!$C$19</x:f>
        <x:v>5005.873642160971</x:v>
      </x:c>
      <x:c r="AD41" s="126" t="n">
        <x:f>AD30*Assumptions!$C$19</x:f>
        <x:v>5206.1085878474105</x:v>
      </x:c>
      <x:c r="AE41" s="126" t="n">
        <x:f>AE30*Assumptions!$C$19</x:f>
        <x:v>5414.352931361308</x:v>
      </x:c>
      <x:c r="AF41" s="126" t="n">
        <x:f>AF30*Assumptions!$C$19</x:f>
        <x:v>5630.927048615758</x:v>
      </x:c>
      <x:c r="AG41" s="126" t="n">
        <x:f>AG30*Assumptions!$C$19</x:f>
        <x:v>5856.16413056039</x:v>
      </x:c>
      <x:c r="AH41" s="126" t="n">
        <x:f>AH30*Assumptions!$C$19</x:f>
        <x:v>6090.410695782805</x:v>
      </x:c>
      <x:c r="AI41" s="126" t="n">
        <x:f>AI30*Assumptions!$C$19</x:f>
        <x:v>6334.02712361412</x:v>
      </x:c>
      <x:c r="AJ41" s="126" t="n">
        <x:f>AJ30*Assumptions!$C$19</x:f>
        <x:v>6587.388208558686</x:v>
      </x:c>
      <x:c r="AK41" s="126" t="n">
        <x:f>AK30*Assumptions!$C$19</x:f>
        <x:v>6850.883736901032</x:v>
      </x:c>
      <x:c r="AL41" s="127" t="n">
        <x:f>AL30*Assumptions!$C$19</x:f>
        <x:v>7124.919086377073</x:v>
      </x:c>
    </x:row>
    <x:row r="42">
      <x:c r="A42" s="49" t="str">
        <x:v>Proof OS recurring revenue</x:v>
      </x:c>
      <x:c r="B42" s="50" t="str">
        <x:v>$</x:v>
      </x:c>
      <x:c r="C42" s="126" t="n">
        <x:f>C33*Assumptions!$C$21</x:f>
        <x:v>0</x:v>
      </x:c>
      <x:c r="D42" s="126" t="n">
        <x:f>D33*Assumptions!$C$21</x:f>
        <x:v>0</x:v>
      </x:c>
      <x:c r="E42" s="126" t="n">
        <x:f>E33*Assumptions!$C$21</x:f>
        <x:v>0</x:v>
      </x:c>
      <x:c r="F42" s="126" t="n">
        <x:f>F33*Assumptions!$C$21</x:f>
        <x:v>0</x:v>
      </x:c>
      <x:c r="G42" s="126" t="n">
        <x:f>G33*Assumptions!$C$21</x:f>
        <x:v>0</x:v>
      </x:c>
      <x:c r="H42" s="126" t="n">
        <x:f>H33*Assumptions!$C$21</x:f>
        <x:v>103.95000000000003</x:v>
      </x:c>
      <x:c r="I42" s="126" t="n">
        <x:f>I33*Assumptions!$C$21</x:f>
        <x:v>208.43513460000003</x:v>
      </x:c>
      <x:c r="J42" s="126" t="n">
        <x:f>J33*Assumptions!$C$21</x:f>
        <x:v>340.5652178463977</x:v>
      </x:c>
      <x:c r="K42" s="126" t="n">
        <x:f>K33*Assumptions!$C$21</x:f>
        <x:v>474.05063860506544</x:v>
      </x:c>
      <x:c r="L42" s="126" t="n">
        <x:f>L33*Assumptions!$C$21</x:f>
        <x:v>609.2366499151333</x:v>
      </x:c>
      <x:c r="M42" s="126" t="n">
        <x:f>M33*Assumptions!$C$21</x:f>
        <x:v>746.4882831712492</x:v>
      </x:c>
      <x:c r="N42" s="126" t="n">
        <x:f>N33*Assumptions!$C$21</x:f>
        <x:v>886.1396436426699</x:v>
      </x:c>
      <x:c r="O42" s="126" t="n">
        <x:f>O33*Assumptions!$C$21</x:f>
        <x:v>1028.5471438857676</x:v>
      </x:c>
      <x:c r="P42" s="126" t="n">
        <x:f>P33*Assumptions!$C$21</x:f>
        <x:v>1174.079719383975</x:v>
      </x:c>
      <x:c r="Q42" s="126" t="n">
        <x:f>Q33*Assumptions!$C$21</x:f>
        <x:v>1323.1212508603467</x:v>
      </x:c>
      <x:c r="R42" s="126" t="n">
        <x:f>R33*Assumptions!$C$21</x:f>
        <x:v>1476.0765108496937</x:v>
      </x:c>
      <x:c r="S42" s="126" t="n">
        <x:f>S33*Assumptions!$C$21</x:f>
        <x:v>1633.3716337382464</x:v>
      </x:c>
      <x:c r="T42" s="126" t="n">
        <x:f>T33*Assumptions!$C$21</x:f>
        <x:v>1795.4572666500471</x:v>
      </x:c>
      <x:c r="U42" s="126" t="n">
        <x:f>U33*Assumptions!$C$21</x:f>
        <x:v>1962.8111477229645</x:v>
      </x:c>
      <x:c r="V42" s="126" t="n">
        <x:f>V33*Assumptions!$C$21</x:f>
        <x:v>2135.940935145834</x:v>
      </x:c>
      <x:c r="W42" s="126" t="n">
        <x:f>W33*Assumptions!$C$21</x:f>
        <x:v>2315.3873233262266</x:v>
      </x:c>
      <x:c r="X42" s="126" t="n">
        <x:f>X33*Assumptions!$C$21</x:f>
        <x:v>2501.727475595429</x:v>
      </x:c>
      <x:c r="Y42" s="126" t="n">
        <x:f>Y33*Assumptions!$C$21</x:f>
        <x:v>2695.5788135217554</x:v>
      </x:c>
      <x:c r="Z42" s="126" t="n">
        <x:f>Z33*Assumptions!$C$21</x:f>
        <x:v>2897.6032066703724</x:v>
      </x:c>
      <x:c r="AA42" s="126" t="n">
        <x:f>AA33*Assumptions!$C$21</x:f>
        <x:v>3105.871642916747</x:v>
      </x:c>
      <x:c r="AB42" s="126" t="n">
        <x:f>AB33*Assumptions!$C$21</x:f>
        <x:v>3319.659371591991</x:v>
      </x:c>
      <x:c r="AC42" s="126" t="n">
        <x:f>AC33*Assumptions!$C$21</x:f>
        <x:v>3538.705819793953</x:v>
      </x:c>
      <x:c r="AD42" s="126" t="n">
        <x:f>AD33*Assumptions!$C$21</x:f>
        <x:v>3763.063722990462</x:v>
      </x:c>
      <x:c r="AE42" s="126" t="n">
        <x:f>AE33*Assumptions!$C$21</x:f>
        <x:v>3993.0835554986415</x:v>
      </x:c>
      <x:c r="AF42" s="126" t="n">
        <x:f>AF33*Assumptions!$C$21</x:f>
        <x:v>4229.124289963605</x:v>
      </x:c>
      <x:c r="AG42" s="126" t="n">
        <x:f>AG33*Assumptions!$C$21</x:f>
        <x:v>4471.553958117368</x:v>
      </x:c>
      <x:c r="AH42" s="126" t="n">
        <x:f>AH33*Assumptions!$C$21</x:f>
        <x:v>4720.750225135072</x:v>
      </x:c>
      <x:c r="AI42" s="126" t="n">
        <x:f>AI33*Assumptions!$C$21</x:f>
        <x:v>4977.100978485763</x:v>
      </x:c>
      <x:c r="AJ42" s="126" t="n">
        <x:f>AJ33*Assumptions!$C$21</x:f>
        <x:v>5241.004932196672</x:v>
      </x:c>
      <x:c r="AK42" s="126" t="n">
        <x:f>AK33*Assumptions!$C$21</x:f>
        <x:v>5512.872247473158</x:v>
      </x:c>
      <x:c r="AL42" s="127" t="n">
        <x:f>AL33*Assumptions!$C$21</x:f>
        <x:v>5793.125170641158</x:v>
      </x:c>
    </x:row>
    <x:row r="43">
      <x:c r="A43" s="142" t="str">
        <x:v>Total revenue</x:v>
      </x:c>
      <x:c r="B43" s="143" t="str">
        <x:v>$</x:v>
      </x:c>
      <x:c r="C43" s="154" t="n">
        <x:f>SUM(C36:C42)</x:f>
        <x:v>16293.750000000004</x:v>
      </x:c>
      <x:c r="D43" s="154" t="n">
        <x:f>SUM(D36:D42)</x:f>
        <x:v>29404.380225000008</x:v>
      </x:c>
      <x:c r="E43" s="154" t="n">
        <x:f>SUM(E36:E42)</x:f>
        <x:v>40661.606503574236</x:v>
      </x:c>
      <x:c r="F43" s="154" t="n">
        <x:f>SUM(F36:F42)</x:f>
        <x:v>42566.758789272266</x:v>
      </x:c>
      <x:c r="G43" s="154" t="n">
        <x:f>SUM(G36:G42)</x:f>
        <x:v>52516.96811752906</x:v>
      </x:c>
      <x:c r="H43" s="154" t="n">
        <x:f>SUM(H36:H42)</x:f>
        <x:v>55130.49542946955</x:v>
      </x:c>
      <x:c r="I43" s="154" t="n">
        <x:f>SUM(I36:I42)</x:f>
        <x:v>57897.88884810621</x:v>
      </x:c>
      <x:c r="J43" s="154" t="n">
        <x:f>SUM(J36:J42)</x:f>
        <x:v>62829.232101235415</x:v>
      </x:c>
      <x:c r="K43" s="154" t="n">
        <x:f>SUM(K36:K42)</x:f>
        <x:v>66030.98696951033</x:v>
      </x:c>
      <x:c r="L43" s="154" t="n">
        <x:f>SUM(L36:L42)</x:f>
        <x:v>69414.78342895626</x:v>
      </x:c>
      <x:c r="M43" s="154" t="n">
        <x:f>SUM(M36:M42)</x:f>
        <x:v>72989.46928844918</x:v>
      </x:c>
      <x:c r="N43" s="154" t="n">
        <x:f>SUM(N36:N42)</x:f>
        <x:v>76766.95402696966</x:v>
      </x:c>
      <x:c r="O43" s="154" t="n">
        <x:f>SUM(O36:O42)</x:f>
        <x:v>80762.52962368712</x:v>
      </x:c>
      <x:c r="P43" s="154" t="n">
        <x:f>SUM(P36:P42)</x:f>
        <x:v>84991.13634118371</x:v>
      </x:c>
      <x:c r="Q43" s="154" t="n">
        <x:f>SUM(Q36:Q42)</x:f>
        <x:v>89469.77278878291</x:v>
      </x:c>
      <x:c r="R43" s="154" t="n">
        <x:f>SUM(R36:R42)</x:f>
        <x:v>94216.9630071245</x:v>
      </x:c>
      <x:c r="S43" s="154" t="n">
        <x:f>SUM(S36:S42)</x:f>
        <x:v>99252.71908297273</x:v>
      </x:c>
      <x:c r="T43" s="154" t="n">
        <x:f>SUM(T36:T42)</x:f>
        <x:v>104598.88587859581</x:v>
      </x:c>
      <x:c r="U43" s="154" t="n">
        <x:f>SUM(U36:U42)</x:f>
        <x:v>110279.26786717214</x:v>
      </x:c>
      <x:c r="V43" s="154" t="n">
        <x:f>SUM(V36:V42)</x:f>
        <x:v>115906.03087409385</x:v>
      </x:c>
      <x:c r="W43" s="154" t="n">
        <x:f>SUM(W36:W42)</x:f>
        <x:v>121356.9703679044</x:v>
      </x:c>
      <x:c r="X43" s="154" t="n">
        <x:f>SUM(X36:X42)</x:f>
        <x:v>126696.44641431898</x:v>
      </x:c>
      <x:c r="Y43" s="154" t="n">
        <x:f>SUM(Y36:Y42)</x:f>
        <x:v>132169.5508281055</x:v>
      </x:c>
      <x:c r="Z43" s="154" t="n">
        <x:f>SUM(Z36:Z42)</x:f>
        <x:v>137690.77165117918</x:v>
      </x:c>
      <x:c r="AA43" s="154" t="n">
        <x:f>SUM(AA36:AA42)</x:f>
        <x:v>143350.46790778468</x:v>
      </x:c>
      <x:c r="AB43" s="154" t="n">
        <x:f>SUM(AB36:AB42)</x:f>
        <x:v>149239.45632395806</x:v>
      </x:c>
      <x:c r="AC43" s="154" t="n">
        <x:f>SUM(AC36:AC42)</x:f>
        <x:v>155316.72612418435</x:v>
      </x:c>
      <x:c r="AD43" s="154" t="n">
        <x:f>SUM(AD36:AD42)</x:f>
        <x:v>161612.2048395565</x:v>
      </x:c>
      <x:c r="AE43" s="154" t="n">
        <x:f>SUM(AE36:AE42)</x:f>
        <x:v>168156.19031672736</x:v>
      </x:c>
      <x:c r="AF43" s="154" t="n">
        <x:f>SUM(AF36:AF42)</x:f>
        <x:v>174958.75532164148</x:v>
      </x:c>
      <x:c r="AG43" s="154" t="n">
        <x:f>SUM(AG36:AG42)</x:f>
        <x:v>182030.37023106238</x:v>
      </x:c>
      <x:c r="AH43" s="154" t="n">
        <x:f>SUM(AH36:AH42)</x:f>
        <x:v>189381.91914899787</x:v>
      </x:c>
      <x:c r="AI43" s="154" t="n">
        <x:f>SUM(AI36:AI42)</x:f>
        <x:v>197024.71665930309</x:v>
      </x:c>
      <x:c r="AJ43" s="154" t="n">
        <x:f>SUM(AJ36:AJ42)</x:f>
        <x:v>204970.5252402467</x:v>
      </x:c>
      <x:c r="AK43" s="154" t="n">
        <x:f>SUM(AK36:AK42)</x:f>
        <x:v>213231.57336784524</x:v>
      </x:c>
      <x:c r="AL43" s="155" t="n">
        <x:f>SUM(AL36:AL42)</x:f>
        <x:v>221820.5743358281</x:v>
      </x:c>
    </x:row>
    <x:row r="44">
      <x:c r="A44" s="49" t="str">
        <x:v>Monthly revenue growth</x:v>
      </x:c>
      <x:c r="B44" s="50" t="str">
        <x:v>%</x:v>
      </x:c>
      <x:c r="C44" s="118" t="n">
        <x:f>0</x:f>
        <x:v>0</x:v>
      </x:c>
      <x:c r="D44" s="118" t="n">
        <x:f>IFERROR(D43/C43-1,0)</x:f>
        <x:v>0.804641670886076</x:v>
      </x:c>
      <x:c r="E44" s="118" t="n">
        <x:f>IFERROR(E43/D43-1,0)</x:f>
        <x:v>0.38284181446555987</x:v>
      </x:c>
      <x:c r="F44" s="118" t="n">
        <x:f>IFERROR(F43/E43-1,0)</x:f>
        <x:v>0.046853837059550596</x:v>
      </x:c>
      <x:c r="G44" s="118" t="n">
        <x:f>IFERROR(G43/F43-1,0)</x:f>
        <x:v>0.23375539062101347</x:v>
      </x:c>
      <x:c r="H44" s="118" t="n">
        <x:f>IFERROR(H43/G43-1,0)</x:f>
        <x:v>0.04976538832347699</x:v>
      </x:c>
      <x:c r="I44" s="118" t="n">
        <x:f>IFERROR(I43/H43-1,0)</x:f>
        <x:v>0.05019714401400743</x:v>
      </x:c>
      <x:c r="J44" s="118" t="n">
        <x:f>IFERROR(J43/I43-1,0)</x:f>
        <x:v>0.08517310995684957</x:v>
      </x:c>
      <x:c r="K44" s="118" t="n">
        <x:f>IFERROR(K43/J43-1,0)</x:f>
        <x:v>0.050959637117894196</x:v>
      </x:c>
      <x:c r="L44" s="118" t="n">
        <x:f>IFERROR(L43/K43-1,0)</x:f>
        <x:v>0.0512455835471366</x:v>
      </x:c>
      <x:c r="M44" s="118" t="n">
        <x:f>IFERROR(M43/L43-1,0)</x:f>
        <x:v>0.05149747190598797</x:v>
      </x:c>
      <x:c r="N44" s="118" t="n">
        <x:f>IFERROR(N43/M43-1,0)</x:f>
        <x:v>0.05175383209860218</x:v>
      </x:c>
      <x:c r="O44" s="118" t="n">
        <x:f>IFERROR(O43/N43-1,0)</x:f>
        <x:v>0.052048119498316225</x:v>
      </x:c>
      <x:c r="P44" s="118" t="n">
        <x:f>IFERROR(P43/O43-1,0)</x:f>
        <x:v>0.052358522413794795</x:v>
      </x:c>
      <x:c r="Q44" s="118" t="n">
        <x:f>IFERROR(Q43/P43-1,0)</x:f>
        <x:v>0.052695335542054744</x:v>
      </x:c>
      <x:c r="R44" s="118" t="n">
        <x:f>IFERROR(R43/Q43-1,0)</x:f>
        <x:v>0.053059151380082215</x:v>
      </x:c>
      <x:c r="S44" s="118" t="n">
        <x:f>IFERROR(S43/R43-1,0)</x:f>
        <x:v>0.053448507732810624</x:v>
      </x:c>
      <x:c r="T44" s="118" t="n">
        <x:f>IFERROR(T43/S43-1,0)</x:f>
        <x:v>0.05386418472982912</x:v>
      </x:c>
      <x:c r="U44" s="118" t="n">
        <x:f>IFERROR(U43/T43-1,0)</x:f>
        <x:v>0.05430633357958836</x:v>
      </x:c>
      <x:c r="V44" s="118" t="n">
        <x:f>IFERROR(V43/U43-1,0)</x:f>
        <x:v>0.051022854211355106</x:v>
      </x:c>
      <x:c r="W44" s="118" t="n">
        <x:f>IFERROR(W43/V43-1,0)</x:f>
        <x:v>0.04702895485854208</x:v>
      </x:c>
      <x:c r="X44" s="118" t="n">
        <x:f>IFERROR(X43/W43-1,0)</x:f>
        <x:v>0.04399809941058597</x:v>
      </x:c>
      <x:c r="Y44" s="118" t="n">
        <x:f>IFERROR(Y43/X43-1,0)</x:f>
        <x:v>0.04319856293276403</x:v>
      </x:c>
      <x:c r="Z44" s="118" t="n">
        <x:f>IFERROR(Z43/Y43-1,0)</x:f>
        <x:v>0.04177377307012531</x:v>
      </x:c>
      <x:c r="AA44" s="118" t="n">
        <x:f>IFERROR(AA43/Z43-1,0)</x:f>
        <x:v>0.041104397838248596</x:v>
      </x:c>
      <x:c r="AB44" s="118" t="n">
        <x:f>IFERROR(AB43/AA43-1,0)</x:f>
        <x:v>0.04108105471941448</x:v>
      </x:c>
      <x:c r="AC44" s="118" t="n">
        <x:f>IFERROR(AC43/AB43-1,0)</x:f>
        <x:v>0.04072160238264466</x:v>
      </x:c>
      <x:c r="AD44" s="118" t="n">
        <x:f>IFERROR(AD43/AC43-1,0)</x:f>
        <x:v>0.04053316646874583</x:v>
      </x:c>
      <x:c r="AE44" s="118" t="n">
        <x:f>IFERROR(AE43/AD43-1,0)</x:f>
        <x:v>0.04049190148520965</x:v>
      </x:c>
      <x:c r="AF44" s="118" t="n">
        <x:f>IFERROR(AF43/AE43-1,0)</x:f>
        <x:v>0.04045384824728293</x:v>
      </x:c>
      <x:c r="AG44" s="118" t="n">
        <x:f>IFERROR(AG43/AF43-1,0)</x:f>
        <x:v>0.040418754102477195</x:v>
      </x:c>
      <x:c r="AH44" s="118" t="n">
        <x:f>IFERROR(AH43/AG43-1,0)</x:f>
        <x:v>0.04038638667055228</x:v>
      </x:c>
      <x:c r="AI44" s="118" t="n">
        <x:f>IFERROR(AI43/AH43-1,0)</x:f>
        <x:v>0.04035653215813162</x:v>
      </x:c>
      <x:c r="AJ44" s="118" t="n">
        <x:f>IFERROR(AJ43/AI43-1,0)</x:f>
        <x:v>0.04032899382204702</x:v>
      </x:c>
      <x:c r="AK44" s="118" t="n">
        <x:f>IFERROR(AK43/AJ43-1,0)</x:f>
        <x:v>0.0403035905670619</x:v>
      </x:c>
      <x:c r="AL44" s="119" t="n">
        <x:f>IFERROR(AL43/AK43-1,0)</x:f>
        <x:v>0.04028015566515575</x:v>
      </x:c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 ht="23" customHeight="1">
      <x:c r="A46" s="416" t="str">
        <x:v>DIRECT COSTS &amp; GROSS PROFIT</x:v>
      </x:c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9" t="str">
        <x:v>Executive Briefing direct costs</x:v>
      </x:c>
      <x:c r="B47" s="50" t="str">
        <x:v>$</x:v>
      </x:c>
      <x:c r="C47" s="126" t="n">
        <x:f>C36*(1-Assumptions!$C$10)</x:f>
        <x:v>721.875</x:v>
      </x:c>
      <x:c r="D47" s="126" t="n">
        <x:f>D36*(1-Assumptions!$C$10)</x:f>
        <x:v>754.4662125000001</x:v>
      </x:c>
      <x:c r="E47" s="126" t="n">
        <x:f>E36*(1-Assumptions!$C$10)</x:f>
        <x:v>789.843671044428</x:v>
      </x:c>
      <x:c r="F47" s="126" t="n">
        <x:f>F36*(1-Assumptions!$C$10)</x:f>
        <x:v>827.5779405036361</x:v>
      </x:c>
      <x:c r="G47" s="126" t="n">
        <x:f>G36*(1-Assumptions!$C$10)</x:f>
        <x:v>867.3698198860881</x:v>
      </x:c>
      <x:c r="H47" s="126" t="n">
        <x:f>H36*(1-Assumptions!$C$10)</x:f>
        <x:v>909.5629886810578</x:v>
      </x:c>
      <x:c r="I47" s="126" t="n">
        <x:f>I36*(1-Assumptions!$C$10)</x:f>
        <x:v>954.1210171363292</x:v>
      </x:c>
      <x:c r="J47" s="126" t="n">
        <x:f>J36*(1-Assumptions!$C$10)</x:f>
        <x:v>1001.2032492614102</x:v>
      </x:c>
      <x:c r="K47" s="126" t="n">
        <x:f>K36*(1-Assumptions!$C$10)</x:f>
        <x:v>1051.0050209660023</x:v>
      </x:c>
      <x:c r="L47" s="126" t="n">
        <x:f>L36*(1-Assumptions!$C$10)</x:f>
        <x:v>1103.6916265412267</x:v>
      </x:c>
      <x:c r="M47" s="126" t="n">
        <x:f>M36*(1-Assumptions!$C$10)</x:f>
        <x:v>1159.4645523134313</x:v>
      </x:c>
      <x:c r="N47" s="126" t="n">
        <x:f>N36*(1-Assumptions!$C$10)</x:f>
        <x:v>1218.542077041962</x:v>
      </x:c>
      <x:c r="O47" s="126" t="n">
        <x:f>O36*(1-Assumptions!$C$10)</x:f>
        <x:v>1281.1609879659447</x:v>
      </x:c>
      <x:c r="P47" s="126" t="n">
        <x:f>P36*(1-Assumptions!$C$10)</x:f>
        <x:v>1347.578468058688</x:v>
      </x:c>
      <x:c r="Q47" s="126" t="n">
        <x:f>Q36*(1-Assumptions!$C$10)</x:f>
        <x:v>1418.0741123429993</x:v>
      </x:c>
      <x:c r="R47" s="126" t="n">
        <x:f>R36*(1-Assumptions!$C$10)</x:f>
        <x:v>1492.9522224035418</x:v>
      </x:c>
      <x:c r="S47" s="126" t="n">
        <x:f>S36*(1-Assumptions!$C$10)</x:f>
        <x:v>1572.5443516829885</x:v>
      </x:c>
      <x:c r="T47" s="126" t="n">
        <x:f>T36*(1-Assumptions!$C$10)</x:f>
        <x:v>1657.212145440484</x:v>
      </x:c>
      <x:c r="U47" s="126" t="n">
        <x:f>U36*(1-Assumptions!$C$10)</x:f>
        <x:v>1747.3505197124753</x:v>
      </x:c>
      <x:c r="V47" s="126" t="n">
        <x:f>V36*(1-Assumptions!$C$10)</x:f>
        <x:v>1825.0580987045207</x:v>
      </x:c>
      <x:c r="W47" s="126" t="n">
        <x:f>W36*(1-Assumptions!$C$10)</x:f>
        <x:v>1898.0604226527014</x:v>
      </x:c>
      <x:c r="X47" s="126" t="n">
        <x:f>X36*(1-Assumptions!$C$10)</x:f>
        <x:v>1973.9828395588095</x:v>
      </x:c>
      <x:c r="Y47" s="126" t="n">
        <x:f>Y36*(1-Assumptions!$C$10)</x:f>
        <x:v>2052.9421531411617</x:v>
      </x:c>
      <x:c r="Z47" s="126" t="n">
        <x:f>Z36*(1-Assumptions!$C$10)</x:f>
        <x:v>2135.0598392668085</x:v>
      </x:c>
      <x:c r="AA47" s="126" t="n">
        <x:f>AA36*(1-Assumptions!$C$10)</x:f>
        <x:v>2220.4622328374808</x:v>
      </x:c>
      <x:c r="AB47" s="126" t="n">
        <x:f>AB36*(1-Assumptions!$C$10)</x:f>
        <x:v>2309.2807221509806</x:v>
      </x:c>
      <x:c r="AC47" s="126" t="n">
        <x:f>AC36*(1-Assumptions!$C$10)</x:f>
        <x:v>2401.65195103702</x:v>
      </x:c>
      <x:c r="AD47" s="126" t="n">
        <x:f>AD36*(1-Assumptions!$C$10)</x:f>
        <x:v>2497.7180290785004</x:v>
      </x:c>
      <x:c r="AE47" s="126" t="n">
        <x:f>AE36*(1-Assumptions!$C$10)</x:f>
        <x:v>2597.6267502416404</x:v>
      </x:c>
      <x:c r="AF47" s="126" t="n">
        <x:f>AF36*(1-Assumptions!$C$10)</x:f>
        <x:v>2701.5318202513067</x:v>
      </x:c>
      <x:c r="AG47" s="126" t="n">
        <x:f>AG36*(1-Assumptions!$C$10)</x:f>
        <x:v>2809.593093061359</x:v>
      </x:c>
      <x:c r="AH47" s="126" t="n">
        <x:f>AH36*(1-Assumptions!$C$10)</x:f>
        <x:v>2921.9768167838133</x:v>
      </x:c>
      <x:c r="AI47" s="126" t="n">
        <x:f>AI36*(1-Assumptions!$C$10)</x:f>
        <x:v>3038.855889455166</x:v>
      </x:c>
      <x:c r="AJ47" s="126" t="n">
        <x:f>AJ36*(1-Assumptions!$C$10)</x:f>
        <x:v>3160.4101250333733</x:v>
      </x:c>
      <x:c r="AK47" s="126" t="n">
        <x:f>AK36*(1-Assumptions!$C$10)</x:f>
        <x:v>3286.8265300347084</x:v>
      </x:c>
      <x:c r="AL47" s="127" t="n">
        <x:f>AL36*(1-Assumptions!$C$10)</x:f>
        <x:v>3418.2995912360966</x:v>
      </x:c>
    </x:row>
    <x:row r="48">
      <x:c r="A48" s="49" t="str">
        <x:v>MasterClass direct costs</x:v>
      </x:c>
      <x:c r="B48" s="50" t="str">
        <x:v>$</x:v>
      </x:c>
      <x:c r="C48" s="126" t="n">
        <x:f>C37*(1-Assumptions!$C$12)</x:f>
        <x:v>4021.875000000002</x:v>
      </x:c>
      <x:c r="D48" s="126" t="n">
        <x:f>D37*(1-Assumptions!$C$12)</x:f>
        <x:v>4203.4546125000015</x:v>
      </x:c>
      <x:c r="E48" s="126" t="n">
        <x:f>E37*(1-Assumptions!$C$12)</x:f>
        <x:v>4400.557595818957</x:v>
      </x:c>
      <x:c r="F48" s="126" t="n">
        <x:f>F37*(1-Assumptions!$C$12)</x:f>
        <x:v>4610.791382805974</x:v>
      </x:c>
      <x:c r="G48" s="126" t="n">
        <x:f>G37*(1-Assumptions!$C$12)</x:f>
        <x:v>4832.488996508207</x:v>
      </x:c>
      <x:c r="H48" s="126" t="n">
        <x:f>H37*(1-Assumptions!$C$12)</x:f>
        <x:v>5067.565222651609</x:v>
      </x:c>
      <x:c r="I48" s="126" t="n">
        <x:f>I37*(1-Assumptions!$C$12)</x:f>
        <x:v>5315.817095473835</x:v>
      </x:c>
      <x:c r="J48" s="126" t="n">
        <x:f>J37*(1-Assumptions!$C$12)</x:f>
        <x:v>5578.132388742144</x:v>
      </x:c>
      <x:c r="K48" s="126" t="n">
        <x:f>K37*(1-Assumptions!$C$12)</x:f>
        <x:v>5855.59940252487</x:v>
      </x:c>
      <x:c r="L48" s="126" t="n">
        <x:f>L37*(1-Assumptions!$C$12)</x:f>
        <x:v>6149.139062158266</x:v>
      </x:c>
      <x:c r="M48" s="126" t="n">
        <x:f>M37*(1-Assumptions!$C$12)</x:f>
        <x:v>6459.873934317691</x:v>
      </x:c>
      <x:c r="N48" s="126" t="n">
        <x:f>N37*(1-Assumptions!$C$12)</x:f>
        <x:v>6789.020143519505</x:v>
      </x:c>
      <x:c r="O48" s="126" t="n">
        <x:f>O37*(1-Assumptions!$C$12)</x:f>
        <x:v>7137.896932953122</x:v>
      </x:c>
      <x:c r="P48" s="126" t="n">
        <x:f>P37*(1-Assumptions!$C$12)</x:f>
        <x:v>7507.93717918412</x:v>
      </x:c>
      <x:c r="Q48" s="126" t="n">
        <x:f>Q37*(1-Assumptions!$C$12)</x:f>
        <x:v>7900.698625910999</x:v>
      </x:c>
      <x:c r="R48" s="126" t="n">
        <x:f>R37*(1-Assumptions!$C$12)</x:f>
        <x:v>8317.876667676877</x:v>
      </x:c>
      <x:c r="S48" s="126" t="n">
        <x:f>S37*(1-Assumptions!$C$12)</x:f>
        <x:v>8761.318530805225</x:v>
      </x:c>
      <x:c r="T48" s="126" t="n">
        <x:f>T37*(1-Assumptions!$C$12)</x:f>
        <x:v>9233.039096025555</x:v>
      </x:c>
      <x:c r="U48" s="126" t="n">
        <x:f>U37*(1-Assumptions!$C$12)</x:f>
        <x:v>9735.23860982665</x:v>
      </x:c>
      <x:c r="V48" s="126" t="n">
        <x:f>V37*(1-Assumptions!$C$12)</x:f>
        <x:v>10168.180835639474</x:v>
      </x:c>
      <x:c r="W48" s="126" t="n">
        <x:f>W37*(1-Assumptions!$C$12)</x:f>
        <x:v>10574.908069065053</x:v>
      </x:c>
      <x:c r="X48" s="126" t="n">
        <x:f>X37*(1-Assumptions!$C$12)</x:f>
        <x:v>10997.904391827655</x:v>
      </x:c>
      <x:c r="Y48" s="126" t="n">
        <x:f>Y37*(1-Assumptions!$C$12)</x:f>
        <x:v>11437.820567500763</x:v>
      </x:c>
      <x:c r="Z48" s="126" t="n">
        <x:f>Z37*(1-Assumptions!$C$12)</x:f>
        <x:v>11895.333390200793</x:v>
      </x:c>
      <x:c r="AA48" s="126" t="n">
        <x:f>AA37*(1-Assumptions!$C$12)</x:f>
        <x:v>12371.146725808827</x:v>
      </x:c>
      <x:c r="AB48" s="126" t="n">
        <x:f>AB37*(1-Assumptions!$C$12)</x:f>
        <x:v>12865.99259484118</x:v>
      </x:c>
      <x:c r="AC48" s="126" t="n">
        <x:f>AC37*(1-Assumptions!$C$12)</x:f>
        <x:v>13380.63229863483</x:v>
      </x:c>
      <x:c r="AD48" s="126" t="n">
        <x:f>AD37*(1-Assumptions!$C$12)</x:f>
        <x:v>13915.85759058022</x:v>
      </x:c>
      <x:c r="AE48" s="126" t="n">
        <x:f>AE37*(1-Assumptions!$C$12)</x:f>
        <x:v>14472.491894203431</x:v>
      </x:c>
      <x:c r="AF48" s="126" t="n">
        <x:f>AF37*(1-Assumptions!$C$12)</x:f>
        <x:v>15051.39156997157</x:v>
      </x:c>
      <x:c r="AG48" s="126" t="n">
        <x:f>AG37*(1-Assumptions!$C$12)</x:f>
        <x:v>15653.447232770432</x:v>
      </x:c>
      <x:c r="AH48" s="126" t="n">
        <x:f>AH37*(1-Assumptions!$C$12)</x:f>
        <x:v>16279.585122081253</x:v>
      </x:c>
      <x:c r="AI48" s="126" t="n">
        <x:f>AI37*(1-Assumptions!$C$12)</x:f>
        <x:v>16930.7685269645</x:v>
      </x:c>
      <x:c r="AJ48" s="126" t="n">
        <x:f>AJ37*(1-Assumptions!$C$12)</x:f>
        <x:v>17607.999268043084</x:v>
      </x:c>
      <x:c r="AK48" s="126" t="n">
        <x:f>AK37*(1-Assumptions!$C$12)</x:f>
        <x:v>18312.31923876481</x:v>
      </x:c>
      <x:c r="AL48" s="127" t="n">
        <x:f>AL37*(1-Assumptions!$C$12)</x:f>
        <x:v>19044.8120083154</x:v>
      </x:c>
    </x:row>
    <x:row r="49">
      <x:c r="A49" s="49" t="str">
        <x:v>Design Lab direct costs</x:v>
      </x:c>
      <x:c r="B49" s="50" t="str">
        <x:v>$</x:v>
      </x:c>
      <x:c r="C49" s="126" t="n">
        <x:f>C38*(1-Assumptions!$C$14)</x:f>
        <x:v>0</x:v>
      </x:c>
      <x:c r="D49" s="126" t="n">
        <x:f>D38*(1-Assumptions!$C$14)</x:f>
        <x:v>4331.25</x:v>
      </x:c>
      <x:c r="E49" s="126" t="n">
        <x:f>E38*(1-Assumptions!$C$14)</x:f>
        <x:v>4526.797275000001</x:v>
      </x:c>
      <x:c r="F49" s="126" t="n">
        <x:f>F38*(1-Assumptions!$C$14)</x:f>
        <x:v>4739.062026266568</x:v>
      </x:c>
      <x:c r="G49" s="126" t="n">
        <x:f>G38*(1-Assumptions!$C$14)</x:f>
        <x:v>4965.467643021817</x:v>
      </x:c>
      <x:c r="H49" s="126" t="n">
        <x:f>H38*(1-Assumptions!$C$14)</x:f>
        <x:v>5204.2189193165295</x:v>
      </x:c>
      <x:c r="I49" s="126" t="n">
        <x:f>I38*(1-Assumptions!$C$14)</x:f>
        <x:v>5457.377932086347</x:v>
      </x:c>
      <x:c r="J49" s="126" t="n">
        <x:f>J38*(1-Assumptions!$C$14)</x:f>
        <x:v>5724.726102817975</x:v>
      </x:c>
      <x:c r="K49" s="126" t="n">
        <x:f>K38*(1-Assumptions!$C$14)</x:f>
        <x:v>6007.219495568461</x:v>
      </x:c>
      <x:c r="L49" s="126" t="n">
        <x:f>L38*(1-Assumptions!$C$14)</x:f>
        <x:v>6306.030125796014</x:v>
      </x:c>
      <x:c r="M49" s="126" t="n">
        <x:f>M38*(1-Assumptions!$C$14)</x:f>
        <x:v>6622.14975924736</x:v>
      </x:c>
      <x:c r="N49" s="126" t="n">
        <x:f>N38*(1-Assumptions!$C$14)</x:f>
        <x:v>6956.787313880589</x:v>
      </x:c>
      <x:c r="O49" s="126" t="n">
        <x:f>O38*(1-Assumptions!$C$14)</x:f>
        <x:v>7311.252462251772</x:v>
      </x:c>
      <x:c r="P49" s="126" t="n">
        <x:f>P38*(1-Assumptions!$C$14)</x:f>
        <x:v>7686.965927795668</x:v>
      </x:c>
      <x:c r="Q49" s="126" t="n">
        <x:f>Q38*(1-Assumptions!$C$14)</x:f>
        <x:v>8085.470808352127</x:v>
      </x:c>
      <x:c r="R49" s="126" t="n">
        <x:f>R38*(1-Assumptions!$C$14)</x:f>
        <x:v>8508.444674057997</x:v>
      </x:c>
      <x:c r="S49" s="126" t="n">
        <x:f>S38*(1-Assumptions!$C$14)</x:f>
        <x:v>8957.713334421253</x:v>
      </x:c>
      <x:c r="T49" s="126" t="n">
        <x:f>T38*(1-Assumptions!$C$14)</x:f>
        <x:v>9435.266110097931</x:v>
      </x:c>
      <x:c r="U49" s="126" t="n">
        <x:f>U38*(1-Assumptions!$C$14)</x:f>
        <x:v>9943.272872642903</x:v>
      </x:c>
      <x:c r="V49" s="126" t="n">
        <x:f>V38*(1-Assumptions!$C$14)</x:f>
        <x:v>10484.103118274852</x:v>
      </x:c>
      <x:c r="W49" s="126" t="n">
        <x:f>W38*(1-Assumptions!$C$14)</x:f>
        <x:v>10950.348592227123</x:v>
      </x:c>
      <x:c r="X49" s="126" t="n">
        <x:f>X38*(1-Assumptions!$C$14)</x:f>
        <x:v>11388.362535916209</x:v>
      </x:c>
      <x:c r="Y49" s="126" t="n">
        <x:f>Y38*(1-Assumptions!$C$14)</x:f>
        <x:v>11843.897037352857</x:v>
      </x:c>
      <x:c r="Z49" s="126" t="n">
        <x:f>Z38*(1-Assumptions!$C$14)</x:f>
        <x:v>12317.65291884697</x:v>
      </x:c>
      <x:c r="AA49" s="126" t="n">
        <x:f>AA38*(1-Assumptions!$C$14)</x:f>
        <x:v>12810.359035600854</x:v>
      </x:c>
      <x:c r="AB49" s="126" t="n">
        <x:f>AB38*(1-Assumptions!$C$14)</x:f>
        <x:v>13322.773397024886</x:v>
      </x:c>
      <x:c r="AC49" s="126" t="n">
        <x:f>AC38*(1-Assumptions!$C$14)</x:f>
        <x:v>13855.684332905881</x:v>
      </x:c>
      <x:c r="AD49" s="126" t="n">
        <x:f>AD38*(1-Assumptions!$C$14)</x:f>
        <x:v>14409.91170622212</x:v>
      </x:c>
      <x:c r="AE49" s="126" t="n">
        <x:f>AE38*(1-Assumptions!$C$14)</x:f>
        <x:v>14986.308174471003</x:v>
      </x:c>
      <x:c r="AF49" s="126" t="n">
        <x:f>AF38*(1-Assumptions!$C$14)</x:f>
        <x:v>15585.760501449844</x:v>
      </x:c>
      <x:c r="AG49" s="126" t="n">
        <x:f>AG38*(1-Assumptions!$C$14)</x:f>
        <x:v>16209.19092150784</x:v>
      </x:c>
      <x:c r="AH49" s="126" t="n">
        <x:f>AH38*(1-Assumptions!$C$14)</x:f>
        <x:v>16857.558558368153</x:v>
      </x:c>
      <x:c r="AI49" s="126" t="n">
        <x:f>AI38*(1-Assumptions!$C$14)</x:f>
        <x:v>17531.86090070288</x:v>
      </x:c>
      <x:c r="AJ49" s="126" t="n">
        <x:f>AJ38*(1-Assumptions!$C$14)</x:f>
        <x:v>18233.135336730993</x:v>
      </x:c>
      <x:c r="AK49" s="126" t="n">
        <x:f>AK38*(1-Assumptions!$C$14)</x:f>
        <x:v>18962.46075020024</x:v>
      </x:c>
      <x:c r="AL49" s="127" t="n">
        <x:f>AL38*(1-Assumptions!$C$14)</x:f>
        <x:v>19720.959180208247</x:v>
      </x:c>
    </x:row>
    <x:row r="50">
      <x:c r="A50" s="49" t="str">
        <x:v>Sprint direct costs</x:v>
      </x:c>
      <x:c r="B50" s="50" t="str">
        <x:v>$</x:v>
      </x:c>
      <x:c r="C50" s="126" t="n">
        <x:f>C39*(1-Assumptions!$C$16)</x:f>
        <x:v>0</x:v>
      </x:c>
      <x:c r="D50" s="126" t="n">
        <x:f>D39*(1-Assumptions!$C$16)</x:f>
        <x:v>0</x:v>
      </x:c>
      <x:c r="E50" s="126" t="n">
        <x:f>E39*(1-Assumptions!$C$16)</x:f>
        <x:v>3960.000000000002</x:v>
      </x:c>
      <x:c r="F50" s="126" t="n">
        <x:f>F39*(1-Assumptions!$C$16)</x:f>
        <x:v>4138.786080000001</x:v>
      </x:c>
      <x:c r="G50" s="126" t="n">
        <x:f>G39*(1-Assumptions!$C$16)</x:f>
        <x:v>4332.856709729434</x:v>
      </x:c>
      <x:c r="H50" s="126" t="n">
        <x:f>H39*(1-Assumptions!$C$16)</x:f>
        <x:v>4539.856130762805</x:v>
      </x:c>
      <x:c r="I50" s="126" t="n">
        <x:f>I39*(1-Assumptions!$C$16)</x:f>
        <x:v>4758.143011946541</x:v>
      </x:c>
      <x:c r="J50" s="126" t="n">
        <x:f>J39*(1-Assumptions!$C$16)</x:f>
        <x:v>4989.60268076466</x:v>
      </x:c>
      <x:c r="K50" s="126" t="n">
        <x:f>K39*(1-Assumptions!$C$16)</x:f>
        <x:v>5234.035294005007</x:v>
      </x:c>
      <x:c r="L50" s="126" t="n">
        <x:f>L39*(1-Assumptions!$C$16)</x:f>
        <x:v>5492.314967376879</x:v>
      </x:c>
      <x:c r="M50" s="126" t="n">
        <x:f>M39*(1-Assumptions!$C$16)</x:f>
        <x:v>5765.513257870642</x:v>
      </x:c>
      <x:c r="N50" s="126" t="n">
        <x:f>N39*(1-Assumptions!$C$16)</x:f>
        <x:v>6054.536922740444</x:v>
      </x:c>
      <x:c r="O50" s="126" t="n">
        <x:f>O39*(1-Assumptions!$C$16)</x:f>
        <x:v>6360.491258405112</x:v>
      </x:c>
      <x:c r="P50" s="126" t="n">
        <x:f>P39*(1-Assumptions!$C$16)</x:f>
        <x:v>6684.5736797730515</x:v>
      </x:c>
      <x:c r="Q50" s="126" t="n">
        <x:f>Q39*(1-Assumptions!$C$16)</x:f>
        <x:v>7028.083133984612</x:v>
      </x:c>
      <x:c r="R50" s="126" t="n">
        <x:f>R39*(1-Assumptions!$C$16)</x:f>
        <x:v>7392.430453350519</x:v>
      </x:c>
      <x:c r="S50" s="126" t="n">
        <x:f>S39*(1-Assumptions!$C$16)</x:f>
        <x:v>7779.149416281599</x:v>
      </x:c>
      <x:c r="T50" s="126" t="n">
        <x:f>T39*(1-Assumptions!$C$16)</x:f>
        <x:v>8189.909334328003</x:v>
      </x:c>
      <x:c r="U50" s="126" t="n">
        <x:f>U39*(1-Assumptions!$C$16)</x:f>
        <x:v>8626.52901494668</x:v>
      </x:c>
      <x:c r="V50" s="126" t="n">
        <x:f>V39*(1-Assumptions!$C$16)</x:f>
        <x:v>9090.992340702085</x:v>
      </x:c>
      <x:c r="W50" s="126" t="n">
        <x:f>W39*(1-Assumptions!$C$16)</x:f>
        <x:v>9585.465708137008</x:v>
      </x:c>
      <x:c r="X50" s="126" t="n">
        <x:f>X39*(1-Assumptions!$C$16)</x:f>
        <x:v>10011.747284321942</x:v>
      </x:c>
      <x:c r="Y50" s="126" t="n">
        <x:f>Y39*(1-Assumptions!$C$16)</x:f>
        <x:v>10412.217175694821</x:v>
      </x:c>
      <x:c r="Z50" s="126" t="n">
        <x:f>Z39*(1-Assumptions!$C$16)</x:f>
        <x:v>10828.705862722614</x:v>
      </x:c>
      <x:c r="AA50" s="126" t="n">
        <x:f>AA39*(1-Assumptions!$C$16)</x:f>
        <x:v>11261.854097231517</x:v>
      </x:c>
      <x:c r="AB50" s="126" t="n">
        <x:f>AB39*(1-Assumptions!$C$16)</x:f>
        <x:v>11712.32826112078</x:v>
      </x:c>
      <x:c r="AC50" s="126" t="n">
        <x:f>AC39*(1-Assumptions!$C$16)</x:f>
        <x:v>12180.82139156561</x:v>
      </x:c>
      <x:c r="AD50" s="126" t="n">
        <x:f>AD39*(1-Assumptions!$C$16)</x:f>
        <x:v>12668.05424722824</x:v>
      </x:c>
      <x:c r="AE50" s="126" t="n">
        <x:f>AE39*(1-Assumptions!$C$16)</x:f>
        <x:v>13174.77641711737</x:v>
      </x:c>
      <x:c r="AF50" s="126" t="n">
        <x:f>AF39*(1-Assumptions!$C$16)</x:f>
        <x:v>13701.767473802065</x:v>
      </x:c>
      <x:c r="AG50" s="126" t="n">
        <x:f>AG39*(1-Assumptions!$C$16)</x:f>
        <x:v>14249.838172754145</x:v>
      </x:c>
      <x:c r="AH50" s="126" t="n">
        <x:f>AH39*(1-Assumptions!$C$16)</x:f>
        <x:v>14819.831699664312</x:v>
      </x:c>
      <x:c r="AI50" s="126" t="n">
        <x:f>AI39*(1-Assumptions!$C$16)</x:f>
        <x:v>15412.624967650883</x:v>
      </x:c>
      <x:c r="AJ50" s="126" t="n">
        <x:f>AJ39*(1-Assumptions!$C$16)</x:f>
        <x:v>16029.12996635692</x:v>
      </x:c>
      <x:c r="AK50" s="126" t="n">
        <x:f>AK39*(1-Assumptions!$C$16)</x:f>
        <x:v>16670.295165011197</x:v>
      </x:c>
      <x:c r="AL50" s="127" t="n">
        <x:f>AL39*(1-Assumptions!$C$16)</x:f>
        <x:v>17337.10697161165</x:v>
      </x:c>
    </x:row>
    <x:row r="51">
      <x:c r="A51" s="49" t="str">
        <x:v>Proof Run direct costs</x:v>
      </x:c>
      <x:c r="B51" s="50" t="str">
        <x:v>$</x:v>
      </x:c>
      <x:c r="C51" s="126" t="n">
        <x:f>C40*(1-Assumptions!$C$18)</x:f>
        <x:v>0</x:v>
      </x:c>
      <x:c r="D51" s="126" t="n">
        <x:f>D40*(1-Assumptions!$C$18)</x:f>
        <x:v>0</x:v>
      </x:c>
      <x:c r="E51" s="126" t="n">
        <x:f>E40*(1-Assumptions!$C$18)</x:f>
        <x:v>0</x:v>
      </x:c>
      <x:c r="F51" s="126" t="n">
        <x:f>F40*(1-Assumptions!$C$18)</x:f>
        <x:v>0</x:v>
      </x:c>
      <x:c r="G51" s="126" t="n">
        <x:f>G40*(1-Assumptions!$C$18)</x:f>
        <x:v>3564.0000000000014</x:v>
      </x:c>
      <x:c r="H51" s="126" t="n">
        <x:f>H40*(1-Assumptions!$C$18)</x:f>
        <x:v>3724.9074720000003</x:v>
      </x:c>
      <x:c r="I51" s="126" t="n">
        <x:f>I40*(1-Assumptions!$C$18)</x:f>
        <x:v>3899.5710387564905</x:v>
      </x:c>
      <x:c r="J51" s="126" t="n">
        <x:f>J40*(1-Assumptions!$C$18)</x:f>
        <x:v>4085.870517686524</x:v>
      </x:c>
      <x:c r="K51" s="126" t="n">
        <x:f>K40*(1-Assumptions!$C$18)</x:f>
        <x:v>4282.328710751887</x:v>
      </x:c>
      <x:c r="L51" s="126" t="n">
        <x:f>L40*(1-Assumptions!$C$18)</x:f>
        <x:v>4490.642412688194</x:v>
      </x:c>
      <x:c r="M51" s="126" t="n">
        <x:f>M40*(1-Assumptions!$C$18)</x:f>
        <x:v>4710.631764604505</x:v>
      </x:c>
      <x:c r="N51" s="126" t="n">
        <x:f>N40*(1-Assumptions!$C$18)</x:f>
        <x:v>4943.083470639191</x:v>
      </x:c>
      <x:c r="O51" s="126" t="n">
        <x:f>O40*(1-Assumptions!$C$18)</x:f>
        <x:v>5188.961932083577</x:v>
      </x:c>
      <x:c r="P51" s="126" t="n">
        <x:f>P40*(1-Assumptions!$C$18)</x:f>
        <x:v>5449.083230466399</x:v>
      </x:c>
      <x:c r="Q51" s="126" t="n">
        <x:f>Q40*(1-Assumptions!$C$18)</x:f>
        <x:v>5724.4421325646</x:v>
      </x:c>
      <x:c r="R51" s="126" t="n">
        <x:f>R40*(1-Assumptions!$C$18)</x:f>
        <x:v>6016.116311795745</x:v>
      </x:c>
      <x:c r="S51" s="126" t="n">
        <x:f>S40*(1-Assumptions!$C$18)</x:f>
        <x:v>6325.274820586151</x:v>
      </x:c>
      <x:c r="T51" s="126" t="n">
        <x:f>T40*(1-Assumptions!$C$18)</x:f>
        <x:v>6653.187408015466</x:v>
      </x:c>
      <x:c r="U51" s="126" t="n">
        <x:f>U40*(1-Assumptions!$C$18)</x:f>
        <x:v>7001.234474653439</x:v>
      </x:c>
      <x:c r="V51" s="126" t="n">
        <x:f>V40*(1-Assumptions!$C$18)</x:f>
        <x:v>7370.9184008952025</x:v>
      </x:c>
      <x:c r="W51" s="126" t="n">
        <x:f>W40*(1-Assumptions!$C$18)</x:f>
        <x:v>7763.876113452011</x:v>
      </x:c>
      <x:c r="X51" s="126" t="n">
        <x:f>X40*(1-Assumptions!$C$18)</x:f>
        <x:v>8181.8931066318755</x:v>
      </x:c>
      <x:c r="Y51" s="126" t="n">
        <x:f>Y40*(1-Assumptions!$C$18)</x:f>
        <x:v>8626.919137323306</x:v>
      </x:c>
      <x:c r="Z51" s="126" t="n">
        <x:f>Z40*(1-Assumptions!$C$18)</x:f>
        <x:v>9010.572555889747</x:v>
      </x:c>
      <x:c r="AA51" s="126" t="n">
        <x:f>AA40*(1-Assumptions!$C$18)</x:f>
        <x:v>9370.995458125339</x:v>
      </x:c>
      <x:c r="AB51" s="126" t="n">
        <x:f>AB40*(1-Assumptions!$C$18)</x:f>
        <x:v>9745.835276450352</x:v>
      </x:c>
      <x:c r="AC51" s="126" t="n">
        <x:f>AC40*(1-Assumptions!$C$18)</x:f>
        <x:v>10135.668687508363</x:v>
      </x:c>
      <x:c r="AD51" s="126" t="n">
        <x:f>AD40*(1-Assumptions!$C$18)</x:f>
        <x:v>10541.095435008701</x:v>
      </x:c>
      <x:c r="AE51" s="126" t="n">
        <x:f>AE40*(1-Assumptions!$C$18)</x:f>
        <x:v>10962.739252409048</x:v>
      </x:c>
      <x:c r="AF51" s="126" t="n">
        <x:f>AF40*(1-Assumptions!$C$18)</x:f>
        <x:v>11401.248822505415</x:v>
      </x:c>
      <x:c r="AG51" s="126" t="n">
        <x:f>AG40*(1-Assumptions!$C$18)</x:f>
        <x:v>11857.298775405632</x:v>
      </x:c>
      <x:c r="AH51" s="126" t="n">
        <x:f>AH40*(1-Assumptions!$C$18)</x:f>
        <x:v>12331.590726421855</x:v>
      </x:c>
      <x:c r="AI51" s="126" t="n">
        <x:f>AI40*(1-Assumptions!$C$18)</x:f>
        <x:v>12824.85435547873</x:v>
      </x:c>
      <x:c r="AJ51" s="126" t="n">
        <x:f>AJ40*(1-Assumptions!$C$18)</x:f>
        <x:v>13337.848529697882</x:v>
      </x:c>
      <x:c r="AK51" s="126" t="n">
        <x:f>AK40*(1-Assumptions!$C$18)</x:f>
        <x:v>13871.362470885795</x:v>
      </x:c>
      <x:c r="AL51" s="127" t="n">
        <x:f>AL40*(1-Assumptions!$C$18)</x:f>
        <x:v>14426.216969721228</x:v>
      </x:c>
    </x:row>
    <x:row r="52">
      <x:c r="A52" s="49" t="str">
        <x:v>Enterprise direct costs</x:v>
      </x:c>
      <x:c r="B52" s="50" t="str">
        <x:v>$</x:v>
      </x:c>
      <x:c r="C52" s="126" t="n">
        <x:f>C41*(1-Assumptions!$C$20)</x:f>
        <x:v>0</x:v>
      </x:c>
      <x:c r="D52" s="126" t="n">
        <x:f>D41*(1-Assumptions!$C$20)</x:f>
        <x:v>0</x:v>
      </x:c>
      <x:c r="E52" s="126" t="n">
        <x:f>E41*(1-Assumptions!$C$20)</x:f>
        <x:v>0</x:v>
      </x:c>
      <x:c r="F52" s="126" t="n">
        <x:f>F41*(1-Assumptions!$C$20)</x:f>
        <x:v>0</x:v>
      </x:c>
      <x:c r="G52" s="126" t="n">
        <x:f>G41*(1-Assumptions!$C$20)</x:f>
        <x:v>0</x:v>
      </x:c>
      <x:c r="H52" s="126" t="n">
        <x:f>H41*(1-Assumptions!$C$20)</x:f>
        <x:v>0</x:v>
      </x:c>
      <x:c r="I52" s="126" t="n">
        <x:f>I41*(1-Assumptions!$C$20)</x:f>
        <x:v>0</x:v>
      </x:c>
      <x:c r="J52" s="126" t="n">
        <x:f>J41*(1-Assumptions!$C$20)</x:f>
        <x:v>990.0000000000005</x:v>
      </x:c>
      <x:c r="K52" s="126" t="n">
        <x:f>K41*(1-Assumptions!$C$20)</x:f>
        <x:v>1034.6965200000002</x:v>
      </x:c>
      <x:c r="L52" s="126" t="n">
        <x:f>L41*(1-Assumptions!$C$20)</x:f>
        <x:v>1083.2141774323586</x:v>
      </x:c>
      <x:c r="M52" s="126" t="n">
        <x:f>M41*(1-Assumptions!$C$20)</x:f>
        <x:v>1134.9640326907013</x:v>
      </x:c>
      <x:c r="N52" s="126" t="n">
        <x:f>N41*(1-Assumptions!$C$20)</x:f>
        <x:v>1189.5357529866355</x:v>
      </x:c>
      <x:c r="O52" s="126" t="n">
        <x:f>O41*(1-Assumptions!$C$20)</x:f>
        <x:v>1247.4006701911653</x:v>
      </x:c>
      <x:c r="P52" s="126" t="n">
        <x:f>P41*(1-Assumptions!$C$20)</x:f>
        <x:v>1308.5088235012518</x:v>
      </x:c>
      <x:c r="Q52" s="126" t="n">
        <x:f>Q41*(1-Assumptions!$C$20)</x:f>
        <x:v>1373.07874184422</x:v>
      </x:c>
      <x:c r="R52" s="126" t="n">
        <x:f>R41*(1-Assumptions!$C$20)</x:f>
        <x:v>1441.3783144676604</x:v>
      </x:c>
      <x:c r="S52" s="126" t="n">
        <x:f>S41*(1-Assumptions!$C$20)</x:f>
        <x:v>1513.6342306851113</x:v>
      </x:c>
      <x:c r="T52" s="126" t="n">
        <x:f>T41*(1-Assumptions!$C$20)</x:f>
        <x:v>1590.122814601278</x:v>
      </x:c>
      <x:c r="U52" s="126" t="n">
        <x:f>U41*(1-Assumptions!$C$20)</x:f>
        <x:v>1671.1434199432629</x:v>
      </x:c>
      <x:c r="V52" s="126" t="n">
        <x:f>V41*(1-Assumptions!$C$20)</x:f>
        <x:v>1757.0207834961532</x:v>
      </x:c>
      <x:c r="W52" s="126" t="n">
        <x:f>W41*(1-Assumptions!$C$20)</x:f>
        <x:v>1848.1076133376298</x:v>
      </x:c>
      <x:c r="X52" s="126" t="n">
        <x:f>X41*(1-Assumptions!$C$20)</x:f>
        <x:v>1944.7873540704002</x:v>
      </x:c>
      <x:c r="Y52" s="126" t="n">
        <x:f>Y41*(1-Assumptions!$C$20)</x:f>
        <x:v>2047.4773335820007</x:v>
      </x:c>
      <x:c r="Z52" s="126" t="n">
        <x:f>Z41*(1-Assumptions!$C$20)</x:f>
        <x:v>2156.6322537366705</x:v>
      </x:c>
      <x:c r="AA52" s="126" t="n">
        <x:f>AA41*(1-Assumptions!$C$20)</x:f>
        <x:v>2272.7480851755213</x:v>
      </x:c>
      <x:c r="AB52" s="126" t="n">
        <x:f>AB41*(1-Assumptions!$C$20)</x:f>
        <x:v>2396.366427034252</x:v>
      </x:c>
      <x:c r="AC52" s="126" t="n">
        <x:f>AC41*(1-Assumptions!$C$20)</x:f>
        <x:v>2502.9368210804855</x:v>
      </x:c>
      <x:c r="AD52" s="126" t="n">
        <x:f>AD41*(1-Assumptions!$C$20)</x:f>
        <x:v>2603.0542939237052</x:v>
      </x:c>
      <x:c r="AE52" s="126" t="n">
        <x:f>AE41*(1-Assumptions!$C$20)</x:f>
        <x:v>2707.176465680654</x:v>
      </x:c>
      <x:c r="AF52" s="126" t="n">
        <x:f>AF41*(1-Assumptions!$C$20)</x:f>
        <x:v>2815.463524307879</x:v>
      </x:c>
      <x:c r="AG52" s="126" t="n">
        <x:f>AG41*(1-Assumptions!$C$20)</x:f>
        <x:v>2928.082065280195</x:v>
      </x:c>
      <x:c r="AH52" s="126" t="n">
        <x:f>AH41*(1-Assumptions!$C$20)</x:f>
        <x:v>3045.2053478914027</x:v>
      </x:c>
      <x:c r="AI52" s="126" t="n">
        <x:f>AI41*(1-Assumptions!$C$20)</x:f>
        <x:v>3167.01356180706</x:v>
      </x:c>
      <x:c r="AJ52" s="126" t="n">
        <x:f>AJ41*(1-Assumptions!$C$20)</x:f>
        <x:v>3293.694104279343</x:v>
      </x:c>
      <x:c r="AK52" s="126" t="n">
        <x:f>AK41*(1-Assumptions!$C$20)</x:f>
        <x:v>3425.441868450516</x:v>
      </x:c>
      <x:c r="AL52" s="127" t="n">
        <x:f>AL41*(1-Assumptions!$C$20)</x:f>
        <x:v>3562.4595431885364</x:v>
      </x:c>
    </x:row>
    <x:row r="53">
      <x:c r="A53" s="49" t="str">
        <x:v>Proof OS direct costs</x:v>
      </x:c>
      <x:c r="B53" s="50" t="str">
        <x:v>$</x:v>
      </x:c>
      <x:c r="C53" s="126" t="n">
        <x:f>C42*(1-Assumptions!$C$22)</x:f>
        <x:v>0</x:v>
      </x:c>
      <x:c r="D53" s="126" t="n">
        <x:f>D42*(1-Assumptions!$C$22)</x:f>
        <x:v>0</x:v>
      </x:c>
      <x:c r="E53" s="126" t="n">
        <x:f>E42*(1-Assumptions!$C$22)</x:f>
        <x:v>0</x:v>
      </x:c>
      <x:c r="F53" s="126" t="n">
        <x:f>F42*(1-Assumptions!$C$22)</x:f>
        <x:v>0</x:v>
      </x:c>
      <x:c r="G53" s="126" t="n">
        <x:f>G42*(1-Assumptions!$C$22)</x:f>
        <x:v>0</x:v>
      </x:c>
      <x:c r="H53" s="126" t="n">
        <x:f>H42*(1-Assumptions!$C$22)</x:f>
        <x:v>22.869000000000003</x:v>
      </x:c>
      <x:c r="I53" s="126" t="n">
        <x:f>I42*(1-Assumptions!$C$22)</x:f>
        <x:v>45.855729612</x:v>
      </x:c>
      <x:c r="J53" s="126" t="n">
        <x:f>J42*(1-Assumptions!$C$22)</x:f>
        <x:v>74.92434792620747</x:v>
      </x:c>
      <x:c r="K53" s="126" t="n">
        <x:f>K42*(1-Assumptions!$C$22)</x:f>
        <x:v>104.29114049311438</x:v>
      </x:c>
      <x:c r="L53" s="126" t="n">
        <x:f>L42*(1-Assumptions!$C$22)</x:f>
        <x:v>134.03206298132932</x:v>
      </x:c>
      <x:c r="M53" s="126" t="n">
        <x:f>M42*(1-Assumptions!$C$22)</x:f>
        <x:v>164.22742229767482</x:v>
      </x:c>
      <x:c r="N53" s="126" t="n">
        <x:f>N42*(1-Assumptions!$C$22)</x:f>
        <x:v>194.95072160138736</x:v>
      </x:c>
      <x:c r="O53" s="126" t="n">
        <x:f>O42*(1-Assumptions!$C$22)</x:f>
        <x:v>226.28037165486884</x:v>
      </x:c>
      <x:c r="P53" s="126" t="n">
        <x:f>P42*(1-Assumptions!$C$22)</x:f>
        <x:v>258.2975382644745</x:v>
      </x:c>
      <x:c r="Q53" s="126" t="n">
        <x:f>Q42*(1-Assumptions!$C$22)</x:f>
        <x:v>291.0866751892762</x:v>
      </x:c>
      <x:c r="R53" s="126" t="n">
        <x:f>R42*(1-Assumptions!$C$22)</x:f>
        <x:v>324.7368323869326</x:v>
      </x:c>
      <x:c r="S53" s="126" t="n">
        <x:f>S42*(1-Assumptions!$C$22)</x:f>
        <x:v>359.34175942241416</x:v>
      </x:c>
      <x:c r="T53" s="126" t="n">
        <x:f>T42*(1-Assumptions!$C$22)</x:f>
        <x:v>395.0005986630103</x:v>
      </x:c>
      <x:c r="U53" s="126" t="n">
        <x:f>U42*(1-Assumptions!$C$22)</x:f>
        <x:v>431.8184524990521</x:v>
      </x:c>
      <x:c r="V53" s="126" t="n">
        <x:f>V42*(1-Assumptions!$C$22)</x:f>
        <x:v>469.9070057320834</x:v>
      </x:c>
      <x:c r="W53" s="126" t="n">
        <x:f>W42*(1-Assumptions!$C$22)</x:f>
        <x:v>509.3852111317698</x:v>
      </x:c>
      <x:c r="X53" s="126" t="n">
        <x:f>X42*(1-Assumptions!$C$22)</x:f>
        <x:v>550.3800446309943</x:v>
      </x:c>
      <x:c r="Y53" s="126" t="n">
        <x:f>Y42*(1-Assumptions!$C$22)</x:f>
        <x:v>593.0273389747861</x:v>
      </x:c>
      <x:c r="Z53" s="126" t="n">
        <x:f>Z42*(1-Assumptions!$C$22)</x:f>
        <x:v>637.4727054674819</x:v>
      </x:c>
      <x:c r="AA53" s="126" t="n">
        <x:f>AA42*(1-Assumptions!$C$22)</x:f>
        <x:v>683.2917614416842</x:v>
      </x:c>
      <x:c r="AB53" s="126" t="n">
        <x:f>AB42*(1-Assumptions!$C$22)</x:f>
        <x:v>730.325061750238</x:v>
      </x:c>
      <x:c r="AC53" s="126" t="n">
        <x:f>AC42*(1-Assumptions!$C$22)</x:f>
        <x:v>778.5152803546696</x:v>
      </x:c>
      <x:c r="AD53" s="126" t="n">
        <x:f>AD42*(1-Assumptions!$C$22)</x:f>
        <x:v>827.8740190579015</x:v>
      </x:c>
      <x:c r="AE53" s="126" t="n">
        <x:f>AE42*(1-Assumptions!$C$22)</x:f>
        <x:v>878.4783822097011</x:v>
      </x:c>
      <x:c r="AF53" s="126" t="n">
        <x:f>AF42*(1-Assumptions!$C$22)</x:f>
        <x:v>930.4073437919931</x:v>
      </x:c>
      <x:c r="AG53" s="126" t="n">
        <x:f>AG42*(1-Assumptions!$C$22)</x:f>
        <x:v>983.7418707858209</x:v>
      </x:c>
      <x:c r="AH53" s="126" t="n">
        <x:f>AH42*(1-Assumptions!$C$22)</x:f>
        <x:v>1038.5650495297157</x:v>
      </x:c>
      <x:c r="AI53" s="126" t="n">
        <x:f>AI42*(1-Assumptions!$C$22)</x:f>
        <x:v>1094.9622152668678</x:v>
      </x:c>
      <x:c r="AJ53" s="126" t="n">
        <x:f>AJ42*(1-Assumptions!$C$22)</x:f>
        <x:v>1153.0210850832677</x:v>
      </x:c>
      <x:c r="AK53" s="126" t="n">
        <x:f>AK42*(1-Assumptions!$C$22)</x:f>
        <x:v>1212.8318944440946</x:v>
      </x:c>
      <x:c r="AL53" s="127" t="n">
        <x:f>AL42*(1-Assumptions!$C$22)</x:f>
        <x:v>1274.4875375410545</x:v>
      </x:c>
    </x:row>
    <x:row r="54">
      <x:c r="A54" s="142" t="str">
        <x:v>Total direct costs</x:v>
      </x:c>
      <x:c r="B54" s="143" t="str">
        <x:v>$</x:v>
      </x:c>
      <x:c r="C54" s="154" t="n">
        <x:f>SUM(C47:C53)</x:f>
        <x:v>4743.750000000002</x:v>
      </x:c>
      <x:c r="D54" s="154" t="n">
        <x:f>SUM(D47:D53)</x:f>
        <x:v>9289.170825000001</x:v>
      </x:c>
      <x:c r="E54" s="154" t="n">
        <x:f>SUM(E47:E53)</x:f>
        <x:v>13677.198541863389</x:v>
      </x:c>
      <x:c r="F54" s="154" t="n">
        <x:f>SUM(F47:F53)</x:f>
        <x:v>14316.21742957618</x:v>
      </x:c>
      <x:c r="G54" s="154" t="n">
        <x:f>SUM(G47:G53)</x:f>
        <x:v>18562.183169145548</x:v>
      </x:c>
      <x:c r="H54" s="154" t="n">
        <x:f>SUM(H47:H53)</x:f>
        <x:v>19468.979733411998</x:v>
      </x:c>
      <x:c r="I54" s="154" t="n">
        <x:f>SUM(I47:I53)</x:f>
        <x:v>20430.885825011545</x:v>
      </x:c>
      <x:c r="J54" s="154" t="n">
        <x:f>SUM(J47:J53)</x:f>
        <x:v>22444.459287198923</x:v>
      </x:c>
      <x:c r="K54" s="154" t="n">
        <x:f>SUM(K47:K53)</x:f>
        <x:v>23569.175584309345</x:v>
      </x:c>
      <x:c r="L54" s="154" t="n">
        <x:f>SUM(L47:L53)</x:f>
        <x:v>24759.064434974265</x:v>
      </x:c>
      <x:c r="M54" s="154" t="n">
        <x:f>SUM(M47:M53)</x:f>
        <x:v>26016.824723342008</x:v>
      </x:c>
      <x:c r="N54" s="154" t="n">
        <x:f>SUM(N47:N53)</x:f>
        <x:v>27346.456402409713</x:v>
      </x:c>
      <x:c r="O54" s="154" t="n">
        <x:f>SUM(O47:O53)</x:f>
        <x:v>28753.444615505563</x:v>
      </x:c>
      <x:c r="P54" s="154" t="n">
        <x:f>SUM(P47:P53)</x:f>
        <x:v>30242.944847043655</x:v>
      </x:c>
      <x:c r="Q54" s="154" t="n">
        <x:f>SUM(Q47:Q53)</x:f>
        <x:v>31820.934230188832</x:v>
      </x:c>
      <x:c r="R54" s="154" t="n">
        <x:f>SUM(R47:R53)</x:f>
        <x:v>33493.93547613927</x:v>
      </x:c>
      <x:c r="S54" s="154" t="n">
        <x:f>SUM(S47:S53)</x:f>
        <x:v>35268.97644388475</x:v>
      </x:c>
      <x:c r="T54" s="154" t="n">
        <x:f>SUM(T47:T53)</x:f>
        <x:v>37153.73750717173</x:v>
      </x:c>
      <x:c r="U54" s="154" t="n">
        <x:f>SUM(U47:U53)</x:f>
        <x:v>39156.58736422446</x:v>
      </x:c>
      <x:c r="V54" s="154" t="n">
        <x:f>SUM(V47:V53)</x:f>
        <x:v>41166.18058344437</x:v>
      </x:c>
      <x:c r="W54" s="154" t="n">
        <x:f>SUM(W47:W53)</x:f>
        <x:v>43130.151730003294</x:v>
      </x:c>
      <x:c r="X54" s="154" t="n">
        <x:f>SUM(X47:X53)</x:f>
        <x:v>45049.057556957894</x:v>
      </x:c>
      <x:c r="Y54" s="154" t="n">
        <x:f>SUM(Y47:Y53)</x:f>
        <x:v>47014.30074356969</x:v>
      </x:c>
      <x:c r="Z54" s="154" t="n">
        <x:f>SUM(Z47:Z53)</x:f>
        <x:v>48981.42952613108</x:v>
      </x:c>
      <x:c r="AA54" s="154" t="n">
        <x:f>SUM(AA47:AA53)</x:f>
        <x:v>50990.85739622123</x:v>
      </x:c>
      <x:c r="AB54" s="154" t="n">
        <x:f>SUM(AB47:AB53)</x:f>
        <x:v>53082.90174037266</x:v>
      </x:c>
      <x:c r="AC54" s="154" t="n">
        <x:f>SUM(AC47:AC53)</x:f>
        <x:v>55235.91076308685</x:v>
      </x:c>
      <x:c r="AD54" s="154" t="n">
        <x:f>SUM(AD47:AD53)</x:f>
        <x:v>57463.565321099384</x:v>
      </x:c>
      <x:c r="AE54" s="154" t="n">
        <x:f>SUM(AE47:AE53)</x:f>
        <x:v>59779.597336332845</x:v>
      </x:c>
      <x:c r="AF54" s="154" t="n">
        <x:f>SUM(AF47:AF53)</x:f>
        <x:v>62187.57105608007</x:v>
      </x:c>
      <x:c r="AG54" s="154" t="n">
        <x:f>SUM(AG47:AG53)</x:f>
        <x:v>64691.19213156542</x:v>
      </x:c>
      <x:c r="AH54" s="154" t="n">
        <x:f>SUM(AH47:AH53)</x:f>
        <x:v>67294.3133207405</x:v>
      </x:c>
      <x:c r="AI54" s="154" t="n">
        <x:f>SUM(AI47:AI53)</x:f>
        <x:v>70000.9404173261</x:v>
      </x:c>
      <x:c r="AJ54" s="154" t="n">
        <x:f>SUM(AJ47:AJ53)</x:f>
        <x:v>72815.23841522487</x:v>
      </x:c>
      <x:c r="AK54" s="154" t="n">
        <x:f>SUM(AK47:AK53)</x:f>
        <x:v>75741.53791779137</x:v>
      </x:c>
      <x:c r="AL54" s="155" t="n">
        <x:f>SUM(AL47:AL53)</x:f>
        <x:v>78784.3418018222</x:v>
      </x:c>
    </x:row>
    <x:row r="55">
      <x:c r="A55" s="142" t="str">
        <x:v>Gross profit</x:v>
      </x:c>
      <x:c r="B55" s="143" t="str">
        <x:v>$</x:v>
      </x:c>
      <x:c r="C55" s="154" t="n">
        <x:f>C43-C54</x:f>
        <x:v>11550.000000000002</x:v>
      </x:c>
      <x:c r="D55" s="154" t="n">
        <x:f>D43-D54</x:f>
        <x:v>20115.209400000007</x:v>
      </x:c>
      <x:c r="E55" s="154" t="n">
        <x:f>E43-E54</x:f>
        <x:v>26984.407961710847</x:v>
      </x:c>
      <x:c r="F55" s="154" t="n">
        <x:f>F43-F54</x:f>
        <x:v>28250.541359696086</x:v>
      </x:c>
      <x:c r="G55" s="154" t="n">
        <x:f>G43-G54</x:f>
        <x:v>33954.784948383516</x:v>
      </x:c>
      <x:c r="H55" s="154" t="n">
        <x:f>H43-H54</x:f>
        <x:v>35661.515696057555</x:v>
      </x:c>
      <x:c r="I55" s="154" t="n">
        <x:f>I43-I54</x:f>
        <x:v>37467.003023094665</x:v>
      </x:c>
      <x:c r="J55" s="154" t="n">
        <x:f>J43-J54</x:f>
        <x:v>40384.77281403649</x:v>
      </x:c>
      <x:c r="K55" s="154" t="n">
        <x:f>K43-K54</x:f>
        <x:v>42461.811385200985</x:v>
      </x:c>
      <x:c r="L55" s="154" t="n">
        <x:f>L43-L54</x:f>
        <x:v>44655.718993981995</x:v>
      </x:c>
      <x:c r="M55" s="154" t="n">
        <x:f>M43-M54</x:f>
        <x:v>46972.64456510717</x:v>
      </x:c>
      <x:c r="N55" s="154" t="n">
        <x:f>N43-N54</x:f>
        <x:v>49420.49762455995</x:v>
      </x:c>
      <x:c r="O55" s="154" t="n">
        <x:f>O43-O54</x:f>
        <x:v>52009.08500818156</x:v>
      </x:c>
      <x:c r="P55" s="154" t="n">
        <x:f>P43-P54</x:f>
        <x:v>54748.191494140054</x:v>
      </x:c>
      <x:c r="Q55" s="154" t="n">
        <x:f>Q43-Q54</x:f>
        <x:v>57648.83855859408</x:v>
      </x:c>
      <x:c r="R55" s="154" t="n">
        <x:f>R43-R54</x:f>
        <x:v>60723.02753098524</x:v>
      </x:c>
      <x:c r="S55" s="154" t="n">
        <x:f>S43-S54</x:f>
        <x:v>63983.742639087985</x:v>
      </x:c>
      <x:c r="T55" s="154" t="n">
        <x:f>T43-T54</x:f>
        <x:v>67445.14837142409</x:v>
      </x:c>
      <x:c r="U55" s="154" t="n">
        <x:f>U43-U54</x:f>
        <x:v>71122.68050294768</x:v>
      </x:c>
      <x:c r="V55" s="154" t="n">
        <x:f>V43-V54</x:f>
        <x:v>74739.85029064948</x:v>
      </x:c>
      <x:c r="W55" s="154" t="n">
        <x:f>W43-W54</x:f>
        <x:v>78226.8186379011</x:v>
      </x:c>
      <x:c r="X55" s="154" t="n">
        <x:f>X43-X54</x:f>
        <x:v>81647.38885736109</x:v>
      </x:c>
      <x:c r="Y55" s="154" t="n">
        <x:f>Y43-Y54</x:f>
        <x:v>85155.25008453582</x:v>
      </x:c>
      <x:c r="Z55" s="154" t="n">
        <x:f>Z43-Z54</x:f>
        <x:v>88709.3421250481</x:v>
      </x:c>
      <x:c r="AA55" s="154" t="n">
        <x:f>AA43-AA54</x:f>
        <x:v>92359.61051156346</x:v>
      </x:c>
      <x:c r="AB55" s="154" t="n">
        <x:f>AB43-AB54</x:f>
        <x:v>96156.5545835854</x:v>
      </x:c>
      <x:c r="AC55" s="154" t="n">
        <x:f>AC43-AC54</x:f>
        <x:v>100080.8153610975</x:v>
      </x:c>
      <x:c r="AD55" s="154" t="n">
        <x:f>AD43-AD54</x:f>
        <x:v>104148.63951845712</x:v>
      </x:c>
      <x:c r="AE55" s="154" t="n">
        <x:f>AE43-AE54</x:f>
        <x:v>108376.59298039452</x:v>
      </x:c>
      <x:c r="AF55" s="154" t="n">
        <x:f>AF43-AF54</x:f>
        <x:v>112771.1842655614</x:v>
      </x:c>
      <x:c r="AG55" s="154" t="n">
        <x:f>AG43-AG54</x:f>
        <x:v>117339.17809949696</x:v>
      </x:c>
      <x:c r="AH55" s="154" t="n">
        <x:f>AH43-AH54</x:f>
        <x:v>122087.60582825736</x:v>
      </x:c>
      <x:c r="AI55" s="154" t="n">
        <x:f>AI43-AI54</x:f>
        <x:v>127023.77624197699</x:v>
      </x:c>
      <x:c r="AJ55" s="154" t="n">
        <x:f>AJ43-AJ54</x:f>
        <x:v>132155.28682502185</x:v>
      </x:c>
      <x:c r="AK55" s="154" t="n">
        <x:f>AK43-AK54</x:f>
        <x:v>137490.03545005387</x:v>
      </x:c>
      <x:c r="AL55" s="155" t="n">
        <x:f>AL43-AL54</x:f>
        <x:v>143036.2325340059</x:v>
      </x:c>
    </x:row>
    <x:row r="56">
      <x:c r="A56" s="49" t="str">
        <x:v>Gross margin</x:v>
      </x:c>
      <x:c r="B56" s="50" t="str">
        <x:v>%</x:v>
      </x:c>
      <x:c r="C56" s="118" t="n">
        <x:f>IFERROR(C55/C43,0)</x:f>
        <x:v>0.7088607594936709</x:v>
      </x:c>
      <x:c r="D56" s="118" t="n">
        <x:f>IFERROR(D55/D43,0)</x:f>
        <x:v>0.6840888754015559</x:v>
      </x:c>
      <x:c r="E56" s="118" t="n">
        <x:f>IFERROR(E55/E43,0)</x:f>
        <x:v>0.6636335915389586</x:v>
      </x:c>
      <x:c r="F56" s="118" t="n">
        <x:f>IFERROR(F55/F43,0)</x:f>
        <x:v>0.6636761210678749</x:v>
      </x:c>
      <x:c r="G56" s="118" t="n">
        <x:f>IFERROR(G55/G43,0)</x:f>
        <x:v>0.6465488425073442</x:v>
      </x:c>
      <x:c r="H56" s="118" t="n">
        <x:f>IFERROR(H55/H43,0)</x:f>
        <x:v>0.6468564343246404</x:v>
      </x:c>
      <x:c r="I56" s="118" t="n">
        <x:f>IFERROR(I55/I43,0)</x:f>
        <x:v>0.6471220931973615</x:v>
      </x:c>
      <x:c r="J56" s="118" t="n">
        <x:f>IFERROR(J55/J43,0)</x:f>
        <x:v>0.6427704344526344</x:v>
      </x:c>
      <x:c r="K56" s="118" t="n">
        <x:f>IFERROR(K55/K43,0)</x:f>
        <x:v>0.6430588627246726</x:v>
      </x:c>
      <x:c r="L56" s="118" t="n">
        <x:f>IFERROR(L55/L43,0)</x:f>
        <x:v>0.6433171262384713</x:v>
      </x:c>
      <x:c r="M56" s="118" t="n">
        <x:f>IFERROR(M55/M43,0)</x:f>
        <x:v>0.64355372114674</x:v>
      </x:c>
      <x:c r="N56" s="118" t="n">
        <x:f>IFERROR(N55/N43,0)</x:f>
        <x:v>0.6437730694277333</x:v>
      </x:c>
      <x:c r="O56" s="118" t="n">
        <x:f>IFERROR(O55/O43,0)</x:f>
        <x:v>0.6439754332921196</x:v>
      </x:c>
      <x:c r="P56" s="118" t="n">
        <x:f>IFERROR(P55/P43,0)</x:f>
        <x:v>0.6441635428235946</x:v>
      </x:c>
      <x:c r="Q56" s="118" t="n">
        <x:f>IFERROR(Q55/Q43,0)</x:f>
        <x:v>0.6443387164365492</x:v>
      </x:c>
      <x:c r="R56" s="118" t="n">
        <x:f>IFERROR(R55/R43,0)</x:f>
        <x:v>0.6445020683419129</x:v>
      </x:c>
      <x:c r="S56" s="118" t="n">
        <x:f>IFERROR(S55/S43,0)</x:f>
        <x:v>0.6446548087574226</x:v>
      </x:c>
      <x:c r="T56" s="118" t="n">
        <x:f>IFERROR(T55/T43,0)</x:f>
        <x:v>0.6447979613253746</x:v>
      </x:c>
      <x:c r="U56" s="118" t="n">
        <x:f>IFERROR(U55/U43,0)</x:f>
        <x:v>0.6449324689805946</x:v>
      </x:c>
      <x:c r="V56" s="118" t="n">
        <x:f>IFERROR(V55/V43,0)</x:f>
        <x:v>0.6448314184085704</x:v>
      </x:c>
      <x:c r="W56" s="118" t="n">
        <x:f>IFERROR(W55/W43,0)</x:f>
        <x:v>0.6446009520569735</x:v>
      </x:c>
      <x:c r="X56" s="118" t="n">
        <x:f>IFERROR(X55/X43,0)</x:f>
        <x:v>0.6444331405346619</x:v>
      </x:c>
      <x:c r="Y56" s="118" t="n">
        <x:f>IFERROR(Y55/Y43,0)</x:f>
        <x:v>0.644287958542625</x:v>
      </x:c>
      <x:c r="Z56" s="118" t="n">
        <x:f>IFERROR(Z55/Z43,0)</x:f>
        <x:v>0.644264979135865</x:v>
      </x:c>
      <x:c r="AA56" s="118" t="n">
        <x:f>IFERROR(AA55/AA43,0)</x:f>
        <x:v>0.6442923546714691</x:v>
      </x:c>
      <x:c r="AB56" s="118" t="n">
        <x:f>IFERROR(AB55/AB43,0)</x:f>
        <x:v>0.6443105392641997</x:v>
      </x:c>
      <x:c r="AC56" s="118" t="n">
        <x:f>IFERROR(AC55/AC43,0)</x:f>
        <x:v>0.6443659859342987</x:v>
      </x:c>
      <x:c r="AD56" s="118" t="n">
        <x:f>IFERROR(AD55/AD43,0)</x:f>
        <x:v>0.6444354844478026</x:v>
      </x:c>
      <x:c r="AE56" s="118" t="n">
        <x:f>IFERROR(AE55/AE43,0)</x:f>
        <x:v>0.6444995737371539</x:v>
      </x:c>
      <x:c r="AF56" s="118" t="n">
        <x:f>IFERROR(AF55/AF43,0)</x:f>
        <x:v>0.6445586793198466</x:v>
      </x:c>
      <x:c r="AG56" s="118" t="n">
        <x:f>IFERROR(AG55/AG43,0)</x:f>
        <x:v>0.6446131925708392</x:v>
      </x:c>
      <x:c r="AH56" s="118" t="n">
        <x:f>IFERROR(AH55/AH43,0)</x:f>
        <x:v>0.6446634735610841</x:v>
      </x:c>
      <x:c r="AI56" s="118" t="n">
        <x:f>IFERROR(AI55/AI43,0)</x:f>
        <x:v>0.6447098536455588</x:v>
      </x:c>
      <x:c r="AJ56" s="118" t="n">
        <x:f>IFERROR(AJ55/AJ43,0)</x:f>
        <x:v>0.6447526378249856</x:v>
      </x:c>
      <x:c r="AK56" s="118" t="n">
        <x:f>IFERROR(AK55/AK43,0)</x:f>
        <x:v>0.6447921069028092</x:v>
      </x:c>
      <x:c r="AL56" s="119" t="n">
        <x:f>IFERROR(AL55/AL43,0)</x:f>
        <x:v>0.6448285194566954</x:v>
      </x:c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 ht="23" customHeight="1">
      <x:c r="A58" s="416" t="str">
        <x:v>OPERATING EXPENSES</x:v>
      </x:c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9" t="str">
        <x:v>Payroll and contractors</x:v>
      </x:c>
      <x:c r="B59" s="50" t="str">
        <x:v>$</x:v>
      </x:c>
      <x:c r="C59" s="126" t="n">
        <x:f>Assumptions!$C$55*POWER(1+Assumptions!$C$61,INT((C$6-1)/3))</x:f>
        <x:v>50000</x:v>
      </x:c>
      <x:c r="D59" s="126" t="n">
        <x:f>Assumptions!$C$55*POWER(1+Assumptions!$C$61,INT((D$6-1)/3))</x:f>
        <x:v>50000</x:v>
      </x:c>
      <x:c r="E59" s="126" t="n">
        <x:f>Assumptions!$C$55*POWER(1+Assumptions!$C$61,INT((E$6-1)/3))</x:f>
        <x:v>50000</x:v>
      </x:c>
      <x:c r="F59" s="126" t="n">
        <x:f>Assumptions!$C$55*POWER(1+Assumptions!$C$61,INT((F$6-1)/3))</x:f>
        <x:v>51500</x:v>
      </x:c>
      <x:c r="G59" s="126" t="n">
        <x:f>Assumptions!$C$55*POWER(1+Assumptions!$C$61,INT((G$6-1)/3))</x:f>
        <x:v>51500</x:v>
      </x:c>
      <x:c r="H59" s="126" t="n">
        <x:f>Assumptions!$C$55*POWER(1+Assumptions!$C$61,INT((H$6-1)/3))</x:f>
        <x:v>51500</x:v>
      </x:c>
      <x:c r="I59" s="126" t="n">
        <x:f>Assumptions!$C$55*POWER(1+Assumptions!$C$61,INT((I$6-1)/3))</x:f>
        <x:v>53045</x:v>
      </x:c>
      <x:c r="J59" s="126" t="n">
        <x:f>Assumptions!$C$55*POWER(1+Assumptions!$C$61,INT((J$6-1)/3))</x:f>
        <x:v>53045</x:v>
      </x:c>
      <x:c r="K59" s="126" t="n">
        <x:f>Assumptions!$C$55*POWER(1+Assumptions!$C$61,INT((K$6-1)/3))</x:f>
        <x:v>53045</x:v>
      </x:c>
      <x:c r="L59" s="126" t="n">
        <x:f>Assumptions!$C$55*POWER(1+Assumptions!$C$61,INT((L$6-1)/3))</x:f>
        <x:v>54636.35</x:v>
      </x:c>
      <x:c r="M59" s="126" t="n">
        <x:f>Assumptions!$C$55*POWER(1+Assumptions!$C$61,INT((M$6-1)/3))</x:f>
        <x:v>54636.35</x:v>
      </x:c>
      <x:c r="N59" s="126" t="n">
        <x:f>Assumptions!$C$55*POWER(1+Assumptions!$C$61,INT((N$6-1)/3))</x:f>
        <x:v>54636.35</x:v>
      </x:c>
      <x:c r="O59" s="126" t="n">
        <x:f>Assumptions!$C$55*POWER(1+Assumptions!$C$61,INT((O$6-1)/3))</x:f>
        <x:v>56275.4405</x:v>
      </x:c>
      <x:c r="P59" s="126" t="n">
        <x:f>Assumptions!$C$55*POWER(1+Assumptions!$C$61,INT((P$6-1)/3))</x:f>
        <x:v>56275.4405</x:v>
      </x:c>
      <x:c r="Q59" s="126" t="n">
        <x:f>Assumptions!$C$55*POWER(1+Assumptions!$C$61,INT((Q$6-1)/3))</x:f>
        <x:v>56275.4405</x:v>
      </x:c>
      <x:c r="R59" s="126" t="n">
        <x:f>Assumptions!$C$55*POWER(1+Assumptions!$C$61,INT((R$6-1)/3))</x:f>
        <x:v>57963.70371499999</x:v>
      </x:c>
      <x:c r="S59" s="126" t="n">
        <x:f>Assumptions!$C$55*POWER(1+Assumptions!$C$61,INT((S$6-1)/3))</x:f>
        <x:v>57963.70371499999</x:v>
      </x:c>
      <x:c r="T59" s="126" t="n">
        <x:f>Assumptions!$C$55*POWER(1+Assumptions!$C$61,INT((T$6-1)/3))</x:f>
        <x:v>57963.70371499999</x:v>
      </x:c>
      <x:c r="U59" s="126" t="n">
        <x:f>Assumptions!$C$55*POWER(1+Assumptions!$C$61,INT((U$6-1)/3))</x:f>
        <x:v>59702.61482644999</x:v>
      </x:c>
      <x:c r="V59" s="126" t="n">
        <x:f>Assumptions!$C$55*POWER(1+Assumptions!$C$61,INT((V$6-1)/3))</x:f>
        <x:v>59702.61482644999</x:v>
      </x:c>
      <x:c r="W59" s="126" t="n">
        <x:f>Assumptions!$C$55*POWER(1+Assumptions!$C$61,INT((W$6-1)/3))</x:f>
        <x:v>59702.61482644999</x:v>
      </x:c>
      <x:c r="X59" s="126" t="n">
        <x:f>Assumptions!$C$55*POWER(1+Assumptions!$C$61,INT((X$6-1)/3))</x:f>
        <x:v>61493.6932712435</x:v>
      </x:c>
      <x:c r="Y59" s="126" t="n">
        <x:f>Assumptions!$C$55*POWER(1+Assumptions!$C$61,INT((Y$6-1)/3))</x:f>
        <x:v>61493.6932712435</x:v>
      </x:c>
      <x:c r="Z59" s="126" t="n">
        <x:f>Assumptions!$C$55*POWER(1+Assumptions!$C$61,INT((Z$6-1)/3))</x:f>
        <x:v>61493.6932712435</x:v>
      </x:c>
      <x:c r="AA59" s="126" t="n">
        <x:f>Assumptions!$C$55*POWER(1+Assumptions!$C$61,INT((AA$6-1)/3))</x:f>
        <x:v>63338.5040693808</x:v>
      </x:c>
      <x:c r="AB59" s="126" t="n">
        <x:f>Assumptions!$C$55*POWER(1+Assumptions!$C$61,INT((AB$6-1)/3))</x:f>
        <x:v>63338.5040693808</x:v>
      </x:c>
      <x:c r="AC59" s="126" t="n">
        <x:f>Assumptions!$C$55*POWER(1+Assumptions!$C$61,INT((AC$6-1)/3))</x:f>
        <x:v>63338.5040693808</x:v>
      </x:c>
      <x:c r="AD59" s="126" t="n">
        <x:f>Assumptions!$C$55*POWER(1+Assumptions!$C$61,INT((AD$6-1)/3))</x:f>
        <x:v>65238.659191462226</x:v>
      </x:c>
      <x:c r="AE59" s="126" t="n">
        <x:f>Assumptions!$C$55*POWER(1+Assumptions!$C$61,INT((AE$6-1)/3))</x:f>
        <x:v>65238.659191462226</x:v>
      </x:c>
      <x:c r="AF59" s="126" t="n">
        <x:f>Assumptions!$C$55*POWER(1+Assumptions!$C$61,INT((AF$6-1)/3))</x:f>
        <x:v>65238.659191462226</x:v>
      </x:c>
      <x:c r="AG59" s="126" t="n">
        <x:f>Assumptions!$C$55*POWER(1+Assumptions!$C$61,INT((AG$6-1)/3))</x:f>
        <x:v>67195.81896720608</x:v>
      </x:c>
      <x:c r="AH59" s="126" t="n">
        <x:f>Assumptions!$C$55*POWER(1+Assumptions!$C$61,INT((AH$6-1)/3))</x:f>
        <x:v>67195.81896720608</x:v>
      </x:c>
      <x:c r="AI59" s="126" t="n">
        <x:f>Assumptions!$C$55*POWER(1+Assumptions!$C$61,INT((AI$6-1)/3))</x:f>
        <x:v>67195.81896720608</x:v>
      </x:c>
      <x:c r="AJ59" s="126" t="n">
        <x:f>Assumptions!$C$55*POWER(1+Assumptions!$C$61,INT((AJ$6-1)/3))</x:f>
        <x:v>69211.69353622227</x:v>
      </x:c>
      <x:c r="AK59" s="126" t="n">
        <x:f>Assumptions!$C$55*POWER(1+Assumptions!$C$61,INT((AK$6-1)/3))</x:f>
        <x:v>69211.69353622227</x:v>
      </x:c>
      <x:c r="AL59" s="127" t="n">
        <x:f>Assumptions!$C$55*POWER(1+Assumptions!$C$61,INT((AL$6-1)/3))</x:f>
        <x:v>69211.69353622227</x:v>
      </x:c>
    </x:row>
    <x:row r="60">
      <x:c r="A60" s="49" t="str">
        <x:v>Product and hosting</x:v>
      </x:c>
      <x:c r="B60" s="50" t="str">
        <x:v>$</x:v>
      </x:c>
      <x:c r="C60" s="126" t="n">
        <x:f>Assumptions!$C$56*POWER(1+Assumptions!$C$61,INT((C$6-1)/3))</x:f>
        <x:v>7000</x:v>
      </x:c>
      <x:c r="D60" s="126" t="n">
        <x:f>Assumptions!$C$56*POWER(1+Assumptions!$C$61,INT((D$6-1)/3))</x:f>
        <x:v>7000</x:v>
      </x:c>
      <x:c r="E60" s="126" t="n">
        <x:f>Assumptions!$C$56*POWER(1+Assumptions!$C$61,INT((E$6-1)/3))</x:f>
        <x:v>7000</x:v>
      </x:c>
      <x:c r="F60" s="126" t="n">
        <x:f>Assumptions!$C$56*POWER(1+Assumptions!$C$61,INT((F$6-1)/3))</x:f>
        <x:v>7210</x:v>
      </x:c>
      <x:c r="G60" s="126" t="n">
        <x:f>Assumptions!$C$56*POWER(1+Assumptions!$C$61,INT((G$6-1)/3))</x:f>
        <x:v>7210</x:v>
      </x:c>
      <x:c r="H60" s="126" t="n">
        <x:f>Assumptions!$C$56*POWER(1+Assumptions!$C$61,INT((H$6-1)/3))</x:f>
        <x:v>7210</x:v>
      </x:c>
      <x:c r="I60" s="126" t="n">
        <x:f>Assumptions!$C$56*POWER(1+Assumptions!$C$61,INT((I$6-1)/3))</x:f>
        <x:v>7426.299999999999</x:v>
      </x:c>
      <x:c r="J60" s="126" t="n">
        <x:f>Assumptions!$C$56*POWER(1+Assumptions!$C$61,INT((J$6-1)/3))</x:f>
        <x:v>7426.299999999999</x:v>
      </x:c>
      <x:c r="K60" s="126" t="n">
        <x:f>Assumptions!$C$56*POWER(1+Assumptions!$C$61,INT((K$6-1)/3))</x:f>
        <x:v>7426.299999999999</x:v>
      </x:c>
      <x:c r="L60" s="126" t="n">
        <x:f>Assumptions!$C$56*POWER(1+Assumptions!$C$61,INT((L$6-1)/3))</x:f>
        <x:v>7649.089</x:v>
      </x:c>
      <x:c r="M60" s="126" t="n">
        <x:f>Assumptions!$C$56*POWER(1+Assumptions!$C$61,INT((M$6-1)/3))</x:f>
        <x:v>7649.089</x:v>
      </x:c>
      <x:c r="N60" s="126" t="n">
        <x:f>Assumptions!$C$56*POWER(1+Assumptions!$C$61,INT((N$6-1)/3))</x:f>
        <x:v>7649.089</x:v>
      </x:c>
      <x:c r="O60" s="126" t="n">
        <x:f>Assumptions!$C$56*POWER(1+Assumptions!$C$61,INT((O$6-1)/3))</x:f>
        <x:v>7878.561669999999</x:v>
      </x:c>
      <x:c r="P60" s="126" t="n">
        <x:f>Assumptions!$C$56*POWER(1+Assumptions!$C$61,INT((P$6-1)/3))</x:f>
        <x:v>7878.561669999999</x:v>
      </x:c>
      <x:c r="Q60" s="126" t="n">
        <x:f>Assumptions!$C$56*POWER(1+Assumptions!$C$61,INT((Q$6-1)/3))</x:f>
        <x:v>7878.561669999999</x:v>
      </x:c>
      <x:c r="R60" s="126" t="n">
        <x:f>Assumptions!$C$56*POWER(1+Assumptions!$C$61,INT((R$6-1)/3))</x:f>
        <x:v>8114.918520099999</x:v>
      </x:c>
      <x:c r="S60" s="126" t="n">
        <x:f>Assumptions!$C$56*POWER(1+Assumptions!$C$61,INT((S$6-1)/3))</x:f>
        <x:v>8114.918520099999</x:v>
      </x:c>
      <x:c r="T60" s="126" t="n">
        <x:f>Assumptions!$C$56*POWER(1+Assumptions!$C$61,INT((T$6-1)/3))</x:f>
        <x:v>8114.918520099999</x:v>
      </x:c>
      <x:c r="U60" s="126" t="n">
        <x:f>Assumptions!$C$56*POWER(1+Assumptions!$C$61,INT((U$6-1)/3))</x:f>
        <x:v>8358.366075703</x:v>
      </x:c>
      <x:c r="V60" s="126" t="n">
        <x:f>Assumptions!$C$56*POWER(1+Assumptions!$C$61,INT((V$6-1)/3))</x:f>
        <x:v>8358.366075703</x:v>
      </x:c>
      <x:c r="W60" s="126" t="n">
        <x:f>Assumptions!$C$56*POWER(1+Assumptions!$C$61,INT((W$6-1)/3))</x:f>
        <x:v>8358.366075703</x:v>
      </x:c>
      <x:c r="X60" s="126" t="n">
        <x:f>Assumptions!$C$56*POWER(1+Assumptions!$C$61,INT((X$6-1)/3))</x:f>
        <x:v>8609.11705797409</x:v>
      </x:c>
      <x:c r="Y60" s="126" t="n">
        <x:f>Assumptions!$C$56*POWER(1+Assumptions!$C$61,INT((Y$6-1)/3))</x:f>
        <x:v>8609.11705797409</x:v>
      </x:c>
      <x:c r="Z60" s="126" t="n">
        <x:f>Assumptions!$C$56*POWER(1+Assumptions!$C$61,INT((Z$6-1)/3))</x:f>
        <x:v>8609.11705797409</x:v>
      </x:c>
      <x:c r="AA60" s="126" t="n">
        <x:f>Assumptions!$C$56*POWER(1+Assumptions!$C$61,INT((AA$6-1)/3))</x:f>
        <x:v>8867.390569713312</x:v>
      </x:c>
      <x:c r="AB60" s="126" t="n">
        <x:f>Assumptions!$C$56*POWER(1+Assumptions!$C$61,INT((AB$6-1)/3))</x:f>
        <x:v>8867.390569713312</x:v>
      </x:c>
      <x:c r="AC60" s="126" t="n">
        <x:f>Assumptions!$C$56*POWER(1+Assumptions!$C$61,INT((AC$6-1)/3))</x:f>
        <x:v>8867.390569713312</x:v>
      </x:c>
      <x:c r="AD60" s="126" t="n">
        <x:f>Assumptions!$C$56*POWER(1+Assumptions!$C$61,INT((AD$6-1)/3))</x:f>
        <x:v>9133.41228680471</x:v>
      </x:c>
      <x:c r="AE60" s="126" t="n">
        <x:f>Assumptions!$C$56*POWER(1+Assumptions!$C$61,INT((AE$6-1)/3))</x:f>
        <x:v>9133.41228680471</x:v>
      </x:c>
      <x:c r="AF60" s="126" t="n">
        <x:f>Assumptions!$C$56*POWER(1+Assumptions!$C$61,INT((AF$6-1)/3))</x:f>
        <x:v>9133.41228680471</x:v>
      </x:c>
      <x:c r="AG60" s="126" t="n">
        <x:f>Assumptions!$C$56*POWER(1+Assumptions!$C$61,INT((AG$6-1)/3))</x:f>
        <x:v>9407.414655408853</x:v>
      </x:c>
      <x:c r="AH60" s="126" t="n">
        <x:f>Assumptions!$C$56*POWER(1+Assumptions!$C$61,INT((AH$6-1)/3))</x:f>
        <x:v>9407.414655408853</x:v>
      </x:c>
      <x:c r="AI60" s="126" t="n">
        <x:f>Assumptions!$C$56*POWER(1+Assumptions!$C$61,INT((AI$6-1)/3))</x:f>
        <x:v>9407.414655408853</x:v>
      </x:c>
      <x:c r="AJ60" s="126" t="n">
        <x:f>Assumptions!$C$56*POWER(1+Assumptions!$C$61,INT((AJ$6-1)/3))</x:f>
        <x:v>9689.637095071119</x:v>
      </x:c>
      <x:c r="AK60" s="126" t="n">
        <x:f>Assumptions!$C$56*POWER(1+Assumptions!$C$61,INT((AK$6-1)/3))</x:f>
        <x:v>9689.637095071119</x:v>
      </x:c>
      <x:c r="AL60" s="127" t="n">
        <x:f>Assumptions!$C$56*POWER(1+Assumptions!$C$61,INT((AL$6-1)/3))</x:f>
        <x:v>9689.637095071119</x:v>
      </x:c>
    </x:row>
    <x:row r="61">
      <x:c r="A61" s="49" t="str">
        <x:v>G&amp;A</x:v>
      </x:c>
      <x:c r="B61" s="50" t="str">
        <x:v>$</x:v>
      </x:c>
      <x:c r="C61" s="126" t="n">
        <x:f>Assumptions!$C$57*POWER(1+Assumptions!$C$61,INT((C$6-1)/3))</x:f>
        <x:v>7000</x:v>
      </x:c>
      <x:c r="D61" s="126" t="n">
        <x:f>Assumptions!$C$57*POWER(1+Assumptions!$C$61,INT((D$6-1)/3))</x:f>
        <x:v>7000</x:v>
      </x:c>
      <x:c r="E61" s="126" t="n">
        <x:f>Assumptions!$C$57*POWER(1+Assumptions!$C$61,INT((E$6-1)/3))</x:f>
        <x:v>7000</x:v>
      </x:c>
      <x:c r="F61" s="126" t="n">
        <x:f>Assumptions!$C$57*POWER(1+Assumptions!$C$61,INT((F$6-1)/3))</x:f>
        <x:v>7210</x:v>
      </x:c>
      <x:c r="G61" s="126" t="n">
        <x:f>Assumptions!$C$57*POWER(1+Assumptions!$C$61,INT((G$6-1)/3))</x:f>
        <x:v>7210</x:v>
      </x:c>
      <x:c r="H61" s="126" t="n">
        <x:f>Assumptions!$C$57*POWER(1+Assumptions!$C$61,INT((H$6-1)/3))</x:f>
        <x:v>7210</x:v>
      </x:c>
      <x:c r="I61" s="126" t="n">
        <x:f>Assumptions!$C$57*POWER(1+Assumptions!$C$61,INT((I$6-1)/3))</x:f>
        <x:v>7426.299999999999</x:v>
      </x:c>
      <x:c r="J61" s="126" t="n">
        <x:f>Assumptions!$C$57*POWER(1+Assumptions!$C$61,INT((J$6-1)/3))</x:f>
        <x:v>7426.299999999999</x:v>
      </x:c>
      <x:c r="K61" s="126" t="n">
        <x:f>Assumptions!$C$57*POWER(1+Assumptions!$C$61,INT((K$6-1)/3))</x:f>
        <x:v>7426.299999999999</x:v>
      </x:c>
      <x:c r="L61" s="126" t="n">
        <x:f>Assumptions!$C$57*POWER(1+Assumptions!$C$61,INT((L$6-1)/3))</x:f>
        <x:v>7649.089</x:v>
      </x:c>
      <x:c r="M61" s="126" t="n">
        <x:f>Assumptions!$C$57*POWER(1+Assumptions!$C$61,INT((M$6-1)/3))</x:f>
        <x:v>7649.089</x:v>
      </x:c>
      <x:c r="N61" s="126" t="n">
        <x:f>Assumptions!$C$57*POWER(1+Assumptions!$C$61,INT((N$6-1)/3))</x:f>
        <x:v>7649.089</x:v>
      </x:c>
      <x:c r="O61" s="126" t="n">
        <x:f>Assumptions!$C$57*POWER(1+Assumptions!$C$61,INT((O$6-1)/3))</x:f>
        <x:v>7878.561669999999</x:v>
      </x:c>
      <x:c r="P61" s="126" t="n">
        <x:f>Assumptions!$C$57*POWER(1+Assumptions!$C$61,INT((P$6-1)/3))</x:f>
        <x:v>7878.561669999999</x:v>
      </x:c>
      <x:c r="Q61" s="126" t="n">
        <x:f>Assumptions!$C$57*POWER(1+Assumptions!$C$61,INT((Q$6-1)/3))</x:f>
        <x:v>7878.561669999999</x:v>
      </x:c>
      <x:c r="R61" s="126" t="n">
        <x:f>Assumptions!$C$57*POWER(1+Assumptions!$C$61,INT((R$6-1)/3))</x:f>
        <x:v>8114.918520099999</x:v>
      </x:c>
      <x:c r="S61" s="126" t="n">
        <x:f>Assumptions!$C$57*POWER(1+Assumptions!$C$61,INT((S$6-1)/3))</x:f>
        <x:v>8114.918520099999</x:v>
      </x:c>
      <x:c r="T61" s="126" t="n">
        <x:f>Assumptions!$C$57*POWER(1+Assumptions!$C$61,INT((T$6-1)/3))</x:f>
        <x:v>8114.918520099999</x:v>
      </x:c>
      <x:c r="U61" s="126" t="n">
        <x:f>Assumptions!$C$57*POWER(1+Assumptions!$C$61,INT((U$6-1)/3))</x:f>
        <x:v>8358.366075703</x:v>
      </x:c>
      <x:c r="V61" s="126" t="n">
        <x:f>Assumptions!$C$57*POWER(1+Assumptions!$C$61,INT((V$6-1)/3))</x:f>
        <x:v>8358.366075703</x:v>
      </x:c>
      <x:c r="W61" s="126" t="n">
        <x:f>Assumptions!$C$57*POWER(1+Assumptions!$C$61,INT((W$6-1)/3))</x:f>
        <x:v>8358.366075703</x:v>
      </x:c>
      <x:c r="X61" s="126" t="n">
        <x:f>Assumptions!$C$57*POWER(1+Assumptions!$C$61,INT((X$6-1)/3))</x:f>
        <x:v>8609.11705797409</x:v>
      </x:c>
      <x:c r="Y61" s="126" t="n">
        <x:f>Assumptions!$C$57*POWER(1+Assumptions!$C$61,INT((Y$6-1)/3))</x:f>
        <x:v>8609.11705797409</x:v>
      </x:c>
      <x:c r="Z61" s="126" t="n">
        <x:f>Assumptions!$C$57*POWER(1+Assumptions!$C$61,INT((Z$6-1)/3))</x:f>
        <x:v>8609.11705797409</x:v>
      </x:c>
      <x:c r="AA61" s="126" t="n">
        <x:f>Assumptions!$C$57*POWER(1+Assumptions!$C$61,INT((AA$6-1)/3))</x:f>
        <x:v>8867.390569713312</x:v>
      </x:c>
      <x:c r="AB61" s="126" t="n">
        <x:f>Assumptions!$C$57*POWER(1+Assumptions!$C$61,INT((AB$6-1)/3))</x:f>
        <x:v>8867.390569713312</x:v>
      </x:c>
      <x:c r="AC61" s="126" t="n">
        <x:f>Assumptions!$C$57*POWER(1+Assumptions!$C$61,INT((AC$6-1)/3))</x:f>
        <x:v>8867.390569713312</x:v>
      </x:c>
      <x:c r="AD61" s="126" t="n">
        <x:f>Assumptions!$C$57*POWER(1+Assumptions!$C$61,INT((AD$6-1)/3))</x:f>
        <x:v>9133.41228680471</x:v>
      </x:c>
      <x:c r="AE61" s="126" t="n">
        <x:f>Assumptions!$C$57*POWER(1+Assumptions!$C$61,INT((AE$6-1)/3))</x:f>
        <x:v>9133.41228680471</x:v>
      </x:c>
      <x:c r="AF61" s="126" t="n">
        <x:f>Assumptions!$C$57*POWER(1+Assumptions!$C$61,INT((AF$6-1)/3))</x:f>
        <x:v>9133.41228680471</x:v>
      </x:c>
      <x:c r="AG61" s="126" t="n">
        <x:f>Assumptions!$C$57*POWER(1+Assumptions!$C$61,INT((AG$6-1)/3))</x:f>
        <x:v>9407.414655408853</x:v>
      </x:c>
      <x:c r="AH61" s="126" t="n">
        <x:f>Assumptions!$C$57*POWER(1+Assumptions!$C$61,INT((AH$6-1)/3))</x:f>
        <x:v>9407.414655408853</x:v>
      </x:c>
      <x:c r="AI61" s="126" t="n">
        <x:f>Assumptions!$C$57*POWER(1+Assumptions!$C$61,INT((AI$6-1)/3))</x:f>
        <x:v>9407.414655408853</x:v>
      </x:c>
      <x:c r="AJ61" s="126" t="n">
        <x:f>Assumptions!$C$57*POWER(1+Assumptions!$C$61,INT((AJ$6-1)/3))</x:f>
        <x:v>9689.637095071119</x:v>
      </x:c>
      <x:c r="AK61" s="126" t="n">
        <x:f>Assumptions!$C$57*POWER(1+Assumptions!$C$61,INT((AK$6-1)/3))</x:f>
        <x:v>9689.637095071119</x:v>
      </x:c>
      <x:c r="AL61" s="127" t="n">
        <x:f>Assumptions!$C$57*POWER(1+Assumptions!$C$61,INT((AL$6-1)/3))</x:f>
        <x:v>9689.637095071119</x:v>
      </x:c>
    </x:row>
    <x:row r="62">
      <x:c r="A62" s="49" t="str">
        <x:v>Legal, security, and compliance</x:v>
      </x:c>
      <x:c r="B62" s="50" t="str">
        <x:v>$</x:v>
      </x:c>
      <x:c r="C62" s="126" t="n">
        <x:f>Assumptions!$C$58*POWER(1+Assumptions!$C$61,INT((C$6-1)/3))</x:f>
        <x:v>5000</x:v>
      </x:c>
      <x:c r="D62" s="126" t="n">
        <x:f>Assumptions!$C$58*POWER(1+Assumptions!$C$61,INT((D$6-1)/3))</x:f>
        <x:v>5000</x:v>
      </x:c>
      <x:c r="E62" s="126" t="n">
        <x:f>Assumptions!$C$58*POWER(1+Assumptions!$C$61,INT((E$6-1)/3))</x:f>
        <x:v>5000</x:v>
      </x:c>
      <x:c r="F62" s="126" t="n">
        <x:f>Assumptions!$C$58*POWER(1+Assumptions!$C$61,INT((F$6-1)/3))</x:f>
        <x:v>5150</x:v>
      </x:c>
      <x:c r="G62" s="126" t="n">
        <x:f>Assumptions!$C$58*POWER(1+Assumptions!$C$61,INT((G$6-1)/3))</x:f>
        <x:v>5150</x:v>
      </x:c>
      <x:c r="H62" s="126" t="n">
        <x:f>Assumptions!$C$58*POWER(1+Assumptions!$C$61,INT((H$6-1)/3))</x:f>
        <x:v>5150</x:v>
      </x:c>
      <x:c r="I62" s="126" t="n">
        <x:f>Assumptions!$C$58*POWER(1+Assumptions!$C$61,INT((I$6-1)/3))</x:f>
        <x:v>5304.5</x:v>
      </x:c>
      <x:c r="J62" s="126" t="n">
        <x:f>Assumptions!$C$58*POWER(1+Assumptions!$C$61,INT((J$6-1)/3))</x:f>
        <x:v>5304.5</x:v>
      </x:c>
      <x:c r="K62" s="126" t="n">
        <x:f>Assumptions!$C$58*POWER(1+Assumptions!$C$61,INT((K$6-1)/3))</x:f>
        <x:v>5304.5</x:v>
      </x:c>
      <x:c r="L62" s="126" t="n">
        <x:f>Assumptions!$C$58*POWER(1+Assumptions!$C$61,INT((L$6-1)/3))</x:f>
        <x:v>5463.635</x:v>
      </x:c>
      <x:c r="M62" s="126" t="n">
        <x:f>Assumptions!$C$58*POWER(1+Assumptions!$C$61,INT((M$6-1)/3))</x:f>
        <x:v>5463.635</x:v>
      </x:c>
      <x:c r="N62" s="126" t="n">
        <x:f>Assumptions!$C$58*POWER(1+Assumptions!$C$61,INT((N$6-1)/3))</x:f>
        <x:v>5463.635</x:v>
      </x:c>
      <x:c r="O62" s="126" t="n">
        <x:f>Assumptions!$C$58*POWER(1+Assumptions!$C$61,INT((O$6-1)/3))</x:f>
        <x:v>5627.5440499999995</x:v>
      </x:c>
      <x:c r="P62" s="126" t="n">
        <x:f>Assumptions!$C$58*POWER(1+Assumptions!$C$61,INT((P$6-1)/3))</x:f>
        <x:v>5627.5440499999995</x:v>
      </x:c>
      <x:c r="Q62" s="126" t="n">
        <x:f>Assumptions!$C$58*POWER(1+Assumptions!$C$61,INT((Q$6-1)/3))</x:f>
        <x:v>5627.5440499999995</x:v>
      </x:c>
      <x:c r="R62" s="126" t="n">
        <x:f>Assumptions!$C$58*POWER(1+Assumptions!$C$61,INT((R$6-1)/3))</x:f>
        <x:v>5796.370371499999</x:v>
      </x:c>
      <x:c r="S62" s="126" t="n">
        <x:f>Assumptions!$C$58*POWER(1+Assumptions!$C$61,INT((S$6-1)/3))</x:f>
        <x:v>5796.370371499999</x:v>
      </x:c>
      <x:c r="T62" s="126" t="n">
        <x:f>Assumptions!$C$58*POWER(1+Assumptions!$C$61,INT((T$6-1)/3))</x:f>
        <x:v>5796.370371499999</x:v>
      </x:c>
      <x:c r="U62" s="126" t="n">
        <x:f>Assumptions!$C$58*POWER(1+Assumptions!$C$61,INT((U$6-1)/3))</x:f>
        <x:v>5970.261482645</x:v>
      </x:c>
      <x:c r="V62" s="126" t="n">
        <x:f>Assumptions!$C$58*POWER(1+Assumptions!$C$61,INT((V$6-1)/3))</x:f>
        <x:v>5970.261482645</x:v>
      </x:c>
      <x:c r="W62" s="126" t="n">
        <x:f>Assumptions!$C$58*POWER(1+Assumptions!$C$61,INT((W$6-1)/3))</x:f>
        <x:v>5970.261482645</x:v>
      </x:c>
      <x:c r="X62" s="126" t="n">
        <x:f>Assumptions!$C$58*POWER(1+Assumptions!$C$61,INT((X$6-1)/3))</x:f>
        <x:v>6149.36932712435</x:v>
      </x:c>
      <x:c r="Y62" s="126" t="n">
        <x:f>Assumptions!$C$58*POWER(1+Assumptions!$C$61,INT((Y$6-1)/3))</x:f>
        <x:v>6149.36932712435</x:v>
      </x:c>
      <x:c r="Z62" s="126" t="n">
        <x:f>Assumptions!$C$58*POWER(1+Assumptions!$C$61,INT((Z$6-1)/3))</x:f>
        <x:v>6149.36932712435</x:v>
      </x:c>
      <x:c r="AA62" s="126" t="n">
        <x:f>Assumptions!$C$58*POWER(1+Assumptions!$C$61,INT((AA$6-1)/3))</x:f>
        <x:v>6333.85040693808</x:v>
      </x:c>
      <x:c r="AB62" s="126" t="n">
        <x:f>Assumptions!$C$58*POWER(1+Assumptions!$C$61,INT((AB$6-1)/3))</x:f>
        <x:v>6333.85040693808</x:v>
      </x:c>
      <x:c r="AC62" s="126" t="n">
        <x:f>Assumptions!$C$58*POWER(1+Assumptions!$C$61,INT((AC$6-1)/3))</x:f>
        <x:v>6333.85040693808</x:v>
      </x:c>
      <x:c r="AD62" s="126" t="n">
        <x:f>Assumptions!$C$58*POWER(1+Assumptions!$C$61,INT((AD$6-1)/3))</x:f>
        <x:v>6523.865919146222</x:v>
      </x:c>
      <x:c r="AE62" s="126" t="n">
        <x:f>Assumptions!$C$58*POWER(1+Assumptions!$C$61,INT((AE$6-1)/3))</x:f>
        <x:v>6523.865919146222</x:v>
      </x:c>
      <x:c r="AF62" s="126" t="n">
        <x:f>Assumptions!$C$58*POWER(1+Assumptions!$C$61,INT((AF$6-1)/3))</x:f>
        <x:v>6523.865919146222</x:v>
      </x:c>
      <x:c r="AG62" s="126" t="n">
        <x:f>Assumptions!$C$58*POWER(1+Assumptions!$C$61,INT((AG$6-1)/3))</x:f>
        <x:v>6719.581896720609</x:v>
      </x:c>
      <x:c r="AH62" s="126" t="n">
        <x:f>Assumptions!$C$58*POWER(1+Assumptions!$C$61,INT((AH$6-1)/3))</x:f>
        <x:v>6719.581896720609</x:v>
      </x:c>
      <x:c r="AI62" s="126" t="n">
        <x:f>Assumptions!$C$58*POWER(1+Assumptions!$C$61,INT((AI$6-1)/3))</x:f>
        <x:v>6719.581896720609</x:v>
      </x:c>
      <x:c r="AJ62" s="126" t="n">
        <x:f>Assumptions!$C$58*POWER(1+Assumptions!$C$61,INT((AJ$6-1)/3))</x:f>
        <x:v>6921.169353622227</x:v>
      </x:c>
      <x:c r="AK62" s="126" t="n">
        <x:f>Assumptions!$C$58*POWER(1+Assumptions!$C$61,INT((AK$6-1)/3))</x:f>
        <x:v>6921.169353622227</x:v>
      </x:c>
      <x:c r="AL62" s="127" t="n">
        <x:f>Assumptions!$C$58*POWER(1+Assumptions!$C$61,INT((AL$6-1)/3))</x:f>
        <x:v>6921.169353622227</x:v>
      </x:c>
    </x:row>
    <x:row r="63">
      <x:c r="A63" s="49" t="str">
        <x:v>Fixed marketing</x:v>
      </x:c>
      <x:c r="B63" s="50" t="str">
        <x:v>$</x:v>
      </x:c>
      <x:c r="C63" s="126" t="n">
        <x:f>Assumptions!$C$59*POWER(1+Assumptions!$C$61,INT((C$6-1)/3))</x:f>
        <x:v>5000</x:v>
      </x:c>
      <x:c r="D63" s="126" t="n">
        <x:f>Assumptions!$C$59*POWER(1+Assumptions!$C$61,INT((D$6-1)/3))</x:f>
        <x:v>5000</x:v>
      </x:c>
      <x:c r="E63" s="126" t="n">
        <x:f>Assumptions!$C$59*POWER(1+Assumptions!$C$61,INT((E$6-1)/3))</x:f>
        <x:v>5000</x:v>
      </x:c>
      <x:c r="F63" s="126" t="n">
        <x:f>Assumptions!$C$59*POWER(1+Assumptions!$C$61,INT((F$6-1)/3))</x:f>
        <x:v>5150</x:v>
      </x:c>
      <x:c r="G63" s="126" t="n">
        <x:f>Assumptions!$C$59*POWER(1+Assumptions!$C$61,INT((G$6-1)/3))</x:f>
        <x:v>5150</x:v>
      </x:c>
      <x:c r="H63" s="126" t="n">
        <x:f>Assumptions!$C$59*POWER(1+Assumptions!$C$61,INT((H$6-1)/3))</x:f>
        <x:v>5150</x:v>
      </x:c>
      <x:c r="I63" s="126" t="n">
        <x:f>Assumptions!$C$59*POWER(1+Assumptions!$C$61,INT((I$6-1)/3))</x:f>
        <x:v>5304.5</x:v>
      </x:c>
      <x:c r="J63" s="126" t="n">
        <x:f>Assumptions!$C$59*POWER(1+Assumptions!$C$61,INT((J$6-1)/3))</x:f>
        <x:v>5304.5</x:v>
      </x:c>
      <x:c r="K63" s="126" t="n">
        <x:f>Assumptions!$C$59*POWER(1+Assumptions!$C$61,INT((K$6-1)/3))</x:f>
        <x:v>5304.5</x:v>
      </x:c>
      <x:c r="L63" s="126" t="n">
        <x:f>Assumptions!$C$59*POWER(1+Assumptions!$C$61,INT((L$6-1)/3))</x:f>
        <x:v>5463.635</x:v>
      </x:c>
      <x:c r="M63" s="126" t="n">
        <x:f>Assumptions!$C$59*POWER(1+Assumptions!$C$61,INT((M$6-1)/3))</x:f>
        <x:v>5463.635</x:v>
      </x:c>
      <x:c r="N63" s="126" t="n">
        <x:f>Assumptions!$C$59*POWER(1+Assumptions!$C$61,INT((N$6-1)/3))</x:f>
        <x:v>5463.635</x:v>
      </x:c>
      <x:c r="O63" s="126" t="n">
        <x:f>Assumptions!$C$59*POWER(1+Assumptions!$C$61,INT((O$6-1)/3))</x:f>
        <x:v>5627.5440499999995</x:v>
      </x:c>
      <x:c r="P63" s="126" t="n">
        <x:f>Assumptions!$C$59*POWER(1+Assumptions!$C$61,INT((P$6-1)/3))</x:f>
        <x:v>5627.5440499999995</x:v>
      </x:c>
      <x:c r="Q63" s="126" t="n">
        <x:f>Assumptions!$C$59*POWER(1+Assumptions!$C$61,INT((Q$6-1)/3))</x:f>
        <x:v>5627.5440499999995</x:v>
      </x:c>
      <x:c r="R63" s="126" t="n">
        <x:f>Assumptions!$C$59*POWER(1+Assumptions!$C$61,INT((R$6-1)/3))</x:f>
        <x:v>5796.370371499999</x:v>
      </x:c>
      <x:c r="S63" s="126" t="n">
        <x:f>Assumptions!$C$59*POWER(1+Assumptions!$C$61,INT((S$6-1)/3))</x:f>
        <x:v>5796.370371499999</x:v>
      </x:c>
      <x:c r="T63" s="126" t="n">
        <x:f>Assumptions!$C$59*POWER(1+Assumptions!$C$61,INT((T$6-1)/3))</x:f>
        <x:v>5796.370371499999</x:v>
      </x:c>
      <x:c r="U63" s="126" t="n">
        <x:f>Assumptions!$C$59*POWER(1+Assumptions!$C$61,INT((U$6-1)/3))</x:f>
        <x:v>5970.261482645</x:v>
      </x:c>
      <x:c r="V63" s="126" t="n">
        <x:f>Assumptions!$C$59*POWER(1+Assumptions!$C$61,INT((V$6-1)/3))</x:f>
        <x:v>5970.261482645</x:v>
      </x:c>
      <x:c r="W63" s="126" t="n">
        <x:f>Assumptions!$C$59*POWER(1+Assumptions!$C$61,INT((W$6-1)/3))</x:f>
        <x:v>5970.261482645</x:v>
      </x:c>
      <x:c r="X63" s="126" t="n">
        <x:f>Assumptions!$C$59*POWER(1+Assumptions!$C$61,INT((X$6-1)/3))</x:f>
        <x:v>6149.36932712435</x:v>
      </x:c>
      <x:c r="Y63" s="126" t="n">
        <x:f>Assumptions!$C$59*POWER(1+Assumptions!$C$61,INT((Y$6-1)/3))</x:f>
        <x:v>6149.36932712435</x:v>
      </x:c>
      <x:c r="Z63" s="126" t="n">
        <x:f>Assumptions!$C$59*POWER(1+Assumptions!$C$61,INT((Z$6-1)/3))</x:f>
        <x:v>6149.36932712435</x:v>
      </x:c>
      <x:c r="AA63" s="126" t="n">
        <x:f>Assumptions!$C$59*POWER(1+Assumptions!$C$61,INT((AA$6-1)/3))</x:f>
        <x:v>6333.85040693808</x:v>
      </x:c>
      <x:c r="AB63" s="126" t="n">
        <x:f>Assumptions!$C$59*POWER(1+Assumptions!$C$61,INT((AB$6-1)/3))</x:f>
        <x:v>6333.85040693808</x:v>
      </x:c>
      <x:c r="AC63" s="126" t="n">
        <x:f>Assumptions!$C$59*POWER(1+Assumptions!$C$61,INT((AC$6-1)/3))</x:f>
        <x:v>6333.85040693808</x:v>
      </x:c>
      <x:c r="AD63" s="126" t="n">
        <x:f>Assumptions!$C$59*POWER(1+Assumptions!$C$61,INT((AD$6-1)/3))</x:f>
        <x:v>6523.865919146222</x:v>
      </x:c>
      <x:c r="AE63" s="126" t="n">
        <x:f>Assumptions!$C$59*POWER(1+Assumptions!$C$61,INT((AE$6-1)/3))</x:f>
        <x:v>6523.865919146222</x:v>
      </x:c>
      <x:c r="AF63" s="126" t="n">
        <x:f>Assumptions!$C$59*POWER(1+Assumptions!$C$61,INT((AF$6-1)/3))</x:f>
        <x:v>6523.865919146222</x:v>
      </x:c>
      <x:c r="AG63" s="126" t="n">
        <x:f>Assumptions!$C$59*POWER(1+Assumptions!$C$61,INT((AG$6-1)/3))</x:f>
        <x:v>6719.581896720609</x:v>
      </x:c>
      <x:c r="AH63" s="126" t="n">
        <x:f>Assumptions!$C$59*POWER(1+Assumptions!$C$61,INT((AH$6-1)/3))</x:f>
        <x:v>6719.581896720609</x:v>
      </x:c>
      <x:c r="AI63" s="126" t="n">
        <x:f>Assumptions!$C$59*POWER(1+Assumptions!$C$61,INT((AI$6-1)/3))</x:f>
        <x:v>6719.581896720609</x:v>
      </x:c>
      <x:c r="AJ63" s="126" t="n">
        <x:f>Assumptions!$C$59*POWER(1+Assumptions!$C$61,INT((AJ$6-1)/3))</x:f>
        <x:v>6921.169353622227</x:v>
      </x:c>
      <x:c r="AK63" s="126" t="n">
        <x:f>Assumptions!$C$59*POWER(1+Assumptions!$C$61,INT((AK$6-1)/3))</x:f>
        <x:v>6921.169353622227</x:v>
      </x:c>
      <x:c r="AL63" s="127" t="n">
        <x:f>Assumptions!$C$59*POWER(1+Assumptions!$C$61,INT((AL$6-1)/3))</x:f>
        <x:v>6921.169353622227</x:v>
      </x:c>
    </x:row>
    <x:row r="64">
      <x:c r="A64" s="49" t="str">
        <x:v>Variable marketing</x:v>
      </x:c>
      <x:c r="B64" s="50" t="str">
        <x:v>$</x:v>
      </x:c>
      <x:c r="C64" s="126" t="n">
        <x:f>C43*Assumptions!$C$60</x:f>
        <x:v>814.6875000000002</x:v>
      </x:c>
      <x:c r="D64" s="126" t="n">
        <x:f>D43*Assumptions!$C$60</x:f>
        <x:v>1470.2190112500004</x:v>
      </x:c>
      <x:c r="E64" s="126" t="n">
        <x:f>E43*Assumptions!$C$60</x:f>
        <x:v>2033.080325178712</x:v>
      </x:c>
      <x:c r="F64" s="126" t="n">
        <x:f>F43*Assumptions!$C$60</x:f>
        <x:v>2128.3379394636136</x:v>
      </x:c>
      <x:c r="G64" s="126" t="n">
        <x:f>G43*Assumptions!$C$60</x:f>
        <x:v>2625.8484058764534</x:v>
      </x:c>
      <x:c r="H64" s="126" t="n">
        <x:f>H43*Assumptions!$C$60</x:f>
        <x:v>2756.524771473478</x:v>
      </x:c>
      <x:c r="I64" s="126" t="n">
        <x:f>I43*Assumptions!$C$60</x:f>
        <x:v>2894.8944424053107</x:v>
      </x:c>
      <x:c r="J64" s="126" t="n">
        <x:f>J43*Assumptions!$C$60</x:f>
        <x:v>3141.461605061771</x:v>
      </x:c>
      <x:c r="K64" s="126" t="n">
        <x:f>K43*Assumptions!$C$60</x:f>
        <x:v>3301.5493484755166</x:v>
      </x:c>
      <x:c r="L64" s="126" t="n">
        <x:f>L43*Assumptions!$C$60</x:f>
        <x:v>3470.739171447813</x:v>
      </x:c>
      <x:c r="M64" s="126" t="n">
        <x:f>M43*Assumptions!$C$60</x:f>
        <x:v>3649.473464422459</x:v>
      </x:c>
      <x:c r="N64" s="126" t="n">
        <x:f>N43*Assumptions!$C$60</x:f>
        <x:v>3838.347701348483</x:v>
      </x:c>
      <x:c r="O64" s="126" t="n">
        <x:f>O43*Assumptions!$C$60</x:f>
        <x:v>4038.126481184356</x:v>
      </x:c>
      <x:c r="P64" s="126" t="n">
        <x:f>P43*Assumptions!$C$60</x:f>
        <x:v>4249.556817059186</x:v>
      </x:c>
      <x:c r="Q64" s="126" t="n">
        <x:f>Q43*Assumptions!$C$60</x:f>
        <x:v>4473.488639439146</x:v>
      </x:c>
      <x:c r="R64" s="126" t="n">
        <x:f>R43*Assumptions!$C$60</x:f>
        <x:v>4710.848150356225</x:v>
      </x:c>
      <x:c r="S64" s="126" t="n">
        <x:f>S43*Assumptions!$C$60</x:f>
        <x:v>4962.635954148637</x:v>
      </x:c>
      <x:c r="T64" s="126" t="n">
        <x:f>T43*Assumptions!$C$60</x:f>
        <x:v>5229.9442939297915</x:v>
      </x:c>
      <x:c r="U64" s="126" t="n">
        <x:f>U43*Assumptions!$C$60</x:f>
        <x:v>5513.963393358607</x:v>
      </x:c>
      <x:c r="V64" s="126" t="n">
        <x:f>V43*Assumptions!$C$60</x:f>
        <x:v>5795.301543704692</x:v>
      </x:c>
      <x:c r="W64" s="126" t="n">
        <x:f>W43*Assumptions!$C$60</x:f>
        <x:v>6067.848518395221</x:v>
      </x:c>
      <x:c r="X64" s="126" t="n">
        <x:f>X43*Assumptions!$C$60</x:f>
        <x:v>6334.82232071595</x:v>
      </x:c>
      <x:c r="Y64" s="126" t="n">
        <x:f>Y43*Assumptions!$C$60</x:f>
        <x:v>6608.477541405276</x:v>
      </x:c>
      <x:c r="Z64" s="126" t="n">
        <x:f>Z43*Assumptions!$C$60</x:f>
        <x:v>6884.538582558959</x:v>
      </x:c>
      <x:c r="AA64" s="126" t="n">
        <x:f>AA43*Assumptions!$C$60</x:f>
        <x:v>7167.523395389235</x:v>
      </x:c>
      <x:c r="AB64" s="126" t="n">
        <x:f>AB43*Assumptions!$C$60</x:f>
        <x:v>7461.972816197904</x:v>
      </x:c>
      <x:c r="AC64" s="126" t="n">
        <x:f>AC43*Assumptions!$C$60</x:f>
        <x:v>7765.836306209218</x:v>
      </x:c>
      <x:c r="AD64" s="126" t="n">
        <x:f>AD43*Assumptions!$C$60</x:f>
        <x:v>8080.610241977825</x:v>
      </x:c>
      <x:c r="AE64" s="126" t="n">
        <x:f>AE43*Assumptions!$C$60</x:f>
        <x:v>8407.809515836369</x:v>
      </x:c>
      <x:c r="AF64" s="126" t="n">
        <x:f>AF43*Assumptions!$C$60</x:f>
        <x:v>8747.937766082074</x:v>
      </x:c>
      <x:c r="AG64" s="126" t="n">
        <x:f>AG43*Assumptions!$C$60</x:f>
        <x:v>9101.518511553119</x:v>
      </x:c>
      <x:c r="AH64" s="126" t="n">
        <x:f>AH43*Assumptions!$C$60</x:f>
        <x:v>9469.095957449894</x:v>
      </x:c>
      <x:c r="AI64" s="126" t="n">
        <x:f>AI43*Assumptions!$C$60</x:f>
        <x:v>9851.235832965154</x:v>
      </x:c>
      <x:c r="AJ64" s="126" t="n">
        <x:f>AJ43*Assumptions!$C$60</x:f>
        <x:v>10248.526262012336</x:v>
      </x:c>
      <x:c r="AK64" s="126" t="n">
        <x:f>AK43*Assumptions!$C$60</x:f>
        <x:v>10661.578668392263</x:v>
      </x:c>
      <x:c r="AL64" s="127" t="n">
        <x:f>AL43*Assumptions!$C$60</x:f>
        <x:v>11091.028716791407</x:v>
      </x:c>
    </x:row>
    <x:row r="65">
      <x:c r="A65" s="142" t="str">
        <x:v>Total operating expenses</x:v>
      </x:c>
      <x:c r="B65" s="143" t="str">
        <x:v>$</x:v>
      </x:c>
      <x:c r="C65" s="154" t="n">
        <x:f>SUM(C59:C64)</x:f>
        <x:v>74814.6875</x:v>
      </x:c>
      <x:c r="D65" s="154" t="n">
        <x:f>SUM(D59:D64)</x:f>
        <x:v>75470.21901125</x:v>
      </x:c>
      <x:c r="E65" s="154" t="n">
        <x:f>SUM(E59:E64)</x:f>
        <x:v>76033.08032517871</x:v>
      </x:c>
      <x:c r="F65" s="154" t="n">
        <x:f>SUM(F59:F64)</x:f>
        <x:v>78348.33793946361</x:v>
      </x:c>
      <x:c r="G65" s="154" t="n">
        <x:f>SUM(G59:G64)</x:f>
        <x:v>78845.84840587646</x:v>
      </x:c>
      <x:c r="H65" s="154" t="n">
        <x:f>SUM(H59:H64)</x:f>
        <x:v>78976.52477147347</x:v>
      </x:c>
      <x:c r="I65" s="154" t="n">
        <x:f>SUM(I59:I64)</x:f>
        <x:v>81401.49444240531</x:v>
      </x:c>
      <x:c r="J65" s="154" t="n">
        <x:f>SUM(J59:J64)</x:f>
        <x:v>81648.06160506178</x:v>
      </x:c>
      <x:c r="K65" s="154" t="n">
        <x:f>SUM(K59:K64)</x:f>
        <x:v>81808.14934847552</x:v>
      </x:c>
      <x:c r="L65" s="154" t="n">
        <x:f>SUM(L59:L64)</x:f>
        <x:v>84332.5371714478</x:v>
      </x:c>
      <x:c r="M65" s="154" t="n">
        <x:f>SUM(M59:M64)</x:f>
        <x:v>84511.27146442243</x:v>
      </x:c>
      <x:c r="N65" s="154" t="n">
        <x:f>SUM(N59:N64)</x:f>
        <x:v>84700.14570134846</x:v>
      </x:c>
      <x:c r="O65" s="154" t="n">
        <x:f>SUM(O59:O64)</x:f>
        <x:v>87325.77842118434</x:v>
      </x:c>
      <x:c r="P65" s="154" t="n">
        <x:f>SUM(P59:P64)</x:f>
        <x:v>87537.20875705917</x:v>
      </x:c>
      <x:c r="Q65" s="154" t="n">
        <x:f>SUM(Q59:Q64)</x:f>
        <x:v>87761.14057943913</x:v>
      </x:c>
      <x:c r="R65" s="154" t="n">
        <x:f>SUM(R59:R64)</x:f>
        <x:v>90497.1296485562</x:v>
      </x:c>
      <x:c r="S65" s="154" t="n">
        <x:f>SUM(S59:S64)</x:f>
        <x:v>90748.91745234861</x:v>
      </x:c>
      <x:c r="T65" s="154" t="n">
        <x:f>SUM(T59:T64)</x:f>
        <x:v>91016.22579212977</x:v>
      </x:c>
      <x:c r="U65" s="154" t="n">
        <x:f>SUM(U59:U64)</x:f>
        <x:v>93873.8333365046</x:v>
      </x:c>
      <x:c r="V65" s="154" t="n">
        <x:f>SUM(V59:V64)</x:f>
        <x:v>94155.17148685068</x:v>
      </x:c>
      <x:c r="W65" s="154" t="n">
        <x:f>SUM(W59:W64)</x:f>
        <x:v>94427.71846154121</x:v>
      </x:c>
      <x:c r="X65" s="154" t="n">
        <x:f>SUM(X59:X64)</x:f>
        <x:v>97345.48836215633</x:v>
      </x:c>
      <x:c r="Y65" s="154" t="n">
        <x:f>SUM(Y59:Y64)</x:f>
        <x:v>97619.14358284566</x:v>
      </x:c>
      <x:c r="Z65" s="154" t="n">
        <x:f>SUM(Z59:Z64)</x:f>
        <x:v>97895.20462399935</x:v>
      </x:c>
      <x:c r="AA65" s="154" t="n">
        <x:f>SUM(AA59:AA64)</x:f>
        <x:v>100908.50941807282</x:v>
      </x:c>
      <x:c r="AB65" s="154" t="n">
        <x:f>SUM(AB59:AB64)</x:f>
        <x:v>101202.95883888149</x:v>
      </x:c>
      <x:c r="AC65" s="154" t="n">
        <x:f>SUM(AC59:AC64)</x:f>
        <x:v>101506.8223288928</x:v>
      </x:c>
      <x:c r="AD65" s="154" t="n">
        <x:f>SUM(AD59:AD64)</x:f>
        <x:v>104633.82584534193</x:v>
      </x:c>
      <x:c r="AE65" s="154" t="n">
        <x:f>SUM(AE59:AE64)</x:f>
        <x:v>104961.02511920047</x:v>
      </x:c>
      <x:c r="AF65" s="154" t="n">
        <x:f>SUM(AF59:AF64)</x:f>
        <x:v>105301.15336944617</x:v>
      </x:c>
      <x:c r="AG65" s="154" t="n">
        <x:f>SUM(AG59:AG64)</x:f>
        <x:v>108551.33058301813</x:v>
      </x:c>
      <x:c r="AH65" s="154" t="n">
        <x:f>SUM(AH59:AH64)</x:f>
        <x:v>108918.90802891491</x:v>
      </x:c>
      <x:c r="AI65" s="154" t="n">
        <x:f>SUM(AI59:AI64)</x:f>
        <x:v>109301.04790443016</x:v>
      </x:c>
      <x:c r="AJ65" s="154" t="n">
        <x:f>SUM(AJ59:AJ64)</x:f>
        <x:v>112681.8326956213</x:v>
      </x:c>
      <x:c r="AK65" s="154" t="n">
        <x:f>SUM(AK59:AK64)</x:f>
        <x:v>113094.88510200122</x:v>
      </x:c>
      <x:c r="AL65" s="155" t="n">
        <x:f>SUM(AL59:AL64)</x:f>
        <x:v>113524.33515040037</x:v>
      </x:c>
    </x:row>
    <x:row r="66">
      <x:c r="A66" s="142" t="str">
        <x:v>EBITDA</x:v>
      </x:c>
      <x:c r="B66" s="143" t="str">
        <x:v>$</x:v>
      </x:c>
      <x:c r="C66" s="154" t="n">
        <x:f>C55-C65</x:f>
        <x:v>-63264.6875</x:v>
      </x:c>
      <x:c r="D66" s="154" t="n">
        <x:f>D55-D65</x:f>
        <x:v>-55355.00961124999</x:v>
      </x:c>
      <x:c r="E66" s="154" t="n">
        <x:f>E55-E65</x:f>
        <x:v>-49048.672363467864</x:v>
      </x:c>
      <x:c r="F66" s="154" t="n">
        <x:f>F55-F65</x:f>
        <x:v>-50097.79657976753</x:v>
      </x:c>
      <x:c r="G66" s="154" t="n">
        <x:f>G55-G65</x:f>
        <x:v>-44891.06345749294</x:v>
      </x:c>
      <x:c r="H66" s="154" t="n">
        <x:f>H55-H65</x:f>
        <x:v>-43315.00907541592</x:v>
      </x:c>
      <x:c r="I66" s="154" t="n">
        <x:f>I55-I65</x:f>
        <x:v>-43934.491419310645</x:v>
      </x:c>
      <x:c r="J66" s="154" t="n">
        <x:f>J55-J65</x:f>
        <x:v>-41263.28879102529</x:v>
      </x:c>
      <x:c r="K66" s="154" t="n">
        <x:f>K55-K65</x:f>
        <x:v>-39346.337963274535</x:v>
      </x:c>
      <x:c r="L66" s="154" t="n">
        <x:f>L55-L65</x:f>
        <x:v>-39676.8181774658</x:v>
      </x:c>
      <x:c r="M66" s="154" t="n">
        <x:f>M55-M65</x:f>
        <x:v>-37538.62689931526</x:v>
      </x:c>
      <x:c r="N66" s="154" t="n">
        <x:f>N55-N65</x:f>
        <x:v>-35279.648076788515</x:v>
      </x:c>
      <x:c r="O66" s="154" t="n">
        <x:f>O55-O65</x:f>
        <x:v>-35316.69341300278</x:v>
      </x:c>
      <x:c r="P66" s="154" t="n">
        <x:f>P55-P65</x:f>
        <x:v>-32789.017262919115</x:v>
      </x:c>
      <x:c r="Q66" s="154" t="n">
        <x:f>Q55-Q65</x:f>
        <x:v>-30112.302020845054</x:v>
      </x:c>
      <x:c r="R66" s="154" t="n">
        <x:f>R55-R65</x:f>
        <x:v>-29774.10211757097</x:v>
      </x:c>
      <x:c r="S66" s="154" t="n">
        <x:f>S55-S65</x:f>
        <x:v>-26765.17481326063</x:v>
      </x:c>
      <x:c r="T66" s="154" t="n">
        <x:f>T55-T65</x:f>
        <x:v>-23571.077420705682</x:v>
      </x:c>
      <x:c r="U66" s="154" t="n">
        <x:f>U55-U65</x:f>
        <x:v>-22751.152833556916</x:v>
      </x:c>
      <x:c r="V66" s="154" t="n">
        <x:f>V55-V65</x:f>
        <x:v>-19415.3211962012</x:v>
      </x:c>
      <x:c r="W66" s="154" t="n">
        <x:f>W55-W65</x:f>
        <x:v>-16200.89982364011</x:v>
      </x:c>
      <x:c r="X66" s="154" t="n">
        <x:f>X55-X65</x:f>
        <x:v>-15698.099504795246</x:v>
      </x:c>
      <x:c r="Y66" s="154" t="n">
        <x:f>Y55-Y65</x:f>
        <x:v>-12463.893498309844</x:v>
      </x:c>
      <x:c r="Z66" s="154" t="n">
        <x:f>Z55-Z65</x:f>
        <x:v>-9185.862498951246</x:v>
      </x:c>
      <x:c r="AA66" s="154" t="n">
        <x:f>AA55-AA65</x:f>
        <x:v>-8548.898906509363</x:v>
      </x:c>
      <x:c r="AB66" s="154" t="n">
        <x:f>AB55-AB65</x:f>
        <x:v>-5046.404255296089</x:v>
      </x:c>
      <x:c r="AC66" s="154" t="n">
        <x:f>AC55-AC65</x:f>
        <x:v>-1426.0069677952997</x:v>
      </x:c>
      <x:c r="AD66" s="154" t="n">
        <x:f>AD55-AD65</x:f>
        <x:v>-485.1863268848101</x:v>
      </x:c>
      <x:c r="AE66" s="154" t="n">
        <x:f>AE55-AE65</x:f>
        <x:v>3415.567861194053</x:v>
      </x:c>
      <x:c r="AF66" s="154" t="n">
        <x:f>AF55-AF65</x:f>
        <x:v>7470.030896115233</x:v>
      </x:c>
      <x:c r="AG66" s="154" t="n">
        <x:f>AG55-AG65</x:f>
        <x:v>8787.847516478825</x:v>
      </x:c>
      <x:c r="AH66" s="154" t="n">
        <x:f>AH55-AH65</x:f>
        <x:v>13168.697799342452</x:v>
      </x:c>
      <x:c r="AI66" s="154" t="n">
        <x:f>AI55-AI65</x:f>
        <x:v>17722.728337546825</x:v>
      </x:c>
      <x:c r="AJ66" s="154" t="n">
        <x:f>AJ55-AJ65</x:f>
        <x:v>19473.454129400547</x:v>
      </x:c>
      <x:c r="AK66" s="154" t="n">
        <x:f>AK55-AK65</x:f>
        <x:v>24395.150348052644</x:v>
      </x:c>
      <x:c r="AL66" s="155" t="n">
        <x:f>AL55-AL65</x:f>
        <x:v>29511.897383605523</x:v>
      </x:c>
    </x:row>
    <x:row r="67">
      <x:c r="A67" s="49" t="str">
        <x:v>EBITDA margin</x:v>
      </x:c>
      <x:c r="B67" s="50" t="str">
        <x:v>%</x:v>
      </x:c>
      <x:c r="C67" s="118" t="n">
        <x:f>IFERROR(C66/C43,0)</x:f>
        <x:v>-3.882757959340237</x:v>
      </x:c>
      <x:c r="D67" s="118" t="n">
        <x:f>IFERROR(D66/D43,0)</x:f>
        <x:v>-1.8825429812727832</x:v>
      </x:c>
      <x:c r="E67" s="118" t="n">
        <x:f>IFERROR(E66/E43,0)</x:f>
        <x:v>-1.2062649900258218</x:v>
      </x:c>
      <x:c r="F67" s="118" t="n">
        <x:f>IFERROR(F66/F43,0)</x:f>
        <x:v>-1.1769229794492422</x:v>
      </x:c>
      <x:c r="G67" s="118" t="n">
        <x:f>IFERROR(G66/G43,0)</x:f>
        <x:v>-0.8547916048205618</x:v>
      </x:c>
      <x:c r="H67" s="118" t="n">
        <x:f>IFERROR(H66/H43,0)</x:f>
        <x:v>-0.7856814769754861</x:v>
      </x:c>
      <x:c r="I67" s="118" t="n">
        <x:f>IFERROR(I66/I43,0)</x:f>
        <x:v>-0.7588271747623092</x:v>
      </x:c>
      <x:c r="J67" s="118" t="n">
        <x:f>IFERROR(J66/J43,0)</x:f>
        <x:v>-0.6567530337556668</x:v>
      </x:c>
      <x:c r="K67" s="118" t="n">
        <x:f>IFERROR(K66/K43,0)</x:f>
        <x:v>-0.5958768718911112</x:v>
      </x:c>
      <x:c r="L67" s="118" t="n">
        <x:f>IFERROR(L66/L43,0)</x:f>
        <x:v>-0.5715903186253359</x:v>
      </x:c>
      <x:c r="M67" s="118" t="n">
        <x:f>IFERROR(M66/M43,0)</x:f>
        <x:v>-0.5143019570530823</x:v>
      </x:c>
      <x:c r="N67" s="118" t="n">
        <x:f>IFERROR(N66/N43,0)</x:f>
        <x:v>-0.4595681634625508</x:v>
      </x:c>
      <x:c r="O67" s="118" t="n">
        <x:f>IFERROR(O66/O43,0)</x:f>
        <x:v>-0.43729057989591036</x:v>
      </x:c>
      <x:c r="P67" s="118" t="n">
        <x:f>IFERROR(P66/P43,0)</x:f>
        <x:v>-0.3857933741618973</x:v>
      </x:c>
      <x:c r="Q67" s="118" t="n">
        <x:f>IFERROR(Q66/Q43,0)</x:f>
        <x:v>-0.3365639710735951</x:v>
      </x:c>
      <x:c r="R67" s="118" t="n">
        <x:f>IFERROR(R66/R43,0)</x:f>
        <x:v>-0.3160163644344969</x:v>
      </x:c>
      <x:c r="S67" s="118" t="n">
        <x:f>IFERROR(S66/S43,0)</x:f>
        <x:v>-0.2696669175469705</x:v>
      </x:c>
      <x:c r="T67" s="118" t="n">
        <x:f>IFERROR(T66/T43,0)</x:f>
        <x:v>-0.22534730865167904</x:v>
      </x:c>
      <x:c r="U67" s="118" t="n">
        <x:f>IFERROR(U66/U43,0)</x:f>
        <x:v>-0.20630489550365855</x:v>
      </x:c>
      <x:c r="V67" s="118" t="n">
        <x:f>IFERROR(V66/V43,0)</x:f>
        <x:v>-0.16750915418104198</x:v>
      </x:c>
      <x:c r="W67" s="118" t="n">
        <x:f>IFERROR(W66/W43,0)</x:f>
        <x:v>-0.13349789282416696</x:v>
      </x:c>
      <x:c r="X67" s="118" t="n">
        <x:f>IFERROR(X66/X43,0)</x:f>
        <x:v>-0.12390323445584088</x:v>
      </x:c>
      <x:c r="Y67" s="118" t="n">
        <x:f>IFERROR(Y66/Y43,0)</x:f>
        <x:v>-0.094302306546535</x:v>
      </x:c>
      <x:c r="Z67" s="118" t="n">
        <x:f>IFERROR(Z66/Z43,0)</x:f>
        <x:v>-0.06671371210136275</x:v>
      </x:c>
      <x:c r="AA67" s="118" t="n">
        <x:f>IFERROR(AA66/AA43,0)</x:f>
        <x:v>-0.059636351602345296</x:v>
      </x:c>
      <x:c r="AB67" s="118" t="n">
        <x:f>IFERROR(AB66/AB43,0)</x:f>
        <x:v>-0.03381414258399418</x:v>
      </x:c>
      <x:c r="AC67" s="118" t="n">
        <x:f>IFERROR(AC66/AC43,0)</x:f>
        <x:v>-0.009181283969732454</x:v>
      </x:c>
      <x:c r="AD67" s="118" t="n">
        <x:f>IFERROR(AD66/AD43,0)</x:f>
        <x:v>-0.003002163898243253</x:v>
      </x:c>
      <x:c r="AE67" s="118" t="n">
        <x:f>IFERROR(AE66/AE43,0)</x:f>
        <x:v>0.020311877039796904</x:v>
      </x:c>
      <x:c r="AF67" s="118" t="n">
        <x:f>IFERROR(AF66/AF43,0)</x:f>
        <x:v>0.042695953582788375</x:v>
      </x:c>
      <x:c r="AG67" s="118" t="n">
        <x:f>IFERROR(AG66/AG43,0)</x:f>
        <x:v>0.04827682054002235</x:v>
      </x:c>
      <x:c r="AH67" s="118" t="n">
        <x:f>IFERROR(AH66/AH43,0)</x:f>
        <x:v>0.06953513755968364</x:v>
      </x:c>
      <x:c r="AI67" s="118" t="n">
        <x:f>IFERROR(AI66/AI43,0)</x:f>
        <x:v>0.08995180218019613</x:v>
      </x:c>
      <x:c r="AJ67" s="118" t="n">
        <x:f>IFERROR(AJ66/AJ43,0)</x:f>
        <x:v>0.09500611908261268</x:v>
      </x:c>
      <x:c r="AK67" s="118" t="n">
        <x:f>IFERROR(AK66/AK43,0)</x:f>
        <x:v>0.11440683930033492</x:v>
      </x:c>
      <x:c r="AL67" s="119" t="n">
        <x:f>IFERROR(AL66/AL43,0)</x:f>
        <x:v>0.13304400401977864</x:v>
      </x:c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 ht="23" customHeight="1">
      <x:c r="A69" s="416" t="str">
        <x:v>CASH, REINVESTMENT &amp; PROOF ASSETS</x:v>
      </x:c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9" t="str">
        <x:v>Growth reinvestment</x:v>
      </x:c>
      <x:c r="B70" s="50" t="str">
        <x:v>$</x:v>
      </x:c>
      <x:c r="C70" s="126" t="n">
        <x:f>MAX(0,C66)*Assumptions!$C$62</x:f>
        <x:v>0</x:v>
      </x:c>
      <x:c r="D70" s="126" t="n">
        <x:f>MAX(0,D66)*Assumptions!$C$62</x:f>
        <x:v>0</x:v>
      </x:c>
      <x:c r="E70" s="126" t="n">
        <x:f>MAX(0,E66)*Assumptions!$C$62</x:f>
        <x:v>0</x:v>
      </x:c>
      <x:c r="F70" s="126" t="n">
        <x:f>MAX(0,F66)*Assumptions!$C$62</x:f>
        <x:v>0</x:v>
      </x:c>
      <x:c r="G70" s="126" t="n">
        <x:f>MAX(0,G66)*Assumptions!$C$62</x:f>
        <x:v>0</x:v>
      </x:c>
      <x:c r="H70" s="126" t="n">
        <x:f>MAX(0,H66)*Assumptions!$C$62</x:f>
        <x:v>0</x:v>
      </x:c>
      <x:c r="I70" s="126" t="n">
        <x:f>MAX(0,I66)*Assumptions!$C$62</x:f>
        <x:v>0</x:v>
      </x:c>
      <x:c r="J70" s="126" t="n">
        <x:f>MAX(0,J66)*Assumptions!$C$62</x:f>
        <x:v>0</x:v>
      </x:c>
      <x:c r="K70" s="126" t="n">
        <x:f>MAX(0,K66)*Assumptions!$C$62</x:f>
        <x:v>0</x:v>
      </x:c>
      <x:c r="L70" s="126" t="n">
        <x:f>MAX(0,L66)*Assumptions!$C$62</x:f>
        <x:v>0</x:v>
      </x:c>
      <x:c r="M70" s="126" t="n">
        <x:f>MAX(0,M66)*Assumptions!$C$62</x:f>
        <x:v>0</x:v>
      </x:c>
      <x:c r="N70" s="126" t="n">
        <x:f>MAX(0,N66)*Assumptions!$C$62</x:f>
        <x:v>0</x:v>
      </x:c>
      <x:c r="O70" s="126" t="n">
        <x:f>MAX(0,O66)*Assumptions!$C$62</x:f>
        <x:v>0</x:v>
      </x:c>
      <x:c r="P70" s="126" t="n">
        <x:f>MAX(0,P66)*Assumptions!$C$62</x:f>
        <x:v>0</x:v>
      </x:c>
      <x:c r="Q70" s="126" t="n">
        <x:f>MAX(0,Q66)*Assumptions!$C$62</x:f>
        <x:v>0</x:v>
      </x:c>
      <x:c r="R70" s="126" t="n">
        <x:f>MAX(0,R66)*Assumptions!$C$62</x:f>
        <x:v>0</x:v>
      </x:c>
      <x:c r="S70" s="126" t="n">
        <x:f>MAX(0,S66)*Assumptions!$C$62</x:f>
        <x:v>0</x:v>
      </x:c>
      <x:c r="T70" s="126" t="n">
        <x:f>MAX(0,T66)*Assumptions!$C$62</x:f>
        <x:v>0</x:v>
      </x:c>
      <x:c r="U70" s="126" t="n">
        <x:f>MAX(0,U66)*Assumptions!$C$62</x:f>
        <x:v>0</x:v>
      </x:c>
      <x:c r="V70" s="126" t="n">
        <x:f>MAX(0,V66)*Assumptions!$C$62</x:f>
        <x:v>0</x:v>
      </x:c>
      <x:c r="W70" s="126" t="n">
        <x:f>MAX(0,W66)*Assumptions!$C$62</x:f>
        <x:v>0</x:v>
      </x:c>
      <x:c r="X70" s="126" t="n">
        <x:f>MAX(0,X66)*Assumptions!$C$62</x:f>
        <x:v>0</x:v>
      </x:c>
      <x:c r="Y70" s="126" t="n">
        <x:f>MAX(0,Y66)*Assumptions!$C$62</x:f>
        <x:v>0</x:v>
      </x:c>
      <x:c r="Z70" s="126" t="n">
        <x:f>MAX(0,Z66)*Assumptions!$C$62</x:f>
        <x:v>0</x:v>
      </x:c>
      <x:c r="AA70" s="126" t="n">
        <x:f>MAX(0,AA66)*Assumptions!$C$62</x:f>
        <x:v>0</x:v>
      </x:c>
      <x:c r="AB70" s="126" t="n">
        <x:f>MAX(0,AB66)*Assumptions!$C$62</x:f>
        <x:v>0</x:v>
      </x:c>
      <x:c r="AC70" s="126" t="n">
        <x:f>MAX(0,AC66)*Assumptions!$C$62</x:f>
        <x:v>0</x:v>
      </x:c>
      <x:c r="AD70" s="126" t="n">
        <x:f>MAX(0,AD66)*Assumptions!$C$62</x:f>
        <x:v>0</x:v>
      </x:c>
      <x:c r="AE70" s="126" t="n">
        <x:f>MAX(0,AE66)*Assumptions!$C$62</x:f>
        <x:v>512.335179179108</x:v>
      </x:c>
      <x:c r="AF70" s="126" t="n">
        <x:f>MAX(0,AF66)*Assumptions!$C$62</x:f>
        <x:v>1120.504634417285</x:v>
      </x:c>
      <x:c r="AG70" s="126" t="n">
        <x:f>MAX(0,AG66)*Assumptions!$C$62</x:f>
        <x:v>1318.1771274718237</x:v>
      </x:c>
      <x:c r="AH70" s="126" t="n">
        <x:f>MAX(0,AH66)*Assumptions!$C$62</x:f>
        <x:v>1975.3046699013676</x:v>
      </x:c>
      <x:c r="AI70" s="126" t="n">
        <x:f>MAX(0,AI66)*Assumptions!$C$62</x:f>
        <x:v>2658.4092506320235</x:v>
      </x:c>
      <x:c r="AJ70" s="126" t="n">
        <x:f>MAX(0,AJ66)*Assumptions!$C$62</x:f>
        <x:v>2921.018119410082</x:v>
      </x:c>
      <x:c r="AK70" s="126" t="n">
        <x:f>MAX(0,AK66)*Assumptions!$C$62</x:f>
        <x:v>3659.2725522078968</x:v>
      </x:c>
      <x:c r="AL70" s="127" t="n">
        <x:f>MAX(0,AL66)*Assumptions!$C$62</x:f>
        <x:v>4426.784607540828</x:v>
      </x:c>
    </x:row>
    <x:row r="71">
      <x:c r="A71" s="49" t="str">
        <x:v>Capex / capitalized infrastructure</x:v>
      </x:c>
      <x:c r="B71" s="50" t="str">
        <x:v>$</x:v>
      </x:c>
      <x:c r="C71" s="126" t="n">
        <x:f>C43*Assumptions!$C$63</x:f>
        <x:v>162.93750000000003</x:v>
      </x:c>
      <x:c r="D71" s="126" t="n">
        <x:f>D43*Assumptions!$C$63</x:f>
        <x:v>294.0438022500001</x:v>
      </x:c>
      <x:c r="E71" s="126" t="n">
        <x:f>E43*Assumptions!$C$63</x:f>
        <x:v>406.6160650357424</x:v>
      </x:c>
      <x:c r="F71" s="126" t="n">
        <x:f>F43*Assumptions!$C$63</x:f>
        <x:v>425.6675878927227</x:v>
      </x:c>
      <x:c r="G71" s="126" t="n">
        <x:f>G43*Assumptions!$C$63</x:f>
        <x:v>525.1696811752906</x:v>
      </x:c>
      <x:c r="H71" s="126" t="n">
        <x:f>H43*Assumptions!$C$63</x:f>
        <x:v>551.3049542946954</x:v>
      </x:c>
      <x:c r="I71" s="126" t="n">
        <x:f>I43*Assumptions!$C$63</x:f>
        <x:v>578.9788884810621</x:v>
      </x:c>
      <x:c r="J71" s="126" t="n">
        <x:f>J43*Assumptions!$C$63</x:f>
        <x:v>628.2923210123541</x:v>
      </x:c>
      <x:c r="K71" s="126" t="n">
        <x:f>K43*Assumptions!$C$63</x:f>
        <x:v>660.3098696951033</x:v>
      </x:c>
      <x:c r="L71" s="126" t="n">
        <x:f>L43*Assumptions!$C$63</x:f>
        <x:v>694.1478342895626</x:v>
      </x:c>
      <x:c r="M71" s="126" t="n">
        <x:f>M43*Assumptions!$C$63</x:f>
        <x:v>729.8946928844919</x:v>
      </x:c>
      <x:c r="N71" s="126" t="n">
        <x:f>N43*Assumptions!$C$63</x:f>
        <x:v>767.6695402696967</x:v>
      </x:c>
      <x:c r="O71" s="126" t="n">
        <x:f>O43*Assumptions!$C$63</x:f>
        <x:v>807.6252962368712</x:v>
      </x:c>
      <x:c r="P71" s="126" t="n">
        <x:f>P43*Assumptions!$C$63</x:f>
        <x:v>849.9113634118371</x:v>
      </x:c>
      <x:c r="Q71" s="126" t="n">
        <x:f>Q43*Assumptions!$C$63</x:f>
        <x:v>894.6977278878292</x:v>
      </x:c>
      <x:c r="R71" s="126" t="n">
        <x:f>R43*Assumptions!$C$63</x:f>
        <x:v>942.169630071245</x:v>
      </x:c>
      <x:c r="S71" s="126" t="n">
        <x:f>S43*Assumptions!$C$63</x:f>
        <x:v>992.5271908297274</x:v>
      </x:c>
      <x:c r="T71" s="126" t="n">
        <x:f>T43*Assumptions!$C$63</x:f>
        <x:v>1045.9888587859582</x:v>
      </x:c>
      <x:c r="U71" s="126" t="n">
        <x:f>U43*Assumptions!$C$63</x:f>
        <x:v>1102.7926786717214</x:v>
      </x:c>
      <x:c r="V71" s="126" t="n">
        <x:f>V43*Assumptions!$C$63</x:f>
        <x:v>1159.0603087409386</x:v>
      </x:c>
      <x:c r="W71" s="126" t="n">
        <x:f>W43*Assumptions!$C$63</x:f>
        <x:v>1213.569703679044</x:v>
      </x:c>
      <x:c r="X71" s="126" t="n">
        <x:f>X43*Assumptions!$C$63</x:f>
        <x:v>1266.9644641431898</x:v>
      </x:c>
      <x:c r="Y71" s="126" t="n">
        <x:f>Y43*Assumptions!$C$63</x:f>
        <x:v>1321.695508281055</x:v>
      </x:c>
      <x:c r="Z71" s="126" t="n">
        <x:f>Z43*Assumptions!$C$63</x:f>
        <x:v>1376.907716511792</x:v>
      </x:c>
      <x:c r="AA71" s="126" t="n">
        <x:f>AA43*Assumptions!$C$63</x:f>
        <x:v>1433.5046790778467</x:v>
      </x:c>
      <x:c r="AB71" s="126" t="n">
        <x:f>AB43*Assumptions!$C$63</x:f>
        <x:v>1492.3945632395805</x:v>
      </x:c>
      <x:c r="AC71" s="126" t="n">
        <x:f>AC43*Assumptions!$C$63</x:f>
        <x:v>1553.1672612418436</x:v>
      </x:c>
      <x:c r="AD71" s="126" t="n">
        <x:f>AD43*Assumptions!$C$63</x:f>
        <x:v>1616.1220483955651</x:v>
      </x:c>
      <x:c r="AE71" s="126" t="n">
        <x:f>AE43*Assumptions!$C$63</x:f>
        <x:v>1681.5619031672736</x:v>
      </x:c>
      <x:c r="AF71" s="126" t="n">
        <x:f>AF43*Assumptions!$C$63</x:f>
        <x:v>1749.5875532164148</x:v>
      </x:c>
      <x:c r="AG71" s="126" t="n">
        <x:f>AG43*Assumptions!$C$63</x:f>
        <x:v>1820.3037023106237</x:v>
      </x:c>
      <x:c r="AH71" s="126" t="n">
        <x:f>AH43*Assumptions!$C$63</x:f>
        <x:v>1893.8191914899787</x:v>
      </x:c>
      <x:c r="AI71" s="126" t="n">
        <x:f>AI43*Assumptions!$C$63</x:f>
        <x:v>1970.247166593031</x:v>
      </x:c>
      <x:c r="AJ71" s="126" t="n">
        <x:f>AJ43*Assumptions!$C$63</x:f>
        <x:v>2049.705252402467</x:v>
      </x:c>
      <x:c r="AK71" s="126" t="n">
        <x:f>AK43*Assumptions!$C$63</x:f>
        <x:v>2132.3157336784525</x:v>
      </x:c>
      <x:c r="AL71" s="127" t="n">
        <x:f>AL43*Assumptions!$C$63</x:f>
        <x:v>2218.205743358281</x:v>
      </x:c>
    </x:row>
    <x:row r="72">
      <x:c r="A72" s="142" t="str">
        <x:v>Free cash flow</x:v>
      </x:c>
      <x:c r="B72" s="143" t="str">
        <x:v>$</x:v>
      </x:c>
      <x:c r="C72" s="154" t="n">
        <x:f>C66-C70-C71</x:f>
        <x:v>-63427.625</x:v>
      </x:c>
      <x:c r="D72" s="154" t="n">
        <x:f>D66-D70-D71</x:f>
        <x:v>-55649.05341349999</x:v>
      </x:c>
      <x:c r="E72" s="154" t="n">
        <x:f>E66-E70-E71</x:f>
        <x:v>-49455.288428503605</x:v>
      </x:c>
      <x:c r="F72" s="154" t="n">
        <x:f>F66-F70-F71</x:f>
        <x:v>-50523.46416766025</x:v>
      </x:c>
      <x:c r="G72" s="154" t="n">
        <x:f>G66-G70-G71</x:f>
        <x:v>-45416.233138668234</x:v>
      </x:c>
      <x:c r="H72" s="154" t="n">
        <x:f>H66-H70-H71</x:f>
        <x:v>-43866.314029710615</x:v>
      </x:c>
      <x:c r="I72" s="154" t="n">
        <x:f>I66-I70-I71</x:f>
        <x:v>-44513.47030779171</x:v>
      </x:c>
      <x:c r="J72" s="154" t="n">
        <x:f>J66-J70-J71</x:f>
        <x:v>-41891.581112037646</x:v>
      </x:c>
      <x:c r="K72" s="154" t="n">
        <x:f>K66-K70-K71</x:f>
        <x:v>-40006.64783296964</x:v>
      </x:c>
      <x:c r="L72" s="154" t="n">
        <x:f>L66-L70-L71</x:f>
        <x:v>-40370.966011755365</x:v>
      </x:c>
      <x:c r="M72" s="154" t="n">
        <x:f>M66-M70-M71</x:f>
        <x:v>-38268.52159219975</x:v>
      </x:c>
      <x:c r="N72" s="154" t="n">
        <x:f>N66-N70-N71</x:f>
        <x:v>-36047.31761705821</x:v>
      </x:c>
      <x:c r="O72" s="154" t="n">
        <x:f>O66-O70-O71</x:f>
        <x:v>-36124.318709239655</x:v>
      </x:c>
      <x:c r="P72" s="154" t="n">
        <x:f>P66-P70-P71</x:f>
        <x:v>-33638.928626330955</x:v>
      </x:c>
      <x:c r="Q72" s="154" t="n">
        <x:f>Q66-Q70-Q71</x:f>
        <x:v>-31006.999748732884</x:v>
      </x:c>
      <x:c r="R72" s="154" t="n">
        <x:f>R66-R70-R71</x:f>
        <x:v>-30716.271747642215</x:v>
      </x:c>
      <x:c r="S72" s="154" t="n">
        <x:f>S66-S70-S71</x:f>
        <x:v>-27757.70200409036</x:v>
      </x:c>
      <x:c r="T72" s="154" t="n">
        <x:f>T66-T70-T71</x:f>
        <x:v>-24617.06627949164</x:v>
      </x:c>
      <x:c r="U72" s="154" t="n">
        <x:f>U66-U70-U71</x:f>
        <x:v>-23853.945512228638</x:v>
      </x:c>
      <x:c r="V72" s="154" t="n">
        <x:f>V66-V70-V71</x:f>
        <x:v>-20574.38150494214</x:v>
      </x:c>
      <x:c r="W72" s="154" t="n">
        <x:f>W66-W70-W71</x:f>
        <x:v>-17414.469527319154</x:v>
      </x:c>
      <x:c r="X72" s="154" t="n">
        <x:f>X66-X70-X71</x:f>
        <x:v>-16965.063968938437</x:v>
      </x:c>
      <x:c r="Y72" s="154" t="n">
        <x:f>Y66-Y70-Y71</x:f>
        <x:v>-13785.589006590899</x:v>
      </x:c>
      <x:c r="Z72" s="154" t="n">
        <x:f>Z66-Z70-Z71</x:f>
        <x:v>-10562.770215463039</x:v>
      </x:c>
      <x:c r="AA72" s="154" t="n">
        <x:f>AA66-AA70-AA71</x:f>
        <x:v>-9982.40358558721</x:v>
      </x:c>
      <x:c r="AB72" s="154" t="n">
        <x:f>AB66-AB70-AB71</x:f>
        <x:v>-6538.79881853567</x:v>
      </x:c>
      <x:c r="AC72" s="154" t="n">
        <x:f>AC66-AC70-AC71</x:f>
        <x:v>-2979.174229037143</x:v>
      </x:c>
      <x:c r="AD72" s="154" t="n">
        <x:f>AD66-AD70-AD71</x:f>
        <x:v>-2101.308375280375</x:v>
      </x:c>
      <x:c r="AE72" s="154" t="n">
        <x:f>AE66-AE70-AE71</x:f>
        <x:v>1221.6707788476715</x:v>
      </x:c>
      <x:c r="AF72" s="154" t="n">
        <x:f>AF66-AF70-AF71</x:f>
        <x:v>4599.9387084815335</x:v>
      </x:c>
      <x:c r="AG72" s="154" t="n">
        <x:f>AG66-AG70-AG71</x:f>
        <x:v>5649.366686696378</x:v>
      </x:c>
      <x:c r="AH72" s="154" t="n">
        <x:f>AH66-AH70-AH71</x:f>
        <x:v>9299.573937951105</x:v>
      </x:c>
      <x:c r="AI72" s="154" t="n">
        <x:f>AI66-AI70-AI71</x:f>
        <x:v>13094.07192032177</x:v>
      </x:c>
      <x:c r="AJ72" s="154" t="n">
        <x:f>AJ66-AJ70-AJ71</x:f>
        <x:v>14502.730757587999</x:v>
      </x:c>
      <x:c r="AK72" s="154" t="n">
        <x:f>AK66-AK70-AK71</x:f>
        <x:v>18603.562062166293</x:v>
      </x:c>
      <x:c r="AL72" s="155" t="n">
        <x:f>AL66-AL70-AL71</x:f>
        <x:v>22866.907032706415</x:v>
      </x:c>
    </x:row>
    <x:row r="73">
      <x:c r="A73" s="49" t="str">
        <x:v>Opening cash</x:v>
      </x:c>
      <x:c r="B73" s="50" t="str">
        <x:v>$</x:v>
      </x:c>
      <x:c r="C73" s="166" t="n">
        <x:f>Assumptions!$C$5</x:f>
        <x:v>1500000</x:v>
      </x:c>
      <x:c r="D73" s="126" t="n">
        <x:f>C74</x:f>
        <x:v>1436572.375</x:v>
      </x:c>
      <x:c r="E73" s="126" t="n">
        <x:f>D74</x:f>
        <x:v>1380923.3215865</x:v>
      </x:c>
      <x:c r="F73" s="126" t="n">
        <x:f>E74</x:f>
        <x:v>1331468.0331579964</x:v>
      </x:c>
      <x:c r="G73" s="126" t="n">
        <x:f>F74</x:f>
        <x:v>1280944.568990336</x:v>
      </x:c>
      <x:c r="H73" s="126" t="n">
        <x:f>G74</x:f>
        <x:v>1235528.335851668</x:v>
      </x:c>
      <x:c r="I73" s="126" t="n">
        <x:f>H74</x:f>
        <x:v>1191662.0218219573</x:v>
      </x:c>
      <x:c r="J73" s="126" t="n">
        <x:f>I74</x:f>
        <x:v>1147148.5515141657</x:v>
      </x:c>
      <x:c r="K73" s="126" t="n">
        <x:f>J74</x:f>
        <x:v>1105256.970402128</x:v>
      </x:c>
      <x:c r="L73" s="126" t="n">
        <x:f>K74</x:f>
        <x:v>1065250.3225691584</x:v>
      </x:c>
      <x:c r="M73" s="126" t="n">
        <x:f>L74</x:f>
        <x:v>1024879.356557403</x:v>
      </x:c>
      <x:c r="N73" s="126" t="n">
        <x:f>M74</x:f>
        <x:v>986610.8349652032</x:v>
      </x:c>
      <x:c r="O73" s="126" t="n">
        <x:f>N74</x:f>
        <x:v>950563.517348145</x:v>
      </x:c>
      <x:c r="P73" s="126" t="n">
        <x:f>O74</x:f>
        <x:v>914439.1986389053</x:v>
      </x:c>
      <x:c r="Q73" s="126" t="n">
        <x:f>P74</x:f>
        <x:v>880800.2700125744</x:v>
      </x:c>
      <x:c r="R73" s="126" t="n">
        <x:f>Q74</x:f>
        <x:v>849793.2702638415</x:v>
      </x:c>
      <x:c r="S73" s="126" t="n">
        <x:f>R74</x:f>
        <x:v>819076.9985161993</x:v>
      </x:c>
      <x:c r="T73" s="126" t="n">
        <x:f>S74</x:f>
        <x:v>791319.296512109</x:v>
      </x:c>
      <x:c r="U73" s="126" t="n">
        <x:f>T74</x:f>
        <x:v>766702.2302326174</x:v>
      </x:c>
      <x:c r="V73" s="126" t="n">
        <x:f>U74</x:f>
        <x:v>742848.2847203887</x:v>
      </x:c>
      <x:c r="W73" s="126" t="n">
        <x:f>V74</x:f>
        <x:v>722273.9032154465</x:v>
      </x:c>
      <x:c r="X73" s="126" t="n">
        <x:f>W74</x:f>
        <x:v>704859.4336881273</x:v>
      </x:c>
      <x:c r="Y73" s="126" t="n">
        <x:f>X74</x:f>
        <x:v>687894.3697191889</x:v>
      </x:c>
      <x:c r="Z73" s="126" t="n">
        <x:f>Y74</x:f>
        <x:v>674108.780712598</x:v>
      </x:c>
      <x:c r="AA73" s="126" t="n">
        <x:f>Z74</x:f>
        <x:v>663546.010497135</x:v>
      </x:c>
      <x:c r="AB73" s="126" t="n">
        <x:f>AA74</x:f>
        <x:v>653563.6069115478</x:v>
      </x:c>
      <x:c r="AC73" s="126" t="n">
        <x:f>AB74</x:f>
        <x:v>647024.8080930122</x:v>
      </x:c>
      <x:c r="AD73" s="126" t="n">
        <x:f>AC74</x:f>
        <x:v>644045.6338639751</x:v>
      </x:c>
      <x:c r="AE73" s="126" t="n">
        <x:f>AD74</x:f>
        <x:v>641944.3254886947</x:v>
      </x:c>
      <x:c r="AF73" s="126" t="n">
        <x:f>AE74</x:f>
        <x:v>643165.9962675424</x:v>
      </x:c>
      <x:c r="AG73" s="126" t="n">
        <x:f>AF74</x:f>
        <x:v>647765.9349760239</x:v>
      </x:c>
      <x:c r="AH73" s="126" t="n">
        <x:f>AG74</x:f>
        <x:v>653415.3016627203</x:v>
      </x:c>
      <x:c r="AI73" s="126" t="n">
        <x:f>AH74</x:f>
        <x:v>662714.8756006714</x:v>
      </x:c>
      <x:c r="AJ73" s="126" t="n">
        <x:f>AI74</x:f>
        <x:v>675808.9475209932</x:v>
      </x:c>
      <x:c r="AK73" s="126" t="n">
        <x:f>AJ74</x:f>
        <x:v>690311.6782785812</x:v>
      </x:c>
      <x:c r="AL73" s="127" t="n">
        <x:f>AK74</x:f>
        <x:v>708915.2403407475</x:v>
      </x:c>
    </x:row>
    <x:row r="74">
      <x:c r="A74" s="142" t="str">
        <x:v>Ending cash</x:v>
      </x:c>
      <x:c r="B74" s="143" t="str">
        <x:v>$</x:v>
      </x:c>
      <x:c r="C74" s="154" t="n">
        <x:f>C73+C72</x:f>
        <x:v>1436572.375</x:v>
      </x:c>
      <x:c r="D74" s="154" t="n">
        <x:f>D73+D72</x:f>
        <x:v>1380923.3215865</x:v>
      </x:c>
      <x:c r="E74" s="154" t="n">
        <x:f>E73+E72</x:f>
        <x:v>1331468.0331579964</x:v>
      </x:c>
      <x:c r="F74" s="154" t="n">
        <x:f>F73+F72</x:f>
        <x:v>1280944.568990336</x:v>
      </x:c>
      <x:c r="G74" s="154" t="n">
        <x:f>G73+G72</x:f>
        <x:v>1235528.335851668</x:v>
      </x:c>
      <x:c r="H74" s="154" t="n">
        <x:f>H73+H72</x:f>
        <x:v>1191662.0218219573</x:v>
      </x:c>
      <x:c r="I74" s="154" t="n">
        <x:f>I73+I72</x:f>
        <x:v>1147148.5515141657</x:v>
      </x:c>
      <x:c r="J74" s="154" t="n">
        <x:f>J73+J72</x:f>
        <x:v>1105256.970402128</x:v>
      </x:c>
      <x:c r="K74" s="154" t="n">
        <x:f>K73+K72</x:f>
        <x:v>1065250.3225691584</x:v>
      </x:c>
      <x:c r="L74" s="154" t="n">
        <x:f>L73+L72</x:f>
        <x:v>1024879.356557403</x:v>
      </x:c>
      <x:c r="M74" s="154" t="n">
        <x:f>M73+M72</x:f>
        <x:v>986610.8349652032</x:v>
      </x:c>
      <x:c r="N74" s="154" t="n">
        <x:f>N73+N72</x:f>
        <x:v>950563.517348145</x:v>
      </x:c>
      <x:c r="O74" s="154" t="n">
        <x:f>O73+O72</x:f>
        <x:v>914439.1986389053</x:v>
      </x:c>
      <x:c r="P74" s="154" t="n">
        <x:f>P73+P72</x:f>
        <x:v>880800.2700125744</x:v>
      </x:c>
      <x:c r="Q74" s="154" t="n">
        <x:f>Q73+Q72</x:f>
        <x:v>849793.2702638415</x:v>
      </x:c>
      <x:c r="R74" s="154" t="n">
        <x:f>R73+R72</x:f>
        <x:v>819076.9985161993</x:v>
      </x:c>
      <x:c r="S74" s="154" t="n">
        <x:f>S73+S72</x:f>
        <x:v>791319.296512109</x:v>
      </x:c>
      <x:c r="T74" s="154" t="n">
        <x:f>T73+T72</x:f>
        <x:v>766702.2302326174</x:v>
      </x:c>
      <x:c r="U74" s="154" t="n">
        <x:f>U73+U72</x:f>
        <x:v>742848.2847203887</x:v>
      </x:c>
      <x:c r="V74" s="154" t="n">
        <x:f>V73+V72</x:f>
        <x:v>722273.9032154465</x:v>
      </x:c>
      <x:c r="W74" s="154" t="n">
        <x:f>W73+W72</x:f>
        <x:v>704859.4336881273</x:v>
      </x:c>
      <x:c r="X74" s="154" t="n">
        <x:f>X73+X72</x:f>
        <x:v>687894.3697191889</x:v>
      </x:c>
      <x:c r="Y74" s="154" t="n">
        <x:f>Y73+Y72</x:f>
        <x:v>674108.780712598</x:v>
      </x:c>
      <x:c r="Z74" s="154" t="n">
        <x:f>Z73+Z72</x:f>
        <x:v>663546.010497135</x:v>
      </x:c>
      <x:c r="AA74" s="154" t="n">
        <x:f>AA73+AA72</x:f>
        <x:v>653563.6069115478</x:v>
      </x:c>
      <x:c r="AB74" s="154" t="n">
        <x:f>AB73+AB72</x:f>
        <x:v>647024.8080930122</x:v>
      </x:c>
      <x:c r="AC74" s="154" t="n">
        <x:f>AC73+AC72</x:f>
        <x:v>644045.6338639751</x:v>
      </x:c>
      <x:c r="AD74" s="154" t="n">
        <x:f>AD73+AD72</x:f>
        <x:v>641944.3254886947</x:v>
      </x:c>
      <x:c r="AE74" s="154" t="n">
        <x:f>AE73+AE72</x:f>
        <x:v>643165.9962675424</x:v>
      </x:c>
      <x:c r="AF74" s="154" t="n">
        <x:f>AF73+AF72</x:f>
        <x:v>647765.9349760239</x:v>
      </x:c>
      <x:c r="AG74" s="154" t="n">
        <x:f>AG73+AG72</x:f>
        <x:v>653415.3016627203</x:v>
      </x:c>
      <x:c r="AH74" s="154" t="n">
        <x:f>AH73+AH72</x:f>
        <x:v>662714.8756006714</x:v>
      </x:c>
      <x:c r="AI74" s="154" t="n">
        <x:f>AI73+AI72</x:f>
        <x:v>675808.9475209932</x:v>
      </x:c>
      <x:c r="AJ74" s="154" t="n">
        <x:f>AJ73+AJ72</x:f>
        <x:v>690311.6782785812</x:v>
      </x:c>
      <x:c r="AK74" s="154" t="n">
        <x:f>AK73+AK72</x:f>
        <x:v>708915.2403407475</x:v>
      </x:c>
      <x:c r="AL74" s="155" t="n">
        <x:f>AL73+AL72</x:f>
        <x:v>731782.147373454</x:v>
      </x:c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9" t="str">
        <x:v>New validated cases</x:v>
      </x:c>
      <x:c r="B76" s="50" t="str">
        <x:v>cases</x:v>
      </x:c>
      <x:c r="C76" s="110" t="n">
        <x:f>SUM(C23,C27:C30)*Assumptions!$C$44</x:f>
        <x:v>0.6187500000000001</x:v>
      </x:c>
      <x:c r="D76" s="110" t="n">
        <x:f>SUM(D23,D27:D30)*Assumptions!$C$44</x:f>
        <x:v>0.8323103250000002</x:v>
      </x:c>
      <x:c r="E76" s="110" t="n">
        <x:f>SUM(E23,E27:E30)*Assumptions!$C$44</x:f>
        <x:v>0.9452644583952242</x:v>
      </x:c>
      <x:c r="F76" s="110" t="n">
        <x:f>SUM(F23,F27:F30)*Assumptions!$C$44</x:f>
        <x:v>0.9900574177002555</x:v>
      </x:c>
      <x:c r="G76" s="110" t="n">
        <x:f>SUM(G23,G27:G30)*Assumptions!$C$44</x:f>
        <x:v>1.0672066650535803</x:v>
      </x:c>
      <x:c r="H76" s="110" t="n">
        <x:f>SUM(H23,H27:H30)*Assumptions!$C$44</x:f>
        <x:v>1.118826570606275</x:v>
      </x:c>
      <x:c r="I76" s="110" t="n">
        <x:f>SUM(I23,I27:I30)*Assumptions!$C$44</x:f>
        <x:v>1.173417247146094</x:v>
      </x:c>
      <x:c r="J76" s="110" t="n">
        <x:f>SUM(J23,J27:J30)*Assumptions!$C$44</x:f>
        <x:v>1.2340935893041804</x:v>
      </x:c>
      <x:c r="K76" s="110" t="n">
        <x:f>SUM(K23,K27:K30)*Assumptions!$C$44</x:f>
        <x:v>1.2952420345502718</x:v>
      </x:c>
      <x:c r="L76" s="110" t="n">
        <x:f>SUM(L23,L27:L30)*Assumptions!$C$44</x:f>
        <x:v>1.3599323964172294</x:v>
      </x:c>
      <x:c r="M76" s="110" t="n">
        <x:f>SUM(M23,M27:M30)*Assumptions!$C$44</x:f>
        <x:v>1.4283967077674409</x:v>
      </x:c>
      <x:c r="N76" s="110" t="n">
        <x:f>SUM(N23,N27:N30)*Assumptions!$C$44</x:f>
        <x:v>1.5008962020179484</x:v>
      </x:c>
      <x:c r="O76" s="110" t="n">
        <x:f>SUM(O23,O27:O30)*Assumptions!$C$44</x:f>
        <x:v>1.5777201434641563</x:v>
      </x:c>
      <x:c r="P76" s="110" t="n">
        <x:f>SUM(P23,P27:P30)*Assumptions!$C$44</x:f>
        <x:v>1.6591789651283486</x:v>
      </x:c>
      <x:c r="Q76" s="110" t="n">
        <x:f>SUM(Q23,Q27:Q30)*Assumptions!$C$44</x:f>
        <x:v>1.7456117532205877</x:v>
      </x:c>
      <x:c r="R76" s="110" t="n">
        <x:f>SUM(R23,R27:R30)*Assumptions!$C$44</x:f>
        <x:v>1.8373874709189735</x:v>
      </x:c>
      <x:c r="S76" s="110" t="n">
        <x:f>SUM(S23,S27:S30)*Assumptions!$C$44</x:f>
        <x:v>1.934907736384264</x:v>
      </x:c>
      <x:c r="T76" s="110" t="n">
        <x:f>SUM(T23,T27:T30)*Assumptions!$C$44</x:f>
        <x:v>2.038610497672909</x:v>
      </x:c>
      <x:c r="U76" s="110" t="n">
        <x:f>SUM(U23,U27:U30)*Assumptions!$C$44</x:f>
        <x:v>2.1489737527790096</x:v>
      </x:c>
      <x:c r="V76" s="110" t="n">
        <x:f>SUM(V23,V27:V30)*Assumptions!$C$44</x:f>
        <x:v>2.250805706990338</x:v>
      </x:c>
      <x:c r="W76" s="110" t="n">
        <x:f>SUM(W23,W27:W30)*Assumptions!$C$44</x:f>
        <x:v>2.3461803601345883</x:v>
      </x:c>
      <x:c r="X76" s="110" t="n">
        <x:f>SUM(X23,X27:X30)*Assumptions!$C$44</x:f>
        <x:v>2.441795037359616</x:v>
      </x:c>
      <x:c r="Y76" s="110" t="n">
        <x:f>SUM(Y23,Y27:Y30)*Assumptions!$C$44</x:f>
        <x:v>2.5405227868635984</x:v>
      </x:c>
      <x:c r="Z76" s="110" t="n">
        <x:f>SUM(Z23,Z27:Z30)*Assumptions!$C$44</x:f>
        <x:v>2.6425469379275226</x:v>
      </x:c>
      <x:c r="AA76" s="110" t="n">
        <x:f>SUM(AA23,AA27:AA30)*Assumptions!$C$44</x:f>
        <x:v>2.748338367068492</x:v>
      </x:c>
      <x:c r="AB76" s="110" t="n">
        <x:f>SUM(AB23,AB27:AB30)*Assumptions!$C$44</x:f>
        <x:v>2.858370027006587</x:v>
      </x:c>
      <x:c r="AC76" s="110" t="n">
        <x:f>SUM(AC23,AC27:AC30)*Assumptions!$C$44</x:f>
        <x:v>2.972736975297745</x:v>
      </x:c>
      <x:c r="AD76" s="110" t="n">
        <x:f>SUM(AD23,AD27:AD30)*Assumptions!$C$44</x:f>
        <x:v>3.0916464543096556</x:v>
      </x:c>
      <x:c r="AE76" s="110" t="n">
        <x:f>SUM(AE23,AE27:AE30)*Assumptions!$C$44</x:f>
        <x:v>3.2153123124820415</x:v>
      </x:c>
      <x:c r="AF76" s="110" t="n">
        <x:f>SUM(AF23,AF27:AF30)*Assumptions!$C$44</x:f>
        <x:v>3.343924804981323</x:v>
      </x:c>
      <x:c r="AG76" s="110" t="n">
        <x:f>SUM(AG23,AG27:AG30)*Assumptions!$C$44</x:f>
        <x:v>3.4776817971805762</x:v>
      </x:c>
      <x:c r="AH76" s="110" t="n">
        <x:f>SUM(AH23,AH27:AH30)*Assumptions!$C$44</x:f>
        <x:v>3.6167890690677993</x:v>
      </x:c>
      <x:c r="AI76" s="110" t="n">
        <x:f>SUM(AI23,AI27:AI30)*Assumptions!$C$44</x:f>
        <x:v>3.761460631830512</x:v>
      </x:c>
      <x:c r="AJ76" s="110" t="n">
        <x:f>SUM(AJ23,AJ27:AJ30)*Assumptions!$C$44</x:f>
        <x:v>3.9119190571037326</x:v>
      </x:c>
      <x:c r="AK76" s="110" t="n">
        <x:f>SUM(AK23,AK27:AK30)*Assumptions!$C$44</x:f>
        <x:v>4.068395819387882</x:v>
      </x:c>
      <x:c r="AL76" s="111" t="n">
        <x:f>SUM(AL23,AL27:AL30)*Assumptions!$C$44</x:f>
        <x:v>4.231131652163397</x:v>
      </x:c>
    </x:row>
    <x:row r="77">
      <x:c r="A77" s="142" t="str">
        <x:v>Cumulative validated cases</x:v>
      </x:c>
      <x:c r="B77" s="143" t="str">
        <x:v>cases</x:v>
      </x:c>
      <x:c r="C77" s="144" t="n">
        <x:f>C76</x:f>
        <x:v>0.6187500000000001</x:v>
      </x:c>
      <x:c r="D77" s="144" t="n">
        <x:f>C77+D76</x:f>
        <x:v>1.4510603250000003</x:v>
      </x:c>
      <x:c r="E77" s="144" t="n">
        <x:f>D77+E76</x:f>
        <x:v>2.3963247833952246</x:v>
      </x:c>
      <x:c r="F77" s="144" t="n">
        <x:f>E77+F76</x:f>
        <x:v>3.38638220109548</x:v>
      </x:c>
      <x:c r="G77" s="144" t="n">
        <x:f>F77+G76</x:f>
        <x:v>4.45358886614906</x:v>
      </x:c>
      <x:c r="H77" s="144" t="n">
        <x:f>G77+H76</x:f>
        <x:v>5.572415436755335</x:v>
      </x:c>
      <x:c r="I77" s="144" t="n">
        <x:f>H77+I76</x:f>
        <x:v>6.74583268390143</x:v>
      </x:c>
      <x:c r="J77" s="144" t="n">
        <x:f>I77+J76</x:f>
        <x:v>7.97992627320561</x:v>
      </x:c>
      <x:c r="K77" s="144" t="n">
        <x:f>J77+K76</x:f>
        <x:v>9.275168307755882</x:v>
      </x:c>
      <x:c r="L77" s="144" t="n">
        <x:f>K77+L76</x:f>
        <x:v>10.635100704173112</x:v>
      </x:c>
      <x:c r="M77" s="144" t="n">
        <x:f>L77+M76</x:f>
        <x:v>12.063497411940553</x:v>
      </x:c>
      <x:c r="N77" s="144" t="n">
        <x:f>M77+N76</x:f>
        <x:v>13.5643936139585</x:v>
      </x:c>
      <x:c r="O77" s="144" t="n">
        <x:f>N77+O76</x:f>
        <x:v>15.142113757422656</x:v>
      </x:c>
      <x:c r="P77" s="144" t="n">
        <x:f>O77+P76</x:f>
        <x:v>16.801292722551004</x:v>
      </x:c>
      <x:c r="Q77" s="144" t="n">
        <x:f>P77+Q76</x:f>
        <x:v>18.54690447577159</x:v>
      </x:c>
      <x:c r="R77" s="144" t="n">
        <x:f>Q77+R76</x:f>
        <x:v>20.384291946690563</x:v>
      </x:c>
      <x:c r="S77" s="144" t="n">
        <x:f>R77+S76</x:f>
        <x:v>22.319199683074828</x:v>
      </x:c>
      <x:c r="T77" s="144" t="n">
        <x:f>S77+T76</x:f>
        <x:v>24.357810180747737</x:v>
      </x:c>
      <x:c r="U77" s="144" t="n">
        <x:f>T77+U76</x:f>
        <x:v>26.506783933526748</x:v>
      </x:c>
      <x:c r="V77" s="144" t="n">
        <x:f>U77+V76</x:f>
        <x:v>28.757589640517086</x:v>
      </x:c>
      <x:c r="W77" s="144" t="n">
        <x:f>V77+W76</x:f>
        <x:v>31.103770000651675</x:v>
      </x:c>
      <x:c r="X77" s="144" t="n">
        <x:f>W77+X76</x:f>
        <x:v>33.54556503801129</x:v>
      </x:c>
      <x:c r="Y77" s="144" t="n">
        <x:f>X77+Y76</x:f>
        <x:v>36.08608782487489</x:v>
      </x:c>
      <x:c r="Z77" s="144" t="n">
        <x:f>Y77+Z76</x:f>
        <x:v>38.72863476280241</x:v>
      </x:c>
      <x:c r="AA77" s="144" t="n">
        <x:f>Z77+AA76</x:f>
        <x:v>41.4769731298709</x:v>
      </x:c>
      <x:c r="AB77" s="144" t="n">
        <x:f>AA77+AB76</x:f>
        <x:v>44.335343156877485</x:v>
      </x:c>
      <x:c r="AC77" s="144" t="n">
        <x:f>AB77+AC76</x:f>
        <x:v>47.30808013217523</x:v>
      </x:c>
      <x:c r="AD77" s="144" t="n">
        <x:f>AC77+AD76</x:f>
        <x:v>50.39972658648488</x:v>
      </x:c>
      <x:c r="AE77" s="144" t="n">
        <x:f>AD77+AE76</x:f>
        <x:v>53.61503889896692</x:v>
      </x:c>
      <x:c r="AF77" s="144" t="n">
        <x:f>AE77+AF76</x:f>
        <x:v>56.95896370394824</x:v>
      </x:c>
      <x:c r="AG77" s="144" t="n">
        <x:f>AF77+AG76</x:f>
        <x:v>60.43664550112882</x:v>
      </x:c>
      <x:c r="AH77" s="144" t="n">
        <x:f>AG77+AH76</x:f>
        <x:v>64.05343457019663</x:v>
      </x:c>
      <x:c r="AI77" s="144" t="n">
        <x:f>AH77+AI76</x:f>
        <x:v>67.81489520202715</x:v>
      </x:c>
      <x:c r="AJ77" s="144" t="n">
        <x:f>AI77+AJ76</x:f>
        <x:v>71.72681425913088</x:v>
      </x:c>
      <x:c r="AK77" s="144" t="n">
        <x:f>AJ77+AK76</x:f>
        <x:v>75.79521007851876</x:v>
      </x:c>
      <x:c r="AL77" s="145" t="n">
        <x:f>AK77+AL76</x:f>
        <x:v>80.02634173068216</x:v>
      </x:c>
    </x:row>
    <x:row r="78">
      <x:c r="A78" s="49" t="str">
        <x:v>Capacity lift</x:v>
      </x:c>
      <x:c r="B78" s="50" t="str">
        <x:v>%</x:v>
      </x:c>
      <x:c r="C78" s="118" t="n">
        <x:f>C18-1</x:f>
        <x:v>0</x:v>
      </x:c>
      <x:c r="D78" s="118" t="n">
        <x:f>D18-1</x:f>
        <x:v>0.003093749999999895</x:v>
      </x:c>
      <x:c r="E78" s="118" t="n">
        <x:f>E18-1</x:f>
        <x:v>0.007255301625000099</x:v>
      </x:c>
      <x:c r="F78" s="118" t="n">
        <x:f>F18-1</x:f>
        <x:v>0.011981623916976103</x:v>
      </x:c>
      <x:c r="G78" s="118" t="n">
        <x:f>G18-1</x:f>
        <x:v>0.016931911005477307</x:v>
      </x:c>
      <x:c r="H78" s="118" t="n">
        <x:f>H18-1</x:f>
        <x:v>0.022267944330745193</x:v>
      </x:c>
      <x:c r="I78" s="118" t="n">
        <x:f>I18-1</x:f>
        <x:v>0.027862077183776757</x:v>
      </x:c>
      <x:c r="J78" s="118" t="n">
        <x:f>J18-1</x:f>
        <x:v>0.03372916341950716</x:v>
      </x:c>
      <x:c r="K78" s="118" t="n">
        <x:f>K18-1</x:f>
        <x:v>0.03989963136602803</x:v>
      </x:c>
      <x:c r="L78" s="118" t="n">
        <x:f>L18-1</x:f>
        <x:v>0.04637584153877938</x:v>
      </x:c>
      <x:c r="M78" s="118" t="n">
        <x:f>M18-1</x:f>
        <x:v>0.05317550352086564</x:v>
      </x:c>
      <x:c r="N78" s="118" t="n">
        <x:f>N18-1</x:f>
        <x:v>0.060317487059702746</x:v>
      </x:c>
      <x:c r="O78" s="118" t="n">
        <x:f>O18-1</x:f>
        <x:v>0.06782196806979246</x:v>
      </x:c>
      <x:c r="P78" s="118" t="n">
        <x:f>P18-1</x:f>
        <x:v>0.07571056878711335</x:v>
      </x:c>
      <x:c r="Q78" s="118" t="n">
        <x:f>Q18-1</x:f>
        <x:v>0.0840064636127551</x:v>
      </x:c>
      <x:c r="R78" s="118" t="n">
        <x:f>R18-1</x:f>
        <x:v>0.09273452237885804</x:v>
      </x:c>
      <x:c r="S78" s="118" t="n">
        <x:f>S18-1</x:f>
        <x:v>0.10192145973345279</x:v>
      </x:c>
      <x:c r="T78" s="118" t="n">
        <x:f>T18-1</x:f>
        <x:v>0.11159599841537404</x:v>
      </x:c>
      <x:c r="U78" s="118" t="n">
        <x:f>U18-1</x:f>
        <x:v>0.1217890509037387</x:v>
      </x:c>
      <x:c r="V78" s="118" t="n">
        <x:f>V18-1</x:f>
        <x:v>0.13253391966763384</x:v>
      </x:c>
      <x:c r="W78" s="118" t="n">
        <x:f>W18-1</x:f>
        <x:v>0.14378794820258545</x:v>
      </x:c>
      <x:c r="X78" s="118" t="n">
        <x:f>X18-1</x:f>
        <x:v>0.15551885000325827</x:v>
      </x:c>
      <x:c r="Y78" s="118" t="n">
        <x:f>Y18-1</x:f>
        <x:v>0.16772782519005647</x:v>
      </x:c>
      <x:c r="Z78" s="118" t="n">
        <x:f>Z18-1</x:f>
        <x:v>0.1804304391243745</x:v>
      </x:c>
      <x:c r="AA78" s="118" t="n">
        <x:f>AA18-1</x:f>
        <x:v>0.19364317381401208</x:v>
      </x:c>
      <x:c r="AB78" s="118" t="n">
        <x:f>AB18-1</x:f>
        <x:v>0.20738486564935443</x:v>
      </x:c>
      <x:c r="AC78" s="118" t="n">
        <x:f>AC18-1</x:f>
        <x:v>0.22167671578438752</x:v>
      </x:c>
      <x:c r="AD78" s="118" t="n">
        <x:f>AD18-1</x:f>
        <x:v>0.23654040066087623</x:v>
      </x:c>
      <x:c r="AE78" s="118" t="n">
        <x:f>AE18-1</x:f>
        <x:v>0.25</x:v>
      </x:c>
      <x:c r="AF78" s="118" t="n">
        <x:f>AF18-1</x:f>
        <x:v>0.25</x:v>
      </x:c>
      <x:c r="AG78" s="118" t="n">
        <x:f>AG18-1</x:f>
        <x:v>0.25</x:v>
      </x:c>
      <x:c r="AH78" s="118" t="n">
        <x:f>AH18-1</x:f>
        <x:v>0.25</x:v>
      </x:c>
      <x:c r="AI78" s="118" t="n">
        <x:f>AI18-1</x:f>
        <x:v>0.25</x:v>
      </x:c>
      <x:c r="AJ78" s="118" t="n">
        <x:f>AJ18-1</x:f>
        <x:v>0.25</x:v>
      </x:c>
      <x:c r="AK78" s="118" t="n">
        <x:f>AK18-1</x:f>
        <x:v>0.25</x:v>
      </x:c>
      <x:c r="AL78" s="119" t="n">
        <x:f>AL18-1</x:f>
        <x:v>0.25</x:v>
      </x:c>
    </x:row>
    <x:row r="79">
      <x:c r="A79" s="142" t="str">
        <x:v>Proof OS exit MRR</x:v>
      </x:c>
      <x:c r="B79" s="143" t="str">
        <x:v>$ / month</x:v>
      </x:c>
      <x:c r="C79" s="154" t="n">
        <x:f>C33*Assumptions!$C$21</x:f>
        <x:v>0</x:v>
      </x:c>
      <x:c r="D79" s="154" t="n">
        <x:f>D33*Assumptions!$C$21</x:f>
        <x:v>0</x:v>
      </x:c>
      <x:c r="E79" s="154" t="n">
        <x:f>E33*Assumptions!$C$21</x:f>
        <x:v>0</x:v>
      </x:c>
      <x:c r="F79" s="154" t="n">
        <x:f>F33*Assumptions!$C$21</x:f>
        <x:v>0</x:v>
      </x:c>
      <x:c r="G79" s="154" t="n">
        <x:f>G33*Assumptions!$C$21</x:f>
        <x:v>0</x:v>
      </x:c>
      <x:c r="H79" s="154" t="n">
        <x:f>H33*Assumptions!$C$21</x:f>
        <x:v>103.95000000000003</x:v>
      </x:c>
      <x:c r="I79" s="154" t="n">
        <x:f>I33*Assumptions!$C$21</x:f>
        <x:v>208.43513460000003</x:v>
      </x:c>
      <x:c r="J79" s="154" t="n">
        <x:f>J33*Assumptions!$C$21</x:f>
        <x:v>340.5652178463977</x:v>
      </x:c>
      <x:c r="K79" s="154" t="n">
        <x:f>K33*Assumptions!$C$21</x:f>
        <x:v>474.05063860506544</x:v>
      </x:c>
      <x:c r="L79" s="154" t="n">
        <x:f>L33*Assumptions!$C$21</x:f>
        <x:v>609.2366499151333</x:v>
      </x:c>
      <x:c r="M79" s="154" t="n">
        <x:f>M33*Assumptions!$C$21</x:f>
        <x:v>746.4882831712492</x:v>
      </x:c>
      <x:c r="N79" s="154" t="n">
        <x:f>N33*Assumptions!$C$21</x:f>
        <x:v>886.1396436426699</x:v>
      </x:c>
      <x:c r="O79" s="154" t="n">
        <x:f>O33*Assumptions!$C$21</x:f>
        <x:v>1028.5471438857676</x:v>
      </x:c>
      <x:c r="P79" s="154" t="n">
        <x:f>P33*Assumptions!$C$21</x:f>
        <x:v>1174.079719383975</x:v>
      </x:c>
      <x:c r="Q79" s="154" t="n">
        <x:f>Q33*Assumptions!$C$21</x:f>
        <x:v>1323.1212508603467</x:v>
      </x:c>
      <x:c r="R79" s="154" t="n">
        <x:f>R33*Assumptions!$C$21</x:f>
        <x:v>1476.0765108496937</x:v>
      </x:c>
      <x:c r="S79" s="154" t="n">
        <x:f>S33*Assumptions!$C$21</x:f>
        <x:v>1633.3716337382464</x:v>
      </x:c>
      <x:c r="T79" s="154" t="n">
        <x:f>T33*Assumptions!$C$21</x:f>
        <x:v>1795.4572666500471</x:v>
      </x:c>
      <x:c r="U79" s="154" t="n">
        <x:f>U33*Assumptions!$C$21</x:f>
        <x:v>1962.8111477229645</x:v>
      </x:c>
      <x:c r="V79" s="154" t="n">
        <x:f>V33*Assumptions!$C$21</x:f>
        <x:v>2135.940935145834</x:v>
      </x:c>
      <x:c r="W79" s="154" t="n">
        <x:f>W33*Assumptions!$C$21</x:f>
        <x:v>2315.3873233262266</x:v>
      </x:c>
      <x:c r="X79" s="154" t="n">
        <x:f>X33*Assumptions!$C$21</x:f>
        <x:v>2501.727475595429</x:v>
      </x:c>
      <x:c r="Y79" s="154" t="n">
        <x:f>Y33*Assumptions!$C$21</x:f>
        <x:v>2695.5788135217554</x:v>
      </x:c>
      <x:c r="Z79" s="154" t="n">
        <x:f>Z33*Assumptions!$C$21</x:f>
        <x:v>2897.6032066703724</x:v>
      </x:c>
      <x:c r="AA79" s="154" t="n">
        <x:f>AA33*Assumptions!$C$21</x:f>
        <x:v>3105.871642916747</x:v>
      </x:c>
      <x:c r="AB79" s="154" t="n">
        <x:f>AB33*Assumptions!$C$21</x:f>
        <x:v>3319.659371591991</x:v>
      </x:c>
      <x:c r="AC79" s="154" t="n">
        <x:f>AC33*Assumptions!$C$21</x:f>
        <x:v>3538.705819793953</x:v>
      </x:c>
      <x:c r="AD79" s="154" t="n">
        <x:f>AD33*Assumptions!$C$21</x:f>
        <x:v>3763.063722990462</x:v>
      </x:c>
      <x:c r="AE79" s="154" t="n">
        <x:f>AE33*Assumptions!$C$21</x:f>
        <x:v>3993.0835554986415</x:v>
      </x:c>
      <x:c r="AF79" s="154" t="n">
        <x:f>AF33*Assumptions!$C$21</x:f>
        <x:v>4229.124289963605</x:v>
      </x:c>
      <x:c r="AG79" s="154" t="n">
        <x:f>AG33*Assumptions!$C$21</x:f>
        <x:v>4471.553958117368</x:v>
      </x:c>
      <x:c r="AH79" s="154" t="n">
        <x:f>AH33*Assumptions!$C$21</x:f>
        <x:v>4720.750225135072</x:v>
      </x:c>
      <x:c r="AI79" s="154" t="n">
        <x:f>AI33*Assumptions!$C$21</x:f>
        <x:v>4977.100978485763</x:v>
      </x:c>
      <x:c r="AJ79" s="154" t="n">
        <x:f>AJ33*Assumptions!$C$21</x:f>
        <x:v>5241.004932196672</x:v>
      </x:c>
      <x:c r="AK79" s="154" t="n">
        <x:f>AK33*Assumptions!$C$21</x:f>
        <x:v>5512.872247473158</x:v>
      </x:c>
      <x:c r="AL79" s="155" t="n">
        <x:f>AL33*Assumptions!$C$21</x:f>
        <x:v>5793.125170641158</x:v>
      </x:c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9" t="str">
        <x:v>EBITDA-positive flag</x:v>
      </x:c>
      <x:c r="B81" s="50" t="str">
        <x:v>1 / 0</x:v>
      </x:c>
      <x:c r="C81" s="50" t="n">
        <x:f>IF(C66&gt;0,1,0)</x:f>
        <x:v>0</x:v>
      </x:c>
      <x:c r="D81" s="50" t="n">
        <x:f>IF(D66&gt;0,1,0)</x:f>
        <x:v>0</x:v>
      </x:c>
      <x:c r="E81" s="50" t="n">
        <x:f>IF(E66&gt;0,1,0)</x:f>
        <x:v>0</x:v>
      </x:c>
      <x:c r="F81" s="50" t="n">
        <x:f>IF(F66&gt;0,1,0)</x:f>
        <x:v>0</x:v>
      </x:c>
      <x:c r="G81" s="50" t="n">
        <x:f>IF(G66&gt;0,1,0)</x:f>
        <x:v>0</x:v>
      </x:c>
      <x:c r="H81" s="50" t="n">
        <x:f>IF(H66&gt;0,1,0)</x:f>
        <x:v>0</x:v>
      </x:c>
      <x:c r="I81" s="50" t="n">
        <x:f>IF(I66&gt;0,1,0)</x:f>
        <x:v>0</x:v>
      </x:c>
      <x:c r="J81" s="50" t="n">
        <x:f>IF(J66&gt;0,1,0)</x:f>
        <x:v>0</x:v>
      </x:c>
      <x:c r="K81" s="50" t="n">
        <x:f>IF(K66&gt;0,1,0)</x:f>
        <x:v>0</x:v>
      </x:c>
      <x:c r="L81" s="50" t="n">
        <x:f>IF(L66&gt;0,1,0)</x:f>
        <x:v>0</x:v>
      </x:c>
      <x:c r="M81" s="50" t="n">
        <x:f>IF(M66&gt;0,1,0)</x:f>
        <x:v>0</x:v>
      </x:c>
      <x:c r="N81" s="50" t="n">
        <x:f>IF(N66&gt;0,1,0)</x:f>
        <x:v>0</x:v>
      </x:c>
      <x:c r="O81" s="50" t="n">
        <x:f>IF(O66&gt;0,1,0)</x:f>
        <x:v>0</x:v>
      </x:c>
      <x:c r="P81" s="50" t="n">
        <x:f>IF(P66&gt;0,1,0)</x:f>
        <x:v>0</x:v>
      </x:c>
      <x:c r="Q81" s="50" t="n">
        <x:f>IF(Q66&gt;0,1,0)</x:f>
        <x:v>0</x:v>
      </x:c>
      <x:c r="R81" s="50" t="n">
        <x:f>IF(R66&gt;0,1,0)</x:f>
        <x:v>0</x:v>
      </x:c>
      <x:c r="S81" s="50" t="n">
        <x:f>IF(S66&gt;0,1,0)</x:f>
        <x:v>0</x:v>
      </x:c>
      <x:c r="T81" s="50" t="n">
        <x:f>IF(T66&gt;0,1,0)</x:f>
        <x:v>0</x:v>
      </x:c>
      <x:c r="U81" s="50" t="n">
        <x:f>IF(U66&gt;0,1,0)</x:f>
        <x:v>0</x:v>
      </x:c>
      <x:c r="V81" s="50" t="n">
        <x:f>IF(V66&gt;0,1,0)</x:f>
        <x:v>0</x:v>
      </x:c>
      <x:c r="W81" s="50" t="n">
        <x:f>IF(W66&gt;0,1,0)</x:f>
        <x:v>0</x:v>
      </x:c>
      <x:c r="X81" s="50" t="n">
        <x:f>IF(X66&gt;0,1,0)</x:f>
        <x:v>0</x:v>
      </x:c>
      <x:c r="Y81" s="50" t="n">
        <x:f>IF(Y66&gt;0,1,0)</x:f>
        <x:v>0</x:v>
      </x:c>
      <x:c r="Z81" s="50" t="n">
        <x:f>IF(Z66&gt;0,1,0)</x:f>
        <x:v>0</x:v>
      </x:c>
      <x:c r="AA81" s="50" t="n">
        <x:f>IF(AA66&gt;0,1,0)</x:f>
        <x:v>0</x:v>
      </x:c>
      <x:c r="AB81" s="50" t="n">
        <x:f>IF(AB66&gt;0,1,0)</x:f>
        <x:v>0</x:v>
      </x:c>
      <x:c r="AC81" s="50" t="n">
        <x:f>IF(AC66&gt;0,1,0)</x:f>
        <x:v>0</x:v>
      </x:c>
      <x:c r="AD81" s="50" t="n">
        <x:f>IF(AD66&gt;0,1,0)</x:f>
        <x:v>0</x:v>
      </x:c>
      <x:c r="AE81" s="50" t="n">
        <x:f>IF(AE66&gt;0,1,0)</x:f>
        <x:v>1</x:v>
      </x:c>
      <x:c r="AF81" s="50" t="n">
        <x:f>IF(AF66&gt;0,1,0)</x:f>
        <x:v>1</x:v>
      </x:c>
      <x:c r="AG81" s="50" t="n">
        <x:f>IF(AG66&gt;0,1,0)</x:f>
        <x:v>1</x:v>
      </x:c>
      <x:c r="AH81" s="50" t="n">
        <x:f>IF(AH66&gt;0,1,0)</x:f>
        <x:v>1</x:v>
      </x:c>
      <x:c r="AI81" s="50" t="n">
        <x:f>IF(AI66&gt;0,1,0)</x:f>
        <x:v>1</x:v>
      </x:c>
      <x:c r="AJ81" s="50" t="n">
        <x:f>IF(AJ66&gt;0,1,0)</x:f>
        <x:v>1</x:v>
      </x:c>
      <x:c r="AK81" s="50" t="n">
        <x:f>IF(AK66&gt;0,1,0)</x:f>
        <x:v>1</x:v>
      </x:c>
      <x:c r="AL81" s="51" t="n">
        <x:f>IF(AL66&gt;0,1,0)</x:f>
        <x:v>1</x:v>
      </x:c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AL1"/>
    <x:mergeCell ref="A2:AL2"/>
    <x:mergeCell ref="A8:AL8"/>
    <x:mergeCell ref="A20:AL20"/>
    <x:mergeCell ref="A26:AL26"/>
    <x:mergeCell ref="A35:AL35"/>
    <x:mergeCell ref="A46:AL46"/>
    <x:mergeCell ref="A58:AL58"/>
    <x:mergeCell ref="A69:AL69"/>
  </x:mergeCells>
  <x:conditionalFormatting sqref="C66:AL66">
    <x:cfRule type="expression" dxfId="1" priority="1">
      <x:formula>C66&lt;0</x:formula>
    </x:cfRule>
  </x:conditionalFormatting>
  <x:conditionalFormatting sqref="C72:AL72">
    <x:cfRule type="expression" dxfId="2" priority="2">
      <x:formula>C72&lt;0</x:formula>
    </x:cfRule>
  </x:conditionalFormatting>
  <x:conditionalFormatting sqref="C74:AL74">
    <x:cfRule type="expression" dxfId="3" priority="3">
      <x:formula>C74&lt;0</x:formula>
    </x:cfRule>
  </x:conditionalFormatting>
  <x:conditionalFormatting sqref="C55:AL55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{BF2C9E46-3B78-9754-B3C3-7198128587F4}</x14:id>
        </x:ext>
      </x:extLst>
    </x:cfRule>
  </x:conditionalFormatting>
  <x:conditionalFormatting sqref="C77:AL77">
    <x:cfRule type="dataBar" priority="5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{523B32A6-B4A5-AB15-3613-DF8547C44B7A}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BF2C9E46-3B78-9754-B3C3-7198128587F4}">
            <x14:dataBar gradient="1">
              <x14:cfvo type="min"/>
              <x14:cfvo type="max"/>
              <x14:fillColor rgb="FFA02B93"/>
            </x14:dataBar>
          </x14:cfRule>
          <xm:sqref>C55:AL55</xm:sqref>
        </x14:conditionalFormatting>
        <x14:conditionalFormatting>
          <x14:cfRule type="dataBar" priority="5" id="{523B32A6-B4A5-AB15-3613-DF8547C44B7A}">
            <x14:dataBar gradient="1">
              <x14:cfvo type="min"/>
              <x14:cfvo type="max"/>
              <x14:fillColor rgb="FF4EA72E"/>
            </x14:dataBar>
          </x14:cfRule>
          <xm:sqref>C77:AL77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414" t="str">
        <x:v>GoalOS Financial Projection — Base Scenario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Expected-value monthly model. Fractional engagements represent probability-weighted pipeline outcomes. All assumptions are editable on the Assumptions sheet.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>
      <x:c r="A4" s="415"/>
      <x:c r="B4" s="415"/>
      <x:c r="C4" s="415"/>
      <x:c r="D4" s="415"/>
      <x:c r="E4" s="415"/>
      <x:c r="F4" s="415"/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 ht="28" customHeight="1">
      <x:c r="A5" s="26" t="str">
        <x:v>Date</x:v>
      </x:c>
      <x:c r="B5" s="28" t="str">
        <x:v>Unit</x:v>
      </x:c>
      <x:c r="C5" s="422" t="n">
        <x:f>Assumptions!$D$4</x:f>
        <x:v>46235</x:v>
      </x:c>
      <x:c r="D5" s="423" t="n">
        <x:f>DATE(YEAR(C5),MONTH(C5)+1,1)</x:f>
        <x:v>46266</x:v>
      </x:c>
      <x:c r="E5" s="423" t="n">
        <x:f>DATE(YEAR(D5),MONTH(D5)+1,1)</x:f>
        <x:v>46296</x:v>
      </x:c>
      <x:c r="F5" s="423" t="n">
        <x:f>DATE(YEAR(E5),MONTH(E5)+1,1)</x:f>
        <x:v>46327</x:v>
      </x:c>
      <x:c r="G5" s="423" t="n">
        <x:f>DATE(YEAR(F5),MONTH(F5)+1,1)</x:f>
        <x:v>46357</x:v>
      </x:c>
      <x:c r="H5" s="423" t="n">
        <x:f>DATE(YEAR(G5),MONTH(G5)+1,1)</x:f>
        <x:v>46388</x:v>
      </x:c>
      <x:c r="I5" s="423" t="n">
        <x:f>DATE(YEAR(H5),MONTH(H5)+1,1)</x:f>
        <x:v>46419</x:v>
      </x:c>
      <x:c r="J5" s="423" t="n">
        <x:f>DATE(YEAR(I5),MONTH(I5)+1,1)</x:f>
        <x:v>46447</x:v>
      </x:c>
      <x:c r="K5" s="423" t="n">
        <x:f>DATE(YEAR(J5),MONTH(J5)+1,1)</x:f>
        <x:v>46478</x:v>
      </x:c>
      <x:c r="L5" s="423" t="n">
        <x:f>DATE(YEAR(K5),MONTH(K5)+1,1)</x:f>
        <x:v>46508</x:v>
      </x:c>
      <x:c r="M5" s="423" t="n">
        <x:f>DATE(YEAR(L5),MONTH(L5)+1,1)</x:f>
        <x:v>46539</x:v>
      </x:c>
      <x:c r="N5" s="423" t="n">
        <x:f>DATE(YEAR(M5),MONTH(M5)+1,1)</x:f>
        <x:v>46569</x:v>
      </x:c>
      <x:c r="O5" s="423" t="n">
        <x:f>DATE(YEAR(N5),MONTH(N5)+1,1)</x:f>
        <x:v>46600</x:v>
      </x:c>
      <x:c r="P5" s="423" t="n">
        <x:f>DATE(YEAR(O5),MONTH(O5)+1,1)</x:f>
        <x:v>46631</x:v>
      </x:c>
      <x:c r="Q5" s="423" t="n">
        <x:f>DATE(YEAR(P5),MONTH(P5)+1,1)</x:f>
        <x:v>46661</x:v>
      </x:c>
      <x:c r="R5" s="423" t="n">
        <x:f>DATE(YEAR(Q5),MONTH(Q5)+1,1)</x:f>
        <x:v>46692</x:v>
      </x:c>
      <x:c r="S5" s="423" t="n">
        <x:f>DATE(YEAR(R5),MONTH(R5)+1,1)</x:f>
        <x:v>46722</x:v>
      </x:c>
      <x:c r="T5" s="423" t="n">
        <x:f>DATE(YEAR(S5),MONTH(S5)+1,1)</x:f>
        <x:v>46753</x:v>
      </x:c>
      <x:c r="U5" s="423" t="n">
        <x:f>DATE(YEAR(T5),MONTH(T5)+1,1)</x:f>
        <x:v>46784</x:v>
      </x:c>
      <x:c r="V5" s="423" t="n">
        <x:f>DATE(YEAR(U5),MONTH(U5)+1,1)</x:f>
        <x:v>46813</x:v>
      </x:c>
      <x:c r="W5" s="423" t="n">
        <x:f>DATE(YEAR(V5),MONTH(V5)+1,1)</x:f>
        <x:v>46844</x:v>
      </x:c>
      <x:c r="X5" s="423" t="n">
        <x:f>DATE(YEAR(W5),MONTH(W5)+1,1)</x:f>
        <x:v>46874</x:v>
      </x:c>
      <x:c r="Y5" s="423" t="n">
        <x:f>DATE(YEAR(X5),MONTH(X5)+1,1)</x:f>
        <x:v>46905</x:v>
      </x:c>
      <x:c r="Z5" s="423" t="n">
        <x:f>DATE(YEAR(Y5),MONTH(Y5)+1,1)</x:f>
        <x:v>46935</x:v>
      </x:c>
      <x:c r="AA5" s="423" t="n">
        <x:f>DATE(YEAR(Z5),MONTH(Z5)+1,1)</x:f>
        <x:v>46966</x:v>
      </x:c>
      <x:c r="AB5" s="423" t="n">
        <x:f>DATE(YEAR(AA5),MONTH(AA5)+1,1)</x:f>
        <x:v>46997</x:v>
      </x:c>
      <x:c r="AC5" s="423" t="n">
        <x:f>DATE(YEAR(AB5),MONTH(AB5)+1,1)</x:f>
        <x:v>47027</x:v>
      </x:c>
      <x:c r="AD5" s="423" t="n">
        <x:f>DATE(YEAR(AC5),MONTH(AC5)+1,1)</x:f>
        <x:v>47058</x:v>
      </x:c>
      <x:c r="AE5" s="423" t="n">
        <x:f>DATE(YEAR(AD5),MONTH(AD5)+1,1)</x:f>
        <x:v>47088</x:v>
      </x:c>
      <x:c r="AF5" s="423" t="n">
        <x:f>DATE(YEAR(AE5),MONTH(AE5)+1,1)</x:f>
        <x:v>47119</x:v>
      </x:c>
      <x:c r="AG5" s="423" t="n">
        <x:f>DATE(YEAR(AF5),MONTH(AF5)+1,1)</x:f>
        <x:v>47150</x:v>
      </x:c>
      <x:c r="AH5" s="423" t="n">
        <x:f>DATE(YEAR(AG5),MONTH(AG5)+1,1)</x:f>
        <x:v>47178</x:v>
      </x:c>
      <x:c r="AI5" s="423" t="n">
        <x:f>DATE(YEAR(AH5),MONTH(AH5)+1,1)</x:f>
        <x:v>47209</x:v>
      </x:c>
      <x:c r="AJ5" s="423" t="n">
        <x:f>DATE(YEAR(AI5),MONTH(AI5)+1,1)</x:f>
        <x:v>47239</x:v>
      </x:c>
      <x:c r="AK5" s="423" t="n">
        <x:f>DATE(YEAR(AJ5),MONTH(AJ5)+1,1)</x:f>
        <x:v>47270</x:v>
      </x:c>
      <x:c r="AL5" s="423" t="n">
        <x:f>DATE(YEAR(AK5),MONTH(AK5)+1,1)</x:f>
        <x:v>47300</x:v>
      </x:c>
    </x:row>
    <x:row r="6">
      <x:c r="A6" s="49" t="str">
        <x:v>Month</x:v>
      </x:c>
      <x:c r="B6" s="51" t="str">
        <x:v>#</x:v>
      </x:c>
      <x:c r="C6" s="415" t="n">
        <x:f>1</x:f>
        <x:v>1</x:v>
      </x:c>
      <x:c r="D6" s="415" t="n">
        <x:f>C6+1</x:f>
        <x:v>2</x:v>
      </x:c>
      <x:c r="E6" s="415" t="n">
        <x:f>D6+1</x:f>
        <x:v>3</x:v>
      </x:c>
      <x:c r="F6" s="415" t="n">
        <x:f>E6+1</x:f>
        <x:v>4</x:v>
      </x:c>
      <x:c r="G6" s="415" t="n">
        <x:f>F6+1</x:f>
        <x:v>5</x:v>
      </x:c>
      <x:c r="H6" s="415" t="n">
        <x:f>G6+1</x:f>
        <x:v>6</x:v>
      </x:c>
      <x:c r="I6" s="415" t="n">
        <x:f>H6+1</x:f>
        <x:v>7</x:v>
      </x:c>
      <x:c r="J6" s="415" t="n">
        <x:f>I6+1</x:f>
        <x:v>8</x:v>
      </x:c>
      <x:c r="K6" s="415" t="n">
        <x:f>J6+1</x:f>
        <x:v>9</x:v>
      </x:c>
      <x:c r="L6" s="415" t="n">
        <x:f>K6+1</x:f>
        <x:v>10</x:v>
      </x:c>
      <x:c r="M6" s="415" t="n">
        <x:f>L6+1</x:f>
        <x:v>11</x:v>
      </x:c>
      <x:c r="N6" s="415" t="n">
        <x:f>M6+1</x:f>
        <x:v>12</x:v>
      </x:c>
      <x:c r="O6" s="415" t="n">
        <x:f>N6+1</x:f>
        <x:v>13</x:v>
      </x:c>
      <x:c r="P6" s="415" t="n">
        <x:f>O6+1</x:f>
        <x:v>14</x:v>
      </x:c>
      <x:c r="Q6" s="415" t="n">
        <x:f>P6+1</x:f>
        <x:v>15</x:v>
      </x:c>
      <x:c r="R6" s="415" t="n">
        <x:f>Q6+1</x:f>
        <x:v>16</x:v>
      </x:c>
      <x:c r="S6" s="415" t="n">
        <x:f>R6+1</x:f>
        <x:v>17</x:v>
      </x:c>
      <x:c r="T6" s="415" t="n">
        <x:f>S6+1</x:f>
        <x:v>18</x:v>
      </x:c>
      <x:c r="U6" s="415" t="n">
        <x:f>T6+1</x:f>
        <x:v>19</x:v>
      </x:c>
      <x:c r="V6" s="415" t="n">
        <x:f>U6+1</x:f>
        <x:v>20</x:v>
      </x:c>
      <x:c r="W6" s="415" t="n">
        <x:f>V6+1</x:f>
        <x:v>21</x:v>
      </x:c>
      <x:c r="X6" s="415" t="n">
        <x:f>W6+1</x:f>
        <x:v>22</x:v>
      </x:c>
      <x:c r="Y6" s="415" t="n">
        <x:f>X6+1</x:f>
        <x:v>23</x:v>
      </x:c>
      <x:c r="Z6" s="415" t="n">
        <x:f>Y6+1</x:f>
        <x:v>24</x:v>
      </x:c>
      <x:c r="AA6" s="415" t="n">
        <x:f>Z6+1</x:f>
        <x:v>25</x:v>
      </x:c>
      <x:c r="AB6" s="415" t="n">
        <x:f>AA6+1</x:f>
        <x:v>26</x:v>
      </x:c>
      <x:c r="AC6" s="415" t="n">
        <x:f>AB6+1</x:f>
        <x:v>27</x:v>
      </x:c>
      <x:c r="AD6" s="415" t="n">
        <x:f>AC6+1</x:f>
        <x:v>28</x:v>
      </x:c>
      <x:c r="AE6" s="415" t="n">
        <x:f>AD6+1</x:f>
        <x:v>29</x:v>
      </x:c>
      <x:c r="AF6" s="415" t="n">
        <x:f>AE6+1</x:f>
        <x:v>30</x:v>
      </x:c>
      <x:c r="AG6" s="415" t="n">
        <x:f>AF6+1</x:f>
        <x:v>31</x:v>
      </x:c>
      <x:c r="AH6" s="415" t="n">
        <x:f>AG6+1</x:f>
        <x:v>32</x:v>
      </x:c>
      <x:c r="AI6" s="415" t="n">
        <x:f>AH6+1</x:f>
        <x:v>33</x:v>
      </x:c>
      <x:c r="AJ6" s="415" t="n">
        <x:f>AI6+1</x:f>
        <x:v>34</x:v>
      </x:c>
      <x:c r="AK6" s="415" t="n">
        <x:f>AJ6+1</x:f>
        <x:v>35</x:v>
      </x:c>
      <x:c r="AL6" s="415" t="n">
        <x:f>AK6+1</x:f>
        <x:v>36</x:v>
      </x:c>
    </x:row>
    <x:row r="7">
      <x:c r="A7" s="415"/>
      <x:c r="B7" s="415"/>
      <x:c r="C7" s="415"/>
      <x:c r="D7" s="415"/>
      <x:c r="E7" s="415"/>
      <x:c r="F7" s="415"/>
      <x:c r="G7" s="415"/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 ht="23" customHeight="1">
      <x:c r="A8" s="416" t="str">
        <x:v>FUNNEL</x:v>
      </x:c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9" t="str">
        <x:v>Qualified leads</x:v>
      </x:c>
      <x:c r="B9" s="50" t="str">
        <x:v>leads</x:v>
      </x:c>
      <x:c r="C9" s="164" t="n">
        <x:f>Assumptions!$D$25</x:f>
        <x:v>24</x:v>
      </x:c>
      <x:c r="D9" s="110" t="n">
        <x:f>C9*(1+Assumptions!$D$26)</x:f>
        <x:v>25.200000000000003</x:v>
      </x:c>
      <x:c r="E9" s="110" t="n">
        <x:f>D9*(1+Assumptions!$D$26)</x:f>
        <x:v>26.460000000000004</x:v>
      </x:c>
      <x:c r="F9" s="110" t="n">
        <x:f>E9*(1+Assumptions!$D$26)</x:f>
        <x:v>27.783000000000005</x:v>
      </x:c>
      <x:c r="G9" s="110" t="n">
        <x:f>F9*(1+Assumptions!$D$26)</x:f>
        <x:v>29.172150000000006</x:v>
      </x:c>
      <x:c r="H9" s="110" t="n">
        <x:f>G9*(1+Assumptions!$D$26)</x:f>
        <x:v>30.63075750000001</x:v>
      </x:c>
      <x:c r="I9" s="110" t="n">
        <x:f>H9*(1+Assumptions!$D$26)</x:f>
        <x:v>32.162295375000014</x:v>
      </x:c>
      <x:c r="J9" s="110" t="n">
        <x:f>I9*(1+Assumptions!$D$26)</x:f>
        <x:v>33.77041014375001</x:v>
      </x:c>
      <x:c r="K9" s="110" t="n">
        <x:f>J9*(1+Assumptions!$D$26)</x:f>
        <x:v>35.45893065093752</x:v>
      </x:c>
      <x:c r="L9" s="110" t="n">
        <x:f>K9*(1+Assumptions!$D$26)</x:f>
        <x:v>37.23187718348439</x:v>
      </x:c>
      <x:c r="M9" s="110" t="n">
        <x:f>L9*(1+Assumptions!$D$26)</x:f>
        <x:v>39.093471042658614</x:v>
      </x:c>
      <x:c r="N9" s="110" t="n">
        <x:f>M9*(1+Assumptions!$D$26)</x:f>
        <x:v>41.048144594791545</x:v>
      </x:c>
      <x:c r="O9" s="110" t="n">
        <x:f>N9*(1+Assumptions!$D$26)</x:f>
        <x:v>43.100551824531124</x:v>
      </x:c>
      <x:c r="P9" s="110" t="n">
        <x:f>O9*(1+Assumptions!$D$26)</x:f>
        <x:v>45.25557941575768</x:v>
      </x:c>
      <x:c r="Q9" s="110" t="n">
        <x:f>P9*(1+Assumptions!$D$26)</x:f>
        <x:v>47.518358386545565</x:v>
      </x:c>
      <x:c r="R9" s="110" t="n">
        <x:f>Q9*(1+Assumptions!$D$26)</x:f>
        <x:v>49.89427630587284</x:v>
      </x:c>
      <x:c r="S9" s="110" t="n">
        <x:f>R9*(1+Assumptions!$D$26)</x:f>
        <x:v>52.388990121166486</x:v>
      </x:c>
      <x:c r="T9" s="110" t="n">
        <x:f>S9*(1+Assumptions!$D$26)</x:f>
        <x:v>55.00843962722481</x:v>
      </x:c>
      <x:c r="U9" s="110" t="n">
        <x:f>T9*(1+Assumptions!$D$26)</x:f>
        <x:v>57.75886160858605</x:v>
      </x:c>
      <x:c r="V9" s="110" t="n">
        <x:f>U9*(1+Assumptions!$D$26)</x:f>
        <x:v>60.646804689015354</x:v>
      </x:c>
      <x:c r="W9" s="110" t="n">
        <x:f>V9*(1+Assumptions!$D$26)</x:f>
        <x:v>63.679144923466126</x:v>
      </x:c>
      <x:c r="X9" s="110" t="n">
        <x:f>W9*(1+Assumptions!$D$26)</x:f>
        <x:v>66.86310216963943</x:v>
      </x:c>
      <x:c r="Y9" s="110" t="n">
        <x:f>X9*(1+Assumptions!$D$26)</x:f>
        <x:v>70.20625727812141</x:v>
      </x:c>
      <x:c r="Z9" s="110" t="n">
        <x:f>Y9*(1+Assumptions!$D$26)</x:f>
        <x:v>73.71657014202749</x:v>
      </x:c>
      <x:c r="AA9" s="110" t="n">
        <x:f>Z9*(1+Assumptions!$D$26)</x:f>
        <x:v>77.40239864912887</x:v>
      </x:c>
      <x:c r="AB9" s="110" t="n">
        <x:f>AA9*(1+Assumptions!$D$26)</x:f>
        <x:v>81.27251858158532</x:v>
      </x:c>
      <x:c r="AC9" s="110" t="n">
        <x:f>AB9*(1+Assumptions!$D$26)</x:f>
        <x:v>85.33614451066458</x:v>
      </x:c>
      <x:c r="AD9" s="110" t="n">
        <x:f>AC9*(1+Assumptions!$D$26)</x:f>
        <x:v>89.60295173619781</x:v>
      </x:c>
      <x:c r="AE9" s="110" t="n">
        <x:f>AD9*(1+Assumptions!$D$26)</x:f>
        <x:v>94.0830993230077</x:v>
      </x:c>
      <x:c r="AF9" s="110" t="n">
        <x:f>AE9*(1+Assumptions!$D$26)</x:f>
        <x:v>98.78725428915808</x:v>
      </x:c>
      <x:c r="AG9" s="110" t="n">
        <x:f>AF9*(1+Assumptions!$D$26)</x:f>
        <x:v>103.726617003616</x:v>
      </x:c>
      <x:c r="AH9" s="110" t="n">
        <x:f>AG9*(1+Assumptions!$D$26)</x:f>
        <x:v>108.91294785379681</x:v>
      </x:c>
      <x:c r="AI9" s="110" t="n">
        <x:f>AH9*(1+Assumptions!$D$26)</x:f>
        <x:v>114.35859524648666</x:v>
      </x:c>
      <x:c r="AJ9" s="110" t="n">
        <x:f>AI9*(1+Assumptions!$D$26)</x:f>
        <x:v>120.07652500881099</x:v>
      </x:c>
      <x:c r="AK9" s="110" t="n">
        <x:f>AJ9*(1+Assumptions!$D$26)</x:f>
        <x:v>126.08035125925154</x:v>
      </x:c>
      <x:c r="AL9" s="111" t="n">
        <x:f>AK9*(1+Assumptions!$D$26)</x:f>
        <x:v>132.38436882221413</x:v>
      </x:c>
    </x:row>
    <x:row r="10">
      <x:c r="A10" s="49" t="str">
        <x:v>Lead → discovery call</x:v>
      </x:c>
      <x:c r="B10" s="50" t="str">
        <x:v>%</x:v>
      </x:c>
      <x:c r="C10" s="158" t="n">
        <x:f>Assumptions!$D$27</x:f>
        <x:v>0.3</x:v>
      </x:c>
      <x:c r="D10" s="158" t="n">
        <x:f>Assumptions!$D$27</x:f>
        <x:v>0.3</x:v>
      </x:c>
      <x:c r="E10" s="158" t="n">
        <x:f>Assumptions!$D$27</x:f>
        <x:v>0.3</x:v>
      </x:c>
      <x:c r="F10" s="158" t="n">
        <x:f>Assumptions!$D$27</x:f>
        <x:v>0.3</x:v>
      </x:c>
      <x:c r="G10" s="158" t="n">
        <x:f>Assumptions!$D$27</x:f>
        <x:v>0.3</x:v>
      </x:c>
      <x:c r="H10" s="158" t="n">
        <x:f>Assumptions!$D$27</x:f>
        <x:v>0.3</x:v>
      </x:c>
      <x:c r="I10" s="158" t="n">
        <x:f>Assumptions!$D$27</x:f>
        <x:v>0.3</x:v>
      </x:c>
      <x:c r="J10" s="158" t="n">
        <x:f>Assumptions!$D$27</x:f>
        <x:v>0.3</x:v>
      </x:c>
      <x:c r="K10" s="158" t="n">
        <x:f>Assumptions!$D$27</x:f>
        <x:v>0.3</x:v>
      </x:c>
      <x:c r="L10" s="158" t="n">
        <x:f>Assumptions!$D$27</x:f>
        <x:v>0.3</x:v>
      </x:c>
      <x:c r="M10" s="158" t="n">
        <x:f>Assumptions!$D$27</x:f>
        <x:v>0.3</x:v>
      </x:c>
      <x:c r="N10" s="158" t="n">
        <x:f>Assumptions!$D$27</x:f>
        <x:v>0.3</x:v>
      </x:c>
      <x:c r="O10" s="158" t="n">
        <x:f>Assumptions!$D$27</x:f>
        <x:v>0.3</x:v>
      </x:c>
      <x:c r="P10" s="158" t="n">
        <x:f>Assumptions!$D$27</x:f>
        <x:v>0.3</x:v>
      </x:c>
      <x:c r="Q10" s="158" t="n">
        <x:f>Assumptions!$D$27</x:f>
        <x:v>0.3</x:v>
      </x:c>
      <x:c r="R10" s="158" t="n">
        <x:f>Assumptions!$D$27</x:f>
        <x:v>0.3</x:v>
      </x:c>
      <x:c r="S10" s="158" t="n">
        <x:f>Assumptions!$D$27</x:f>
        <x:v>0.3</x:v>
      </x:c>
      <x:c r="T10" s="158" t="n">
        <x:f>Assumptions!$D$27</x:f>
        <x:v>0.3</x:v>
      </x:c>
      <x:c r="U10" s="158" t="n">
        <x:f>Assumptions!$D$27</x:f>
        <x:v>0.3</x:v>
      </x:c>
      <x:c r="V10" s="158" t="n">
        <x:f>Assumptions!$D$27</x:f>
        <x:v>0.3</x:v>
      </x:c>
      <x:c r="W10" s="158" t="n">
        <x:f>Assumptions!$D$27</x:f>
        <x:v>0.3</x:v>
      </x:c>
      <x:c r="X10" s="158" t="n">
        <x:f>Assumptions!$D$27</x:f>
        <x:v>0.3</x:v>
      </x:c>
      <x:c r="Y10" s="158" t="n">
        <x:f>Assumptions!$D$27</x:f>
        <x:v>0.3</x:v>
      </x:c>
      <x:c r="Z10" s="158" t="n">
        <x:f>Assumptions!$D$27</x:f>
        <x:v>0.3</x:v>
      </x:c>
      <x:c r="AA10" s="158" t="n">
        <x:f>Assumptions!$D$27</x:f>
        <x:v>0.3</x:v>
      </x:c>
      <x:c r="AB10" s="158" t="n">
        <x:f>Assumptions!$D$27</x:f>
        <x:v>0.3</x:v>
      </x:c>
      <x:c r="AC10" s="158" t="n">
        <x:f>Assumptions!$D$27</x:f>
        <x:v>0.3</x:v>
      </x:c>
      <x:c r="AD10" s="158" t="n">
        <x:f>Assumptions!$D$27</x:f>
        <x:v>0.3</x:v>
      </x:c>
      <x:c r="AE10" s="158" t="n">
        <x:f>Assumptions!$D$27</x:f>
        <x:v>0.3</x:v>
      </x:c>
      <x:c r="AF10" s="158" t="n">
        <x:f>Assumptions!$D$27</x:f>
        <x:v>0.3</x:v>
      </x:c>
      <x:c r="AG10" s="158" t="n">
        <x:f>Assumptions!$D$27</x:f>
        <x:v>0.3</x:v>
      </x:c>
      <x:c r="AH10" s="158" t="n">
        <x:f>Assumptions!$D$27</x:f>
        <x:v>0.3</x:v>
      </x:c>
      <x:c r="AI10" s="158" t="n">
        <x:f>Assumptions!$D$27</x:f>
        <x:v>0.3</x:v>
      </x:c>
      <x:c r="AJ10" s="158" t="n">
        <x:f>Assumptions!$D$27</x:f>
        <x:v>0.3</x:v>
      </x:c>
      <x:c r="AK10" s="158" t="n">
        <x:f>Assumptions!$D$27</x:f>
        <x:v>0.3</x:v>
      </x:c>
      <x:c r="AL10" s="159" t="n">
        <x:f>Assumptions!$D$27</x:f>
        <x:v>0.3</x:v>
      </x:c>
    </x:row>
    <x:row r="11">
      <x:c r="A11" s="49" t="str">
        <x:v>Discovery calls</x:v>
      </x:c>
      <x:c r="B11" s="50" t="str">
        <x:v>calls</x:v>
      </x:c>
      <x:c r="C11" s="110" t="n">
        <x:f>C9*C10</x:f>
        <x:v>7.199999999999999</x:v>
      </x:c>
      <x:c r="D11" s="110" t="n">
        <x:f>D9*D10</x:f>
        <x:v>7.5600000000000005</x:v>
      </x:c>
      <x:c r="E11" s="110" t="n">
        <x:f>E9*E10</x:f>
        <x:v>7.938000000000001</x:v>
      </x:c>
      <x:c r="F11" s="110" t="n">
        <x:f>F9*F10</x:f>
        <x:v>8.334900000000001</x:v>
      </x:c>
      <x:c r="G11" s="110" t="n">
        <x:f>G9*G10</x:f>
        <x:v>8.751645000000002</x:v>
      </x:c>
      <x:c r="H11" s="110" t="n">
        <x:f>H9*H10</x:f>
        <x:v>9.189227250000002</x:v>
      </x:c>
      <x:c r="I11" s="110" t="n">
        <x:f>I9*I10</x:f>
        <x:v>9.648688612500004</x:v>
      </x:c>
      <x:c r="J11" s="110" t="n">
        <x:f>J9*J10</x:f>
        <x:v>10.131123043125003</x:v>
      </x:c>
      <x:c r="K11" s="110" t="n">
        <x:f>K9*K10</x:f>
        <x:v>10.637679195281255</x:v>
      </x:c>
      <x:c r="L11" s="110" t="n">
        <x:f>L9*L10</x:f>
        <x:v>11.169563155045317</x:v>
      </x:c>
      <x:c r="M11" s="110" t="n">
        <x:f>M9*M10</x:f>
        <x:v>11.728041312797584</x:v>
      </x:c>
      <x:c r="N11" s="110" t="n">
        <x:f>N9*N10</x:f>
        <x:v>12.314443378437463</x:v>
      </x:c>
      <x:c r="O11" s="110" t="n">
        <x:f>O9*O10</x:f>
        <x:v>12.930165547359337</x:v>
      </x:c>
      <x:c r="P11" s="110" t="n">
        <x:f>P9*P10</x:f>
        <x:v>13.576673824727303</x:v>
      </x:c>
      <x:c r="Q11" s="110" t="n">
        <x:f>Q9*Q10</x:f>
        <x:v>14.25550751596367</x:v>
      </x:c>
      <x:c r="R11" s="110" t="n">
        <x:f>R9*R10</x:f>
        <x:v>14.968282891761852</x:v>
      </x:c>
      <x:c r="S11" s="110" t="n">
        <x:f>S9*S10</x:f>
        <x:v>15.716697036349945</x:v>
      </x:c>
      <x:c r="T11" s="110" t="n">
        <x:f>T9*T10</x:f>
        <x:v>16.502531888167443</x:v>
      </x:c>
      <x:c r="U11" s="110" t="n">
        <x:f>U9*U10</x:f>
        <x:v>17.327658482575814</x:v>
      </x:c>
      <x:c r="V11" s="110" t="n">
        <x:f>V9*V10</x:f>
        <x:v>18.194041406704606</x:v>
      </x:c>
      <x:c r="W11" s="110" t="n">
        <x:f>W9*W10</x:f>
        <x:v>19.10374347703984</x:v>
      </x:c>
      <x:c r="X11" s="110" t="n">
        <x:f>X9*X10</x:f>
        <x:v>20.058930650891828</x:v>
      </x:c>
      <x:c r="Y11" s="110" t="n">
        <x:f>Y9*Y10</x:f>
        <x:v>21.061877183436422</x:v>
      </x:c>
      <x:c r="Z11" s="110" t="n">
        <x:f>Z9*Z10</x:f>
        <x:v>22.114971042608246</x:v>
      </x:c>
      <x:c r="AA11" s="110" t="n">
        <x:f>AA9*AA10</x:f>
        <x:v>23.22071959473866</x:v>
      </x:c>
      <x:c r="AB11" s="110" t="n">
        <x:f>AB9*AB10</x:f>
        <x:v>24.381755574475594</x:v>
      </x:c>
      <x:c r="AC11" s="110" t="n">
        <x:f>AC9*AC10</x:f>
        <x:v>25.600843353199373</x:v>
      </x:c>
      <x:c r="AD11" s="110" t="n">
        <x:f>AD9*AD10</x:f>
        <x:v>26.88088552085934</x:v>
      </x:c>
      <x:c r="AE11" s="110" t="n">
        <x:f>AE9*AE10</x:f>
        <x:v>28.22492979690231</x:v>
      </x:c>
      <x:c r="AF11" s="110" t="n">
        <x:f>AF9*AF10</x:f>
        <x:v>29.636176286747425</x:v>
      </x:c>
      <x:c r="AG11" s="110" t="n">
        <x:f>AG9*AG10</x:f>
        <x:v>31.1179851010848</x:v>
      </x:c>
      <x:c r="AH11" s="110" t="n">
        <x:f>AH9*AH10</x:f>
        <x:v>32.67388435613904</x:v>
      </x:c>
      <x:c r="AI11" s="110" t="n">
        <x:f>AI9*AI10</x:f>
        <x:v>34.307578573945996</x:v>
      </x:c>
      <x:c r="AJ11" s="110" t="n">
        <x:f>AJ9*AJ10</x:f>
        <x:v>36.022957502643294</x:v>
      </x:c>
      <x:c r="AK11" s="110" t="n">
        <x:f>AK9*AK10</x:f>
        <x:v>37.82410537777546</x:v>
      </x:c>
      <x:c r="AL11" s="111" t="n">
        <x:f>AL9*AL10</x:f>
        <x:v>39.715310646664236</x:v>
      </x:c>
    </x:row>
    <x:row r="12">
      <x:c r="A12" s="49" t="str">
        <x:v>Discovery call → proposal</x:v>
      </x:c>
      <x:c r="B12" s="50" t="str">
        <x:v>%</x:v>
      </x:c>
      <x:c r="C12" s="158" t="n">
        <x:f>Assumptions!$D$28</x:f>
        <x:v>0.58</x:v>
      </x:c>
      <x:c r="D12" s="158" t="n">
        <x:f>Assumptions!$D$28</x:f>
        <x:v>0.58</x:v>
      </x:c>
      <x:c r="E12" s="158" t="n">
        <x:f>Assumptions!$D$28</x:f>
        <x:v>0.58</x:v>
      </x:c>
      <x:c r="F12" s="158" t="n">
        <x:f>Assumptions!$D$28</x:f>
        <x:v>0.58</x:v>
      </x:c>
      <x:c r="G12" s="158" t="n">
        <x:f>Assumptions!$D$28</x:f>
        <x:v>0.58</x:v>
      </x:c>
      <x:c r="H12" s="158" t="n">
        <x:f>Assumptions!$D$28</x:f>
        <x:v>0.58</x:v>
      </x:c>
      <x:c r="I12" s="158" t="n">
        <x:f>Assumptions!$D$28</x:f>
        <x:v>0.58</x:v>
      </x:c>
      <x:c r="J12" s="158" t="n">
        <x:f>Assumptions!$D$28</x:f>
        <x:v>0.58</x:v>
      </x:c>
      <x:c r="K12" s="158" t="n">
        <x:f>Assumptions!$D$28</x:f>
        <x:v>0.58</x:v>
      </x:c>
      <x:c r="L12" s="158" t="n">
        <x:f>Assumptions!$D$28</x:f>
        <x:v>0.58</x:v>
      </x:c>
      <x:c r="M12" s="158" t="n">
        <x:f>Assumptions!$D$28</x:f>
        <x:v>0.58</x:v>
      </x:c>
      <x:c r="N12" s="158" t="n">
        <x:f>Assumptions!$D$28</x:f>
        <x:v>0.58</x:v>
      </x:c>
      <x:c r="O12" s="158" t="n">
        <x:f>Assumptions!$D$28</x:f>
        <x:v>0.58</x:v>
      </x:c>
      <x:c r="P12" s="158" t="n">
        <x:f>Assumptions!$D$28</x:f>
        <x:v>0.58</x:v>
      </x:c>
      <x:c r="Q12" s="158" t="n">
        <x:f>Assumptions!$D$28</x:f>
        <x:v>0.58</x:v>
      </x:c>
      <x:c r="R12" s="158" t="n">
        <x:f>Assumptions!$D$28</x:f>
        <x:v>0.58</x:v>
      </x:c>
      <x:c r="S12" s="158" t="n">
        <x:f>Assumptions!$D$28</x:f>
        <x:v>0.58</x:v>
      </x:c>
      <x:c r="T12" s="158" t="n">
        <x:f>Assumptions!$D$28</x:f>
        <x:v>0.58</x:v>
      </x:c>
      <x:c r="U12" s="158" t="n">
        <x:f>Assumptions!$D$28</x:f>
        <x:v>0.58</x:v>
      </x:c>
      <x:c r="V12" s="158" t="n">
        <x:f>Assumptions!$D$28</x:f>
        <x:v>0.58</x:v>
      </x:c>
      <x:c r="W12" s="158" t="n">
        <x:f>Assumptions!$D$28</x:f>
        <x:v>0.58</x:v>
      </x:c>
      <x:c r="X12" s="158" t="n">
        <x:f>Assumptions!$D$28</x:f>
        <x:v>0.58</x:v>
      </x:c>
      <x:c r="Y12" s="158" t="n">
        <x:f>Assumptions!$D$28</x:f>
        <x:v>0.58</x:v>
      </x:c>
      <x:c r="Z12" s="158" t="n">
        <x:f>Assumptions!$D$28</x:f>
        <x:v>0.58</x:v>
      </x:c>
      <x:c r="AA12" s="158" t="n">
        <x:f>Assumptions!$D$28</x:f>
        <x:v>0.58</x:v>
      </x:c>
      <x:c r="AB12" s="158" t="n">
        <x:f>Assumptions!$D$28</x:f>
        <x:v>0.58</x:v>
      </x:c>
      <x:c r="AC12" s="158" t="n">
        <x:f>Assumptions!$D$28</x:f>
        <x:v>0.58</x:v>
      </x:c>
      <x:c r="AD12" s="158" t="n">
        <x:f>Assumptions!$D$28</x:f>
        <x:v>0.58</x:v>
      </x:c>
      <x:c r="AE12" s="158" t="n">
        <x:f>Assumptions!$D$28</x:f>
        <x:v>0.58</x:v>
      </x:c>
      <x:c r="AF12" s="158" t="n">
        <x:f>Assumptions!$D$28</x:f>
        <x:v>0.58</x:v>
      </x:c>
      <x:c r="AG12" s="158" t="n">
        <x:f>Assumptions!$D$28</x:f>
        <x:v>0.58</x:v>
      </x:c>
      <x:c r="AH12" s="158" t="n">
        <x:f>Assumptions!$D$28</x:f>
        <x:v>0.58</x:v>
      </x:c>
      <x:c r="AI12" s="158" t="n">
        <x:f>Assumptions!$D$28</x:f>
        <x:v>0.58</x:v>
      </x:c>
      <x:c r="AJ12" s="158" t="n">
        <x:f>Assumptions!$D$28</x:f>
        <x:v>0.58</x:v>
      </x:c>
      <x:c r="AK12" s="158" t="n">
        <x:f>Assumptions!$D$28</x:f>
        <x:v>0.58</x:v>
      </x:c>
      <x:c r="AL12" s="159" t="n">
        <x:f>Assumptions!$D$28</x:f>
        <x:v>0.58</x:v>
      </x:c>
    </x:row>
    <x:row r="13">
      <x:c r="A13" s="49" t="str">
        <x:v>Proposals</x:v>
      </x:c>
      <x:c r="B13" s="50" t="str">
        <x:v>proposals</x:v>
      </x:c>
      <x:c r="C13" s="110" t="n">
        <x:f>C11*C12</x:f>
        <x:v>4.175999999999999</x:v>
      </x:c>
      <x:c r="D13" s="110" t="n">
        <x:f>D11*D12</x:f>
        <x:v>4.3848</x:v>
      </x:c>
      <x:c r="E13" s="110" t="n">
        <x:f>E11*E12</x:f>
        <x:v>4.60404</x:v>
      </x:c>
      <x:c r="F13" s="110" t="n">
        <x:f>F11*F12</x:f>
        <x:v>4.834242000000001</x:v>
      </x:c>
      <x:c r="G13" s="110" t="n">
        <x:f>G11*G12</x:f>
        <x:v>5.075954100000001</x:v>
      </x:c>
      <x:c r="H13" s="110" t="n">
        <x:f>H11*H12</x:f>
        <x:v>5.329751805000001</x:v>
      </x:c>
      <x:c r="I13" s="110" t="n">
        <x:f>I11*I12</x:f>
        <x:v>5.596239395250002</x:v>
      </x:c>
      <x:c r="J13" s="110" t="n">
        <x:f>J11*J12</x:f>
        <x:v>5.8760513650125015</x:v>
      </x:c>
      <x:c r="K13" s="110" t="n">
        <x:f>K11*K12</x:f>
        <x:v>6.169853933263127</x:v>
      </x:c>
      <x:c r="L13" s="110" t="n">
        <x:f>L11*L12</x:f>
        <x:v>6.478346629926284</x:v>
      </x:c>
      <x:c r="M13" s="110" t="n">
        <x:f>M11*M12</x:f>
        <x:v>6.802263961422598</x:v>
      </x:c>
      <x:c r="N13" s="110" t="n">
        <x:f>N11*N12</x:f>
        <x:v>7.142377159493728</x:v>
      </x:c>
      <x:c r="O13" s="110" t="n">
        <x:f>O11*O12</x:f>
        <x:v>7.499496017468415</x:v>
      </x:c>
      <x:c r="P13" s="110" t="n">
        <x:f>P11*P12</x:f>
        <x:v>7.874470818341835</x:v>
      </x:c>
      <x:c r="Q13" s="110" t="n">
        <x:f>Q11*Q12</x:f>
        <x:v>8.268194359258928</x:v>
      </x:c>
      <x:c r="R13" s="110" t="n">
        <x:f>R11*R12</x:f>
        <x:v>8.681604077221873</x:v>
      </x:c>
      <x:c r="S13" s="110" t="n">
        <x:f>S11*S12</x:f>
        <x:v>9.115684281082968</x:v>
      </x:c>
      <x:c r="T13" s="110" t="n">
        <x:f>T11*T12</x:f>
        <x:v>9.571468495137117</x:v>
      </x:c>
      <x:c r="U13" s="110" t="n">
        <x:f>U11*U12</x:f>
        <x:v>10.050041919893971</x:v>
      </x:c>
      <x:c r="V13" s="110" t="n">
        <x:f>V11*V12</x:f>
        <x:v>10.552544015888671</x:v>
      </x:c>
      <x:c r="W13" s="110" t="n">
        <x:f>W11*W12</x:f>
        <x:v>11.080171216683105</x:v>
      </x:c>
      <x:c r="X13" s="110" t="n">
        <x:f>X11*X12</x:f>
        <x:v>11.634179777517259</x:v>
      </x:c>
      <x:c r="Y13" s="110" t="n">
        <x:f>Y11*Y12</x:f>
        <x:v>12.215888766393125</x:v>
      </x:c>
      <x:c r="Z13" s="110" t="n">
        <x:f>Z11*Z12</x:f>
        <x:v>12.826683204712783</x:v>
      </x:c>
      <x:c r="AA13" s="110" t="n">
        <x:f>AA11*AA12</x:f>
        <x:v>13.468017364948423</x:v>
      </x:c>
      <x:c r="AB13" s="110" t="n">
        <x:f>AB11*AB12</x:f>
        <x:v>14.141418233195843</x:v>
      </x:c>
      <x:c r="AC13" s="110" t="n">
        <x:f>AC11*AC12</x:f>
        <x:v>14.848489144855636</x:v>
      </x:c>
      <x:c r="AD13" s="110" t="n">
        <x:f>AD11*AD12</x:f>
        <x:v>15.590913602098416</x:v>
      </x:c>
      <x:c r="AE13" s="110" t="n">
        <x:f>AE11*AE12</x:f>
        <x:v>16.37045928220334</x:v>
      </x:c>
      <x:c r="AF13" s="110" t="n">
        <x:f>AF11*AF12</x:f>
        <x:v>17.188982246313504</x:v>
      </x:c>
      <x:c r="AG13" s="110" t="n">
        <x:f>AG11*AG12</x:f>
        <x:v>18.04843135862918</x:v>
      </x:c>
      <x:c r="AH13" s="110" t="n">
        <x:f>AH11*AH12</x:f>
        <x:v>18.950852926560643</x:v>
      </x:c>
      <x:c r="AI13" s="110" t="n">
        <x:f>AI11*AI12</x:f>
        <x:v>19.898395572888678</x:v>
      </x:c>
      <x:c r="AJ13" s="110" t="n">
        <x:f>AJ11*AJ12</x:f>
        <x:v>20.893315351533108</x:v>
      </x:c>
      <x:c r="AK13" s="110" t="n">
        <x:f>AK11*AK12</x:f>
        <x:v>21.937981119109764</x:v>
      </x:c>
      <x:c r="AL13" s="111" t="n">
        <x:f>AL11*AL12</x:f>
        <x:v>23.034880175065254</x:v>
      </x:c>
    </x:row>
    <x:row r="14">
      <x:c r="A14" s="49" t="str">
        <x:v>Base proposal → paid entry close</x:v>
      </x:c>
      <x:c r="B14" s="50" t="str">
        <x:v>%</x:v>
      </x:c>
      <x:c r="C14" s="158" t="n">
        <x:f>Assumptions!$D$29</x:f>
        <x:v>0.28</x:v>
      </x:c>
      <x:c r="D14" s="158" t="n">
        <x:f>Assumptions!$D$29</x:f>
        <x:v>0.28</x:v>
      </x:c>
      <x:c r="E14" s="158" t="n">
        <x:f>Assumptions!$D$29</x:f>
        <x:v>0.28</x:v>
      </x:c>
      <x:c r="F14" s="158" t="n">
        <x:f>Assumptions!$D$29</x:f>
        <x:v>0.28</x:v>
      </x:c>
      <x:c r="G14" s="158" t="n">
        <x:f>Assumptions!$D$29</x:f>
        <x:v>0.28</x:v>
      </x:c>
      <x:c r="H14" s="158" t="n">
        <x:f>Assumptions!$D$29</x:f>
        <x:v>0.28</x:v>
      </x:c>
      <x:c r="I14" s="158" t="n">
        <x:f>Assumptions!$D$29</x:f>
        <x:v>0.28</x:v>
      </x:c>
      <x:c r="J14" s="158" t="n">
        <x:f>Assumptions!$D$29</x:f>
        <x:v>0.28</x:v>
      </x:c>
      <x:c r="K14" s="158" t="n">
        <x:f>Assumptions!$D$29</x:f>
        <x:v>0.28</x:v>
      </x:c>
      <x:c r="L14" s="158" t="n">
        <x:f>Assumptions!$D$29</x:f>
        <x:v>0.28</x:v>
      </x:c>
      <x:c r="M14" s="158" t="n">
        <x:f>Assumptions!$D$29</x:f>
        <x:v>0.28</x:v>
      </x:c>
      <x:c r="N14" s="158" t="n">
        <x:f>Assumptions!$D$29</x:f>
        <x:v>0.28</x:v>
      </x:c>
      <x:c r="O14" s="158" t="n">
        <x:f>Assumptions!$D$29</x:f>
        <x:v>0.28</x:v>
      </x:c>
      <x:c r="P14" s="158" t="n">
        <x:f>Assumptions!$D$29</x:f>
        <x:v>0.28</x:v>
      </x:c>
      <x:c r="Q14" s="158" t="n">
        <x:f>Assumptions!$D$29</x:f>
        <x:v>0.28</x:v>
      </x:c>
      <x:c r="R14" s="158" t="n">
        <x:f>Assumptions!$D$29</x:f>
        <x:v>0.28</x:v>
      </x:c>
      <x:c r="S14" s="158" t="n">
        <x:f>Assumptions!$D$29</x:f>
        <x:v>0.28</x:v>
      </x:c>
      <x:c r="T14" s="158" t="n">
        <x:f>Assumptions!$D$29</x:f>
        <x:v>0.28</x:v>
      </x:c>
      <x:c r="U14" s="158" t="n">
        <x:f>Assumptions!$D$29</x:f>
        <x:v>0.28</x:v>
      </x:c>
      <x:c r="V14" s="158" t="n">
        <x:f>Assumptions!$D$29</x:f>
        <x:v>0.28</x:v>
      </x:c>
      <x:c r="W14" s="158" t="n">
        <x:f>Assumptions!$D$29</x:f>
        <x:v>0.28</x:v>
      </x:c>
      <x:c r="X14" s="158" t="n">
        <x:f>Assumptions!$D$29</x:f>
        <x:v>0.28</x:v>
      </x:c>
      <x:c r="Y14" s="158" t="n">
        <x:f>Assumptions!$D$29</x:f>
        <x:v>0.28</x:v>
      </x:c>
      <x:c r="Z14" s="158" t="n">
        <x:f>Assumptions!$D$29</x:f>
        <x:v>0.28</x:v>
      </x:c>
      <x:c r="AA14" s="158" t="n">
        <x:f>Assumptions!$D$29</x:f>
        <x:v>0.28</x:v>
      </x:c>
      <x:c r="AB14" s="158" t="n">
        <x:f>Assumptions!$D$29</x:f>
        <x:v>0.28</x:v>
      </x:c>
      <x:c r="AC14" s="158" t="n">
        <x:f>Assumptions!$D$29</x:f>
        <x:v>0.28</x:v>
      </x:c>
      <x:c r="AD14" s="158" t="n">
        <x:f>Assumptions!$D$29</x:f>
        <x:v>0.28</x:v>
      </x:c>
      <x:c r="AE14" s="158" t="n">
        <x:f>Assumptions!$D$29</x:f>
        <x:v>0.28</x:v>
      </x:c>
      <x:c r="AF14" s="158" t="n">
        <x:f>Assumptions!$D$29</x:f>
        <x:v>0.28</x:v>
      </x:c>
      <x:c r="AG14" s="158" t="n">
        <x:f>Assumptions!$D$29</x:f>
        <x:v>0.28</x:v>
      </x:c>
      <x:c r="AH14" s="158" t="n">
        <x:f>Assumptions!$D$29</x:f>
        <x:v>0.28</x:v>
      </x:c>
      <x:c r="AI14" s="158" t="n">
        <x:f>Assumptions!$D$29</x:f>
        <x:v>0.28</x:v>
      </x:c>
      <x:c r="AJ14" s="158" t="n">
        <x:f>Assumptions!$D$29</x:f>
        <x:v>0.28</x:v>
      </x:c>
      <x:c r="AK14" s="158" t="n">
        <x:f>Assumptions!$D$29</x:f>
        <x:v>0.28</x:v>
      </x:c>
      <x:c r="AL14" s="159" t="n">
        <x:f>Assumptions!$D$29</x:f>
        <x:v>0.28</x:v>
      </x:c>
    </x:row>
    <x:row r="15">
      <x:c r="A15" s="49" t="str">
        <x:v>Proof-driven close-rate lift</x:v>
      </x:c>
      <x:c r="B15" s="50" t="str">
        <x:v>pp</x:v>
      </x:c>
      <x:c r="C15" s="118" t="n">
        <x:f>0</x:f>
        <x:v>0</x:v>
      </x:c>
      <x:c r="D15" s="118" t="n">
        <x:f>MIN(Assumptions!$D$31,C77*Assumptions!$D$30)</x:f>
        <x:v>0.0029816639999999998</x:v>
      </x:c>
      <x:c r="E15" s="118" t="n">
        <x:f>MIN(Assumptions!$D$31,D77*Assumptions!$D$30)</x:f>
        <x:v>0.0072787822207833605</x:v>
      </x:c>
      <x:c r="F15" s="118" t="n">
        <x:f>MIN(Assumptions!$D$31,E77*Assumptions!$D$30)</x:f>
        <x:v>0.012397730038145264</x:v>
      </x:c>
      <x:c r="G15" s="118" t="n">
        <x:f>MIN(Assumptions!$D$31,F77*Assumptions!$D$30)</x:f>
        <x:v>0.01786097991530497</x:v>
      </x:c>
      <x:c r="H15" s="118" t="n">
        <x:f>MIN(Assumptions!$D$31,G77*Assumptions!$D$30)</x:f>
        <x:v>0.02396233858902353</x:v>
      </x:c>
      <x:c r="I15" s="118" t="n">
        <x:f>MIN(Assumptions!$D$31,H77*Assumptions!$D$30)</x:f>
        <x:v>0.030492988327155454</x:v>
      </x:c>
      <x:c r="J15" s="118" t="n">
        <x:f>MIN(Assumptions!$D$31,I77*Assumptions!$D$30)</x:f>
        <x:v>0.037492191541339204</x:v>
      </x:c>
      <x:c r="K15" s="118" t="n">
        <x:f>MIN(Assumptions!$D$31,J77*Assumptions!$D$30)</x:f>
        <x:v>0.045049283625345445</x:v>
      </x:c>
      <x:c r="L15" s="118" t="n">
        <x:f>MIN(Assumptions!$D$31,K77*Assumptions!$D$30)</x:f>
        <x:v>0.05316669510320041</x:v>
      </x:c>
      <x:c r="M15" s="118" t="n">
        <x:f>MIN(Assumptions!$D$31,L77*Assumptions!$D$30)</x:f>
        <x:v>0.061896440191707376</x:v>
      </x:c>
      <x:c r="N15" s="118" t="n">
        <x:f>MIN(Assumptions!$D$31,M77*Assumptions!$D$30)</x:f>
        <x:v>0.07129589453923184</x:v>
      </x:c>
      <x:c r="O15" s="118" t="n">
        <x:f>MIN(Assumptions!$D$31,N77*Assumptions!$D$30)</x:f>
        <x:v>0.08</x:v>
      </x:c>
      <x:c r="P15" s="118" t="n">
        <x:f>MIN(Assumptions!$D$31,O77*Assumptions!$D$30)</x:f>
        <x:v>0.08</x:v>
      </x:c>
      <x:c r="Q15" s="118" t="n">
        <x:f>MIN(Assumptions!$D$31,P77*Assumptions!$D$30)</x:f>
        <x:v>0.08</x:v>
      </x:c>
      <x:c r="R15" s="118" t="n">
        <x:f>MIN(Assumptions!$D$31,Q77*Assumptions!$D$30)</x:f>
        <x:v>0.08</x:v>
      </x:c>
      <x:c r="S15" s="118" t="n">
        <x:f>MIN(Assumptions!$D$31,R77*Assumptions!$D$30)</x:f>
        <x:v>0.08</x:v>
      </x:c>
      <x:c r="T15" s="118" t="n">
        <x:f>MIN(Assumptions!$D$31,S77*Assumptions!$D$30)</x:f>
        <x:v>0.08</x:v>
      </x:c>
      <x:c r="U15" s="118" t="n">
        <x:f>MIN(Assumptions!$D$31,T77*Assumptions!$D$30)</x:f>
        <x:v>0.08</x:v>
      </x:c>
      <x:c r="V15" s="118" t="n">
        <x:f>MIN(Assumptions!$D$31,U77*Assumptions!$D$30)</x:f>
        <x:v>0.08</x:v>
      </x:c>
      <x:c r="W15" s="118" t="n">
        <x:f>MIN(Assumptions!$D$31,V77*Assumptions!$D$30)</x:f>
        <x:v>0.08</x:v>
      </x:c>
      <x:c r="X15" s="118" t="n">
        <x:f>MIN(Assumptions!$D$31,W77*Assumptions!$D$30)</x:f>
        <x:v>0.08</x:v>
      </x:c>
      <x:c r="Y15" s="118" t="n">
        <x:f>MIN(Assumptions!$D$31,X77*Assumptions!$D$30)</x:f>
        <x:v>0.08</x:v>
      </x:c>
      <x:c r="Z15" s="118" t="n">
        <x:f>MIN(Assumptions!$D$31,Y77*Assumptions!$D$30)</x:f>
        <x:v>0.08</x:v>
      </x:c>
      <x:c r="AA15" s="118" t="n">
        <x:f>MIN(Assumptions!$D$31,Z77*Assumptions!$D$30)</x:f>
        <x:v>0.08</x:v>
      </x:c>
      <x:c r="AB15" s="118" t="n">
        <x:f>MIN(Assumptions!$D$31,AA77*Assumptions!$D$30)</x:f>
        <x:v>0.08</x:v>
      </x:c>
      <x:c r="AC15" s="118" t="n">
        <x:f>MIN(Assumptions!$D$31,AB77*Assumptions!$D$30)</x:f>
        <x:v>0.08</x:v>
      </x:c>
      <x:c r="AD15" s="118" t="n">
        <x:f>MIN(Assumptions!$D$31,AC77*Assumptions!$D$30)</x:f>
        <x:v>0.08</x:v>
      </x:c>
      <x:c r="AE15" s="118" t="n">
        <x:f>MIN(Assumptions!$D$31,AD77*Assumptions!$D$30)</x:f>
        <x:v>0.08</x:v>
      </x:c>
      <x:c r="AF15" s="118" t="n">
        <x:f>MIN(Assumptions!$D$31,AE77*Assumptions!$D$30)</x:f>
        <x:v>0.08</x:v>
      </x:c>
      <x:c r="AG15" s="118" t="n">
        <x:f>MIN(Assumptions!$D$31,AF77*Assumptions!$D$30)</x:f>
        <x:v>0.08</x:v>
      </x:c>
      <x:c r="AH15" s="118" t="n">
        <x:f>MIN(Assumptions!$D$31,AG77*Assumptions!$D$30)</x:f>
        <x:v>0.08</x:v>
      </x:c>
      <x:c r="AI15" s="118" t="n">
        <x:f>MIN(Assumptions!$D$31,AH77*Assumptions!$D$30)</x:f>
        <x:v>0.08</x:v>
      </x:c>
      <x:c r="AJ15" s="118" t="n">
        <x:f>MIN(Assumptions!$D$31,AI77*Assumptions!$D$30)</x:f>
        <x:v>0.08</x:v>
      </x:c>
      <x:c r="AK15" s="118" t="n">
        <x:f>MIN(Assumptions!$D$31,AJ77*Assumptions!$D$30)</x:f>
        <x:v>0.08</x:v>
      </x:c>
      <x:c r="AL15" s="119" t="n">
        <x:f>MIN(Assumptions!$D$31,AK77*Assumptions!$D$30)</x:f>
        <x:v>0.08</x:v>
      </x:c>
    </x:row>
    <x:row r="16">
      <x:c r="A16" s="49" t="str">
        <x:v>Effective proposal → paid entry close</x:v>
      </x:c>
      <x:c r="B16" s="50" t="str">
        <x:v>%</x:v>
      </x:c>
      <x:c r="C16" s="118" t="n">
        <x:f>C14+C15</x:f>
        <x:v>0.28</x:v>
      </x:c>
      <x:c r="D16" s="118" t="n">
        <x:f>D14+D15</x:f>
        <x:v>0.282981664</x:v>
      </x:c>
      <x:c r="E16" s="118" t="n">
        <x:f>E14+E15</x:f>
        <x:v>0.2872787822207834</x:v>
      </x:c>
      <x:c r="F16" s="118" t="n">
        <x:f>F14+F15</x:f>
        <x:v>0.2923977300381453</x:v>
      </x:c>
      <x:c r="G16" s="118" t="n">
        <x:f>G14+G15</x:f>
        <x:v>0.297860979915305</x:v>
      </x:c>
      <x:c r="H16" s="118" t="n">
        <x:f>H14+H15</x:f>
        <x:v>0.30396233858902355</x:v>
      </x:c>
      <x:c r="I16" s="118" t="n">
        <x:f>I14+I15</x:f>
        <x:v>0.3104929883271555</x:v>
      </x:c>
      <x:c r="J16" s="118" t="n">
        <x:f>J14+J15</x:f>
        <x:v>0.31749219154133923</x:v>
      </x:c>
      <x:c r="K16" s="118" t="n">
        <x:f>K14+K15</x:f>
        <x:v>0.32504928362534546</x:v>
      </x:c>
      <x:c r="L16" s="118" t="n">
        <x:f>L14+L15</x:f>
        <x:v>0.33316669510320046</x:v>
      </x:c>
      <x:c r="M16" s="118" t="n">
        <x:f>M14+M15</x:f>
        <x:v>0.3418964401917074</x:v>
      </x:c>
      <x:c r="N16" s="118" t="n">
        <x:f>N14+N15</x:f>
        <x:v>0.3512958945392319</x:v>
      </x:c>
      <x:c r="O16" s="118" t="n">
        <x:f>O14+O15</x:f>
        <x:v>0.36000000000000004</x:v>
      </x:c>
      <x:c r="P16" s="118" t="n">
        <x:f>P14+P15</x:f>
        <x:v>0.36000000000000004</x:v>
      </x:c>
      <x:c r="Q16" s="118" t="n">
        <x:f>Q14+Q15</x:f>
        <x:v>0.36000000000000004</x:v>
      </x:c>
      <x:c r="R16" s="118" t="n">
        <x:f>R14+R15</x:f>
        <x:v>0.36000000000000004</x:v>
      </x:c>
      <x:c r="S16" s="118" t="n">
        <x:f>S14+S15</x:f>
        <x:v>0.36000000000000004</x:v>
      </x:c>
      <x:c r="T16" s="118" t="n">
        <x:f>T14+T15</x:f>
        <x:v>0.36000000000000004</x:v>
      </x:c>
      <x:c r="U16" s="118" t="n">
        <x:f>U14+U15</x:f>
        <x:v>0.36000000000000004</x:v>
      </x:c>
      <x:c r="V16" s="118" t="n">
        <x:f>V14+V15</x:f>
        <x:v>0.36000000000000004</x:v>
      </x:c>
      <x:c r="W16" s="118" t="n">
        <x:f>W14+W15</x:f>
        <x:v>0.36000000000000004</x:v>
      </x:c>
      <x:c r="X16" s="118" t="n">
        <x:f>X14+X15</x:f>
        <x:v>0.36000000000000004</x:v>
      </x:c>
      <x:c r="Y16" s="118" t="n">
        <x:f>Y14+Y15</x:f>
        <x:v>0.36000000000000004</x:v>
      </x:c>
      <x:c r="Z16" s="118" t="n">
        <x:f>Z14+Z15</x:f>
        <x:v>0.36000000000000004</x:v>
      </x:c>
      <x:c r="AA16" s="118" t="n">
        <x:f>AA14+AA15</x:f>
        <x:v>0.36000000000000004</x:v>
      </x:c>
      <x:c r="AB16" s="118" t="n">
        <x:f>AB14+AB15</x:f>
        <x:v>0.36000000000000004</x:v>
      </x:c>
      <x:c r="AC16" s="118" t="n">
        <x:f>AC14+AC15</x:f>
        <x:v>0.36000000000000004</x:v>
      </x:c>
      <x:c r="AD16" s="118" t="n">
        <x:f>AD14+AD15</x:f>
        <x:v>0.36000000000000004</x:v>
      </x:c>
      <x:c r="AE16" s="118" t="n">
        <x:f>AE14+AE15</x:f>
        <x:v>0.36000000000000004</x:v>
      </x:c>
      <x:c r="AF16" s="118" t="n">
        <x:f>AF14+AF15</x:f>
        <x:v>0.36000000000000004</x:v>
      </x:c>
      <x:c r="AG16" s="118" t="n">
        <x:f>AG14+AG15</x:f>
        <x:v>0.36000000000000004</x:v>
      </x:c>
      <x:c r="AH16" s="118" t="n">
        <x:f>AH14+AH15</x:f>
        <x:v>0.36000000000000004</x:v>
      </x:c>
      <x:c r="AI16" s="118" t="n">
        <x:f>AI14+AI15</x:f>
        <x:v>0.36000000000000004</x:v>
      </x:c>
      <x:c r="AJ16" s="118" t="n">
        <x:f>AJ14+AJ15</x:f>
        <x:v>0.36000000000000004</x:v>
      </x:c>
      <x:c r="AK16" s="118" t="n">
        <x:f>AK14+AK15</x:f>
        <x:v>0.36000000000000004</x:v>
      </x:c>
      <x:c r="AL16" s="119" t="n">
        <x:f>AL14+AL15</x:f>
        <x:v>0.36000000000000004</x:v>
      </x:c>
    </x:row>
    <x:row r="17">
      <x:c r="A17" s="49" t="str">
        <x:v>Raw paid-entry demand</x:v>
      </x:c>
      <x:c r="B17" s="50" t="str">
        <x:v>engagements</x:v>
      </x:c>
      <x:c r="C17" s="110" t="n">
        <x:f>C13*C16</x:f>
        <x:v>1.1692799999999999</x:v>
      </x:c>
      <x:c r="D17" s="110" t="n">
        <x:f>D13*D16</x:f>
        <x:v>1.2408180003072002</x:v>
      </x:c>
      <x:c r="E17" s="110" t="n">
        <x:f>E13*E16</x:f>
        <x:v>1.3226430044957758</x:v>
      </x:c>
      <x:c r="F17" s="110" t="n">
        <x:f>F13*F16</x:f>
        <x:v>1.4135213872550638</x:v>
      </x:c>
      <x:c r="G17" s="110" t="n">
        <x:f>G13*G16</x:f>
        <x:v>1.5119286622311103</x:v>
      </x:c>
      <x:c r="H17" s="110" t="n">
        <x:f>H13*H16</x:f>
        <x:v>1.6200438227468696</x:v>
      </x:c>
      <x:c r="I17" s="110" t="n">
        <x:f>I13*I16</x:f>
        <x:v>1.7375930932253267</x:v>
      </x:c>
      <x:c r="J17" s="110" t="n">
        <x:f>J13*J16</x:f>
        <x:v>1.8656004254872969</x:v>
      </x:c>
      <x:c r="K17" s="110" t="n">
        <x:f>K13*K16</x:f>
        <x:v>2.0055066010801994</x:v>
      </x:c>
      <x:c r="L17" s="110" t="n">
        <x:f>L13*L16</x:f>
        <x:v>2.1583693364254963</x:v>
      </x:c>
      <x:c r="M17" s="110" t="n">
        <x:f>M13*M16</x:f>
        <x:v>2.325669833654728</x:v>
      </x:c>
      <x:c r="N17" s="110" t="n">
        <x:f>N13*N16</x:f>
        <x:v>2.5090877733809274</x:v>
      </x:c>
      <x:c r="O17" s="110" t="n">
        <x:f>O13*O16</x:f>
        <x:v>2.69981856628863</x:v>
      </x:c>
      <x:c r="P17" s="110" t="n">
        <x:f>P13*P16</x:f>
        <x:v>2.834809494603061</x:v>
      </x:c>
      <x:c r="Q17" s="110" t="n">
        <x:f>Q13*Q16</x:f>
        <x:v>2.9765499693332145</x:v>
      </x:c>
      <x:c r="R17" s="110" t="n">
        <x:f>R13*R16</x:f>
        <x:v>3.1253774677998747</x:v>
      </x:c>
      <x:c r="S17" s="110" t="n">
        <x:f>S13*S16</x:f>
        <x:v>3.281646341189869</x:v>
      </x:c>
      <x:c r="T17" s="110" t="n">
        <x:f>T13*T16</x:f>
        <x:v>3.4457286582493625</x:v>
      </x:c>
      <x:c r="U17" s="110" t="n">
        <x:f>U13*U16</x:f>
        <x:v>3.61801509116183</x:v>
      </x:c>
      <x:c r="V17" s="110" t="n">
        <x:f>V13*V16</x:f>
        <x:v>3.798915845719922</x:v>
      </x:c>
      <x:c r="W17" s="110" t="n">
        <x:f>W13*W16</x:f>
        <x:v>3.9888616380059183</x:v>
      </x:c>
      <x:c r="X17" s="110" t="n">
        <x:f>X13*X16</x:f>
        <x:v>4.188304719906213</x:v>
      </x:c>
      <x:c r="Y17" s="110" t="n">
        <x:f>Y13*Y16</x:f>
        <x:v>4.397719955901525</x:v>
      </x:c>
      <x:c r="Z17" s="110" t="n">
        <x:f>Z13*Z16</x:f>
        <x:v>4.617605953696603</x:v>
      </x:c>
      <x:c r="AA17" s="110" t="n">
        <x:f>AA13*AA16</x:f>
        <x:v>4.848486251381433</x:v>
      </x:c>
      <x:c r="AB17" s="110" t="n">
        <x:f>AB13*AB16</x:f>
        <x:v>5.090910563950504</x:v>
      </x:c>
      <x:c r="AC17" s="110" t="n">
        <x:f>AC13*AC16</x:f>
        <x:v>5.345456092148029</x:v>
      </x:c>
      <x:c r="AD17" s="110" t="n">
        <x:f>AD13*AD16</x:f>
        <x:v>5.6127288967554305</x:v>
      </x:c>
      <x:c r="AE17" s="110" t="n">
        <x:f>AE13*AE16</x:f>
        <x:v>5.893365341593203</x:v>
      </x:c>
      <x:c r="AF17" s="110" t="n">
        <x:f>AF13*AF16</x:f>
        <x:v>6.188033608672862</x:v>
      </x:c>
      <x:c r="AG17" s="110" t="n">
        <x:f>AG13*AG16</x:f>
        <x:v>6.497435289106506</x:v>
      </x:c>
      <x:c r="AH17" s="110" t="n">
        <x:f>AH13*AH16</x:f>
        <x:v>6.822307053561832</x:v>
      </x:c>
      <x:c r="AI17" s="110" t="n">
        <x:f>AI13*AI16</x:f>
        <x:v>7.163422406239925</x:v>
      </x:c>
      <x:c r="AJ17" s="110" t="n">
        <x:f>AJ13*AJ16</x:f>
        <x:v>7.52159352655192</x:v>
      </x:c>
      <x:c r="AK17" s="110" t="n">
        <x:f>AK13*AK16</x:f>
        <x:v>7.897673202879516</x:v>
      </x:c>
      <x:c r="AL17" s="111" t="n">
        <x:f>AL13*AL16</x:f>
        <x:v>8.292556863023492</x:v>
      </x:c>
    </x:row>
    <x:row r="18">
      <x:c r="A18" s="49" t="str">
        <x:v>Capacity multiplier</x:v>
      </x:c>
      <x:c r="B18" s="50" t="str">
        <x:v>x</x:v>
      </x:c>
      <x:c r="C18" s="122" t="n">
        <x:f>1</x:f>
        <x:v>1</x:v>
      </x:c>
      <x:c r="D18" s="122" t="n">
        <x:f>1+MIN(Assumptions!$D$46,C77*Assumptions!$D$45)</x:f>
        <x:v>1.007951104</x:v>
      </x:c>
      <x:c r="E18" s="122" t="n">
        <x:f>1+MIN(Assumptions!$D$46,D77*Assumptions!$D$45)</x:f>
        <x:v>1.019410085922089</x:v>
      </x:c>
      <x:c r="F18" s="122" t="n">
        <x:f>1+MIN(Assumptions!$D$46,E77*Assumptions!$D$45)</x:f>
        <x:v>1.033060613435054</x:v>
      </x:c>
      <x:c r="G18" s="122" t="n">
        <x:f>1+MIN(Assumptions!$D$46,F77*Assumptions!$D$45)</x:f>
        <x:v>1.0476292797741467</x:v>
      </x:c>
      <x:c r="H18" s="122" t="n">
        <x:f>1+MIN(Assumptions!$D$46,G77*Assumptions!$D$45)</x:f>
        <x:v>1.0638995695707294</x:v>
      </x:c>
      <x:c r="I18" s="122" t="n">
        <x:f>1+MIN(Assumptions!$D$46,H77*Assumptions!$D$45)</x:f>
        <x:v>1.0813146355390812</x:v>
      </x:c>
      <x:c r="J18" s="122" t="n">
        <x:f>1+MIN(Assumptions!$D$46,I77*Assumptions!$D$45)</x:f>
        <x:v>1.0999791774435712</x:v>
      </x:c>
      <x:c r="K18" s="122" t="n">
        <x:f>1+MIN(Assumptions!$D$46,J77*Assumptions!$D$45)</x:f>
        <x:v>1.1201314230009212</x:v>
      </x:c>
      <x:c r="L18" s="122" t="n">
        <x:f>1+MIN(Assumptions!$D$46,K77*Assumptions!$D$45)</x:f>
        <x:v>1.1417778536085343</x:v>
      </x:c>
      <x:c r="M18" s="122" t="n">
        <x:f>1+MIN(Assumptions!$D$46,L77*Assumptions!$D$45)</x:f>
        <x:v>1.165057173844553</x:v>
      </x:c>
      <x:c r="N18" s="122" t="n">
        <x:f>1+MIN(Assumptions!$D$46,M77*Assumptions!$D$45)</x:f>
        <x:v>1.1901223854379515</x:v>
      </x:c>
      <x:c r="O18" s="122" t="n">
        <x:f>1+MIN(Assumptions!$D$46,N77*Assumptions!$D$45)</x:f>
        <x:v>1.2171434975228967</x:v>
      </x:c>
      <x:c r="P18" s="122" t="n">
        <x:f>1+MIN(Assumptions!$D$46,O77*Assumptions!$D$45)</x:f>
        <x:v>1.2462379167688966</x:v>
      </x:c>
      <x:c r="Q18" s="122" t="n">
        <x:f>1+MIN(Assumptions!$D$46,P77*Assumptions!$D$45)</x:f>
        <x:v>1.2770742240237474</x:v>
      </x:c>
      <x:c r="R18" s="122" t="n">
        <x:f>1+MIN(Assumptions!$D$46,Q77*Assumptions!$D$45)</x:f>
        <x:v>1.30957307096859</x:v>
      </x:c>
      <x:c r="S18" s="122" t="n">
        <x:f>1+MIN(Assumptions!$D$46,R77*Assumptions!$D$45)</x:f>
        <x:v>1.3437418256247904</x:v>
      </x:c>
      <x:c r="T18" s="122" t="n">
        <x:f>1+MIN(Assumptions!$D$46,S77*Assumptions!$D$45)</x:f>
        <x:v>1.3796635160142492</x:v>
      </x:c>
      <x:c r="U18" s="122" t="n">
        <x:f>1+MIN(Assumptions!$D$46,T77*Assumptions!$D$45)</x:f>
        <x:v>1.4173876545181852</x:v>
      </x:c>
      <x:c r="V18" s="122" t="n">
        <x:f>1+MIN(Assumptions!$D$46,U77*Assumptions!$D$45)</x:f>
        <x:v>1.45</x:v>
      </x:c>
      <x:c r="W18" s="122" t="n">
        <x:f>1+MIN(Assumptions!$D$46,V77*Assumptions!$D$45)</x:f>
        <x:v>1.45</x:v>
      </x:c>
      <x:c r="X18" s="122" t="n">
        <x:f>1+MIN(Assumptions!$D$46,W77*Assumptions!$D$45)</x:f>
        <x:v>1.45</x:v>
      </x:c>
      <x:c r="Y18" s="122" t="n">
        <x:f>1+MIN(Assumptions!$D$46,X77*Assumptions!$D$45)</x:f>
        <x:v>1.45</x:v>
      </x:c>
      <x:c r="Z18" s="122" t="n">
        <x:f>1+MIN(Assumptions!$D$46,Y77*Assumptions!$D$45)</x:f>
        <x:v>1.45</x:v>
      </x:c>
      <x:c r="AA18" s="122" t="n">
        <x:f>1+MIN(Assumptions!$D$46,Z77*Assumptions!$D$45)</x:f>
        <x:v>1.45</x:v>
      </x:c>
      <x:c r="AB18" s="122" t="n">
        <x:f>1+MIN(Assumptions!$D$46,AA77*Assumptions!$D$45)</x:f>
        <x:v>1.45</x:v>
      </x:c>
      <x:c r="AC18" s="122" t="n">
        <x:f>1+MIN(Assumptions!$D$46,AB77*Assumptions!$D$45)</x:f>
        <x:v>1.45</x:v>
      </x:c>
      <x:c r="AD18" s="122" t="n">
        <x:f>1+MIN(Assumptions!$D$46,AC77*Assumptions!$D$45)</x:f>
        <x:v>1.45</x:v>
      </x:c>
      <x:c r="AE18" s="122" t="n">
        <x:f>1+MIN(Assumptions!$D$46,AD77*Assumptions!$D$45)</x:f>
        <x:v>1.45</x:v>
      </x:c>
      <x:c r="AF18" s="122" t="n">
        <x:f>1+MIN(Assumptions!$D$46,AE77*Assumptions!$D$45)</x:f>
        <x:v>1.45</x:v>
      </x:c>
      <x:c r="AG18" s="122" t="n">
        <x:f>1+MIN(Assumptions!$D$46,AF77*Assumptions!$D$45)</x:f>
        <x:v>1.45</x:v>
      </x:c>
      <x:c r="AH18" s="122" t="n">
        <x:f>1+MIN(Assumptions!$D$46,AG77*Assumptions!$D$45)</x:f>
        <x:v>1.45</x:v>
      </x:c>
      <x:c r="AI18" s="122" t="n">
        <x:f>1+MIN(Assumptions!$D$46,AH77*Assumptions!$D$45)</x:f>
        <x:v>1.45</x:v>
      </x:c>
      <x:c r="AJ18" s="122" t="n">
        <x:f>1+MIN(Assumptions!$D$46,AI77*Assumptions!$D$45)</x:f>
        <x:v>1.45</x:v>
      </x:c>
      <x:c r="AK18" s="122" t="n">
        <x:f>1+MIN(Assumptions!$D$46,AJ77*Assumptions!$D$45)</x:f>
        <x:v>1.45</x:v>
      </x:c>
      <x:c r="AL18" s="123" t="n">
        <x:f>1+MIN(Assumptions!$D$46,AK77*Assumptions!$D$45)</x:f>
        <x:v>1.45</x:v>
      </x:c>
    </x:row>
    <x:row r="19">
      <x:c r="A19" s="415"/>
      <x:c r="B19" s="415"/>
      <x:c r="C19" s="415"/>
      <x:c r="D19" s="415"/>
      <x:c r="E19" s="415"/>
      <x:c r="F19" s="415"/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 ht="23" customHeight="1">
      <x:c r="A20" s="416" t="str">
        <x:v>PAID ENTRY OFFERS</x:v>
      </x:c>
      <x:c r="B20" s="415"/>
      <x:c r="C20" s="415"/>
      <x:c r="D20" s="415"/>
      <x:c r="E20" s="415"/>
      <x:c r="F20" s="415"/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9" t="str">
        <x:v>Frontier Executive Briefings</x:v>
      </x:c>
      <x:c r="B21" s="50" t="str">
        <x:v>units</x:v>
      </x:c>
      <x:c r="C21" s="110" t="n">
        <x:f>MIN(C17*Assumptions!$D$32,Assumptions!$D$47*C18)</x:f>
        <x:v>0.35078399999999993</x:v>
      </x:c>
      <x:c r="D21" s="110" t="n">
        <x:f>MIN(D17*Assumptions!$D$32,Assumptions!$D$47*D18)</x:f>
        <x:v>0.37224540009216006</x:v>
      </x:c>
      <x:c r="E21" s="110" t="n">
        <x:f>MIN(E17*Assumptions!$D$32,Assumptions!$D$47*E18)</x:f>
        <x:v>0.39679290134873274</x:v>
      </x:c>
      <x:c r="F21" s="110" t="n">
        <x:f>MIN(F17*Assumptions!$D$32,Assumptions!$D$47*F18)</x:f>
        <x:v>0.4240564161765191</x:v>
      </x:c>
      <x:c r="G21" s="110" t="n">
        <x:f>MIN(G17*Assumptions!$D$32,Assumptions!$D$47*G18)</x:f>
        <x:v>0.4535785986693331</x:v>
      </x:c>
      <x:c r="H21" s="110" t="n">
        <x:f>MIN(H17*Assumptions!$D$32,Assumptions!$D$47*H18)</x:f>
        <x:v>0.4860131468240609</x:v>
      </x:c>
      <x:c r="I21" s="110" t="n">
        <x:f>MIN(I17*Assumptions!$D$32,Assumptions!$D$47*I18)</x:f>
        <x:v>0.521277927967598</x:v>
      </x:c>
      <x:c r="J21" s="110" t="n">
        <x:f>MIN(J17*Assumptions!$D$32,Assumptions!$D$47*J18)</x:f>
        <x:v>0.559680127646189</x:v>
      </x:c>
      <x:c r="K21" s="110" t="n">
        <x:f>MIN(K17*Assumptions!$D$32,Assumptions!$D$47*K18)</x:f>
        <x:v>0.6016519803240598</x:v>
      </x:c>
      <x:c r="L21" s="110" t="n">
        <x:f>MIN(L17*Assumptions!$D$32,Assumptions!$D$47*L18)</x:f>
        <x:v>0.6475108009276489</x:v>
      </x:c>
      <x:c r="M21" s="110" t="n">
        <x:f>MIN(M17*Assumptions!$D$32,Assumptions!$D$47*M18)</x:f>
        <x:v>0.6977009500964183</x:v>
      </x:c>
      <x:c r="N21" s="110" t="n">
        <x:f>MIN(N17*Assumptions!$D$32,Assumptions!$D$47*N18)</x:f>
        <x:v>0.7527263320142782</x:v>
      </x:c>
      <x:c r="O21" s="110" t="n">
        <x:f>MIN(O17*Assumptions!$D$32,Assumptions!$D$47*O18)</x:f>
        <x:v>0.809945569886589</x:v>
      </x:c>
      <x:c r="P21" s="110" t="n">
        <x:f>MIN(P17*Assumptions!$D$32,Assumptions!$D$47*P18)</x:f>
        <x:v>0.8504428483809183</x:v>
      </x:c>
      <x:c r="Q21" s="110" t="n">
        <x:f>MIN(Q17*Assumptions!$D$32,Assumptions!$D$47*Q18)</x:f>
        <x:v>0.8929649907999643</x:v>
      </x:c>
      <x:c r="R21" s="110" t="n">
        <x:f>MIN(R17*Assumptions!$D$32,Assumptions!$D$47*R18)</x:f>
        <x:v>0.9376132403399624</x:v>
      </x:c>
      <x:c r="S21" s="110" t="n">
        <x:f>MIN(S17*Assumptions!$D$32,Assumptions!$D$47*S18)</x:f>
        <x:v>0.9844939023569607</x:v>
      </x:c>
      <x:c r="T21" s="110" t="n">
        <x:f>MIN(T17*Assumptions!$D$32,Assumptions!$D$47*T18)</x:f>
        <x:v>1.0337185974748087</x:v>
      </x:c>
      <x:c r="U21" s="110" t="n">
        <x:f>MIN(U17*Assumptions!$D$32,Assumptions!$D$47*U18)</x:f>
        <x:v>1.0854045273485489</x:v>
      </x:c>
      <x:c r="V21" s="110" t="n">
        <x:f>MIN(V17*Assumptions!$D$32,Assumptions!$D$47*V18)</x:f>
        <x:v>1.1396747537159766</x:v>
      </x:c>
      <x:c r="W21" s="110" t="n">
        <x:f>MIN(W17*Assumptions!$D$32,Assumptions!$D$47*W18)</x:f>
        <x:v>1.1966584914017755</x:v>
      </x:c>
      <x:c r="X21" s="110" t="n">
        <x:f>MIN(X17*Assumptions!$D$32,Assumptions!$D$47*X18)</x:f>
        <x:v>1.2564914159718639</x:v>
      </x:c>
      <x:c r="Y21" s="110" t="n">
        <x:f>MIN(Y17*Assumptions!$D$32,Assumptions!$D$47*Y18)</x:f>
        <x:v>1.3193159867704576</x:v>
      </x:c>
      <x:c r="Z21" s="110" t="n">
        <x:f>MIN(Z17*Assumptions!$D$32,Assumptions!$D$47*Z18)</x:f>
        <x:v>1.3852817861089808</x:v>
      </x:c>
      <x:c r="AA21" s="110" t="n">
        <x:f>MIN(AA17*Assumptions!$D$32,Assumptions!$D$47*AA18)</x:f>
        <x:v>1.45454587541443</x:v>
      </x:c>
      <x:c r="AB21" s="110" t="n">
        <x:f>MIN(AB17*Assumptions!$D$32,Assumptions!$D$47*AB18)</x:f>
        <x:v>1.527273169185151</x:v>
      </x:c>
      <x:c r="AC21" s="110" t="n">
        <x:f>MIN(AC17*Assumptions!$D$32,Assumptions!$D$47*AC18)</x:f>
        <x:v>1.6036368276444086</x:v>
      </x:c>
      <x:c r="AD21" s="110" t="n">
        <x:f>MIN(AD17*Assumptions!$D$32,Assumptions!$D$47*AD18)</x:f>
        <x:v>1.683818669026629</x:v>
      </x:c>
      <x:c r="AE21" s="110" t="n">
        <x:f>MIN(AE17*Assumptions!$D$32,Assumptions!$D$47*AE18)</x:f>
        <x:v>1.7680096024779608</x:v>
      </x:c>
      <x:c r="AF21" s="110" t="n">
        <x:f>MIN(AF17*Assumptions!$D$32,Assumptions!$D$47*AF18)</x:f>
        <x:v>1.8564100826018586</x:v>
      </x:c>
      <x:c r="AG21" s="110" t="n">
        <x:f>MIN(AG17*Assumptions!$D$32,Assumptions!$D$47*AG18)</x:f>
        <x:v>1.9492305867319517</x:v>
      </x:c>
      <x:c r="AH21" s="110" t="n">
        <x:f>MIN(AH17*Assumptions!$D$32,Assumptions!$D$47*AH18)</x:f>
        <x:v>2.0466921160685496</x:v>
      </x:c>
      <x:c r="AI21" s="110" t="n">
        <x:f>MIN(AI17*Assumptions!$D$32,Assumptions!$D$47*AI18)</x:f>
        <x:v>2.1490267218719774</x:v>
      </x:c>
      <x:c r="AJ21" s="110" t="n">
        <x:f>MIN(AJ17*Assumptions!$D$32,Assumptions!$D$47*AJ18)</x:f>
        <x:v>2.256478057965576</x:v>
      </x:c>
      <x:c r="AK21" s="110" t="n">
        <x:f>MIN(AK17*Assumptions!$D$32,Assumptions!$D$47*AK18)</x:f>
        <x:v>2.369301960863855</x:v>
      </x:c>
      <x:c r="AL21" s="111" t="n">
        <x:f>MIN(AL17*Assumptions!$D$32,Assumptions!$D$47*AL18)</x:f>
        <x:v>2.4877670589070475</x:v>
      </x:c>
    </x:row>
    <x:row r="22">
      <x:c r="A22" s="49" t="str">
        <x:v>Private Flagship MasterClasses</x:v>
      </x:c>
      <x:c r="B22" s="50" t="str">
        <x:v>units</x:v>
      </x:c>
      <x:c r="C22" s="110" t="n">
        <x:f>MIN(C17*(1-Assumptions!$D$32),Assumptions!$D$48*C18)</x:f>
        <x:v>0.8184959999999999</x:v>
      </x:c>
      <x:c r="D22" s="110" t="n">
        <x:f>MIN(D17*(1-Assumptions!$D$32),Assumptions!$D$48*D18)</x:f>
        <x:v>0.8685726002150401</x:v>
      </x:c>
      <x:c r="E22" s="110" t="n">
        <x:f>MIN(E17*(1-Assumptions!$D$32),Assumptions!$D$48*E18)</x:f>
        <x:v>0.925850103147043</x:v>
      </x:c>
      <x:c r="F22" s="110" t="n">
        <x:f>MIN(F17*(1-Assumptions!$D$32),Assumptions!$D$48*F18)</x:f>
        <x:v>0.9894649710785446</x:v>
      </x:c>
      <x:c r="G22" s="110" t="n">
        <x:f>MIN(G17*(1-Assumptions!$D$32),Assumptions!$D$48*G18)</x:f>
        <x:v>1.058350063561777</x:v>
      </x:c>
      <x:c r="H22" s="110" t="n">
        <x:f>MIN(H17*(1-Assumptions!$D$32),Assumptions!$D$48*H18)</x:f>
        <x:v>1.1340306759228087</x:v>
      </x:c>
      <x:c r="I22" s="110" t="n">
        <x:f>MIN(I17*(1-Assumptions!$D$32),Assumptions!$D$48*I18)</x:f>
        <x:v>1.2163151652577286</x:v>
      </x:c>
      <x:c r="J22" s="110" t="n">
        <x:f>MIN(J17*(1-Assumptions!$D$32),Assumptions!$D$48*J18)</x:f>
        <x:v>1.3059202978411077</x:v>
      </x:c>
      <x:c r="K22" s="110" t="n">
        <x:f>MIN(K17*(1-Assumptions!$D$32),Assumptions!$D$48*K18)</x:f>
        <x:v>1.4038546207561395</x:v>
      </x:c>
      <x:c r="L22" s="110" t="n">
        <x:f>MIN(L17*(1-Assumptions!$D$32),Assumptions!$D$48*L18)</x:f>
        <x:v>1.5108585354978474</x:v>
      </x:c>
      <x:c r="M22" s="110" t="n">
        <x:f>MIN(M17*(1-Assumptions!$D$32),Assumptions!$D$48*M18)</x:f>
        <x:v>1.6279688835583095</x:v>
      </x:c>
      <x:c r="N22" s="110" t="n">
        <x:f>MIN(N17*(1-Assumptions!$D$32),Assumptions!$D$48*N18)</x:f>
        <x:v>1.756361441366649</x:v>
      </x:c>
      <x:c r="O22" s="110" t="n">
        <x:f>MIN(O17*(1-Assumptions!$D$32),Assumptions!$D$48*O18)</x:f>
        <x:v>1.8898729964020407</x:v>
      </x:c>
      <x:c r="P22" s="110" t="n">
        <x:f>MIN(P17*(1-Assumptions!$D$32),Assumptions!$D$48*P18)</x:f>
        <x:v>1.9843666462221425</x:v>
      </x:c>
      <x:c r="Q22" s="110" t="n">
        <x:f>MIN(Q17*(1-Assumptions!$D$32),Assumptions!$D$48*Q18)</x:f>
        <x:v>2.08358497853325</x:v>
      </x:c>
      <x:c r="R22" s="110" t="n">
        <x:f>MIN(R17*(1-Assumptions!$D$32),Assumptions!$D$48*R18)</x:f>
        <x:v>2.1877642274599123</x:v>
      </x:c>
      <x:c r="S22" s="110" t="n">
        <x:f>MIN(S17*(1-Assumptions!$D$32),Assumptions!$D$48*S18)</x:f>
        <x:v>2.2971524388329083</x:v>
      </x:c>
      <x:c r="T22" s="110" t="n">
        <x:f>MIN(T17*(1-Assumptions!$D$32),Assumptions!$D$48*T18)</x:f>
        <x:v>2.4120100607745534</x:v>
      </x:c>
      <x:c r="U22" s="110" t="n">
        <x:f>MIN(U17*(1-Assumptions!$D$32),Assumptions!$D$48*U18)</x:f>
        <x:v>2.5326105638132805</x:v>
      </x:c>
      <x:c r="V22" s="110" t="n">
        <x:f>MIN(V17*(1-Assumptions!$D$32),Assumptions!$D$48*V18)</x:f>
        <x:v>2.6592410920039455</x:v>
      </x:c>
      <x:c r="W22" s="110" t="n">
        <x:f>MIN(W17*(1-Assumptions!$D$32),Assumptions!$D$48*W18)</x:f>
        <x:v>2.792203146604143</x:v>
      </x:c>
      <x:c r="X22" s="110" t="n">
        <x:f>MIN(X17*(1-Assumptions!$D$32),Assumptions!$D$48*X18)</x:f>
        <x:v>2.9318133039343492</x:v>
      </x:c>
      <x:c r="Y22" s="110" t="n">
        <x:f>MIN(Y17*(1-Assumptions!$D$32),Assumptions!$D$48*Y18)</x:f>
        <x:v>3.0784039691310676</x:v>
      </x:c>
      <x:c r="Z22" s="110" t="n">
        <x:f>MIN(Z17*(1-Assumptions!$D$32),Assumptions!$D$48*Z18)</x:f>
        <x:v>3.2323241675876218</x:v>
      </x:c>
      <x:c r="AA22" s="110" t="n">
        <x:f>MIN(AA17*(1-Assumptions!$D$32),Assumptions!$D$48*AA18)</x:f>
        <x:v>3.393940375967003</x:v>
      </x:c>
      <x:c r="AB22" s="110" t="n">
        <x:f>MIN(AB17*(1-Assumptions!$D$32),Assumptions!$D$48*AB18)</x:f>
        <x:v>3.563637394765353</x:v>
      </x:c>
      <x:c r="AC22" s="110" t="n">
        <x:f>MIN(AC17*(1-Assumptions!$D$32),Assumptions!$D$48*AC18)</x:f>
        <x:v>3.7418192645036203</x:v>
      </x:c>
      <x:c r="AD22" s="110" t="n">
        <x:f>MIN(AD17*(1-Assumptions!$D$32),Assumptions!$D$48*AD18)</x:f>
        <x:v>3.9289102277288013</x:v>
      </x:c>
      <x:c r="AE22" s="110" t="n">
        <x:f>MIN(AE17*(1-Assumptions!$D$32),Assumptions!$D$48*AE18)</x:f>
        <x:v>4.125355739115242</x:v>
      </x:c>
      <x:c r="AF22" s="110" t="n">
        <x:f>MIN(AF17*(1-Assumptions!$D$32),Assumptions!$D$48*AF18)</x:f>
        <x:v>4.331623526071003</x:v>
      </x:c>
      <x:c r="AG22" s="110" t="n">
        <x:f>MIN(AG17*(1-Assumptions!$D$32),Assumptions!$D$48*AG18)</x:f>
        <x:v>4.548204702374554</x:v>
      </x:c>
      <x:c r="AH22" s="110" t="n">
        <x:f>MIN(AH17*(1-Assumptions!$D$32),Assumptions!$D$48*AH18)</x:f>
        <x:v>4.775614937493282</x:v>
      </x:c>
      <x:c r="AI22" s="110" t="n">
        <x:f>MIN(AI17*(1-Assumptions!$D$32),Assumptions!$D$48*AI18)</x:f>
        <x:v>5.014395684367948</x:v>
      </x:c>
      <x:c r="AJ22" s="110" t="n">
        <x:f>MIN(AJ17*(1-Assumptions!$D$32),Assumptions!$D$48*AJ18)</x:f>
        <x:v>5.265115468586344</x:v>
      </x:c>
      <x:c r="AK22" s="110" t="n">
        <x:f>MIN(AK17*(1-Assumptions!$D$32),Assumptions!$D$48*AK18)</x:f>
        <x:v>5.528371242015661</x:v>
      </x:c>
      <x:c r="AL22" s="111" t="n">
        <x:f>MIN(AL17*(1-Assumptions!$D$32),Assumptions!$D$48*AL18)</x:f>
        <x:v>5.8</x:v>
      </x:c>
    </x:row>
    <x:row r="23">
      <x:c r="A23" s="142" t="str">
        <x:v>Total paid entry engagements</x:v>
      </x:c>
      <x:c r="B23" s="143" t="str">
        <x:v>units</x:v>
      </x:c>
      <x:c r="C23" s="144" t="n">
        <x:f>SUM(C21:C22)</x:f>
        <x:v>1.1692799999999999</x:v>
      </x:c>
      <x:c r="D23" s="144" t="n">
        <x:f>SUM(D21:D22)</x:f>
        <x:v>1.2408180003072002</x:v>
      </x:c>
      <x:c r="E23" s="144" t="n">
        <x:f>SUM(E21:E22)</x:f>
        <x:v>1.3226430044957758</x:v>
      </x:c>
      <x:c r="F23" s="144" t="n">
        <x:f>SUM(F21:F22)</x:f>
        <x:v>1.4135213872550638</x:v>
      </x:c>
      <x:c r="G23" s="144" t="n">
        <x:f>SUM(G21:G22)</x:f>
        <x:v>1.51192866223111</x:v>
      </x:c>
      <x:c r="H23" s="144" t="n">
        <x:f>SUM(H21:H22)</x:f>
        <x:v>1.6200438227468696</x:v>
      </x:c>
      <x:c r="I23" s="144" t="n">
        <x:f>SUM(I21:I22)</x:f>
        <x:v>1.7375930932253265</x:v>
      </x:c>
      <x:c r="J23" s="144" t="n">
        <x:f>SUM(J21:J22)</x:f>
        <x:v>1.8656004254872967</x:v>
      </x:c>
      <x:c r="K23" s="144" t="n">
        <x:f>SUM(K21:K22)</x:f>
        <x:v>2.0055066010801994</x:v>
      </x:c>
      <x:c r="L23" s="144" t="n">
        <x:f>SUM(L21:L22)</x:f>
        <x:v>2.1583693364254963</x:v>
      </x:c>
      <x:c r="M23" s="144" t="n">
        <x:f>SUM(M21:M22)</x:f>
        <x:v>2.325669833654728</x:v>
      </x:c>
      <x:c r="N23" s="144" t="n">
        <x:f>SUM(N21:N22)</x:f>
        <x:v>2.5090877733809274</x:v>
      </x:c>
      <x:c r="O23" s="144" t="n">
        <x:f>SUM(O21:O22)</x:f>
        <x:v>2.69981856628863</x:v>
      </x:c>
      <x:c r="P23" s="144" t="n">
        <x:f>SUM(P21:P22)</x:f>
        <x:v>2.8348094946030606</x:v>
      </x:c>
      <x:c r="Q23" s="144" t="n">
        <x:f>SUM(Q21:Q22)</x:f>
        <x:v>2.9765499693332145</x:v>
      </x:c>
      <x:c r="R23" s="144" t="n">
        <x:f>SUM(R21:R22)</x:f>
        <x:v>3.1253774677998747</x:v>
      </x:c>
      <x:c r="S23" s="144" t="n">
        <x:f>SUM(S21:S22)</x:f>
        <x:v>3.281646341189869</x:v>
      </x:c>
      <x:c r="T23" s="144" t="n">
        <x:f>SUM(T21:T22)</x:f>
        <x:v>3.445728658249362</x:v>
      </x:c>
      <x:c r="U23" s="144" t="n">
        <x:f>SUM(U21:U22)</x:f>
        <x:v>3.6180150911618294</x:v>
      </x:c>
      <x:c r="V23" s="144" t="n">
        <x:f>SUM(V21:V22)</x:f>
        <x:v>3.798915845719922</x:v>
      </x:c>
      <x:c r="W23" s="144" t="n">
        <x:f>SUM(W21:W22)</x:f>
        <x:v>3.9888616380059183</x:v>
      </x:c>
      <x:c r="X23" s="144" t="n">
        <x:f>SUM(X21:X22)</x:f>
        <x:v>4.188304719906213</x:v>
      </x:c>
      <x:c r="Y23" s="144" t="n">
        <x:f>SUM(Y21:Y22)</x:f>
        <x:v>4.397719955901525</x:v>
      </x:c>
      <x:c r="Z23" s="144" t="n">
        <x:f>SUM(Z21:Z22)</x:f>
        <x:v>4.617605953696603</x:v>
      </x:c>
      <x:c r="AA23" s="144" t="n">
        <x:f>SUM(AA21:AA22)</x:f>
        <x:v>4.848486251381433</x:v>
      </x:c>
      <x:c r="AB23" s="144" t="n">
        <x:f>SUM(AB21:AB22)</x:f>
        <x:v>5.090910563950504</x:v>
      </x:c>
      <x:c r="AC23" s="144" t="n">
        <x:f>SUM(AC21:AC22)</x:f>
        <x:v>5.345456092148029</x:v>
      </x:c>
      <x:c r="AD23" s="144" t="n">
        <x:f>SUM(AD21:AD22)</x:f>
        <x:v>5.6127288967554305</x:v>
      </x:c>
      <x:c r="AE23" s="144" t="n">
        <x:f>SUM(AE21:AE22)</x:f>
        <x:v>5.893365341593203</x:v>
      </x:c>
      <x:c r="AF23" s="144" t="n">
        <x:f>SUM(AF21:AF22)</x:f>
        <x:v>6.188033608672862</x:v>
      </x:c>
      <x:c r="AG23" s="144" t="n">
        <x:f>SUM(AG21:AG22)</x:f>
        <x:v>6.497435289106506</x:v>
      </x:c>
      <x:c r="AH23" s="144" t="n">
        <x:f>SUM(AH21:AH22)</x:f>
        <x:v>6.822307053561832</x:v>
      </x:c>
      <x:c r="AI23" s="144" t="n">
        <x:f>SUM(AI21:AI22)</x:f>
        <x:v>7.163422406239925</x:v>
      </x:c>
      <x:c r="AJ23" s="144" t="n">
        <x:f>SUM(AJ21:AJ22)</x:f>
        <x:v>7.52159352655192</x:v>
      </x:c>
      <x:c r="AK23" s="144" t="n">
        <x:f>SUM(AK21:AK22)</x:f>
        <x:v>7.897673202879515</x:v>
      </x:c>
      <x:c r="AL23" s="145" t="n">
        <x:f>SUM(AL21:AL22)</x:f>
        <x:v>8.287767058907047</x:v>
      </x:c>
    </x:row>
    <x:row r="24">
      <x:c r="A24" s="49" t="str">
        <x:v>Paid entry revenue</x:v>
      </x:c>
      <x:c r="B24" s="50" t="str">
        <x:v>$</x:v>
      </x:c>
      <x:c r="C24" s="126" t="n">
        <x:f>C21*Assumptions!$D$9+C22*Assumptions!$D$11</x:f>
        <x:v>33909.119999999995</x:v>
      </x:c>
      <x:c r="D24" s="126" t="n">
        <x:f>D21*Assumptions!$D$9+D22*Assumptions!$D$11</x:f>
        <x:v>35983.72200890881</x:v>
      </x:c>
      <x:c r="E24" s="126" t="n">
        <x:f>E21*Assumptions!$D$9+E22*Assumptions!$D$11</x:f>
        <x:v>38356.647130377496</x:v>
      </x:c>
      <x:c r="F24" s="126" t="n">
        <x:f>F21*Assumptions!$D$9+F22*Assumptions!$D$11</x:f>
        <x:v>40992.120230396846</x:v>
      </x:c>
      <x:c r="G24" s="126" t="n">
        <x:f>G21*Assumptions!$D$9+G22*Assumptions!$D$11</x:f>
        <x:v>43845.931204702196</x:v>
      </x:c>
      <x:c r="H24" s="126" t="n">
        <x:f>H21*Assumptions!$D$9+H22*Assumptions!$D$11</x:f>
        <x:v>46981.27085965922</x:v>
      </x:c>
      <x:c r="I24" s="126" t="n">
        <x:f>I21*Assumptions!$D$9+I22*Assumptions!$D$11</x:f>
        <x:v>50390.199703534476</x:v>
      </x:c>
      <x:c r="J24" s="126" t="n">
        <x:f>J21*Assumptions!$D$9+J22*Assumptions!$D$11</x:f>
        <x:v>54102.41233913161</x:v>
      </x:c>
      <x:c r="K24" s="126" t="n">
        <x:f>K21*Assumptions!$D$9+K22*Assumptions!$D$11</x:f>
        <x:v>58159.69143132577</x:v>
      </x:c>
      <x:c r="L24" s="126" t="n">
        <x:f>L21*Assumptions!$D$9+L22*Assumptions!$D$11</x:f>
        <x:v>62592.710756339395</x:v>
      </x:c>
      <x:c r="M24" s="126" t="n">
        <x:f>M21*Assumptions!$D$9+M22*Assumptions!$D$11</x:f>
        <x:v>67444.42517598711</x:v>
      </x:c>
      <x:c r="N24" s="126" t="n">
        <x:f>N21*Assumptions!$D$9+N22*Assumptions!$D$11</x:f>
        <x:v>72763.5454280469</x:v>
      </x:c>
      <x:c r="O24" s="126" t="n">
        <x:f>O21*Assumptions!$D$9+O22*Assumptions!$D$11</x:f>
        <x:v>78294.73842237027</x:v>
      </x:c>
      <x:c r="P24" s="126" t="n">
        <x:f>P21*Assumptions!$D$9+P22*Assumptions!$D$11</x:f>
        <x:v>82209.47534348875</x:v>
      </x:c>
      <x:c r="Q24" s="126" t="n">
        <x:f>Q21*Assumptions!$D$9+Q22*Assumptions!$D$11</x:f>
        <x:v>86319.94911066322</x:v>
      </x:c>
      <x:c r="R24" s="126" t="n">
        <x:f>R21*Assumptions!$D$9+R22*Assumptions!$D$11</x:f>
        <x:v>90635.94656619636</x:v>
      </x:c>
      <x:c r="S24" s="126" t="n">
        <x:f>S21*Assumptions!$D$9+S22*Assumptions!$D$11</x:f>
        <x:v>95167.7438945062</x:v>
      </x:c>
      <x:c r="T24" s="126" t="n">
        <x:f>T21*Assumptions!$D$9+T22*Assumptions!$D$11</x:f>
        <x:v>99926.1310892315</x:v>
      </x:c>
      <x:c r="U24" s="126" t="n">
        <x:f>U21*Assumptions!$D$9+U22*Assumptions!$D$11</x:f>
        <x:v>104922.43764369305</x:v>
      </x:c>
      <x:c r="V24" s="126" t="n">
        <x:f>V21*Assumptions!$D$9+V22*Assumptions!$D$11</x:f>
        <x:v>110168.55952587775</x:v>
      </x:c>
      <x:c r="W24" s="126" t="n">
        <x:f>W21*Assumptions!$D$9+W22*Assumptions!$D$11</x:f>
        <x:v>115676.98750217163</x:v>
      </x:c>
      <x:c r="X24" s="126" t="n">
        <x:f>X21*Assumptions!$D$9+X22*Assumptions!$D$11</x:f>
        <x:v>121460.83687728018</x:v>
      </x:c>
      <x:c r="Y24" s="126" t="n">
        <x:f>Y21*Assumptions!$D$9+Y22*Assumptions!$D$11</x:f>
        <x:v>127533.87872114422</x:v>
      </x:c>
      <x:c r="Z24" s="126" t="n">
        <x:f>Z21*Assumptions!$D$9+Z22*Assumptions!$D$11</x:f>
        <x:v>133910.57265720147</x:v>
      </x:c>
      <x:c r="AA24" s="126" t="n">
        <x:f>AA21*Assumptions!$D$9+AA22*Assumptions!$D$11</x:f>
        <x:v>140606.10129006158</x:v>
      </x:c>
      <x:c r="AB24" s="126" t="n">
        <x:f>AB21*Assumptions!$D$9+AB22*Assumptions!$D$11</x:f>
        <x:v>147636.40635456462</x:v>
      </x:c>
      <x:c r="AC24" s="126" t="n">
        <x:f>AC21*Assumptions!$D$9+AC22*Assumptions!$D$11</x:f>
        <x:v>155018.22667229283</x:v>
      </x:c>
      <x:c r="AD24" s="126" t="n">
        <x:f>AD21*Assumptions!$D$9+AD22*Assumptions!$D$11</x:f>
        <x:v>162769.13800590747</x:v>
      </x:c>
      <x:c r="AE24" s="126" t="n">
        <x:f>AE21*Assumptions!$D$9+AE22*Assumptions!$D$11</x:f>
        <x:v>170907.59490620287</x:v>
      </x:c>
      <x:c r="AF24" s="126" t="n">
        <x:f>AF21*Assumptions!$D$9+AF22*Assumptions!$D$11</x:f>
        <x:v>179452.97465151298</x:v>
      </x:c>
      <x:c r="AG24" s="126" t="n">
        <x:f>AG21*Assumptions!$D$9+AG22*Assumptions!$D$11</x:f>
        <x:v>188425.62338408869</x:v>
      </x:c>
      <x:c r="AH24" s="126" t="n">
        <x:f>AH21*Assumptions!$D$9+AH22*Assumptions!$D$11</x:f>
        <x:v>197846.90455329313</x:v>
      </x:c>
      <x:c r="AI24" s="126" t="n">
        <x:f>AI21*Assumptions!$D$9+AI22*Assumptions!$D$11</x:f>
        <x:v>207739.24978095785</x:v>
      </x:c>
      <x:c r="AJ24" s="126" t="n">
        <x:f>AJ21*Assumptions!$D$9+AJ22*Assumptions!$D$11</x:f>
        <x:v>218126.21227000566</x:v>
      </x:c>
      <x:c r="AK24" s="126" t="n">
        <x:f>AK21*Assumptions!$D$9+AK22*Assumptions!$D$11</x:f>
        <x:v>229032.52288350597</x:v>
      </x:c>
      <x:c r="AL24" s="127" t="n">
        <x:f>AL21*Assumptions!$D$9+AL22*Assumptions!$D$11</x:f>
        <x:v>240316.5058836057</x:v>
      </x:c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 ht="23" customHeight="1">
      <x:c r="A26" s="416" t="str">
        <x:v>DOWNSTREAM OFFERS &amp; RECURRING</x:v>
      </x:c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9" t="str">
        <x:v>Money Machine Design Labs</x:v>
      </x:c>
      <x:c r="B27" s="50" t="str">
        <x:v>units</x:v>
      </x:c>
      <x:c r="C27" s="110" t="n">
        <x:f>0</x:f>
        <x:v>0</x:v>
      </x:c>
      <x:c r="D27" s="110" t="n">
        <x:f>MIN(C23*Assumptions!$D$35,Assumptions!$D$49*D18)</x:f>
        <x:v>0.44432639999999995</x:v>
      </x:c>
      <x:c r="E27" s="110" t="n">
        <x:f>MIN(D23*Assumptions!$D$35,Assumptions!$D$49*E18)</x:f>
        <x:v>0.4715108401167361</x:v>
      </x:c>
      <x:c r="F27" s="110" t="n">
        <x:f>MIN(E23*Assumptions!$D$35,Assumptions!$D$49*F18)</x:f>
        <x:v>0.5026043417083947</x:v>
      </x:c>
      <x:c r="G27" s="110" t="n">
        <x:f>MIN(F23*Assumptions!$D$35,Assumptions!$D$49*G18)</x:f>
        <x:v>0.5371381271569242</x:v>
      </x:c>
      <x:c r="H27" s="110" t="n">
        <x:f>MIN(G23*Assumptions!$D$35,Assumptions!$D$49*H18)</x:f>
        <x:v>0.5745328916478218</x:v>
      </x:c>
      <x:c r="I27" s="110" t="n">
        <x:f>MIN(H23*Assumptions!$D$35,Assumptions!$D$49*I18)</x:f>
        <x:v>0.6156166526438105</x:v>
      </x:c>
      <x:c r="J27" s="110" t="n">
        <x:f>MIN(I23*Assumptions!$D$35,Assumptions!$D$49*J18)</x:f>
        <x:v>0.660285375425624</x:v>
      </x:c>
      <x:c r="K27" s="110" t="n">
        <x:f>MIN(J23*Assumptions!$D$35,Assumptions!$D$49*K18)</x:f>
        <x:v>0.7089281616851727</x:v>
      </x:c>
      <x:c r="L27" s="110" t="n">
        <x:f>MIN(K23*Assumptions!$D$35,Assumptions!$D$49*L18)</x:f>
        <x:v>0.7620925084104758</x:v>
      </x:c>
      <x:c r="M27" s="110" t="n">
        <x:f>MIN(L23*Assumptions!$D$35,Assumptions!$D$49*M18)</x:f>
        <x:v>0.8201803478416886</x:v>
      </x:c>
      <x:c r="N27" s="110" t="n">
        <x:f>MIN(M23*Assumptions!$D$35,Assumptions!$D$49*N18)</x:f>
        <x:v>0.8837545367887966</x:v>
      </x:c>
      <x:c r="O27" s="110" t="n">
        <x:f>MIN(N23*Assumptions!$D$35,Assumptions!$D$49*O18)</x:f>
        <x:v>0.9534533538847524</x:v>
      </x:c>
      <x:c r="P27" s="110" t="n">
        <x:f>MIN(O23*Assumptions!$D$35,Assumptions!$D$49*P18)</x:f>
        <x:v>1.0259310551896794</x:v>
      </x:c>
      <x:c r="Q27" s="110" t="n">
        <x:f>MIN(P23*Assumptions!$D$35,Assumptions!$D$49*Q18)</x:f>
        <x:v>1.077227607949163</x:v>
      </x:c>
      <x:c r="R27" s="110" t="n">
        <x:f>MIN(Q23*Assumptions!$D$35,Assumptions!$D$49*R18)</x:f>
        <x:v>1.1310889883466215</x:v>
      </x:c>
      <x:c r="S27" s="110" t="n">
        <x:f>MIN(R23*Assumptions!$D$35,Assumptions!$D$49*S18)</x:f>
        <x:v>1.1876434377639524</x:v>
      </x:c>
      <x:c r="T27" s="110" t="n">
        <x:f>MIN(S23*Assumptions!$D$35,Assumptions!$D$49*T18)</x:f>
        <x:v>1.2470256096521504</x:v>
      </x:c>
      <x:c r="U27" s="110" t="n">
        <x:f>MIN(T23*Assumptions!$D$35,Assumptions!$D$49*U18)</x:f>
        <x:v>1.3093768901347576</x:v>
      </x:c>
      <x:c r="V27" s="110" t="n">
        <x:f>MIN(U23*Assumptions!$D$35,Assumptions!$D$49*V18)</x:f>
        <x:v>1.3748457346414953</x:v>
      </x:c>
      <x:c r="W27" s="110" t="n">
        <x:f>MIN(V23*Assumptions!$D$35,Assumptions!$D$49*W18)</x:f>
        <x:v>1.4435880213735703</x:v>
      </x:c>
      <x:c r="X27" s="110" t="n">
        <x:f>MIN(W23*Assumptions!$D$35,Assumptions!$D$49*X18)</x:f>
        <x:v>1.515767422442249</x:v>
      </x:c>
      <x:c r="Y27" s="110" t="n">
        <x:f>MIN(X23*Assumptions!$D$35,Assumptions!$D$49*Y18)</x:f>
        <x:v>1.5915557935643612</x:v>
      </x:c>
      <x:c r="Z27" s="110" t="n">
        <x:f>MIN(Y23*Assumptions!$D$35,Assumptions!$D$49*Z18)</x:f>
        <x:v>1.6711335832425798</x:v>
      </x:c>
      <x:c r="AA27" s="110" t="n">
        <x:f>MIN(Z23*Assumptions!$D$35,Assumptions!$D$49*AA18)</x:f>
        <x:v>1.7546902624047092</x:v>
      </x:c>
      <x:c r="AB27" s="110" t="n">
        <x:f>MIN(AA23*Assumptions!$D$35,Assumptions!$D$49*AB18)</x:f>
        <x:v>1.8424247755249448</x:v>
      </x:c>
      <x:c r="AC27" s="110" t="n">
        <x:f>MIN(AB23*Assumptions!$D$35,Assumptions!$D$49*AC18)</x:f>
        <x:v>1.9345460143011917</x:v>
      </x:c>
      <x:c r="AD27" s="110" t="n">
        <x:f>MIN(AC23*Assumptions!$D$35,Assumptions!$D$49*AD18)</x:f>
        <x:v>2.031273315016251</x:v>
      </x:c>
      <x:c r="AE27" s="110" t="n">
        <x:f>MIN(AD23*Assumptions!$D$35,Assumptions!$D$49*AE18)</x:f>
        <x:v>2.1328369807670637</x:v>
      </x:c>
      <x:c r="AF27" s="110" t="n">
        <x:f>MIN(AE23*Assumptions!$D$35,Assumptions!$D$49*AF18)</x:f>
        <x:v>2.239478829805417</x:v>
      </x:c>
      <x:c r="AG27" s="110" t="n">
        <x:f>MIN(AF23*Assumptions!$D$35,Assumptions!$D$49*AG18)</x:f>
        <x:v>2.351452771295688</x:v>
      </x:c>
      <x:c r="AH27" s="110" t="n">
        <x:f>MIN(AG23*Assumptions!$D$35,Assumptions!$D$49*AH18)</x:f>
        <x:v>2.4690254098604725</x:v>
      </x:c>
      <x:c r="AI27" s="110" t="n">
        <x:f>MIN(AH23*Assumptions!$D$35,Assumptions!$D$49*AI18)</x:f>
        <x:v>2.592476680353496</x:v>
      </x:c>
      <x:c r="AJ27" s="110" t="n">
        <x:f>MIN(AI23*Assumptions!$D$35,Assumptions!$D$49*AJ18)</x:f>
        <x:v>2.7221005143711716</x:v>
      </x:c>
      <x:c r="AK27" s="110" t="n">
        <x:f>MIN(AJ23*Assumptions!$D$35,Assumptions!$D$49*AK18)</x:f>
        <x:v>2.8582055400897293</x:v>
      </x:c>
      <x:c r="AL27" s="111" t="n">
        <x:f>MIN(AK23*Assumptions!$D$35,Assumptions!$D$49*AL18)</x:f>
        <x:v>2.9</x:v>
      </x:c>
    </x:row>
    <x:row r="28">
      <x:c r="A28" s="49" t="str">
        <x:v>Revenue Institution Sprints</x:v>
      </x:c>
      <x:c r="B28" s="50" t="str">
        <x:v>units</x:v>
      </x:c>
      <x:c r="C28" s="110" t="n">
        <x:f>0</x:f>
        <x:v>0</x:v>
      </x:c>
      <x:c r="D28" s="110" t="n">
        <x:f>MIN(C27*Assumptions!$D$36,Assumptions!$D$50*D18)</x:f>
        <x:v>0</x:v>
      </x:c>
      <x:c r="E28" s="110" t="n">
        <x:f>MIN(D27*Assumptions!$D$36,Assumptions!$D$50*E18)</x:f>
        <x:v>0.21327667199999997</x:v>
      </x:c>
      <x:c r="F28" s="110" t="n">
        <x:f>MIN(E27*Assumptions!$D$36,Assumptions!$D$50*F18)</x:f>
        <x:v>0.22632520325603334</x:v>
      </x:c>
      <x:c r="G28" s="110" t="n">
        <x:f>MIN(F27*Assumptions!$D$36,Assumptions!$D$50*G18)</x:f>
        <x:v>0.24125008402002945</x:v>
      </x:c>
      <x:c r="H28" s="110" t="n">
        <x:f>MIN(G27*Assumptions!$D$36,Assumptions!$D$50*H18)</x:f>
        <x:v>0.2578263010353236</x:v>
      </x:c>
      <x:c r="I28" s="110" t="n">
        <x:f>MIN(H27*Assumptions!$D$36,Assumptions!$D$50*I18)</x:f>
        <x:v>0.2757757879909545</x:v>
      </x:c>
      <x:c r="J28" s="110" t="n">
        <x:f>MIN(I27*Assumptions!$D$36,Assumptions!$D$50*J18)</x:f>
        <x:v>0.29549599326902903</x:v>
      </x:c>
      <x:c r="K28" s="110" t="n">
        <x:f>MIN(J27*Assumptions!$D$36,Assumptions!$D$50*K18)</x:f>
        <x:v>0.31693698020429956</x:v>
      </x:c>
      <x:c r="L28" s="110" t="n">
        <x:f>MIN(K27*Assumptions!$D$36,Assumptions!$D$50*L18)</x:f>
        <x:v>0.34028551760888287</x:v>
      </x:c>
      <x:c r="M28" s="110" t="n">
        <x:f>MIN(L27*Assumptions!$D$36,Assumptions!$D$50*M18)</x:f>
        <x:v>0.3658044040370284</x:v>
      </x:c>
      <x:c r="N28" s="110" t="n">
        <x:f>MIN(M27*Assumptions!$D$36,Assumptions!$D$50*N18)</x:f>
        <x:v>0.3936865669640105</x:v>
      </x:c>
      <x:c r="O28" s="110" t="n">
        <x:f>MIN(N27*Assumptions!$D$36,Assumptions!$D$50*O18)</x:f>
        <x:v>0.42420217765862234</x:v>
      </x:c>
      <x:c r="P28" s="110" t="n">
        <x:f>MIN(O27*Assumptions!$D$36,Assumptions!$D$50*P18)</x:f>
        <x:v>0.4576576098646811</x:v>
      </x:c>
      <x:c r="Q28" s="110" t="n">
        <x:f>MIN(P27*Assumptions!$D$36,Assumptions!$D$50*Q18)</x:f>
        <x:v>0.4924469064910461</x:v>
      </x:c>
      <x:c r="R28" s="110" t="n">
        <x:f>MIN(Q27*Assumptions!$D$36,Assumptions!$D$50*R18)</x:f>
        <x:v>0.5170692518155982</x:v>
      </x:c>
      <x:c r="S28" s="110" t="n">
        <x:f>MIN(R27*Assumptions!$D$36,Assumptions!$D$50*S18)</x:f>
        <x:v>0.5429227144063783</x:v>
      </x:c>
      <x:c r="T28" s="110" t="n">
        <x:f>MIN(S27*Assumptions!$D$36,Assumptions!$D$50*T18)</x:f>
        <x:v>0.5700688501266972</x:v>
      </x:c>
      <x:c r="U28" s="110" t="n">
        <x:f>MIN(T27*Assumptions!$D$36,Assumptions!$D$50*U18)</x:f>
        <x:v>0.5985722926330321</x:v>
      </x:c>
      <x:c r="V28" s="110" t="n">
        <x:f>MIN(U27*Assumptions!$D$36,Assumptions!$D$50*V18)</x:f>
        <x:v>0.6285009072646836</x:v>
      </x:c>
      <x:c r="W28" s="110" t="n">
        <x:f>MIN(V27*Assumptions!$D$36,Assumptions!$D$50*W18)</x:f>
        <x:v>0.6599259526279178</x:v>
      </x:c>
      <x:c r="X28" s="110" t="n">
        <x:f>MIN(W27*Assumptions!$D$36,Assumptions!$D$50*X18)</x:f>
        <x:v>0.6929222502593138</x:v>
      </x:c>
      <x:c r="Y28" s="110" t="n">
        <x:f>MIN(X27*Assumptions!$D$36,Assumptions!$D$50*Y18)</x:f>
        <x:v>0.7275683627722795</x:v>
      </x:c>
      <x:c r="Z28" s="110" t="n">
        <x:f>MIN(Y27*Assumptions!$D$36,Assumptions!$D$50*Z18)</x:f>
        <x:v>0.7639467809108933</x:v>
      </x:c>
      <x:c r="AA28" s="110" t="n">
        <x:f>MIN(Z27*Assumptions!$D$36,Assumptions!$D$50*AA18)</x:f>
        <x:v>0.8021441199564383</x:v>
      </x:c>
      <x:c r="AB28" s="110" t="n">
        <x:f>MIN(AA27*Assumptions!$D$36,Assumptions!$D$50*AB18)</x:f>
        <x:v>0.8422513259542603</x:v>
      </x:c>
      <x:c r="AC28" s="110" t="n">
        <x:f>MIN(AB27*Assumptions!$D$36,Assumptions!$D$50*AC18)</x:f>
        <x:v>0.8843638922519734</x:v>
      </x:c>
      <x:c r="AD28" s="110" t="n">
        <x:f>MIN(AC27*Assumptions!$D$36,Assumptions!$D$50*AD18)</x:f>
        <x:v>0.928582086864572</x:v>
      </x:c>
      <x:c r="AE28" s="110" t="n">
        <x:f>MIN(AD27*Assumptions!$D$36,Assumptions!$D$50*AE18)</x:f>
        <x:v>0.9750111912078004</x:v>
      </x:c>
      <x:c r="AF28" s="110" t="n">
        <x:f>MIN(AE27*Assumptions!$D$36,Assumptions!$D$50*AF18)</x:f>
        <x:v>1.0237617507681906</x:v>
      </x:c>
      <x:c r="AG28" s="110" t="n">
        <x:f>MIN(AF27*Assumptions!$D$36,Assumptions!$D$50*AG18)</x:f>
        <x:v>1.0749498383066</x:v>
      </x:c>
      <x:c r="AH28" s="110" t="n">
        <x:f>MIN(AG27*Assumptions!$D$36,Assumptions!$D$50*AH18)</x:f>
        <x:v>1.12869733022193</x:v>
      </x:c>
      <x:c r="AI28" s="110" t="n">
        <x:f>MIN(AH27*Assumptions!$D$36,Assumptions!$D$50*AI18)</x:f>
        <x:v>1.1851321967330268</x:v>
      </x:c>
      <x:c r="AJ28" s="110" t="n">
        <x:f>MIN(AI27*Assumptions!$D$36,Assumptions!$D$50*AJ18)</x:f>
        <x:v>1.2443888065696782</x:v>
      </x:c>
      <x:c r="AK28" s="110" t="n">
        <x:f>MIN(AJ27*Assumptions!$D$36,Assumptions!$D$50*AK18)</x:f>
        <x:v>1.3066082468981624</x:v>
      </x:c>
      <x:c r="AL28" s="111" t="n">
        <x:f>MIN(AK27*Assumptions!$D$36,Assumptions!$D$50*AL18)</x:f>
        <x:v>1.37193865924307</x:v>
      </x:c>
    </x:row>
    <x:row r="29">
      <x:c r="A29" s="49" t="str">
        <x:v>Proof-to-Revenue Runs</x:v>
      </x:c>
      <x:c r="B29" s="50" t="str">
        <x:v>units</x:v>
      </x:c>
      <x:c r="C29" s="110" t="n">
        <x:f>0</x:f>
        <x:v>0</x:v>
      </x:c>
      <x:c r="D29" s="110" t="n">
        <x:f>0</x:f>
        <x:v>0</x:v>
      </x:c>
      <x:c r="E29" s="110" t="n">
        <x:f>MIN(C28*Assumptions!$D$37,Assumptions!$D$51*E18)</x:f>
        <x:v>0</x:v>
      </x:c>
      <x:c r="F29" s="110" t="n">
        <x:f>MIN(D28*Assumptions!$D$37,Assumptions!$D$51*F18)</x:f>
        <x:v>0</x:v>
      </x:c>
      <x:c r="G29" s="110" t="n">
        <x:f>MIN(E28*Assumptions!$D$37,Assumptions!$D$51*G18)</x:f>
        <x:v>0.10237280255999999</x:v>
      </x:c>
      <x:c r="H29" s="110" t="n">
        <x:f>MIN(F28*Assumptions!$D$37,Assumptions!$D$51*H18)</x:f>
        <x:v>0.108636097562896</x:v>
      </x:c>
      <x:c r="I29" s="110" t="n">
        <x:f>MIN(G28*Assumptions!$D$37,Assumptions!$D$51*I18)</x:f>
        <x:v>0.11580004032961413</x:v>
      </x:c>
      <x:c r="J29" s="110" t="n">
        <x:f>MIN(H28*Assumptions!$D$37,Assumptions!$D$51*J18)</x:f>
        <x:v>0.12375662449695533</x:v>
      </x:c>
      <x:c r="K29" s="110" t="n">
        <x:f>MIN(I28*Assumptions!$D$37,Assumptions!$D$51*K18)</x:f>
        <x:v>0.13237237823565814</x:v>
      </x:c>
      <x:c r="L29" s="110" t="n">
        <x:f>MIN(J28*Assumptions!$D$37,Assumptions!$D$51*L18)</x:f>
        <x:v>0.14183807676913393</x:v>
      </x:c>
      <x:c r="M29" s="110" t="n">
        <x:f>MIN(K28*Assumptions!$D$37,Assumptions!$D$51*M18)</x:f>
        <x:v>0.1521297504980638</x:v>
      </x:c>
      <x:c r="N29" s="110" t="n">
        <x:f>MIN(L28*Assumptions!$D$37,Assumptions!$D$51*N18)</x:f>
        <x:v>0.16333704845226377</x:v>
      </x:c>
      <x:c r="O29" s="110" t="n">
        <x:f>MIN(M28*Assumptions!$D$37,Assumptions!$D$51*O18)</x:f>
        <x:v>0.17558611393777362</x:v>
      </x:c>
      <x:c r="P29" s="110" t="n">
        <x:f>MIN(N28*Assumptions!$D$37,Assumptions!$D$51*P18)</x:f>
        <x:v>0.18896955214272504</x:v>
      </x:c>
      <x:c r="Q29" s="110" t="n">
        <x:f>MIN(O28*Assumptions!$D$37,Assumptions!$D$51*Q18)</x:f>
        <x:v>0.20361704527613872</x:v>
      </x:c>
      <x:c r="R29" s="110" t="n">
        <x:f>MIN(P28*Assumptions!$D$37,Assumptions!$D$51*R18)</x:f>
        <x:v>0.21967565273504694</x:v>
      </x:c>
      <x:c r="S29" s="110" t="n">
        <x:f>MIN(Q28*Assumptions!$D$37,Assumptions!$D$51*S18)</x:f>
        <x:v>0.23637451511570212</x:v>
      </x:c>
      <x:c r="T29" s="110" t="n">
        <x:f>MIN(R28*Assumptions!$D$37,Assumptions!$D$51*T18)</x:f>
        <x:v>0.24819324087148711</x:v>
      </x:c>
      <x:c r="U29" s="110" t="n">
        <x:f>MIN(S28*Assumptions!$D$37,Assumptions!$D$51*U18)</x:f>
        <x:v>0.26060290291506155</x:v>
      </x:c>
      <x:c r="V29" s="110" t="n">
        <x:f>MIN(T28*Assumptions!$D$37,Assumptions!$D$51*V18)</x:f>
        <x:v>0.2736330480608146</x:v>
      </x:c>
      <x:c r="W29" s="110" t="n">
        <x:f>MIN(U28*Assumptions!$D$37,Assumptions!$D$51*W18)</x:f>
        <x:v>0.28731470046385543</x:v>
      </x:c>
      <x:c r="X29" s="110" t="n">
        <x:f>MIN(V28*Assumptions!$D$37,Assumptions!$D$51*X18)</x:f>
        <x:v>0.3016804354870481</x:v>
      </x:c>
      <x:c r="Y29" s="110" t="n">
        <x:f>MIN(W28*Assumptions!$D$37,Assumptions!$D$51*Y18)</x:f>
        <x:v>0.3167644572614005</x:v>
      </x:c>
      <x:c r="Z29" s="110" t="n">
        <x:f>MIN(X28*Assumptions!$D$37,Assumptions!$D$51*Z18)</x:f>
        <x:v>0.3326026801244706</x:v>
      </x:c>
      <x:c r="AA29" s="110" t="n">
        <x:f>MIN(Y28*Assumptions!$D$37,Assumptions!$D$51*AA18)</x:f>
        <x:v>0.3492328141306942</x:v>
      </x:c>
      <x:c r="AB29" s="110" t="n">
        <x:f>MIN(Z28*Assumptions!$D$37,Assumptions!$D$51*AB18)</x:f>
        <x:v>0.3666944548372288</x:v>
      </x:c>
      <x:c r="AC29" s="110" t="n">
        <x:f>MIN(AA28*Assumptions!$D$37,Assumptions!$D$51*AC18)</x:f>
        <x:v>0.3850291775790904</x:v>
      </x:c>
      <x:c r="AD29" s="110" t="n">
        <x:f>MIN(AB28*Assumptions!$D$37,Assumptions!$D$51*AD18)</x:f>
        <x:v>0.40428063645804496</x:v>
      </x:c>
      <x:c r="AE29" s="110" t="n">
        <x:f>MIN(AC28*Assumptions!$D$37,Assumptions!$D$51*AE18)</x:f>
        <x:v>0.42449466828094723</x:v>
      </x:c>
      <x:c r="AF29" s="110" t="n">
        <x:f>MIN(AD28*Assumptions!$D$37,Assumptions!$D$51*AF18)</x:f>
        <x:v>0.4457194016949945</x:v>
      </x:c>
      <x:c r="AG29" s="110" t="n">
        <x:f>MIN(AE28*Assumptions!$D$37,Assumptions!$D$51*AG18)</x:f>
        <x:v>0.4680053717797442</x:v>
      </x:c>
      <x:c r="AH29" s="110" t="n">
        <x:f>MIN(AF28*Assumptions!$D$37,Assumptions!$D$51*AH18)</x:f>
        <x:v>0.49140564036873147</x:v>
      </x:c>
      <x:c r="AI29" s="110" t="n">
        <x:f>MIN(AG28*Assumptions!$D$37,Assumptions!$D$51*AI18)</x:f>
        <x:v>0.515975922387168</x:v>
      </x:c>
      <x:c r="AJ29" s="110" t="n">
        <x:f>MIN(AH28*Assumptions!$D$37,Assumptions!$D$51*AJ18)</x:f>
        <x:v>0.5417747185065264</x:v>
      </x:c>
      <x:c r="AK29" s="110" t="n">
        <x:f>MIN(AI28*Assumptions!$D$37,Assumptions!$D$51*AK18)</x:f>
        <x:v>0.5688634544318528</x:v>
      </x:c>
      <x:c r="AL29" s="111" t="n">
        <x:f>MIN(AJ28*Assumptions!$D$37,Assumptions!$D$51*AL18)</x:f>
        <x:v>0.5973066271534455</x:v>
      </x:c>
    </x:row>
    <x:row r="30">
      <x:c r="A30" s="49" t="str">
        <x:v>Enterprise Proof Institutions</x:v>
      </x:c>
      <x:c r="B30" s="50" t="str">
        <x:v>units</x:v>
      </x:c>
      <x:c r="C30" s="110" t="n">
        <x:f>0</x:f>
        <x:v>0</x:v>
      </x:c>
      <x:c r="D30" s="110" t="n">
        <x:f>0</x:f>
        <x:v>0</x:v>
      </x:c>
      <x:c r="E30" s="110" t="n">
        <x:f>0</x:f>
        <x:v>0</x:v>
      </x:c>
      <x:c r="F30" s="110" t="n">
        <x:f>MIN(C29*Assumptions!$D$38,Assumptions!$D$52*F18)</x:f>
        <x:v>0</x:v>
      </x:c>
      <x:c r="G30" s="110" t="n">
        <x:f>MIN(D29*Assumptions!$D$38,Assumptions!$D$52*G18)</x:f>
        <x:v>0</x:v>
      </x:c>
      <x:c r="H30" s="110" t="n">
        <x:f>MIN(E29*Assumptions!$D$38,Assumptions!$D$52*H18)</x:f>
        <x:v>0</x:v>
      </x:c>
      <x:c r="I30" s="110" t="n">
        <x:f>MIN(F29*Assumptions!$D$38,Assumptions!$D$52*I18)</x:f>
        <x:v>0</x:v>
      </x:c>
      <x:c r="J30" s="110" t="n">
        <x:f>MIN(G29*Assumptions!$D$38,Assumptions!$D$52*J18)</x:f>
        <x:v>0.0184271044608</x:v>
      </x:c>
      <x:c r="K30" s="110" t="n">
        <x:f>MIN(H29*Assumptions!$D$38,Assumptions!$D$52*K18)</x:f>
        <x:v>0.019554497561321278</x:v>
      </x:c>
      <x:c r="L30" s="110" t="n">
        <x:f>MIN(I29*Assumptions!$D$38,Assumptions!$D$52*L18)</x:f>
        <x:v>0.020844007259330544</x:v>
      </x:c>
      <x:c r="M30" s="110" t="n">
        <x:f>MIN(J29*Assumptions!$D$38,Assumptions!$D$52*M18)</x:f>
        <x:v>0.02227619240945196</x:v>
      </x:c>
      <x:c r="N30" s="110" t="n">
        <x:f>MIN(K29*Assumptions!$D$38,Assumptions!$D$52*N18)</x:f>
        <x:v>0.023827028082418465</x:v>
      </x:c>
      <x:c r="O30" s="110" t="n">
        <x:f>MIN(L29*Assumptions!$D$38,Assumptions!$D$52*O18)</x:f>
        <x:v>0.025530853818444107</x:v>
      </x:c>
      <x:c r="P30" s="110" t="n">
        <x:f>MIN(M29*Assumptions!$D$38,Assumptions!$D$52*P18)</x:f>
        <x:v>0.027383355089651482</x:v>
      </x:c>
      <x:c r="Q30" s="110" t="n">
        <x:f>MIN(N29*Assumptions!$D$38,Assumptions!$D$52*Q18)</x:f>
        <x:v>0.029400668721407477</x:v>
      </x:c>
      <x:c r="R30" s="110" t="n">
        <x:f>MIN(O29*Assumptions!$D$38,Assumptions!$D$52*R18)</x:f>
        <x:v>0.031605500508799254</x:v>
      </x:c>
      <x:c r="S30" s="110" t="n">
        <x:f>MIN(P29*Assumptions!$D$38,Assumptions!$D$52*S18)</x:f>
        <x:v>0.03401451938569051</x:v>
      </x:c>
      <x:c r="T30" s="110" t="n">
        <x:f>MIN(Q29*Assumptions!$D$38,Assumptions!$D$52*T18)</x:f>
        <x:v>0.036651068149704966</x:v>
      </x:c>
      <x:c r="U30" s="110" t="n">
        <x:f>MIN(R29*Assumptions!$D$38,Assumptions!$D$52*U18)</x:f>
        <x:v>0.039541617492308445</x:v>
      </x:c>
      <x:c r="V30" s="110" t="n">
        <x:f>MIN(S29*Assumptions!$D$38,Assumptions!$D$52*V18)</x:f>
        <x:v>0.04254741272082638</x:v>
      </x:c>
      <x:c r="W30" s="110" t="n">
        <x:f>MIN(T29*Assumptions!$D$38,Assumptions!$D$52*W18)</x:f>
        <x:v>0.04467478335686768</x:v>
      </x:c>
      <x:c r="X30" s="110" t="n">
        <x:f>MIN(U29*Assumptions!$D$38,Assumptions!$D$52*X18)</x:f>
        <x:v>0.046908522524711074</x:v>
      </x:c>
      <x:c r="Y30" s="110" t="n">
        <x:f>MIN(V29*Assumptions!$D$38,Assumptions!$D$52*Y18)</x:f>
        <x:v>0.04925394865094663</x:v>
      </x:c>
      <x:c r="Z30" s="110" t="n">
        <x:f>MIN(W29*Assumptions!$D$38,Assumptions!$D$52*Z18)</x:f>
        <x:v>0.051716646083493974</x:v>
      </x:c>
      <x:c r="AA30" s="110" t="n">
        <x:f>MIN(X29*Assumptions!$D$38,Assumptions!$D$52*AA18)</x:f>
        <x:v>0.054302478387668655</x:v>
      </x:c>
      <x:c r="AB30" s="110" t="n">
        <x:f>MIN(Y29*Assumptions!$D$38,Assumptions!$D$52*AB18)</x:f>
        <x:v>0.05701760230705209</x:v>
      </x:c>
      <x:c r="AC30" s="110" t="n">
        <x:f>MIN(Z29*Assumptions!$D$38,Assumptions!$D$52*AC18)</x:f>
        <x:v>0.0598684824224047</x:v>
      </x:c>
      <x:c r="AD30" s="110" t="n">
        <x:f>MIN(AA29*Assumptions!$D$38,Assumptions!$D$52*AD18)</x:f>
        <x:v>0.06286190654352496</x:v>
      </x:c>
      <x:c r="AE30" s="110" t="n">
        <x:f>MIN(AB29*Assumptions!$D$38,Assumptions!$D$52*AE18)</x:f>
        <x:v>0.06600500187070119</x:v>
      </x:c>
      <x:c r="AF30" s="110" t="n">
        <x:f>MIN(AC29*Assumptions!$D$38,Assumptions!$D$52*AF18)</x:f>
        <x:v>0.06930525196423627</x:v>
      </x:c>
      <x:c r="AG30" s="110" t="n">
        <x:f>MIN(AD29*Assumptions!$D$38,Assumptions!$D$52*AG18)</x:f>
        <x:v>0.0727705145624481</x:v>
      </x:c>
      <x:c r="AH30" s="110" t="n">
        <x:f>MIN(AE29*Assumptions!$D$38,Assumptions!$D$52*AH18)</x:f>
        <x:v>0.0764090402905705</x:v>
      </x:c>
      <x:c r="AI30" s="110" t="n">
        <x:f>MIN(AF29*Assumptions!$D$38,Assumptions!$D$52*AI18)</x:f>
        <x:v>0.08022949230509901</x:v>
      </x:c>
      <x:c r="AJ30" s="110" t="n">
        <x:f>MIN(AG29*Assumptions!$D$38,Assumptions!$D$52*AJ18)</x:f>
        <x:v>0.08424096692035396</x:v>
      </x:c>
      <x:c r="AK30" s="110" t="n">
        <x:f>MIN(AH29*Assumptions!$D$38,Assumptions!$D$52*AK18)</x:f>
        <x:v>0.08845301526637166</x:v>
      </x:c>
      <x:c r="AL30" s="111" t="n">
        <x:f>MIN(AI29*Assumptions!$D$38,Assumptions!$D$52*AL18)</x:f>
        <x:v>0.09287566602969025</x:v>
      </x:c>
    </x:row>
    <x:row r="31">
      <x:c r="A31" s="49" t="str">
        <x:v>New Proof OS recurring clients</x:v>
      </x:c>
      <x:c r="B31" s="50" t="str">
        <x:v>clients</x:v>
      </x:c>
      <x:c r="C31" s="110" t="n">
        <x:f>C30*Assumptions!$D$40</x:f>
        <x:v>0</x:v>
      </x:c>
      <x:c r="D31" s="110" t="n">
        <x:f>C29*Assumptions!$D$39+D30*Assumptions!$D$40</x:f>
        <x:v>0</x:v>
      </x:c>
      <x:c r="E31" s="110" t="n">
        <x:f>D29*Assumptions!$D$39+E30*Assumptions!$D$40</x:f>
        <x:v>0</x:v>
      </x:c>
      <x:c r="F31" s="110" t="n">
        <x:f>E29*Assumptions!$D$39+F30*Assumptions!$D$40</x:f>
        <x:v>0</x:v>
      </x:c>
      <x:c r="G31" s="110" t="n">
        <x:f>F29*Assumptions!$D$39+G30*Assumptions!$D$40</x:f>
        <x:v>0</x:v>
      </x:c>
      <x:c r="H31" s="110" t="n">
        <x:f>G29*Assumptions!$D$39+H30*Assumptions!$D$40</x:f>
        <x:v>0.051186401279999995</x:v>
      </x:c>
      <x:c r="I31" s="110" t="n">
        <x:f>H29*Assumptions!$D$39+I30*Assumptions!$D$40</x:f>
        <x:v>0.054318048781448</x:v>
      </x:c>
      <x:c r="J31" s="110" t="n">
        <x:f>I29*Assumptions!$D$39+J30*Assumptions!$D$40</x:f>
        <x:v>0.07448441417952706</x:v>
      </x:c>
      <x:c r="K31" s="110" t="n">
        <x:f>J29*Assumptions!$D$39+K30*Assumptions!$D$40</x:f>
        <x:v>0.07947736005366682</x:v>
      </x:c>
      <x:c r="L31" s="110" t="n">
        <x:f>K29*Assumptions!$D$39+L30*Assumptions!$D$40</x:f>
        <x:v>0.08494579565122656</x:v>
      </x:c>
      <x:c r="M31" s="110" t="n">
        <x:f>L29*Assumptions!$D$39+M30*Assumptions!$D$40</x:f>
        <x:v>0.09096761155307373</x:v>
      </x:c>
      <x:c r="N31" s="110" t="n">
        <x:f>M29*Assumptions!$D$39+N30*Assumptions!$D$40</x:f>
        <x:v>0.09750920052320852</x:v>
      </x:c>
      <x:c r="O31" s="110" t="n">
        <x:f>N29*Assumptions!$D$39+O30*Assumptions!$D$40</x:f>
        <x:v>0.10464629266273158</x:v>
      </x:c>
      <x:c r="P31" s="110" t="n">
        <x:f>O29*Assumptions!$D$39+P30*Assumptions!$D$40</x:f>
        <x:v>0.11243807654957315</x:v>
      </x:c>
      <x:c r="Q31" s="110" t="n">
        <x:f>P29*Assumptions!$D$39+Q30*Assumptions!$D$40</x:f>
        <x:v>0.12094537792062925</x:v>
      </x:c>
      <x:c r="R31" s="110" t="n">
        <x:f>Q29*Assumptions!$D$39+R30*Assumptions!$D$40</x:f>
        <x:v>0.1302534730959887</x:v>
      </x:c>
      <x:c r="S31" s="110" t="n">
        <x:f>R29*Assumptions!$D$39+S30*Assumptions!$D$40</x:f>
        <x:v>0.14045089381464493</x:v>
      </x:c>
      <x:c r="T31" s="110" t="n">
        <x:f>S29*Assumptions!$D$39+T30*Assumptions!$D$40</x:f>
        <x:v>0.15117321889258553</x:v>
      </x:c>
      <x:c r="U31" s="110" t="n">
        <x:f>T29*Assumptions!$D$39+U30*Assumptions!$D$40</x:f>
        <x:v>0.15968407617882116</x:v>
      </x:c>
      <x:c r="V31" s="110" t="n">
        <x:f>U29*Assumptions!$D$39+V30*Assumptions!$D$40</x:f>
        <x:v>0.1685941229062745</x:v>
      </x:c>
      <x:c r="W31" s="110" t="n">
        <x:f>V29*Assumptions!$D$39+W30*Assumptions!$D$40</x:f>
        <x:v>0.17702382905158823</x:v>
      </x:c>
      <x:c r="X31" s="110" t="n">
        <x:f>W29*Assumptions!$D$39+X30*Assumptions!$D$40</x:f>
        <x:v>0.18587502050416768</x:v>
      </x:c>
      <x:c r="Y31" s="110" t="n">
        <x:f>X29*Assumptions!$D$39+Y30*Assumptions!$D$40</x:f>
        <x:v>0.195168771529376</x:v>
      </x:c>
      <x:c r="Z31" s="110" t="n">
        <x:f>Y29*Assumptions!$D$39+Z30*Assumptions!$D$40</x:f>
        <x:v>0.20492721010584483</x:v>
      </x:c>
      <x:c r="AA31" s="110" t="n">
        <x:f>Z29*Assumptions!$D$39+AA30*Assumptions!$D$40</x:f>
        <x:v>0.21517357061113707</x:v>
      </x:c>
      <x:c r="AB31" s="110" t="n">
        <x:f>AA29*Assumptions!$D$39+AB30*Assumptions!$D$40</x:f>
        <x:v>0.22593224914169396</x:v>
      </x:c>
      <x:c r="AC31" s="110" t="n">
        <x:f>AB29*Assumptions!$D$39+AC30*Assumptions!$D$40</x:f>
        <x:v>0.23722886159877862</x:v>
      </x:c>
      <x:c r="AD31" s="110" t="n">
        <x:f>AC29*Assumptions!$D$39+AD30*Assumptions!$D$40</x:f>
        <x:v>0.24909030467871765</x:v>
      </x:c>
      <x:c r="AE31" s="110" t="n">
        <x:f>AD29*Assumptions!$D$39+AE30*Assumptions!$D$40</x:f>
        <x:v>0.26154481991265355</x:v>
      </x:c>
      <x:c r="AF31" s="110" t="n">
        <x:f>AE29*Assumptions!$D$39+AF30*Assumptions!$D$40</x:f>
        <x:v>0.2746220609082863</x:v>
      </x:c>
      <x:c r="AG31" s="110" t="n">
        <x:f>AF29*Assumptions!$D$39+AG30*Assumptions!$D$40</x:f>
        <x:v>0.28835316395370053</x:v>
      </x:c>
      <x:c r="AH31" s="110" t="n">
        <x:f>AG29*Assumptions!$D$39+AH30*Assumptions!$D$40</x:f>
        <x:v>0.30277082215138557</x:v>
      </x:c>
      <x:c r="AI31" s="110" t="n">
        <x:f>AH29*Assumptions!$D$39+AI30*Assumptions!$D$40</x:f>
        <x:v>0.31790936325895486</x:v>
      </x:c>
      <x:c r="AJ31" s="110" t="n">
        <x:f>AI29*Assumptions!$D$39+AJ30*Assumptions!$D$40</x:f>
        <x:v>0.3338048314219026</x:v>
      </x:c>
      <x:c r="AK31" s="110" t="n">
        <x:f>AJ29*Assumptions!$D$39+AK30*Assumptions!$D$40</x:f>
        <x:v>0.35049507299299765</x:v>
      </x:c>
      <x:c r="AL31" s="111" t="n">
        <x:f>AK29*Assumptions!$D$39+AL30*Assumptions!$D$40</x:f>
        <x:v>0.36801982664264765</x:v>
      </x:c>
    </x:row>
    <x:row r="32">
      <x:c r="A32" s="49" t="str">
        <x:v>Churned Proof OS clients</x:v>
      </x:c>
      <x:c r="B32" s="50" t="str">
        <x:v>clients</x:v>
      </x:c>
      <x:c r="C32" s="110" t="n">
        <x:f>0</x:f>
        <x:v>0</x:v>
      </x:c>
      <x:c r="D32" s="110" t="n">
        <x:f>C33*Assumptions!$D$41</x:f>
        <x:v>0</x:v>
      </x:c>
      <x:c r="E32" s="110" t="n">
        <x:f>D33*Assumptions!$D$41</x:f>
        <x:v>0</x:v>
      </x:c>
      <x:c r="F32" s="110" t="n">
        <x:f>E33*Assumptions!$D$41</x:f>
        <x:v>0</x:v>
      </x:c>
      <x:c r="G32" s="110" t="n">
        <x:f>F33*Assumptions!$D$41</x:f>
        <x:v>0</x:v>
      </x:c>
      <x:c r="H32" s="110" t="n">
        <x:f>G33*Assumptions!$D$41</x:f>
        <x:v>0</x:v>
      </x:c>
      <x:c r="I32" s="110" t="n">
        <x:f>H33*Assumptions!$D$41</x:f>
        <x:v>0.0015355920383999999</x:v>
      </x:c>
      <x:c r="J32" s="110" t="n">
        <x:f>I33*Assumptions!$D$41</x:f>
        <x:v>0.0031190657406914395</x:v>
      </x:c>
      <x:c r="K32" s="110" t="n">
        <x:f>J33*Assumptions!$D$41</x:f>
        <x:v>0.005260026193856509</x:v>
      </x:c>
      <x:c r="L32" s="110" t="n">
        <x:f>K33*Assumptions!$D$41</x:f>
        <x:v>0.007486546209650819</x:v>
      </x:c>
      <x:c r="M32" s="110" t="n">
        <x:f>L33*Assumptions!$D$41</x:f>
        <x:v>0.00981032369289809</x:v>
      </x:c>
      <x:c r="N32" s="110" t="n">
        <x:f>M33*Assumptions!$D$41</x:f>
        <x:v>0.01224504232870336</x:v>
      </x:c>
      <x:c r="O32" s="110" t="n">
        <x:f>N33*Assumptions!$D$41</x:f>
        <x:v>0.014802967074538514</x:v>
      </x:c>
      <x:c r="P32" s="110" t="n">
        <x:f>O33*Assumptions!$D$41</x:f>
        <x:v>0.017498266842184307</x:v>
      </x:c>
      <x:c r="Q32" s="110" t="n">
        <x:f>P33*Assumptions!$D$41</x:f>
        <x:v>0.02034646113340597</x:v>
      </x:c>
      <x:c r="R32" s="110" t="n">
        <x:f>Q33*Assumptions!$D$41</x:f>
        <x:v>0.023364428637022667</x:v>
      </x:c>
      <x:c r="S32" s="110" t="n">
        <x:f>R33*Assumptions!$D$41</x:f>
        <x:v>0.026571099970791646</x:v>
      </x:c>
      <x:c r="T32" s="110" t="n">
        <x:f>S33*Assumptions!$D$41</x:f>
        <x:v>0.02998749378610724</x:v>
      </x:c>
      <x:c r="U32" s="110" t="n">
        <x:f>T33*Assumptions!$D$41</x:f>
        <x:v>0.03362306553930158</x:v>
      </x:c>
      <x:c r="V32" s="110" t="n">
        <x:f>U33*Assumptions!$D$41</x:f>
        <x:v>0.03740489585848718</x:v>
      </x:c>
      <x:c r="W32" s="110" t="n">
        <x:f>V33*Assumptions!$D$41</x:f>
        <x:v>0.0413405726699208</x:v>
      </x:c>
      <x:c r="X32" s="110" t="n">
        <x:f>W33*Assumptions!$D$41</x:f>
        <x:v>0.04541107036137082</x:v>
      </x:c>
      <x:c r="Y32" s="110" t="n">
        <x:f>X33*Assumptions!$D$41</x:f>
        <x:v>0.04962498886565473</x:v>
      </x:c>
      <x:c r="Z32" s="110" t="n">
        <x:f>Y33*Assumptions!$D$41</x:f>
        <x:v>0.053991302345566365</x:v>
      </x:c>
      <x:c r="AA32" s="110" t="n">
        <x:f>Z33*Assumptions!$D$41</x:f>
        <x:v>0.058519379578374726</x:v>
      </x:c>
      <x:c r="AB32" s="110" t="n">
        <x:f>AA33*Assumptions!$D$41</x:f>
        <x:v>0.06321900530935759</x:v>
      </x:c>
      <x:c r="AC32" s="110" t="n">
        <x:f>AB33*Assumptions!$D$41</x:f>
        <x:v>0.06810040262432768</x:v>
      </x:c>
      <x:c r="AD32" s="110" t="n">
        <x:f>AC33*Assumptions!$D$41</x:f>
        <x:v>0.0731742563935612</x:v>
      </x:c>
      <x:c r="AE32" s="110" t="n">
        <x:f>AD33*Assumptions!$D$41</x:f>
        <x:v>0.0784517378421159</x:v>
      </x:c>
      <x:c r="AF32" s="110" t="n">
        <x:f>AE33*Assumptions!$D$41</x:f>
        <x:v>0.08394453030423202</x:v>
      </x:c>
      <x:c r="AG32" s="110" t="n">
        <x:f>AF33*Assumptions!$D$41</x:f>
        <x:v>0.08966485622235365</x:v>
      </x:c>
      <x:c r="AH32" s="110" t="n">
        <x:f>AG33*Assumptions!$D$41</x:f>
        <x:v>0.09562550545429407</x:v>
      </x:c>
      <x:c r="AI32" s="110" t="n">
        <x:f>AH33*Assumptions!$D$41</x:f>
        <x:v>0.1018398649552068</x:v>
      </x:c>
      <x:c r="AJ32" s="110" t="n">
        <x:f>AI33*Assumptions!$D$41</x:f>
        <x:v>0.10832194990431925</x:v>
      </x:c>
      <x:c r="AK32" s="110" t="n">
        <x:f>AJ33*Assumptions!$D$41</x:f>
        <x:v>0.11508643634984674</x:v>
      </x:c>
      <x:c r="AL32" s="111" t="n">
        <x:f>AK33*Assumptions!$D$41</x:f>
        <x:v>0.12214869544914125</x:v>
      </x:c>
    </x:row>
    <x:row r="33">
      <x:c r="A33" s="49" t="str">
        <x:v>Ending Proof OS clients</x:v>
      </x:c>
      <x:c r="B33" s="50" t="str">
        <x:v>clients</x:v>
      </x:c>
      <x:c r="C33" s="110" t="n">
        <x:f>C31-C32</x:f>
        <x:v>0</x:v>
      </x:c>
      <x:c r="D33" s="110" t="n">
        <x:f>C33+D31-D32</x:f>
        <x:v>0</x:v>
      </x:c>
      <x:c r="E33" s="110" t="n">
        <x:f>D33+E31-E32</x:f>
        <x:v>0</x:v>
      </x:c>
      <x:c r="F33" s="110" t="n">
        <x:f>E33+F31-F32</x:f>
        <x:v>0</x:v>
      </x:c>
      <x:c r="G33" s="110" t="n">
        <x:f>F33+G31-G32</x:f>
        <x:v>0</x:v>
      </x:c>
      <x:c r="H33" s="110" t="n">
        <x:f>G33+H31-H32</x:f>
        <x:v>0.051186401279999995</x:v>
      </x:c>
      <x:c r="I33" s="110" t="n">
        <x:f>H33+I31-I32</x:f>
        <x:v>0.10396885802304799</x:v>
      </x:c>
      <x:c r="J33" s="110" t="n">
        <x:f>I33+J31-J32</x:f>
        <x:v>0.17533420646188363</x:v>
      </x:c>
      <x:c r="K33" s="110" t="n">
        <x:f>J33+K31-K32</x:f>
        <x:v>0.24955154032169397</x:v>
      </x:c>
      <x:c r="L33" s="110" t="n">
        <x:f>K33+L31-L32</x:f>
        <x:v>0.3270107897632697</x:v>
      </x:c>
      <x:c r="M33" s="110" t="n">
        <x:f>L33+M31-M32</x:f>
        <x:v>0.40816807762344537</x:v>
      </x:c>
      <x:c r="N33" s="110" t="n">
        <x:f>M33+N31-N32</x:f>
        <x:v>0.4934322358179505</x:v>
      </x:c>
      <x:c r="O33" s="110" t="n">
        <x:f>N33+O31-O32</x:f>
        <x:v>0.5832755614061436</x:v>
      </x:c>
      <x:c r="P33" s="110" t="n">
        <x:f>O33+P31-P32</x:f>
        <x:v>0.6782153711135324</x:v>
      </x:c>
      <x:c r="Q33" s="110" t="n">
        <x:f>P33+Q31-Q32</x:f>
        <x:v>0.7788142879007556</x:v>
      </x:c>
      <x:c r="R33" s="110" t="n">
        <x:f>Q33+R31-R32</x:f>
        <x:v>0.8857033323597215</x:v>
      </x:c>
      <x:c r="S33" s="110" t="n">
        <x:f>R33+S31-S32</x:f>
        <x:v>0.9995831262035747</x:v>
      </x:c>
      <x:c r="T33" s="110" t="n">
        <x:f>S33+T31-T32</x:f>
        <x:v>1.1207688513100529</x:v>
      </x:c>
      <x:c r="U33" s="110" t="n">
        <x:f>T33+U31-U32</x:f>
        <x:v>1.2468298619495726</x:v>
      </x:c>
      <x:c r="V33" s="110" t="n">
        <x:f>U33+V31-V32</x:f>
        <x:v>1.37801908899736</x:v>
      </x:c>
      <x:c r="W33" s="110" t="n">
        <x:f>V33+W31-W32</x:f>
        <x:v>1.5137023453790275</x:v>
      </x:c>
      <x:c r="X33" s="110" t="n">
        <x:f>W33+X31-X32</x:f>
        <x:v>1.6541662955218244</x:v>
      </x:c>
      <x:c r="Y33" s="110" t="n">
        <x:f>X33+Y31-Y32</x:f>
        <x:v>1.7997100781855455</x:v>
      </x:c>
      <x:c r="Z33" s="110" t="n">
        <x:f>Y33+Z31-Z32</x:f>
        <x:v>1.9506459859458243</x:v>
      </x:c>
      <x:c r="AA33" s="110" t="n">
        <x:f>Z33+AA31-AA32</x:f>
        <x:v>2.1073001769785864</x:v>
      </x:c>
      <x:c r="AB33" s="110" t="n">
        <x:f>AA33+AB31-AB32</x:f>
        <x:v>2.2700134208109226</x:v>
      </x:c>
      <x:c r="AC33" s="110" t="n">
        <x:f>AB33+AC31-AC32</x:f>
        <x:v>2.4391418797853737</x:v>
      </x:c>
      <x:c r="AD33" s="110" t="n">
        <x:f>AC33+AD31-AD32</x:f>
        <x:v>2.61505792807053</x:v>
      </x:c>
      <x:c r="AE33" s="110" t="n">
        <x:f>AD33+AE31-AE32</x:f>
        <x:v>2.7981510101410674</x:v>
      </x:c>
      <x:c r="AF33" s="110" t="n">
        <x:f>AE33+AF31-AF32</x:f>
        <x:v>2.988828540745122</x:v>
      </x:c>
      <x:c r="AG33" s="110" t="n">
        <x:f>AF33+AG31-AG32</x:f>
        <x:v>3.187516848476469</x:v>
      </x:c>
      <x:c r="AH33" s="110" t="n">
        <x:f>AG33+AH31-AH32</x:f>
        <x:v>3.3946621651735605</x:v>
      </x:c>
      <x:c r="AI33" s="110" t="n">
        <x:f>AH33+AI31-AI32</x:f>
        <x:v>3.610731663477308</x:v>
      </x:c>
      <x:c r="AJ33" s="110" t="n">
        <x:f>AI33+AJ31-AJ32</x:f>
        <x:v>3.8362145449948915</x:v>
      </x:c>
      <x:c r="AK33" s="110" t="n">
        <x:f>AJ33+AK31-AK32</x:f>
        <x:v>4.071623181638042</x:v>
      </x:c>
      <x:c r="AL33" s="111" t="n">
        <x:f>AK33+AL31-AL32</x:f>
        <x:v>4.317494312831549</x:v>
      </x:c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 ht="23" customHeight="1">
      <x:c r="A35" s="416" t="str">
        <x:v>REVENUE</x:v>
      </x:c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9" t="str">
        <x:v>Executive Briefing revenue</x:v>
      </x:c>
      <x:c r="B36" s="50" t="str">
        <x:v>$</x:v>
      </x:c>
      <x:c r="C36" s="126" t="n">
        <x:f>C21*Assumptions!$D$9</x:f>
        <x:v>5261.759999999999</x:v>
      </x:c>
      <x:c r="D36" s="126" t="n">
        <x:f>D21*Assumptions!$D$9</x:f>
        <x:v>5583.681001382401</x:v>
      </x:c>
      <x:c r="E36" s="126" t="n">
        <x:f>E21*Assumptions!$D$9</x:f>
        <x:v>5951.893520230991</x:v>
      </x:c>
      <x:c r="F36" s="126" t="n">
        <x:f>F21*Assumptions!$D$9</x:f>
        <x:v>6360.846242647787</x:v>
      </x:c>
      <x:c r="G36" s="126" t="n">
        <x:f>G21*Assumptions!$D$9</x:f>
        <x:v>6803.6789800399965</x:v>
      </x:c>
      <x:c r="H36" s="126" t="n">
        <x:f>H21*Assumptions!$D$9</x:f>
        <x:v>7290.197202360913</x:v>
      </x:c>
      <x:c r="I36" s="126" t="n">
        <x:f>I21*Assumptions!$D$9</x:f>
        <x:v>7819.16891951397</x:v>
      </x:c>
      <x:c r="J36" s="126" t="n">
        <x:f>J21*Assumptions!$D$9</x:f>
        <x:v>8395.201914692836</x:v>
      </x:c>
      <x:c r="K36" s="126" t="n">
        <x:f>K21*Assumptions!$D$9</x:f>
        <x:v>9024.779704860895</x:v>
      </x:c>
      <x:c r="L36" s="126" t="n">
        <x:f>L21*Assumptions!$D$9</x:f>
        <x:v>9712.662013914733</x:v>
      </x:c>
      <x:c r="M36" s="126" t="n">
        <x:f>M21*Assumptions!$D$9</x:f>
        <x:v>10465.514251446275</x:v>
      </x:c>
      <x:c r="N36" s="126" t="n">
        <x:f>N21*Assumptions!$D$9</x:f>
        <x:v>11290.894980214172</x:v>
      </x:c>
      <x:c r="O36" s="126" t="n">
        <x:f>O21*Assumptions!$D$9</x:f>
        <x:v>12149.183548298834</x:v>
      </x:c>
      <x:c r="P36" s="126" t="n">
        <x:f>P21*Assumptions!$D$9</x:f>
        <x:v>12756.642725713775</x:v>
      </x:c>
      <x:c r="Q36" s="126" t="n">
        <x:f>Q21*Assumptions!$D$9</x:f>
        <x:v>13394.474861999464</x:v>
      </x:c>
      <x:c r="R36" s="126" t="n">
        <x:f>R21*Assumptions!$D$9</x:f>
        <x:v>14064.198605099436</x:v>
      </x:c>
      <x:c r="S36" s="126" t="n">
        <x:f>S21*Assumptions!$D$9</x:f>
        <x:v>14767.40853535441</x:v>
      </x:c>
      <x:c r="T36" s="126" t="n">
        <x:f>T21*Assumptions!$D$9</x:f>
        <x:v>15505.778962122129</x:v>
      </x:c>
      <x:c r="U36" s="126" t="n">
        <x:f>U21*Assumptions!$D$9</x:f>
        <x:v>16281.067910228234</x:v>
      </x:c>
      <x:c r="V36" s="126" t="n">
        <x:f>V21*Assumptions!$D$9</x:f>
        <x:v>17095.12130573965</x:v>
      </x:c>
      <x:c r="W36" s="126" t="n">
        <x:f>W21*Assumptions!$D$9</x:f>
        <x:v>17949.877371026632</x:v>
      </x:c>
      <x:c r="X36" s="126" t="n">
        <x:f>X21*Assumptions!$D$9</x:f>
        <x:v>18847.37123957796</x:v>
      </x:c>
      <x:c r="Y36" s="126" t="n">
        <x:f>Y21*Assumptions!$D$9</x:f>
        <x:v>19789.739801556865</x:v>
      </x:c>
      <x:c r="Z36" s="126" t="n">
        <x:f>Z21*Assumptions!$D$9</x:f>
        <x:v>20779.226791634712</x:v>
      </x:c>
      <x:c r="AA36" s="126" t="n">
        <x:f>AA21*Assumptions!$D$9</x:f>
        <x:v>21818.18813121645</x:v>
      </x:c>
      <x:c r="AB36" s="126" t="n">
        <x:f>AB21*Assumptions!$D$9</x:f>
        <x:v>22909.097537777267</x:v>
      </x:c>
      <x:c r="AC36" s="126" t="n">
        <x:f>AC21*Assumptions!$D$9</x:f>
        <x:v>24054.55241466613</x:v>
      </x:c>
      <x:c r="AD36" s="126" t="n">
        <x:f>AD21*Assumptions!$D$9</x:f>
        <x:v>25257.280035399435</x:v>
      </x:c>
      <x:c r="AE36" s="126" t="n">
        <x:f>AE21*Assumptions!$D$9</x:f>
        <x:v>26520.14403716941</x:v>
      </x:c>
      <x:c r="AF36" s="126" t="n">
        <x:f>AF21*Assumptions!$D$9</x:f>
        <x:v>27846.15123902788</x:v>
      </x:c>
      <x:c r="AG36" s="126" t="n">
        <x:f>AG21*Assumptions!$D$9</x:f>
        <x:v>29238.458800979275</x:v>
      </x:c>
      <x:c r="AH36" s="126" t="n">
        <x:f>AH21*Assumptions!$D$9</x:f>
        <x:v>30700.381741028243</x:v>
      </x:c>
      <x:c r="AI36" s="126" t="n">
        <x:f>AI21*Assumptions!$D$9</x:f>
        <x:v>32235.400828079662</x:v>
      </x:c>
      <x:c r="AJ36" s="126" t="n">
        <x:f>AJ21*Assumptions!$D$9</x:f>
        <x:v>33847.17086948364</x:v>
      </x:c>
      <x:c r="AK36" s="126" t="n">
        <x:f>AK21*Assumptions!$D$9</x:f>
        <x:v>35539.529412957825</x:v>
      </x:c>
      <x:c r="AL36" s="127" t="n">
        <x:f>AL21*Assumptions!$D$9</x:f>
        <x:v>37316.505883605714</x:v>
      </x:c>
    </x:row>
    <x:row r="37">
      <x:c r="A37" s="49" t="str">
        <x:v>MasterClass revenue</x:v>
      </x:c>
      <x:c r="B37" s="50" t="str">
        <x:v>$</x:v>
      </x:c>
      <x:c r="C37" s="126" t="n">
        <x:f>C22*Assumptions!$D$11</x:f>
        <x:v>28647.359999999997</x:v>
      </x:c>
      <x:c r="D37" s="126" t="n">
        <x:f>D22*Assumptions!$D$11</x:f>
        <x:v>30400.041007526404</x:v>
      </x:c>
      <x:c r="E37" s="126" t="n">
        <x:f>E22*Assumptions!$D$11</x:f>
        <x:v>32404.753610146505</x:v>
      </x:c>
      <x:c r="F37" s="126" t="n">
        <x:f>F22*Assumptions!$D$11</x:f>
        <x:v>34631.27398774906</x:v>
      </x:c>
      <x:c r="G37" s="126" t="n">
        <x:f>G22*Assumptions!$D$11</x:f>
        <x:v>37042.252224662196</x:v>
      </x:c>
      <x:c r="H37" s="126" t="n">
        <x:f>H22*Assumptions!$D$11</x:f>
        <x:v>39691.07365729831</x:v>
      </x:c>
      <x:c r="I37" s="126" t="n">
        <x:f>I22*Assumptions!$D$11</x:f>
        <x:v>42571.030784020506</x:v>
      </x:c>
      <x:c r="J37" s="126" t="n">
        <x:f>J22*Assumptions!$D$11</x:f>
        <x:v>45707.210424438774</x:v>
      </x:c>
      <x:c r="K37" s="126" t="n">
        <x:f>K22*Assumptions!$D$11</x:f>
        <x:v>49134.91172646488</x:v>
      </x:c>
      <x:c r="L37" s="126" t="n">
        <x:f>L22*Assumptions!$D$11</x:f>
        <x:v>52880.04874242466</x:v>
      </x:c>
      <x:c r="M37" s="126" t="n">
        <x:f>M22*Assumptions!$D$11</x:f>
        <x:v>56978.91092454083</x:v>
      </x:c>
      <x:c r="N37" s="126" t="n">
        <x:f>N22*Assumptions!$D$11</x:f>
        <x:v>61472.65044783272</x:v>
      </x:c>
      <x:c r="O37" s="126" t="n">
        <x:f>O22*Assumptions!$D$11</x:f>
        <x:v>66145.55487407143</x:v>
      </x:c>
      <x:c r="P37" s="126" t="n">
        <x:f>P22*Assumptions!$D$11</x:f>
        <x:v>69452.83261777498</x:v>
      </x:c>
      <x:c r="Q37" s="126" t="n">
        <x:f>Q22*Assumptions!$D$11</x:f>
        <x:v>72925.47424866376</x:v>
      </x:c>
      <x:c r="R37" s="126" t="n">
        <x:f>R22*Assumptions!$D$11</x:f>
        <x:v>76571.74796109693</x:v>
      </x:c>
      <x:c r="S37" s="126" t="n">
        <x:f>S22*Assumptions!$D$11</x:f>
        <x:v>80400.3353591518</x:v>
      </x:c>
      <x:c r="T37" s="126" t="n">
        <x:f>T22*Assumptions!$D$11</x:f>
        <x:v>84420.35212710936</x:v>
      </x:c>
      <x:c r="U37" s="126" t="n">
        <x:f>U22*Assumptions!$D$11</x:f>
        <x:v>88641.36973346482</x:v>
      </x:c>
      <x:c r="V37" s="126" t="n">
        <x:f>V22*Assumptions!$D$11</x:f>
        <x:v>93073.4382201381</x:v>
      </x:c>
      <x:c r="W37" s="126" t="n">
        <x:f>W22*Assumptions!$D$11</x:f>
        <x:v>97727.110131145</x:v>
      </x:c>
      <x:c r="X37" s="126" t="n">
        <x:f>X22*Assumptions!$D$11</x:f>
        <x:v>102613.46563770222</x:v>
      </x:c>
      <x:c r="Y37" s="126" t="n">
        <x:f>Y22*Assumptions!$D$11</x:f>
        <x:v>107744.13891958736</x:v>
      </x:c>
      <x:c r="Z37" s="126" t="n">
        <x:f>Z22*Assumptions!$D$11</x:f>
        <x:v>113131.34586556676</x:v>
      </x:c>
      <x:c r="AA37" s="126" t="n">
        <x:f>AA22*Assumptions!$D$11</x:f>
        <x:v>118787.91315884511</x:v>
      </x:c>
      <x:c r="AB37" s="126" t="n">
        <x:f>AB22*Assumptions!$D$11</x:f>
        <x:v>124727.30881678735</x:v>
      </x:c>
      <x:c r="AC37" s="126" t="n">
        <x:f>AC22*Assumptions!$D$11</x:f>
        <x:v>130963.67425762671</x:v>
      </x:c>
      <x:c r="AD37" s="126" t="n">
        <x:f>AD22*Assumptions!$D$11</x:f>
        <x:v>137511.85797050805</x:v>
      </x:c>
      <x:c r="AE37" s="126" t="n">
        <x:f>AE22*Assumptions!$D$11</x:f>
        <x:v>144387.45086903346</x:v>
      </x:c>
      <x:c r="AF37" s="126" t="n">
        <x:f>AF22*Assumptions!$D$11</x:f>
        <x:v>151606.8234124851</x:v>
      </x:c>
      <x:c r="AG37" s="126" t="n">
        <x:f>AG22*Assumptions!$D$11</x:f>
        <x:v>159187.1645831094</x:v>
      </x:c>
      <x:c r="AH37" s="126" t="n">
        <x:f>AH22*Assumptions!$D$11</x:f>
        <x:v>167146.52281226488</x:v>
      </x:c>
      <x:c r="AI37" s="126" t="n">
        <x:f>AI22*Assumptions!$D$11</x:f>
        <x:v>175503.84895287818</x:v>
      </x:c>
      <x:c r="AJ37" s="126" t="n">
        <x:f>AJ22*Assumptions!$D$11</x:f>
        <x:v>184279.04140052202</x:v>
      </x:c>
      <x:c r="AK37" s="126" t="n">
        <x:f>AK22*Assumptions!$D$11</x:f>
        <x:v>193492.99347054813</x:v>
      </x:c>
      <x:c r="AL37" s="127" t="n">
        <x:f>AL22*Assumptions!$D$11</x:f>
        <x:v>203000</x:v>
      </x:c>
    </x:row>
    <x:row r="38">
      <x:c r="A38" s="49" t="str">
        <x:v>Design Lab revenue</x:v>
      </x:c>
      <x:c r="B38" s="50" t="str">
        <x:v>$</x:v>
      </x:c>
      <x:c r="C38" s="126" t="n">
        <x:f>C27*Assumptions!$D$13</x:f>
        <x:v>0</x:v>
      </x:c>
      <x:c r="D38" s="126" t="n">
        <x:f>D27*Assumptions!$D$13</x:f>
        <x:v>33324.479999999996</x:v>
      </x:c>
      <x:c r="E38" s="126" t="n">
        <x:f>E27*Assumptions!$D$13</x:f>
        <x:v>35363.313008755205</x:v>
      </x:c>
      <x:c r="F38" s="126" t="n">
        <x:f>F27*Assumptions!$D$13</x:f>
        <x:v>37695.325628129605</x:v>
      </x:c>
      <x:c r="G38" s="126" t="n">
        <x:f>G27*Assumptions!$D$13</x:f>
        <x:v>40285.35953676932</x:v>
      </x:c>
      <x:c r="H38" s="126" t="n">
        <x:f>H27*Assumptions!$D$13</x:f>
        <x:v>43089.966873586636</x:v>
      </x:c>
      <x:c r="I38" s="126" t="n">
        <x:f>I27*Assumptions!$D$13</x:f>
        <x:v>46171.248948285785</x:v>
      </x:c>
      <x:c r="J38" s="126" t="n">
        <x:f>J27*Assumptions!$D$13</x:f>
        <x:v>49521.403156921806</x:v>
      </x:c>
      <x:c r="K38" s="126" t="n">
        <x:f>K27*Assumptions!$D$13</x:f>
        <x:v>53169.612126387954</x:v>
      </x:c>
      <x:c r="L38" s="126" t="n">
        <x:f>L27*Assumptions!$D$13</x:f>
        <x:v>57156.93813078569</x:v>
      </x:c>
      <x:c r="M38" s="126" t="n">
        <x:f>M27*Assumptions!$D$13</x:f>
        <x:v>61513.526088126644</x:v>
      </x:c>
      <x:c r="N38" s="126" t="n">
        <x:f>N27*Assumptions!$D$13</x:f>
        <x:v>66281.59025915974</x:v>
      </x:c>
      <x:c r="O38" s="126" t="n">
        <x:f>O27*Assumptions!$D$13</x:f>
        <x:v>71509.00154135643</x:v>
      </x:c>
      <x:c r="P38" s="126" t="n">
        <x:f>P27*Assumptions!$D$13</x:f>
        <x:v>76944.82913922596</x:v>
      </x:c>
      <x:c r="Q38" s="126" t="n">
        <x:f>Q27*Assumptions!$D$13</x:f>
        <x:v>80792.07059618722</x:v>
      </x:c>
      <x:c r="R38" s="126" t="n">
        <x:f>R27*Assumptions!$D$13</x:f>
        <x:v>84831.67412599661</x:v>
      </x:c>
      <x:c r="S38" s="126" t="n">
        <x:f>S27*Assumptions!$D$13</x:f>
        <x:v>89073.25783229643</x:v>
      </x:c>
      <x:c r="T38" s="126" t="n">
        <x:f>T27*Assumptions!$D$13</x:f>
        <x:v>93526.92072391127</x:v>
      </x:c>
      <x:c r="U38" s="126" t="n">
        <x:f>U27*Assumptions!$D$13</x:f>
        <x:v>98203.26676010681</x:v>
      </x:c>
      <x:c r="V38" s="126" t="n">
        <x:f>V27*Assumptions!$D$13</x:f>
        <x:v>103113.43009811215</x:v>
      </x:c>
      <x:c r="W38" s="126" t="n">
        <x:f>W27*Assumptions!$D$13</x:f>
        <x:v>108269.10160301777</x:v>
      </x:c>
      <x:c r="X38" s="126" t="n">
        <x:f>X27*Assumptions!$D$13</x:f>
        <x:v>113682.55668316867</x:v>
      </x:c>
      <x:c r="Y38" s="126" t="n">
        <x:f>Y27*Assumptions!$D$13</x:f>
        <x:v>119366.68451732708</x:v>
      </x:c>
      <x:c r="Z38" s="126" t="n">
        <x:f>Z27*Assumptions!$D$13</x:f>
        <x:v>125335.01874319348</x:v>
      </x:c>
      <x:c r="AA38" s="126" t="n">
        <x:f>AA27*Assumptions!$D$13</x:f>
        <x:v>131601.76968035317</x:v>
      </x:c>
      <x:c r="AB38" s="126" t="n">
        <x:f>AB27*Assumptions!$D$13</x:f>
        <x:v>138181.85816437085</x:v>
      </x:c>
      <x:c r="AC38" s="126" t="n">
        <x:f>AC27*Assumptions!$D$13</x:f>
        <x:v>145090.95107258938</x:v>
      </x:c>
      <x:c r="AD38" s="126" t="n">
        <x:f>AD27*Assumptions!$D$13</x:f>
        <x:v>152345.49862621882</x:v>
      </x:c>
      <x:c r="AE38" s="126" t="n">
        <x:f>AE27*Assumptions!$D$13</x:f>
        <x:v>159962.77355752978</x:v>
      </x:c>
      <x:c r="AF38" s="126" t="n">
        <x:f>AF27*Assumptions!$D$13</x:f>
        <x:v>167960.91223540626</x:v>
      </x:c>
      <x:c r="AG38" s="126" t="n">
        <x:f>AG27*Assumptions!$D$13</x:f>
        <x:v>176358.95784717659</x:v>
      </x:c>
      <x:c r="AH38" s="126" t="n">
        <x:f>AH27*Assumptions!$D$13</x:f>
        <x:v>185176.90573953543</x:v>
      </x:c>
      <x:c r="AI38" s="126" t="n">
        <x:f>AI27*Assumptions!$D$13</x:f>
        <x:v>194435.7510265122</x:v>
      </x:c>
      <x:c r="AJ38" s="126" t="n">
        <x:f>AJ27*Assumptions!$D$13</x:f>
        <x:v>204157.53857783787</x:v>
      </x:c>
      <x:c r="AK38" s="126" t="n">
        <x:f>AK27*Assumptions!$D$13</x:f>
        <x:v>214365.41550672968</x:v>
      </x:c>
      <x:c r="AL38" s="127" t="n">
        <x:f>AL27*Assumptions!$D$13</x:f>
        <x:v>217500</x:v>
      </x:c>
    </x:row>
    <x:row r="39">
      <x:c r="A39" s="49" t="str">
        <x:v>Sprint revenue</x:v>
      </x:c>
      <x:c r="B39" s="50" t="str">
        <x:v>$</x:v>
      </x:c>
      <x:c r="C39" s="126" t="n">
        <x:f>C28*Assumptions!$D$15</x:f>
        <x:v>0</x:v>
      </x:c>
      <x:c r="D39" s="126" t="n">
        <x:f>D28*Assumptions!$D$15</x:f>
        <x:v>0</x:v>
      </x:c>
      <x:c r="E39" s="126" t="n">
        <x:f>E28*Assumptions!$D$15</x:f>
        <x:v>31991.500799999994</x:v>
      </x:c>
      <x:c r="F39" s="126" t="n">
        <x:f>F28*Assumptions!$D$15</x:f>
        <x:v>33948.780488405</x:v>
      </x:c>
      <x:c r="G39" s="126" t="n">
        <x:f>G28*Assumptions!$D$15</x:f>
        <x:v>36187.51260300442</x:v>
      </x:c>
      <x:c r="H39" s="126" t="n">
        <x:f>H28*Assumptions!$D$15</x:f>
        <x:v>38673.94515529854</x:v>
      </x:c>
      <x:c r="I39" s="126" t="n">
        <x:f>I28*Assumptions!$D$15</x:f>
        <x:v>41366.36819864317</x:v>
      </x:c>
      <x:c r="J39" s="126" t="n">
        <x:f>J28*Assumptions!$D$15</x:f>
        <x:v>44324.398990354355</x:v>
      </x:c>
      <x:c r="K39" s="126" t="n">
        <x:f>K28*Assumptions!$D$15</x:f>
        <x:v>47540.547030644935</x:v>
      </x:c>
      <x:c r="L39" s="126" t="n">
        <x:f>L28*Assumptions!$D$15</x:f>
        <x:v>51042.82764133243</x:v>
      </x:c>
      <x:c r="M39" s="126" t="n">
        <x:f>M28*Assumptions!$D$15</x:f>
        <x:v>54870.66060555426</x:v>
      </x:c>
      <x:c r="N39" s="126" t="n">
        <x:f>N28*Assumptions!$D$15</x:f>
        <x:v>59052.98504460158</x:v>
      </x:c>
      <x:c r="O39" s="126" t="n">
        <x:f>O28*Assumptions!$D$15</x:f>
        <x:v>63630.32664879335</x:v>
      </x:c>
      <x:c r="P39" s="126" t="n">
        <x:f>P28*Assumptions!$D$15</x:f>
        <x:v>68648.64147970217</x:v>
      </x:c>
      <x:c r="Q39" s="126" t="n">
        <x:f>Q28*Assumptions!$D$15</x:f>
        <x:v>73867.03597365692</x:v>
      </x:c>
      <x:c r="R39" s="126" t="n">
        <x:f>R28*Assumptions!$D$15</x:f>
        <x:v>77560.38777233972</x:v>
      </x:c>
      <x:c r="S39" s="126" t="n">
        <x:f>S28*Assumptions!$D$15</x:f>
        <x:v>81438.40716095675</x:v>
      </x:c>
      <x:c r="T39" s="126" t="n">
        <x:f>T28*Assumptions!$D$15</x:f>
        <x:v>85510.32751900458</x:v>
      </x:c>
      <x:c r="U39" s="126" t="n">
        <x:f>U28*Assumptions!$D$15</x:f>
        <x:v>89785.84389495481</x:v>
      </x:c>
      <x:c r="V39" s="126" t="n">
        <x:f>V28*Assumptions!$D$15</x:f>
        <x:v>94275.13608970253</x:v>
      </x:c>
      <x:c r="W39" s="126" t="n">
        <x:f>W28*Assumptions!$D$15</x:f>
        <x:v>98988.89289418767</x:v>
      </x:c>
      <x:c r="X39" s="126" t="n">
        <x:f>X28*Assumptions!$D$15</x:f>
        <x:v>103938.33753889706</x:v>
      </x:c>
      <x:c r="Y39" s="126" t="n">
        <x:f>Y28*Assumptions!$D$15</x:f>
        <x:v>109135.25441584193</x:v>
      </x:c>
      <x:c r="Z39" s="126" t="n">
        <x:f>Z28*Assumptions!$D$15</x:f>
        <x:v>114592.017136634</x:v>
      </x:c>
      <x:c r="AA39" s="126" t="n">
        <x:f>AA28*Assumptions!$D$15</x:f>
        <x:v>120321.61799346574</x:v>
      </x:c>
      <x:c r="AB39" s="126" t="n">
        <x:f>AB28*Assumptions!$D$15</x:f>
        <x:v>126337.69889313905</x:v>
      </x:c>
      <x:c r="AC39" s="126" t="n">
        <x:f>AC28*Assumptions!$D$15</x:f>
        <x:v>132654.583837796</x:v>
      </x:c>
      <x:c r="AD39" s="126" t="n">
        <x:f>AD28*Assumptions!$D$15</x:f>
        <x:v>139287.31302968579</x:v>
      </x:c>
      <x:c r="AE39" s="126" t="n">
        <x:f>AE28*Assumptions!$D$15</x:f>
        <x:v>146251.67868117007</x:v>
      </x:c>
      <x:c r="AF39" s="126" t="n">
        <x:f>AF28*Assumptions!$D$15</x:f>
        <x:v>153564.2626152286</x:v>
      </x:c>
      <x:c r="AG39" s="126" t="n">
        <x:f>AG28*Assumptions!$D$15</x:f>
        <x:v>161242.47574599</x:v>
      </x:c>
      <x:c r="AH39" s="126" t="n">
        <x:f>AH28*Assumptions!$D$15</x:f>
        <x:v>169304.59953328953</x:v>
      </x:c>
      <x:c r="AI39" s="126" t="n">
        <x:f>AI28*Assumptions!$D$15</x:f>
        <x:v>177769.82950995403</x:v>
      </x:c>
      <x:c r="AJ39" s="126" t="n">
        <x:f>AJ28*Assumptions!$D$15</x:f>
        <x:v>186658.32098545172</x:v>
      </x:c>
      <x:c r="AK39" s="126" t="n">
        <x:f>AK28*Assumptions!$D$15</x:f>
        <x:v>195991.23703472436</x:v>
      </x:c>
      <x:c r="AL39" s="127" t="n">
        <x:f>AL28*Assumptions!$D$15</x:f>
        <x:v>205790.7988864605</x:v>
      </x:c>
    </x:row>
    <x:row r="40">
      <x:c r="A40" s="49" t="str">
        <x:v>Proof Run revenue</x:v>
      </x:c>
      <x:c r="B40" s="50" t="str">
        <x:v>$</x:v>
      </x:c>
      <x:c r="C40" s="126" t="n">
        <x:f>C29*Assumptions!$D$17</x:f>
        <x:v>0</x:v>
      </x:c>
      <x:c r="D40" s="126" t="n">
        <x:f>D29*Assumptions!$D$17</x:f>
        <x:v>0</x:v>
      </x:c>
      <x:c r="E40" s="126" t="n">
        <x:f>E29*Assumptions!$D$17</x:f>
        <x:v>0</x:v>
      </x:c>
      <x:c r="F40" s="126" t="n">
        <x:f>F29*Assumptions!$D$17</x:f>
        <x:v>0</x:v>
      </x:c>
      <x:c r="G40" s="126" t="n">
        <x:f>G29*Assumptions!$D$17</x:f>
        <x:v>30711.840768</x:v>
      </x:c>
      <x:c r="H40" s="126" t="n">
        <x:f>H29*Assumptions!$D$17</x:f>
        <x:v>32590.829268868798</x:v>
      </x:c>
      <x:c r="I40" s="126" t="n">
        <x:f>I29*Assumptions!$D$17</x:f>
        <x:v>34740.01209888424</x:v>
      </x:c>
      <x:c r="J40" s="126" t="n">
        <x:f>J29*Assumptions!$D$17</x:f>
        <x:v>37126.9873490866</x:v>
      </x:c>
      <x:c r="K40" s="126" t="n">
        <x:f>K29*Assumptions!$D$17</x:f>
        <x:v>39711.71347069745</x:v>
      </x:c>
      <x:c r="L40" s="126" t="n">
        <x:f>L29*Assumptions!$D$17</x:f>
        <x:v>42551.42303074018</x:v>
      </x:c>
      <x:c r="M40" s="126" t="n">
        <x:f>M29*Assumptions!$D$17</x:f>
        <x:v>45638.92514941914</x:v>
      </x:c>
      <x:c r="N40" s="126" t="n">
        <x:f>N29*Assumptions!$D$17</x:f>
        <x:v>49001.11453567913</x:v>
      </x:c>
      <x:c r="O40" s="126" t="n">
        <x:f>O29*Assumptions!$D$17</x:f>
        <x:v>52675.83418133209</x:v>
      </x:c>
      <x:c r="P40" s="126" t="n">
        <x:f>P29*Assumptions!$D$17</x:f>
        <x:v>56690.86564281751</x:v>
      </x:c>
      <x:c r="Q40" s="126" t="n">
        <x:f>Q29*Assumptions!$D$17</x:f>
        <x:v>61085.113582841615</x:v>
      </x:c>
      <x:c r="R40" s="126" t="n">
        <x:f>R29*Assumptions!$D$17</x:f>
        <x:v>65902.69582051408</x:v>
      </x:c>
      <x:c r="S40" s="126" t="n">
        <x:f>S29*Assumptions!$D$17</x:f>
        <x:v>70912.35453471064</x:v>
      </x:c>
      <x:c r="T40" s="126" t="n">
        <x:f>T29*Assumptions!$D$17</x:f>
        <x:v>74457.97226144614</x:v>
      </x:c>
      <x:c r="U40" s="126" t="n">
        <x:f>U29*Assumptions!$D$17</x:f>
        <x:v>78180.87087451847</x:v>
      </x:c>
      <x:c r="V40" s="126" t="n">
        <x:f>V29*Assumptions!$D$17</x:f>
        <x:v>82089.91441824439</x:v>
      </x:c>
      <x:c r="W40" s="126" t="n">
        <x:f>W29*Assumptions!$D$17</x:f>
        <x:v>86194.41013915664</x:v>
      </x:c>
      <x:c r="X40" s="126" t="n">
        <x:f>X29*Assumptions!$D$17</x:f>
        <x:v>90504.13064611443</x:v>
      </x:c>
      <x:c r="Y40" s="126" t="n">
        <x:f>Y29*Assumptions!$D$17</x:f>
        <x:v>95029.33717842016</x:v>
      </x:c>
      <x:c r="Z40" s="126" t="n">
        <x:f>Z29*Assumptions!$D$17</x:f>
        <x:v>99780.80403734118</x:v>
      </x:c>
      <x:c r="AA40" s="126" t="n">
        <x:f>AA29*Assumptions!$D$17</x:f>
        <x:v>104769.84423920825</x:v>
      </x:c>
      <x:c r="AB40" s="126" t="n">
        <x:f>AB29*Assumptions!$D$17</x:f>
        <x:v>110008.33645116864</x:v>
      </x:c>
      <x:c r="AC40" s="126" t="n">
        <x:f>AC29*Assumptions!$D$17</x:f>
        <x:v>115508.75327372711</x:v>
      </x:c>
      <x:c r="AD40" s="126" t="n">
        <x:f>AD29*Assumptions!$D$17</x:f>
        <x:v>121284.19093741348</x:v>
      </x:c>
      <x:c r="AE40" s="126" t="n">
        <x:f>AE29*Assumptions!$D$17</x:f>
        <x:v>127348.40048428417</x:v>
      </x:c>
      <x:c r="AF40" s="126" t="n">
        <x:f>AF29*Assumptions!$D$17</x:f>
        <x:v>133715.82050849835</x:v>
      </x:c>
      <x:c r="AG40" s="126" t="n">
        <x:f>AG29*Assumptions!$D$17</x:f>
        <x:v>140401.61153392328</x:v>
      </x:c>
      <x:c r="AH40" s="126" t="n">
        <x:f>AH29*Assumptions!$D$17</x:f>
        <x:v>147421.69211061945</x:v>
      </x:c>
      <x:c r="AI40" s="126" t="n">
        <x:f>AI29*Assumptions!$D$17</x:f>
        <x:v>154792.7767161504</x:v>
      </x:c>
      <x:c r="AJ40" s="126" t="n">
        <x:f>AJ29*Assumptions!$D$17</x:f>
        <x:v>162532.4155519579</x:v>
      </x:c>
      <x:c r="AK40" s="126" t="n">
        <x:f>AK29*Assumptions!$D$17</x:f>
        <x:v>170659.03632955585</x:v>
      </x:c>
      <x:c r="AL40" s="127" t="n">
        <x:f>AL29*Assumptions!$D$17</x:f>
        <x:v>179191.98814603366</x:v>
      </x:c>
    </x:row>
    <x:row r="41">
      <x:c r="A41" s="49" t="str">
        <x:v>Enterprise revenue</x:v>
      </x:c>
      <x:c r="B41" s="50" t="str">
        <x:v>$</x:v>
      </x:c>
      <x:c r="C41" s="126" t="n">
        <x:f>C30*Assumptions!$D$19</x:f>
        <x:v>0</x:v>
      </x:c>
      <x:c r="D41" s="126" t="n">
        <x:f>D30*Assumptions!$D$19</x:f>
        <x:v>0</x:v>
      </x:c>
      <x:c r="E41" s="126" t="n">
        <x:f>E30*Assumptions!$D$19</x:f>
        <x:v>0</x:v>
      </x:c>
      <x:c r="F41" s="126" t="n">
        <x:f>F30*Assumptions!$D$19</x:f>
        <x:v>0</x:v>
      </x:c>
      <x:c r="G41" s="126" t="n">
        <x:f>G30*Assumptions!$D$19</x:f>
        <x:v>0</x:v>
      </x:c>
      <x:c r="H41" s="126" t="n">
        <x:f>H30*Assumptions!$D$19</x:f>
        <x:v>0</x:v>
      </x:c>
      <x:c r="I41" s="126" t="n">
        <x:f>I30*Assumptions!$D$19</x:f>
        <x:v>0</x:v>
      </x:c>
      <x:c r="J41" s="126" t="n">
        <x:f>J30*Assumptions!$D$19</x:f>
        <x:v>13820.328345599999</x:v>
      </x:c>
      <x:c r="K41" s="126" t="n">
        <x:f>K30*Assumptions!$D$19</x:f>
        <x:v>14665.873170990959</x:v>
      </x:c>
      <x:c r="L41" s="126" t="n">
        <x:f>L30*Assumptions!$D$19</x:f>
        <x:v>15633.005444497909</x:v>
      </x:c>
      <x:c r="M41" s="126" t="n">
        <x:f>M30*Assumptions!$D$19</x:f>
        <x:v>16707.14430708897</x:v>
      </x:c>
      <x:c r="N41" s="126" t="n">
        <x:f>N30*Assumptions!$D$19</x:f>
        <x:v>17870.271061813848</x:v>
      </x:c>
      <x:c r="O41" s="126" t="n">
        <x:f>O30*Assumptions!$D$19</x:f>
        <x:v>19148.14036383308</x:v>
      </x:c>
      <x:c r="P41" s="126" t="n">
        <x:f>P30*Assumptions!$D$19</x:f>
        <x:v>20537.516317238613</x:v>
      </x:c>
      <x:c r="Q41" s="126" t="n">
        <x:f>Q30*Assumptions!$D$19</x:f>
        <x:v>22050.501541055608</x:v>
      </x:c>
      <x:c r="R41" s="126" t="n">
        <x:f>R30*Assumptions!$D$19</x:f>
        <x:v>23704.125381599442</x:v>
      </x:c>
      <x:c r="S41" s="126" t="n">
        <x:f>S30*Assumptions!$D$19</x:f>
        <x:v>25510.88953926788</x:v>
      </x:c>
      <x:c r="T41" s="126" t="n">
        <x:f>T30*Assumptions!$D$19</x:f>
        <x:v>27488.301112278725</x:v>
      </x:c>
      <x:c r="U41" s="126" t="n">
        <x:f>U30*Assumptions!$D$19</x:f>
        <x:v>29656.213119231335</x:v>
      </x:c>
      <x:c r="V41" s="126" t="n">
        <x:f>V30*Assumptions!$D$19</x:f>
        <x:v>31910.559540619783</x:v>
      </x:c>
      <x:c r="W41" s="126" t="n">
        <x:f>W30*Assumptions!$D$19</x:f>
        <x:v>33506.087517650754</x:v>
      </x:c>
      <x:c r="X41" s="126" t="n">
        <x:f>X30*Assumptions!$D$19</x:f>
        <x:v>35181.391893533306</x:v>
      </x:c>
      <x:c r="Y41" s="126" t="n">
        <x:f>Y30*Assumptions!$D$19</x:f>
        <x:v>36940.46148820997</x:v>
      </x:c>
      <x:c r="Z41" s="126" t="n">
        <x:f>Z30*Assumptions!$D$19</x:f>
        <x:v>38787.48456262048</x:v>
      </x:c>
      <x:c r="AA41" s="126" t="n">
        <x:f>AA30*Assumptions!$D$19</x:f>
        <x:v>40726.85879075149</x:v>
      </x:c>
      <x:c r="AB41" s="126" t="n">
        <x:f>AB30*Assumptions!$D$19</x:f>
        <x:v>42763.20173028907</x:v>
      </x:c>
      <x:c r="AC41" s="126" t="n">
        <x:f>AC30*Assumptions!$D$19</x:f>
        <x:v>44901.361816803525</x:v>
      </x:c>
      <x:c r="AD41" s="126" t="n">
        <x:f>AD30*Assumptions!$D$19</x:f>
        <x:v>47146.42990764372</x:v>
      </x:c>
      <x:c r="AE41" s="126" t="n">
        <x:f>AE30*Assumptions!$D$19</x:f>
        <x:v>49503.75140302589</x:v>
      </x:c>
      <x:c r="AF41" s="126" t="n">
        <x:f>AF30*Assumptions!$D$19</x:f>
        <x:v>51978.9389731772</x:v>
      </x:c>
      <x:c r="AG41" s="126" t="n">
        <x:f>AG30*Assumptions!$D$19</x:f>
        <x:v>54577.885921836074</x:v>
      </x:c>
      <x:c r="AH41" s="126" t="n">
        <x:f>AH30*Assumptions!$D$19</x:f>
        <x:v>57306.78021792787</x:v>
      </x:c>
      <x:c r="AI41" s="126" t="n">
        <x:f>AI30*Assumptions!$D$19</x:f>
        <x:v>60172.11922882426</x:v>
      </x:c>
      <x:c r="AJ41" s="126" t="n">
        <x:f>AJ30*Assumptions!$D$19</x:f>
        <x:v>63180.72519026547</x:v>
      </x:c>
      <x:c r="AK41" s="126" t="n">
        <x:f>AK30*Assumptions!$D$19</x:f>
        <x:v>66339.76144977874</x:v>
      </x:c>
      <x:c r="AL41" s="127" t="n">
        <x:f>AL30*Assumptions!$D$19</x:f>
        <x:v>69656.74952226768</x:v>
      </x:c>
    </x:row>
    <x:row r="42">
      <x:c r="A42" s="49" t="str">
        <x:v>Proof OS recurring revenue</x:v>
      </x:c>
      <x:c r="B42" s="50" t="str">
        <x:v>$</x:v>
      </x:c>
      <x:c r="C42" s="126" t="n">
        <x:f>C33*Assumptions!$D$21</x:f>
        <x:v>0</x:v>
      </x:c>
      <x:c r="D42" s="126" t="n">
        <x:f>D33*Assumptions!$D$21</x:f>
        <x:v>0</x:v>
      </x:c>
      <x:c r="E42" s="126" t="n">
        <x:f>E33*Assumptions!$D$21</x:f>
        <x:v>0</x:v>
      </x:c>
      <x:c r="F42" s="126" t="n">
        <x:f>F33*Assumptions!$D$21</x:f>
        <x:v>0</x:v>
      </x:c>
      <x:c r="G42" s="126" t="n">
        <x:f>G33*Assumptions!$D$21</x:f>
        <x:v>0</x:v>
      </x:c>
      <x:c r="H42" s="126" t="n">
        <x:f>H33*Assumptions!$D$21</x:f>
        <x:v>511.86401279999995</x:v>
      </x:c>
      <x:c r="I42" s="126" t="n">
        <x:f>I33*Assumptions!$D$21</x:f>
        <x:v>1039.6885802304798</x:v>
      </x:c>
      <x:c r="J42" s="126" t="n">
        <x:f>J33*Assumptions!$D$21</x:f>
        <x:v>1753.3420646188363</x:v>
      </x:c>
      <x:c r="K42" s="126" t="n">
        <x:f>K33*Assumptions!$D$21</x:f>
        <x:v>2495.51540321694</x:v>
      </x:c>
      <x:c r="L42" s="126" t="n">
        <x:f>L33*Assumptions!$D$21</x:f>
        <x:v>3270.107897632697</x:v>
      </x:c>
      <x:c r="M42" s="126" t="n">
        <x:f>M33*Assumptions!$D$21</x:f>
        <x:v>4081.680776234454</x:v>
      </x:c>
      <x:c r="N42" s="126" t="n">
        <x:f>N33*Assumptions!$D$21</x:f>
        <x:v>4934.322358179505</x:v>
      </x:c>
      <x:c r="O42" s="126" t="n">
        <x:f>O33*Assumptions!$D$21</x:f>
        <x:v>5832.755614061436</x:v>
      </x:c>
      <x:c r="P42" s="126" t="n">
        <x:f>P33*Assumptions!$D$21</x:f>
        <x:v>6782.153711135324</x:v>
      </x:c>
      <x:c r="Q42" s="126" t="n">
        <x:f>Q33*Assumptions!$D$21</x:f>
        <x:v>7788.142879007556</x:v>
      </x:c>
      <x:c r="R42" s="126" t="n">
        <x:f>R33*Assumptions!$D$21</x:f>
        <x:v>8857.033323597216</x:v>
      </x:c>
      <x:c r="S42" s="126" t="n">
        <x:f>S33*Assumptions!$D$21</x:f>
        <x:v>9995.831262035746</x:v>
      </x:c>
      <x:c r="T42" s="126" t="n">
        <x:f>T33*Assumptions!$D$21</x:f>
        <x:v>11207.68851310053</x:v>
      </x:c>
      <x:c r="U42" s="126" t="n">
        <x:f>U33*Assumptions!$D$21</x:f>
        <x:v>12468.298619495727</x:v>
      </x:c>
      <x:c r="V42" s="126" t="n">
        <x:f>V33*Assumptions!$D$21</x:f>
        <x:v>13780.1908899736</x:v>
      </x:c>
      <x:c r="W42" s="126" t="n">
        <x:f>W33*Assumptions!$D$21</x:f>
        <x:v>15137.023453790274</x:v>
      </x:c>
      <x:c r="X42" s="126" t="n">
        <x:f>X33*Assumptions!$D$21</x:f>
        <x:v>16541.662955218242</x:v>
      </x:c>
      <x:c r="Y42" s="126" t="n">
        <x:f>Y33*Assumptions!$D$21</x:f>
        <x:v>17997.100781855454</x:v>
      </x:c>
      <x:c r="Z42" s="126" t="n">
        <x:f>Z33*Assumptions!$D$21</x:f>
        <x:v>19506.459859458242</x:v>
      </x:c>
      <x:c r="AA42" s="126" t="n">
        <x:f>AA33*Assumptions!$D$21</x:f>
        <x:v>21073.001769785864</x:v>
      </x:c>
      <x:c r="AB42" s="126" t="n">
        <x:f>AB33*Assumptions!$D$21</x:f>
        <x:v>22700.134208109226</x:v>
      </x:c>
      <x:c r="AC42" s="126" t="n">
        <x:f>AC33*Assumptions!$D$21</x:f>
        <x:v>24391.418797853737</x:v>
      </x:c>
      <x:c r="AD42" s="126" t="n">
        <x:f>AD33*Assumptions!$D$21</x:f>
        <x:v>26150.5792807053</x:v>
      </x:c>
      <x:c r="AE42" s="126" t="n">
        <x:f>AE33*Assumptions!$D$21</x:f>
        <x:v>27981.510101410673</x:v>
      </x:c>
      <x:c r="AF42" s="126" t="n">
        <x:f>AF33*Assumptions!$D$21</x:f>
        <x:v>29888.285407451218</x:v>
      </x:c>
      <x:c r="AG42" s="126" t="n">
        <x:f>AG33*Assumptions!$D$21</x:f>
        <x:v>31875.16848476469</x:v>
      </x:c>
      <x:c r="AH42" s="126" t="n">
        <x:f>AH33*Assumptions!$D$21</x:f>
        <x:v>33946.62165173561</x:v>
      </x:c>
      <x:c r="AI42" s="126" t="n">
        <x:f>AI33*Assumptions!$D$21</x:f>
        <x:v>36107.31663477308</x:v>
      </x:c>
      <x:c r="AJ42" s="126" t="n">
        <x:f>AJ33*Assumptions!$D$21</x:f>
        <x:v>38362.14544994891</x:v>
      </x:c>
      <x:c r="AK42" s="126" t="n">
        <x:f>AK33*Assumptions!$D$21</x:f>
        <x:v>40716.23181638042</x:v>
      </x:c>
      <x:c r="AL42" s="127" t="n">
        <x:f>AL33*Assumptions!$D$21</x:f>
        <x:v>43174.94312831549</x:v>
      </x:c>
    </x:row>
    <x:row r="43">
      <x:c r="A43" s="142" t="str">
        <x:v>Total revenue</x:v>
      </x:c>
      <x:c r="B43" s="143" t="str">
        <x:v>$</x:v>
      </x:c>
      <x:c r="C43" s="154" t="n">
        <x:f>SUM(C36:C42)</x:f>
        <x:v>33909.119999999995</x:v>
      </x:c>
      <x:c r="D43" s="154" t="n">
        <x:f>SUM(D36:D42)</x:f>
        <x:v>69308.2020089088</x:v>
      </x:c>
      <x:c r="E43" s="154" t="n">
        <x:f>SUM(E36:E42)</x:f>
        <x:v>105711.4609391327</x:v>
      </x:c>
      <x:c r="F43" s="154" t="n">
        <x:f>SUM(F36:F42)</x:f>
        <x:v>112636.22634693145</x:v>
      </x:c>
      <x:c r="G43" s="154" t="n">
        <x:f>SUM(G36:G42)</x:f>
        <x:v>151030.64411247594</x:v>
      </x:c>
      <x:c r="H43" s="154" t="n">
        <x:f>SUM(H36:H42)</x:f>
        <x:v>161847.87617021322</x:v>
      </x:c>
      <x:c r="I43" s="154" t="n">
        <x:f>SUM(I36:I42)</x:f>
        <x:v>173707.51752957815</x:v>
      </x:c>
      <x:c r="J43" s="154" t="n">
        <x:f>SUM(J36:J42)</x:f>
        <x:v>200648.8722457132</x:v>
      </x:c>
      <x:c r="K43" s="154" t="n">
        <x:f>SUM(K36:K42)</x:f>
        <x:v>215742.952633264</x:v>
      </x:c>
      <x:c r="L43" s="154" t="n">
        <x:f>SUM(L36:L42)</x:f>
        <x:v>232247.0129013283</x:v>
      </x:c>
      <x:c r="M43" s="154" t="n">
        <x:f>SUM(M36:M42)</x:f>
        <x:v>250256.36210241058</x:v>
      </x:c>
      <x:c r="N43" s="154" t="n">
        <x:f>SUM(N36:N42)</x:f>
        <x:v>269903.8286874807</x:v>
      </x:c>
      <x:c r="O43" s="154" t="n">
        <x:f>SUM(O36:O42)</x:f>
        <x:v>291090.79677174665</x:v>
      </x:c>
      <x:c r="P43" s="154" t="n">
        <x:f>SUM(P36:P42)</x:f>
        <x:v>311813.48163360835</x:v>
      </x:c>
      <x:c r="Q43" s="154" t="n">
        <x:f>SUM(Q36:Q42)</x:f>
        <x:v>331902.81368341215</x:v>
      </x:c>
      <x:c r="R43" s="154" t="n">
        <x:f>SUM(R36:R42)</x:f>
        <x:v>351491.8629902434</x:v>
      </x:c>
      <x:c r="S43" s="154" t="n">
        <x:f>SUM(S36:S42)</x:f>
        <x:v>372098.48422377364</x:v>
      </x:c>
      <x:c r="T43" s="154" t="n">
        <x:f>SUM(T36:T42)</x:f>
        <x:v>392117.34121897275</x:v>
      </x:c>
      <x:c r="U43" s="154" t="n">
        <x:f>SUM(U36:U42)</x:f>
        <x:v>413216.9309120002</x:v>
      </x:c>
      <x:c r="V43" s="154" t="n">
        <x:f>SUM(V36:V42)</x:f>
        <x:v>435337.7905625302</x:v>
      </x:c>
      <x:c r="W43" s="154" t="n">
        <x:f>SUM(W36:W42)</x:f>
        <x:v>457772.5031099747</x:v>
      </x:c>
      <x:c r="X43" s="154" t="n">
        <x:f>SUM(X36:X42)</x:f>
        <x:v>481308.9165942118</x:v>
      </x:c>
      <x:c r="Y43" s="154" t="n">
        <x:f>SUM(Y36:Y42)</x:f>
        <x:v>506002.7171027988</x:v>
      </x:c>
      <x:c r="Z43" s="154" t="n">
        <x:f>SUM(Z36:Z42)</x:f>
        <x:v>531912.3569964488</x:v>
      </x:c>
      <x:c r="AA43" s="154" t="n">
        <x:f>SUM(AA36:AA42)</x:f>
        <x:v>559099.1937636262</x:v>
      </x:c>
      <x:c r="AB43" s="154" t="n">
        <x:f>SUM(AB36:AB42)</x:f>
        <x:v>587627.6358016414</x:v>
      </x:c>
      <x:c r="AC43" s="154" t="n">
        <x:f>SUM(AC36:AC42)</x:f>
        <x:v>617565.2954710627</x:v>
      </x:c>
      <x:c r="AD43" s="154" t="n">
        <x:f>SUM(AD36:AD42)</x:f>
        <x:v>648983.1497875745</x:v>
      </x:c>
      <x:c r="AE43" s="154" t="n">
        <x:f>SUM(AE36:AE42)</x:f>
        <x:v>681955.7091336235</x:v>
      </x:c>
      <x:c r="AF43" s="154" t="n">
        <x:f>SUM(AF36:AF42)</x:f>
        <x:v>716561.1943912746</x:v>
      </x:c>
      <x:c r="AG43" s="154" t="n">
        <x:f>SUM(AG36:AG42)</x:f>
        <x:v>752881.7229177793</x:v>
      </x:c>
      <x:c r="AH43" s="154" t="n">
        <x:f>SUM(AH36:AH42)</x:f>
        <x:v>791003.503806401</x:v>
      </x:c>
      <x:c r="AI43" s="154" t="n">
        <x:f>SUM(AI36:AI42)</x:f>
        <x:v>831017.0428971718</x:v>
      </x:c>
      <x:c r="AJ43" s="154" t="n">
        <x:f>SUM(AJ36:AJ42)</x:f>
        <x:v>873017.3580254676</x:v>
      </x:c>
      <x:c r="AK43" s="154" t="n">
        <x:f>SUM(AK36:AK42)</x:f>
        <x:v>917104.2050206749</x:v>
      </x:c>
      <x:c r="AL43" s="155" t="n">
        <x:f>SUM(AL36:AL42)</x:f>
        <x:v>955630.985566683</x:v>
      </x:c>
    </x:row>
    <x:row r="44">
      <x:c r="A44" s="49" t="str">
        <x:v>Monthly revenue growth</x:v>
      </x:c>
      <x:c r="B44" s="50" t="str">
        <x:v>%</x:v>
      </x:c>
      <x:c r="C44" s="118" t="n">
        <x:f>0</x:f>
        <x:v>0</x:v>
      </x:c>
      <x:c r="D44" s="118" t="n">
        <x:f>IFERROR(D43/C43-1,0)</x:f>
        <x:v>1.0439398606896555</x:v>
      </x:c>
      <x:c r="E44" s="118" t="n">
        <x:f>IFERROR(E43/D43-1,0)</x:f>
        <x:v>0.5252373871355753</x:v>
      </x:c>
      <x:c r="F44" s="118" t="n">
        <x:f>IFERROR(F43/E43-1,0)</x:f>
        <x:v>0.06550628802477676</x:v>
      </x:c>
      <x:c r="G44" s="118" t="n">
        <x:f>IFERROR(G43/F43-1,0)</x:f>
        <x:v>0.34087095254137556</x:v>
      </x:c>
      <x:c r="H44" s="118" t="n">
        <x:f>IFERROR(H43/G43-1,0)</x:f>
        <x:v>0.07162276319023997</x:v>
      </x:c>
      <x:c r="I44" s="118" t="n">
        <x:f>IFERROR(I43/H43-1,0)</x:f>
        <x:v>0.07327647195624798</x:v>
      </x:c>
      <x:c r="J44" s="118" t="n">
        <x:f>IFERROR(J43/I43-1,0)</x:f>
        <x:v>0.1550960781622337</x:v>
      </x:c>
      <x:c r="K44" s="118" t="n">
        <x:f>IFERROR(K43/J43-1,0)</x:f>
        <x:v>0.07522634051521959</x:v>
      </x:c>
      <x:c r="L44" s="118" t="n">
        <x:f>IFERROR(L43/K43-1,0)</x:f>
        <x:v>0.07649872251502532</x:v>
      </x:c>
      <x:c r="M44" s="118" t="n">
        <x:f>IFERROR(M43/L43-1,0)</x:f>
        <x:v>0.07754394330459569</x:v>
      </x:c>
      <x:c r="N44" s="118" t="n">
        <x:f>IFERROR(N43/M43-1,0)</x:f>
        <x:v>0.07850935904290801</x:v>
      </x:c>
      <x:c r="O44" s="118" t="n">
        <x:f>IFERROR(O43/N43-1,0)</x:f>
        <x:v>0.07849821244587885</x:v>
      </x:c>
      <x:c r="P44" s="118" t="n">
        <x:f>IFERROR(P43/O43-1,0)</x:f>
        <x:v>0.07118976309687652</x:v>
      </x:c>
      <x:c r="Q44" s="118" t="n">
        <x:f>IFERROR(Q43/P43-1,0)</x:f>
        <x:v>0.06442740045925754</x:v>
      </x:c>
      <x:c r="R44" s="118" t="n">
        <x:f>IFERROR(R43/Q43-1,0)</x:f>
        <x:v>0.05902043760772813</x:v>
      </x:c>
      <x:c r="S44" s="118" t="n">
        <x:f>IFERROR(S43/R43-1,0)</x:f>
        <x:v>0.0586261686350964</x:v>
      </x:c>
      <x:c r="T44" s="118" t="n">
        <x:f>IFERROR(T43/S43-1,0)</x:f>
        <x:v>0.0537998885885278</x:v>
      </x:c>
      <x:c r="U44" s="118" t="n">
        <x:f>IFERROR(U43/T43-1,0)</x:f>
        <x:v>0.05380937662036378</x:v>
      </x:c>
      <x:c r="V44" s="118" t="n">
        <x:f>IFERROR(V43/U43-1,0)</x:f>
        <x:v>0.05353328480928332</x:v>
      </x:c>
      <x:c r="W44" s="118" t="n">
        <x:f>IFERROR(W43/V43-1,0)</x:f>
        <x:v>0.05153403410821533</x:v>
      </x:c>
      <x:c r="X44" s="118" t="n">
        <x:f>IFERROR(X43/W43-1,0)</x:f>
        <x:v>0.05141508789701765</x:v>
      </x:c>
      <x:c r="Y44" s="118" t="n">
        <x:f>IFERROR(Y43/X43-1,0)</x:f>
        <x:v>0.05130551223385327</x:v>
      </x:c>
      <x:c r="Z44" s="118" t="n">
        <x:f>IFERROR(Z43/Y43-1,0)</x:f>
        <x:v>0.05120454696765253</x:v>
      </x:c>
      <x:c r="AA44" s="118" t="n">
        <x:f>IFERROR(AA43/Z43-1,0)</x:f>
        <x:v>0.051111496865185346</x:v>
      </x:c>
      <x:c r="AB44" s="118" t="n">
        <x:f>IFERROR(AB43/AA43-1,0)</x:f>
        <x:v>0.05102572558900231</x:v>
      </x:c>
      <x:c r="AC44" s="118" t="n">
        <x:f>IFERROR(AC43/AB43-1,0)</x:f>
        <x:v>0.05094665030275558</x:v>
      </x:c>
      <x:c r="AD44" s="118" t="n">
        <x:f>IFERROR(AD43/AC43-1,0)</x:f>
        <x:v>0.050873736828989324</x:v>
      </x:c>
      <x:c r="AE44" s="118" t="n">
        <x:f>IFERROR(AE43/AD43-1,0)</x:f>
        <x:v>0.05080649529474157</x:v>
      </x:c>
      <x:c r="AF44" s="118" t="n">
        <x:f>IFERROR(AF43/AE43-1,0)</x:f>
        <x:v>0.05074447620889466</x:v>
      </x:c>
      <x:c r="AG44" s="118" t="n">
        <x:f>IFERROR(AG43/AF43-1,0)</x:f>
        <x:v>0.05068726692262393</x:v>
      </x:c>
      <x:c r="AH44" s="118" t="n">
        <x:f>IFERROR(AH43/AG43-1,0)</x:f>
        <x:v>0.05063448843050855</x:v>
      </x:c>
      <x:c r="AI44" s="118" t="n">
        <x:f>IFERROR(AI43/AH43-1,0)</x:f>
        <x:v>0.050585792475281055</x:v>
      </x:c>
      <x:c r="AJ44" s="118" t="n">
        <x:f>IFERROR(AJ43/AI43-1,0)</x:f>
        <x:v>0.05054085892374749</x:v>
      </x:c>
      <x:c r="AK44" s="118" t="n">
        <x:f>IFERROR(AK43/AJ43-1,0)</x:f>
        <x:v>0.05049939338539611</x:v>
      </x:c>
      <x:c r="AL44" s="119" t="n">
        <x:f>IFERROR(AL43/AK43-1,0)</x:f>
        <x:v>0.04200916355534501</x:v>
      </x:c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 ht="23" customHeight="1">
      <x:c r="A46" s="416" t="str">
        <x:v>DIRECT COSTS &amp; GROSS PROFIT</x:v>
      </x:c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9" t="str">
        <x:v>Executive Briefing direct costs</x:v>
      </x:c>
      <x:c r="B47" s="50" t="str">
        <x:v>$</x:v>
      </x:c>
      <x:c r="C47" s="126" t="n">
        <x:f>C36*(1-Assumptions!$D$10)</x:f>
        <x:v>1157.5871999999997</x:v>
      </x:c>
      <x:c r="D47" s="126" t="n">
        <x:f>D36*(1-Assumptions!$D$10)</x:f>
        <x:v>1228.409820304128</x:v>
      </x:c>
      <x:c r="E47" s="126" t="n">
        <x:f>E36*(1-Assumptions!$D$10)</x:f>
        <x:v>1309.416574450818</x:v>
      </x:c>
      <x:c r="F47" s="126" t="n">
        <x:f>F36*(1-Assumptions!$D$10)</x:f>
        <x:v>1399.386173382513</x:v>
      </x:c>
      <x:c r="G47" s="126" t="n">
        <x:f>G36*(1-Assumptions!$D$10)</x:f>
        <x:v>1496.809375608799</x:v>
      </x:c>
      <x:c r="H47" s="126" t="n">
        <x:f>H36*(1-Assumptions!$D$10)</x:f>
        <x:v>1603.8433845194006</x:v>
      </x:c>
      <x:c r="I47" s="126" t="n">
        <x:f>I36*(1-Assumptions!$D$10)</x:f>
        <x:v>1720.2171622930732</x:v>
      </x:c>
      <x:c r="J47" s="126" t="n">
        <x:f>J36*(1-Assumptions!$D$10)</x:f>
        <x:v>1846.9444212324238</x:v>
      </x:c>
      <x:c r="K47" s="126" t="n">
        <x:f>K36*(1-Assumptions!$D$10)</x:f>
        <x:v>1985.4515350693969</x:v>
      </x:c>
      <x:c r="L47" s="126" t="n">
        <x:f>L36*(1-Assumptions!$D$10)</x:f>
        <x:v>2136.785643061241</x:v>
      </x:c>
      <x:c r="M47" s="126" t="n">
        <x:f>M36*(1-Assumptions!$D$10)</x:f>
        <x:v>2302.41313531818</x:v>
      </x:c>
      <x:c r="N47" s="126" t="n">
        <x:f>N36*(1-Assumptions!$D$10)</x:f>
        <x:v>2483.9968956471175</x:v>
      </x:c>
      <x:c r="O47" s="126" t="n">
        <x:f>O36*(1-Assumptions!$D$10)</x:f>
        <x:v>2672.820380625743</x:v>
      </x:c>
      <x:c r="P47" s="126" t="n">
        <x:f>P36*(1-Assumptions!$D$10)</x:f>
        <x:v>2806.46139965703</x:v>
      </x:c>
      <x:c r="Q47" s="126" t="n">
        <x:f>Q36*(1-Assumptions!$D$10)</x:f>
        <x:v>2946.784469639882</x:v>
      </x:c>
      <x:c r="R47" s="126" t="n">
        <x:f>R36*(1-Assumptions!$D$10)</x:f>
        <x:v>3094.1236931218755</x:v>
      </x:c>
      <x:c r="S47" s="126" t="n">
        <x:f>S36*(1-Assumptions!$D$10)</x:f>
        <x:v>3248.82987777797</x:v>
      </x:c>
      <x:c r="T47" s="126" t="n">
        <x:f>T36*(1-Assumptions!$D$10)</x:f>
        <x:v>3411.271371666868</x:v>
      </x:c>
      <x:c r="U47" s="126" t="n">
        <x:f>U36*(1-Assumptions!$D$10)</x:f>
        <x:v>3581.834940250211</x:v>
      </x:c>
      <x:c r="V47" s="126" t="n">
        <x:f>V36*(1-Assumptions!$D$10)</x:f>
        <x:v>3760.926687262722</x:v>
      </x:c>
      <x:c r="W47" s="126" t="n">
        <x:f>W36*(1-Assumptions!$D$10)</x:f>
        <x:v>3948.9730216258586</x:v>
      </x:c>
      <x:c r="X47" s="126" t="n">
        <x:f>X36*(1-Assumptions!$D$10)</x:f>
        <x:v>4146.421672707151</x:v>
      </x:c>
      <x:c r="Y47" s="126" t="n">
        <x:f>Y36*(1-Assumptions!$D$10)</x:f>
        <x:v>4353.74275634251</x:v>
      </x:c>
      <x:c r="Z47" s="126" t="n">
        <x:f>Z36*(1-Assumptions!$D$10)</x:f>
        <x:v>4571.429894159636</x:v>
      </x:c>
      <x:c r="AA47" s="126" t="n">
        <x:f>AA36*(1-Assumptions!$D$10)</x:f>
        <x:v>4800.0013888676185</x:v>
      </x:c>
      <x:c r="AB47" s="126" t="n">
        <x:f>AB36*(1-Assumptions!$D$10)</x:f>
        <x:v>5040.001458310998</x:v>
      </x:c>
      <x:c r="AC47" s="126" t="n">
        <x:f>AC36*(1-Assumptions!$D$10)</x:f>
        <x:v>5292.001531226548</x:v>
      </x:c>
      <x:c r="AD47" s="126" t="n">
        <x:f>AD36*(1-Assumptions!$D$10)</x:f>
        <x:v>5556.601607787875</x:v>
      </x:c>
      <x:c r="AE47" s="126" t="n">
        <x:f>AE36*(1-Assumptions!$D$10)</x:f>
        <x:v>5834.43168817727</x:v>
      </x:c>
      <x:c r="AF47" s="126" t="n">
        <x:f>AF36*(1-Assumptions!$D$10)</x:f>
        <x:v>6126.1532725861325</x:v>
      </x:c>
      <x:c r="AG47" s="126" t="n">
        <x:f>AG36*(1-Assumptions!$D$10)</x:f>
        <x:v>6432.46093621544</x:v>
      </x:c>
      <x:c r="AH47" s="126" t="n">
        <x:f>AH36*(1-Assumptions!$D$10)</x:f>
        <x:v>6754.083983026213</x:v>
      </x:c>
      <x:c r="AI47" s="126" t="n">
        <x:f>AI36*(1-Assumptions!$D$10)</x:f>
        <x:v>7091.7881821775245</x:v>
      </x:c>
      <x:c r="AJ47" s="126" t="n">
        <x:f>AJ36*(1-Assumptions!$D$10)</x:f>
        <x:v>7446.3775912864</x:v>
      </x:c>
      <x:c r="AK47" s="126" t="n">
        <x:f>AK36*(1-Assumptions!$D$10)</x:f>
        <x:v>7818.69647085072</x:v>
      </x:c>
      <x:c r="AL47" s="127" t="n">
        <x:f>AL36*(1-Assumptions!$D$10)</x:f>
        <x:v>8209.631294393255</x:v>
      </x:c>
    </x:row>
    <x:row r="48">
      <x:c r="A48" s="49" t="str">
        <x:v>MasterClass direct costs</x:v>
      </x:c>
      <x:c r="B48" s="50" t="str">
        <x:v>$</x:v>
      </x:c>
      <x:c r="C48" s="126" t="n">
        <x:f>C37*(1-Assumptions!$D$12)</x:f>
        <x:v>8021.2608</x:v>
      </x:c>
      <x:c r="D48" s="126" t="n">
        <x:f>D37*(1-Assumptions!$D$12)</x:f>
        <x:v>8512.011482107395</x:v>
      </x:c>
      <x:c r="E48" s="126" t="n">
        <x:f>E37*(1-Assumptions!$D$12)</x:f>
        <x:v>9073.331010841022</x:v>
      </x:c>
      <x:c r="F48" s="126" t="n">
        <x:f>F37*(1-Assumptions!$D$12)</x:f>
        <x:v>9696.756716569738</x:v>
      </x:c>
      <x:c r="G48" s="126" t="n">
        <x:f>G37*(1-Assumptions!$D$12)</x:f>
        <x:v>10371.830622905416</x:v>
      </x:c>
      <x:c r="H48" s="126" t="n">
        <x:f>H37*(1-Assumptions!$D$12)</x:f>
        <x:v>11113.500624043527</x:v>
      </x:c>
      <x:c r="I48" s="126" t="n">
        <x:f>I37*(1-Assumptions!$D$12)</x:f>
        <x:v>11919.888619525744</x:v>
      </x:c>
      <x:c r="J48" s="126" t="n">
        <x:f>J37*(1-Assumptions!$D$12)</x:f>
        <x:v>12798.018918842858</x:v>
      </x:c>
      <x:c r="K48" s="126" t="n">
        <x:f>K37*(1-Assumptions!$D$12)</x:f>
        <x:v>13757.775283410168</x:v>
      </x:c>
      <x:c r="L48" s="126" t="n">
        <x:f>L37*(1-Assumptions!$D$12)</x:f>
        <x:v>14806.413647878906</x:v>
      </x:c>
      <x:c r="M48" s="126" t="n">
        <x:f>M37*(1-Assumptions!$D$12)</x:f>
        <x:v>15954.095058871435</x:v>
      </x:c>
      <x:c r="N48" s="126" t="n">
        <x:f>N37*(1-Assumptions!$D$12)</x:f>
        <x:v>17212.342125393163</x:v>
      </x:c>
      <x:c r="O48" s="126" t="n">
        <x:f>O37*(1-Assumptions!$D$12)</x:f>
        <x:v>18520.755364740002</x:v>
      </x:c>
      <x:c r="P48" s="126" t="n">
        <x:f>P37*(1-Assumptions!$D$12)</x:f>
        <x:v>19446.793132976996</x:v>
      </x:c>
      <x:c r="Q48" s="126" t="n">
        <x:f>Q37*(1-Assumptions!$D$12)</x:f>
        <x:v>20419.13278962585</x:v>
      </x:c>
      <x:c r="R48" s="126" t="n">
        <x:f>R37*(1-Assumptions!$D$12)</x:f>
        <x:v>21440.08942910714</x:v>
      </x:c>
      <x:c r="S48" s="126" t="n">
        <x:f>S37*(1-Assumptions!$D$12)</x:f>
        <x:v>22512.093900562504</x:v>
      </x:c>
      <x:c r="T48" s="126" t="n">
        <x:f>T37*(1-Assumptions!$D$12)</x:f>
        <x:v>23637.698595590624</x:v>
      </x:c>
      <x:c r="U48" s="126" t="n">
        <x:f>U37*(1-Assumptions!$D$12)</x:f>
        <x:v>24819.58352537015</x:v>
      </x:c>
      <x:c r="V48" s="126" t="n">
        <x:f>V37*(1-Assumptions!$D$12)</x:f>
        <x:v>26060.562701638668</x:v>
      </x:c>
      <x:c r="W48" s="126" t="n">
        <x:f>W37*(1-Assumptions!$D$12)</x:f>
        <x:v>27363.590836720603</x:v>
      </x:c>
      <x:c r="X48" s="126" t="n">
        <x:f>X37*(1-Assumptions!$D$12)</x:f>
        <x:v>28731.770378556623</x:v>
      </x:c>
      <x:c r="Y48" s="126" t="n">
        <x:f>Y37*(1-Assumptions!$D$12)</x:f>
        <x:v>30168.358897484464</x:v>
      </x:c>
      <x:c r="Z48" s="126" t="n">
        <x:f>Z37*(1-Assumptions!$D$12)</x:f>
        <x:v>31676.776842358697</x:v>
      </x:c>
      <x:c r="AA48" s="126" t="n">
        <x:f>AA37*(1-Assumptions!$D$12)</x:f>
        <x:v>33260.61568447664</x:v>
      </x:c>
      <x:c r="AB48" s="126" t="n">
        <x:f>AB37*(1-Assumptions!$D$12)</x:f>
        <x:v>34923.64646870046</x:v>
      </x:c>
      <x:c r="AC48" s="126" t="n">
        <x:f>AC37*(1-Assumptions!$D$12)</x:f>
        <x:v>36669.828792135486</x:v>
      </x:c>
      <x:c r="AD48" s="126" t="n">
        <x:f>AD37*(1-Assumptions!$D$12)</x:f>
        <x:v>38503.320231742255</x:v>
      </x:c>
      <x:c r="AE48" s="126" t="n">
        <x:f>AE37*(1-Assumptions!$D$12)</x:f>
        <x:v>40428.486243329375</x:v>
      </x:c>
      <x:c r="AF48" s="126" t="n">
        <x:f>AF37*(1-Assumptions!$D$12)</x:f>
        <x:v>42449.91055549583</x:v>
      </x:c>
      <x:c r="AG48" s="126" t="n">
        <x:f>AG37*(1-Assumptions!$D$12)</x:f>
        <x:v>44572.40608327064</x:v>
      </x:c>
      <x:c r="AH48" s="126" t="n">
        <x:f>AH37*(1-Assumptions!$D$12)</x:f>
        <x:v>46801.02638743417</x:v>
      </x:c>
      <x:c r="AI48" s="126" t="n">
        <x:f>AI37*(1-Assumptions!$D$12)</x:f>
        <x:v>49141.077706805896</x:v>
      </x:c>
      <x:c r="AJ48" s="126" t="n">
        <x:f>AJ37*(1-Assumptions!$D$12)</x:f>
        <x:v>51598.13159214617</x:v>
      </x:c>
      <x:c r="AK48" s="126" t="n">
        <x:f>AK37*(1-Assumptions!$D$12)</x:f>
        <x:v>54178.038171753484</x:v>
      </x:c>
      <x:c r="AL48" s="127" t="n">
        <x:f>AL37*(1-Assumptions!$D$12)</x:f>
        <x:v>56840.00000000001</x:v>
      </x:c>
    </x:row>
    <x:row r="49">
      <x:c r="A49" s="49" t="str">
        <x:v>Design Lab direct costs</x:v>
      </x:c>
      <x:c r="B49" s="50" t="str">
        <x:v>$</x:v>
      </x:c>
      <x:c r="C49" s="126" t="n">
        <x:f>C38*(1-Assumptions!$D$14)</x:f>
        <x:v>0</x:v>
      </x:c>
      <x:c r="D49" s="126" t="n">
        <x:f>D38*(1-Assumptions!$D$14)</x:f>
        <x:v>10663.833599999996</x:v>
      </x:c>
      <x:c r="E49" s="126" t="n">
        <x:f>E38*(1-Assumptions!$D$14)</x:f>
        <x:v>11316.260162801664</x:v>
      </x:c>
      <x:c r="F49" s="126" t="n">
        <x:f>F38*(1-Assumptions!$D$14)</x:f>
        <x:v>12062.504201001471</x:v>
      </x:c>
      <x:c r="G49" s="126" t="n">
        <x:f>G38*(1-Assumptions!$D$14)</x:f>
        <x:v>12891.31505176618</x:v>
      </x:c>
      <x:c r="H49" s="126" t="n">
        <x:f>H38*(1-Assumptions!$D$14)</x:f>
        <x:v>13788.78939954772</x:v>
      </x:c>
      <x:c r="I49" s="126" t="n">
        <x:f>I38*(1-Assumptions!$D$14)</x:f>
        <x:v>14774.79966345145</x:v>
      </x:c>
      <x:c r="J49" s="126" t="n">
        <x:f>J38*(1-Assumptions!$D$14)</x:f>
        <x:v>15846.849010214975</x:v>
      </x:c>
      <x:c r="K49" s="126" t="n">
        <x:f>K38*(1-Assumptions!$D$14)</x:f>
        <x:v>17014.275880444144</x:v>
      </x:c>
      <x:c r="L49" s="126" t="n">
        <x:f>L38*(1-Assumptions!$D$14)</x:f>
        <x:v>18290.220201851418</x:v>
      </x:c>
      <x:c r="M49" s="126" t="n">
        <x:f>M38*(1-Assumptions!$D$14)</x:f>
        <x:v>19684.328348200524</x:v>
      </x:c>
      <x:c r="N49" s="126" t="n">
        <x:f>N38*(1-Assumptions!$D$14)</x:f>
        <x:v>21210.108882931112</x:v>
      </x:c>
      <x:c r="O49" s="126" t="n">
        <x:f>O38*(1-Assumptions!$D$14)</x:f>
        <x:v>22882.880493234054</x:v>
      </x:c>
      <x:c r="P49" s="126" t="n">
        <x:f>P38*(1-Assumptions!$D$14)</x:f>
        <x:v>24622.3453245523</x:v>
      </x:c>
      <x:c r="Q49" s="126" t="n">
        <x:f>Q38*(1-Assumptions!$D$14)</x:f>
        <x:v>25853.462590779905</x:v>
      </x:c>
      <x:c r="R49" s="126" t="n">
        <x:f>R38*(1-Assumptions!$D$14)</x:f>
        <x:v>27146.13572031891</x:v>
      </x:c>
      <x:c r="S49" s="126" t="n">
        <x:f>S38*(1-Assumptions!$D$14)</x:f>
        <x:v>28503.442506334854</x:v>
      </x:c>
      <x:c r="T49" s="126" t="n">
        <x:f>T38*(1-Assumptions!$D$14)</x:f>
        <x:v>29928.614631651602</x:v>
      </x:c>
      <x:c r="U49" s="126" t="n">
        <x:f>U38*(1-Assumptions!$D$14)</x:f>
        <x:v>31425.045363234174</x:v>
      </x:c>
      <x:c r="V49" s="126" t="n">
        <x:f>V38*(1-Assumptions!$D$14)</x:f>
        <x:v>32996.297631395886</x:v>
      </x:c>
      <x:c r="W49" s="126" t="n">
        <x:f>W38*(1-Assumptions!$D$14)</x:f>
        <x:v>34646.11251296568</x:v>
      </x:c>
      <x:c r="X49" s="126" t="n">
        <x:f>X38*(1-Assumptions!$D$14)</x:f>
        <x:v>36378.41813861397</x:v>
      </x:c>
      <x:c r="Y49" s="126" t="n">
        <x:f>Y38*(1-Assumptions!$D$14)</x:f>
        <x:v>38197.339045544664</x:v>
      </x:c>
      <x:c r="Z49" s="126" t="n">
        <x:f>Z38*(1-Assumptions!$D$14)</x:f>
        <x:v>40107.205997821904</x:v>
      </x:c>
      <x:c r="AA49" s="126" t="n">
        <x:f>AA38*(1-Assumptions!$D$14)</x:f>
        <x:v>42112.56629771301</x:v>
      </x:c>
      <x:c r="AB49" s="126" t="n">
        <x:f>AB38*(1-Assumptions!$D$14)</x:f>
        <x:v>44218.194612598665</x:v>
      </x:c>
      <x:c r="AC49" s="126" t="n">
        <x:f>AC38*(1-Assumptions!$D$14)</x:f>
        <x:v>46429.104343228595</x:v>
      </x:c>
      <x:c r="AD49" s="126" t="n">
        <x:f>AD38*(1-Assumptions!$D$14)</x:f>
        <x:v>48750.559560390015</x:v>
      </x:c>
      <x:c r="AE49" s="126" t="n">
        <x:f>AE38*(1-Assumptions!$D$14)</x:f>
        <x:v>51188.08753840952</x:v>
      </x:c>
      <x:c r="AF49" s="126" t="n">
        <x:f>AF38*(1-Assumptions!$D$14)</x:f>
        <x:v>53747.49191532999</x:v>
      </x:c>
      <x:c r="AG49" s="126" t="n">
        <x:f>AG38*(1-Assumptions!$D$14)</x:f>
        <x:v>56434.8665110965</x:v>
      </x:c>
      <x:c r="AH49" s="126" t="n">
        <x:f>AH38*(1-Assumptions!$D$14)</x:f>
        <x:v>59256.60983665133</x:v>
      </x:c>
      <x:c r="AI49" s="126" t="n">
        <x:f>AI38*(1-Assumptions!$D$14)</x:f>
        <x:v>62219.4403284839</x:v>
      </x:c>
      <x:c r="AJ49" s="126" t="n">
        <x:f>AJ38*(1-Assumptions!$D$14)</x:f>
        <x:v>65330.41234490811</x:v>
      </x:c>
      <x:c r="AK49" s="126" t="n">
        <x:f>AK38*(1-Assumptions!$D$14)</x:f>
        <x:v>68596.93296215349</x:v>
      </x:c>
      <x:c r="AL49" s="127" t="n">
        <x:f>AL38*(1-Assumptions!$D$14)</x:f>
        <x:v>69599.99999999999</x:v>
      </x:c>
    </x:row>
    <x:row r="50">
      <x:c r="A50" s="49" t="str">
        <x:v>Sprint direct costs</x:v>
      </x:c>
      <x:c r="B50" s="50" t="str">
        <x:v>$</x:v>
      </x:c>
      <x:c r="C50" s="126" t="n">
        <x:f>C39*(1-Assumptions!$D$16)</x:f>
        <x:v>0</x:v>
      </x:c>
      <x:c r="D50" s="126" t="n">
        <x:f>D39*(1-Assumptions!$D$16)</x:f>
        <x:v>0</x:v>
      </x:c>
      <x:c r="E50" s="126" t="n">
        <x:f>E39*(1-Assumptions!$D$16)</x:f>
        <x:v>12156.770303999998</x:v>
      </x:c>
      <x:c r="F50" s="126" t="n">
        <x:f>F39*(1-Assumptions!$D$16)</x:f>
        <x:v>12900.5365855939</x:v>
      </x:c>
      <x:c r="G50" s="126" t="n">
        <x:f>G39*(1-Assumptions!$D$16)</x:f>
        <x:v>13751.25478914168</x:v>
      </x:c>
      <x:c r="H50" s="126" t="n">
        <x:f>H39*(1-Assumptions!$D$16)</x:f>
        <x:v>14696.099159013445</x:v>
      </x:c>
      <x:c r="I50" s="126" t="n">
        <x:f>I39*(1-Assumptions!$D$16)</x:f>
        <x:v>15719.219915484404</x:v>
      </x:c>
      <x:c r="J50" s="126" t="n">
        <x:f>J39*(1-Assumptions!$D$16)</x:f>
        <x:v>16843.271616334656</x:v>
      </x:c>
      <x:c r="K50" s="126" t="n">
        <x:f>K39*(1-Assumptions!$D$16)</x:f>
        <x:v>18065.407871645075</x:v>
      </x:c>
      <x:c r="L50" s="126" t="n">
        <x:f>L39*(1-Assumptions!$D$16)</x:f>
        <x:v>19396.27450370632</x:v>
      </x:c>
      <x:c r="M50" s="126" t="n">
        <x:f>M39*(1-Assumptions!$D$16)</x:f>
        <x:v>20850.851030110618</x:v>
      </x:c>
      <x:c r="N50" s="126" t="n">
        <x:f>N39*(1-Assumptions!$D$16)</x:f>
        <x:v>22440.1343169486</x:v>
      </x:c>
      <x:c r="O50" s="126" t="n">
        <x:f>O39*(1-Assumptions!$D$16)</x:f>
        <x:v>24179.524126541473</x:v>
      </x:c>
      <x:c r="P50" s="126" t="n">
        <x:f>P39*(1-Assumptions!$D$16)</x:f>
        <x:v>26086.483762286825</x:v>
      </x:c>
      <x:c r="Q50" s="126" t="n">
        <x:f>Q39*(1-Assumptions!$D$16)</x:f>
        <x:v>28069.47366998963</x:v>
      </x:c>
      <x:c r="R50" s="126" t="n">
        <x:f>R39*(1-Assumptions!$D$16)</x:f>
        <x:v>29472.947353489093</x:v>
      </x:c>
      <x:c r="S50" s="126" t="n">
        <x:f>S39*(1-Assumptions!$D$16)</x:f>
        <x:v>30946.594721163565</x:v>
      </x:c>
      <x:c r="T50" s="126" t="n">
        <x:f>T39*(1-Assumptions!$D$16)</x:f>
        <x:v>32493.924457221743</x:v>
      </x:c>
      <x:c r="U50" s="126" t="n">
        <x:f>U39*(1-Assumptions!$D$16)</x:f>
        <x:v>34118.62068008283</x:v>
      </x:c>
      <x:c r="V50" s="126" t="n">
        <x:f>V39*(1-Assumptions!$D$16)</x:f>
        <x:v>35824.55171408696</x:v>
      </x:c>
      <x:c r="W50" s="126" t="n">
        <x:f>W39*(1-Assumptions!$D$16)</x:f>
        <x:v>37615.77929979131</x:v>
      </x:c>
      <x:c r="X50" s="126" t="n">
        <x:f>X39*(1-Assumptions!$D$16)</x:f>
        <x:v>39496.568264780886</x:v>
      </x:c>
      <x:c r="Y50" s="126" t="n">
        <x:f>Y39*(1-Assumptions!$D$16)</x:f>
        <x:v>41471.39667801993</x:v>
      </x:c>
      <x:c r="Z50" s="126" t="n">
        <x:f>Z39*(1-Assumptions!$D$16)</x:f>
        <x:v>43544.96651192092</x:v>
      </x:c>
      <x:c r="AA50" s="126" t="n">
        <x:f>AA39*(1-Assumptions!$D$16)</x:f>
        <x:v>45722.214837516985</x:v>
      </x:c>
      <x:c r="AB50" s="126" t="n">
        <x:f>AB39*(1-Assumptions!$D$16)</x:f>
        <x:v>48008.32557939284</x:v>
      </x:c>
      <x:c r="AC50" s="126" t="n">
        <x:f>AC39*(1-Assumptions!$D$16)</x:f>
        <x:v>50408.74185836248</x:v>
      </x:c>
      <x:c r="AD50" s="126" t="n">
        <x:f>AD39*(1-Assumptions!$D$16)</x:f>
        <x:v>52929.1789512806</x:v>
      </x:c>
      <x:c r="AE50" s="126" t="n">
        <x:f>AE39*(1-Assumptions!$D$16)</x:f>
        <x:v>55575.63789884463</x:v>
      </x:c>
      <x:c r="AF50" s="126" t="n">
        <x:f>AF39*(1-Assumptions!$D$16)</x:f>
        <x:v>58354.41979378687</x:v>
      </x:c>
      <x:c r="AG50" s="126" t="n">
        <x:f>AG39*(1-Assumptions!$D$16)</x:f>
        <x:v>61272.1407834762</x:v>
      </x:c>
      <x:c r="AH50" s="126" t="n">
        <x:f>AH39*(1-Assumptions!$D$16)</x:f>
        <x:v>64335.74782265002</x:v>
      </x:c>
      <x:c r="AI50" s="126" t="n">
        <x:f>AI39*(1-Assumptions!$D$16)</x:f>
        <x:v>67552.53521378252</x:v>
      </x:c>
      <x:c r="AJ50" s="126" t="n">
        <x:f>AJ39*(1-Assumptions!$D$16)</x:f>
        <x:v>70930.16197447166</x:v>
      </x:c>
      <x:c r="AK50" s="126" t="n">
        <x:f>AK39*(1-Assumptions!$D$16)</x:f>
        <x:v>74476.67007319526</x:v>
      </x:c>
      <x:c r="AL50" s="127" t="n">
        <x:f>AL39*(1-Assumptions!$D$16)</x:f>
        <x:v>78200.503576855</x:v>
      </x:c>
    </x:row>
    <x:row r="51">
      <x:c r="A51" s="49" t="str">
        <x:v>Proof Run direct costs</x:v>
      </x:c>
      <x:c r="B51" s="50" t="str">
        <x:v>$</x:v>
      </x:c>
      <x:c r="C51" s="126" t="n">
        <x:f>C40*(1-Assumptions!$D$18)</x:f>
        <x:v>0</x:v>
      </x:c>
      <x:c r="D51" s="126" t="n">
        <x:f>D40*(1-Assumptions!$D$18)</x:f>
        <x:v>0</x:v>
      </x:c>
      <x:c r="E51" s="126" t="n">
        <x:f>E40*(1-Assumptions!$D$18)</x:f>
        <x:v>0</x:v>
      </x:c>
      <x:c r="F51" s="126" t="n">
        <x:f>F40*(1-Assumptions!$D$18)</x:f>
        <x:v>0</x:v>
      </x:c>
      <x:c r="G51" s="126" t="n">
        <x:f>G40*(1-Assumptions!$D$18)</x:f>
        <x:v>12898.97312256</x:v>
      </x:c>
      <x:c r="H51" s="126" t="n">
        <x:f>H40*(1-Assumptions!$D$18)</x:f>
        <x:v>13688.148292924896</x:v>
      </x:c>
      <x:c r="I51" s="126" t="n">
        <x:f>I40*(1-Assumptions!$D$18)</x:f>
        <x:v>14590.805081531382</x:v>
      </x:c>
      <x:c r="J51" s="126" t="n">
        <x:f>J40*(1-Assumptions!$D$18)</x:f>
        <x:v>15593.334686616374</x:v>
      </x:c>
      <x:c r="K51" s="126" t="n">
        <x:f>K40*(1-Assumptions!$D$18)</x:f>
        <x:v>16678.919657692928</x:v>
      </x:c>
      <x:c r="L51" s="126" t="n">
        <x:f>L40*(1-Assumptions!$D$18)</x:f>
        <x:v>17871.597672910877</x:v>
      </x:c>
      <x:c r="M51" s="126" t="n">
        <x:f>M40*(1-Assumptions!$D$18)</x:f>
        <x:v>19168.34856275604</x:v>
      </x:c>
      <x:c r="N51" s="126" t="n">
        <x:f>N40*(1-Assumptions!$D$18)</x:f>
        <x:v>20580.468104985237</x:v>
      </x:c>
      <x:c r="O51" s="126" t="n">
        <x:f>O40*(1-Assumptions!$D$18)</x:f>
        <x:v>22123.850356159477</x:v>
      </x:c>
      <x:c r="P51" s="126" t="n">
        <x:f>P40*(1-Assumptions!$D$18)</x:f>
        <x:v>23810.163569983357</x:v>
      </x:c>
      <x:c r="Q51" s="126" t="n">
        <x:f>Q40*(1-Assumptions!$D$18)</x:f>
        <x:v>25655.74770479348</x:v>
      </x:c>
      <x:c r="R51" s="126" t="n">
        <x:f>R40*(1-Assumptions!$D$18)</x:f>
        <x:v>27679.132244615917</x:v>
      </x:c>
      <x:c r="S51" s="126" t="n">
        <x:f>S40*(1-Assumptions!$D$18)</x:f>
        <x:v>29783.188904578474</x:v>
      </x:c>
      <x:c r="T51" s="126" t="n">
        <x:f>T40*(1-Assumptions!$D$18)</x:f>
        <x:v>31272.34834980738</x:v>
      </x:c>
      <x:c r="U51" s="126" t="n">
        <x:f>U40*(1-Assumptions!$D$18)</x:f>
        <x:v>32835.96576729776</x:v>
      </x:c>
      <x:c r="V51" s="126" t="n">
        <x:f>V40*(1-Assumptions!$D$18)</x:f>
        <x:v>34477.76405566264</x:v>
      </x:c>
      <x:c r="W51" s="126" t="n">
        <x:f>W40*(1-Assumptions!$D$18)</x:f>
        <x:v>36201.65225844579</x:v>
      </x:c>
      <x:c r="X51" s="126" t="n">
        <x:f>X40*(1-Assumptions!$D$18)</x:f>
        <x:v>38011.73487136806</x:v>
      </x:c>
      <x:c r="Y51" s="126" t="n">
        <x:f>Y40*(1-Assumptions!$D$18)</x:f>
        <x:v>39912.32161493647</x:v>
      </x:c>
      <x:c r="Z51" s="126" t="n">
        <x:f>Z40*(1-Assumptions!$D$18)</x:f>
        <x:v>41907.9376956833</x:v>
      </x:c>
      <x:c r="AA51" s="126" t="n">
        <x:f>AA40*(1-Assumptions!$D$18)</x:f>
        <x:v>44003.33458046747</x:v>
      </x:c>
      <x:c r="AB51" s="126" t="n">
        <x:f>AB40*(1-Assumptions!$D$18)</x:f>
        <x:v>46203.501309490835</x:v>
      </x:c>
      <x:c r="AC51" s="126" t="n">
        <x:f>AC40*(1-Assumptions!$D$18)</x:f>
        <x:v>48513.67637496539</x:v>
      </x:c>
      <x:c r="AD51" s="126" t="n">
        <x:f>AD40*(1-Assumptions!$D$18)</x:f>
        <x:v>50939.36019371367</x:v>
      </x:c>
      <x:c r="AE51" s="126" t="n">
        <x:f>AE40*(1-Assumptions!$D$18)</x:f>
        <x:v>53486.32820339935</x:v>
      </x:c>
      <x:c r="AF51" s="126" t="n">
        <x:f>AF40*(1-Assumptions!$D$18)</x:f>
        <x:v>56160.64461356931</x:v>
      </x:c>
      <x:c r="AG51" s="126" t="n">
        <x:f>AG40*(1-Assumptions!$D$18)</x:f>
        <x:v>58968.676844247784</x:v>
      </x:c>
      <x:c r="AH51" s="126" t="n">
        <x:f>AH40*(1-Assumptions!$D$18)</x:f>
        <x:v>61917.110686460175</x:v>
      </x:c>
      <x:c r="AI51" s="126" t="n">
        <x:f>AI40*(1-Assumptions!$D$18)</x:f>
        <x:v>65012.96622078317</x:v>
      </x:c>
      <x:c r="AJ51" s="126" t="n">
        <x:f>AJ40*(1-Assumptions!$D$18)</x:f>
        <x:v>68263.61453182233</x:v>
      </x:c>
      <x:c r="AK51" s="126" t="n">
        <x:f>AK40*(1-Assumptions!$D$18)</x:f>
        <x:v>71676.79525841346</x:v>
      </x:c>
      <x:c r="AL51" s="127" t="n">
        <x:f>AL40*(1-Assumptions!$D$18)</x:f>
        <x:v>75260.63502133415</x:v>
      </x:c>
    </x:row>
    <x:row r="52">
      <x:c r="A52" s="49" t="str">
        <x:v>Enterprise direct costs</x:v>
      </x:c>
      <x:c r="B52" s="50" t="str">
        <x:v>$</x:v>
      </x:c>
      <x:c r="C52" s="126" t="n">
        <x:f>C41*(1-Assumptions!$D$20)</x:f>
        <x:v>0</x:v>
      </x:c>
      <x:c r="D52" s="126" t="n">
        <x:f>D41*(1-Assumptions!$D$20)</x:f>
        <x:v>0</x:v>
      </x:c>
      <x:c r="E52" s="126" t="n">
        <x:f>E41*(1-Assumptions!$D$20)</x:f>
        <x:v>0</x:v>
      </x:c>
      <x:c r="F52" s="126" t="n">
        <x:f>F41*(1-Assumptions!$D$20)</x:f>
        <x:v>0</x:v>
      </x:c>
      <x:c r="G52" s="126" t="n">
        <x:f>G41*(1-Assumptions!$D$20)</x:f>
        <x:v>0</x:v>
      </x:c>
      <x:c r="H52" s="126" t="n">
        <x:f>H41*(1-Assumptions!$D$20)</x:f>
        <x:v>0</x:v>
      </x:c>
      <x:c r="I52" s="126" t="n">
        <x:f>I41*(1-Assumptions!$D$20)</x:f>
        <x:v>0</x:v>
      </x:c>
      <x:c r="J52" s="126" t="n">
        <x:f>J41*(1-Assumptions!$D$20)</x:f>
        <x:v>6219.147755519999</x:v>
      </x:c>
      <x:c r="K52" s="126" t="n">
        <x:f>K41*(1-Assumptions!$D$20)</x:f>
        <x:v>6599.64292694593</x:v>
      </x:c>
      <x:c r="L52" s="126" t="n">
        <x:f>L41*(1-Assumptions!$D$20)</x:f>
        <x:v>7034.852450024058</x:v>
      </x:c>
      <x:c r="M52" s="126" t="n">
        <x:f>M41*(1-Assumptions!$D$20)</x:f>
        <x:v>7518.214938190035</x:v>
      </x:c>
      <x:c r="N52" s="126" t="n">
        <x:f>N41*(1-Assumptions!$D$20)</x:f>
        <x:v>8041.621977816231</x:v>
      </x:c>
      <x:c r="O52" s="126" t="n">
        <x:f>O41*(1-Assumptions!$D$20)</x:f>
        <x:v>8616.663163724887</x:v>
      </x:c>
      <x:c r="P52" s="126" t="n">
        <x:f>P41*(1-Assumptions!$D$20)</x:f>
        <x:v>9241.882342757375</x:v>
      </x:c>
      <x:c r="Q52" s="126" t="n">
        <x:f>Q41*(1-Assumptions!$D$20)</x:f>
        <x:v>9922.725693475022</x:v>
      </x:c>
      <x:c r="R52" s="126" t="n">
        <x:f>R41*(1-Assumptions!$D$20)</x:f>
        <x:v>10666.856421719747</x:v>
      </x:c>
      <x:c r="S52" s="126" t="n">
        <x:f>S41*(1-Assumptions!$D$20)</x:f>
        <x:v>11479.900292670543</x:v>
      </x:c>
      <x:c r="T52" s="126" t="n">
        <x:f>T41*(1-Assumptions!$D$20)</x:f>
        <x:v>12369.735500525425</x:v>
      </x:c>
      <x:c r="U52" s="126" t="n">
        <x:f>U41*(1-Assumptions!$D$20)</x:f>
        <x:v>13345.2959036541</x:v>
      </x:c>
      <x:c r="V52" s="126" t="n">
        <x:f>V41*(1-Assumptions!$D$20)</x:f>
        <x:v>14359.751793278901</x:v>
      </x:c>
      <x:c r="W52" s="126" t="n">
        <x:f>W41*(1-Assumptions!$D$20)</x:f>
        <x:v>15077.739382942838</x:v>
      </x:c>
      <x:c r="X52" s="126" t="n">
        <x:f>X41*(1-Assumptions!$D$20)</x:f>
        <x:v>15831.626352089987</x:v>
      </x:c>
      <x:c r="Y52" s="126" t="n">
        <x:f>Y41*(1-Assumptions!$D$20)</x:f>
        <x:v>16623.207669694486</x:v>
      </x:c>
      <x:c r="Z52" s="126" t="n">
        <x:f>Z41*(1-Assumptions!$D$20)</x:f>
        <x:v>17454.368053179212</x:v>
      </x:c>
      <x:c r="AA52" s="126" t="n">
        <x:f>AA41*(1-Assumptions!$D$20)</x:f>
        <x:v>18327.08645583817</x:v>
      </x:c>
      <x:c r="AB52" s="126" t="n">
        <x:f>AB41*(1-Assumptions!$D$20)</x:f>
        <x:v>19243.44077863008</x:v>
      </x:c>
      <x:c r="AC52" s="126" t="n">
        <x:f>AC41*(1-Assumptions!$D$20)</x:f>
        <x:v>20205.612817561585</x:v>
      </x:c>
      <x:c r="AD52" s="126" t="n">
        <x:f>AD41*(1-Assumptions!$D$20)</x:f>
        <x:v>21215.89345843967</x:v>
      </x:c>
      <x:c r="AE52" s="126" t="n">
        <x:f>AE41*(1-Assumptions!$D$20)</x:f>
        <x:v>22276.688131361647</x:v>
      </x:c>
      <x:c r="AF52" s="126" t="n">
        <x:f>AF41*(1-Assumptions!$D$20)</x:f>
        <x:v>23390.522537929737</x:v>
      </x:c>
      <x:c r="AG52" s="126" t="n">
        <x:f>AG41*(1-Assumptions!$D$20)</x:f>
        <x:v>24560.04866482623</x:v>
      </x:c>
      <x:c r="AH52" s="126" t="n">
        <x:f>AH41*(1-Assumptions!$D$20)</x:f>
        <x:v>25788.05109806754</x:v>
      </x:c>
      <x:c r="AI52" s="126" t="n">
        <x:f>AI41*(1-Assumptions!$D$20)</x:f>
        <x:v>27077.453652970915</x:v>
      </x:c>
      <x:c r="AJ52" s="126" t="n">
        <x:f>AJ41*(1-Assumptions!$D$20)</x:f>
        <x:v>28431.32633561946</x:v>
      </x:c>
      <x:c r="AK52" s="126" t="n">
        <x:f>AK41*(1-Assumptions!$D$20)</x:f>
        <x:v>29852.89265240043</x:v>
      </x:c>
      <x:c r="AL52" s="127" t="n">
        <x:f>AL41*(1-Assumptions!$D$20)</x:f>
        <x:v>31345.537285020455</x:v>
      </x:c>
    </x:row>
    <x:row r="53">
      <x:c r="A53" s="49" t="str">
        <x:v>Proof OS direct costs</x:v>
      </x:c>
      <x:c r="B53" s="50" t="str">
        <x:v>$</x:v>
      </x:c>
      <x:c r="C53" s="126" t="n">
        <x:f>C42*(1-Assumptions!$D$22)</x:f>
        <x:v>0</x:v>
      </x:c>
      <x:c r="D53" s="126" t="n">
        <x:f>D42*(1-Assumptions!$D$22)</x:f>
        <x:v>0</x:v>
      </x:c>
      <x:c r="E53" s="126" t="n">
        <x:f>E42*(1-Assumptions!$D$22)</x:f>
        <x:v>0</x:v>
      </x:c>
      <x:c r="F53" s="126" t="n">
        <x:f>F42*(1-Assumptions!$D$22)</x:f>
        <x:v>0</x:v>
      </x:c>
      <x:c r="G53" s="126" t="n">
        <x:f>G42*(1-Assumptions!$D$22)</x:f>
        <x:v>0</x:v>
      </x:c>
      <x:c r="H53" s="126" t="n">
        <x:f>H42*(1-Assumptions!$D$22)</x:f>
        <x:v>102.37280255999997</x:v>
      </x:c>
      <x:c r="I53" s="126" t="n">
        <x:f>I42*(1-Assumptions!$D$22)</x:f>
        <x:v>207.93771604609591</x:v>
      </x:c>
      <x:c r="J53" s="126" t="n">
        <x:f>J42*(1-Assumptions!$D$22)</x:f>
        <x:v>350.66841292376716</x:v>
      </x:c>
      <x:c r="K53" s="126" t="n">
        <x:f>K42*(1-Assumptions!$D$22)</x:f>
        <x:v>499.10308064338784</x:v>
      </x:c>
      <x:c r="L53" s="126" t="n">
        <x:f>L42*(1-Assumptions!$D$22)</x:f>
        <x:v>654.0215795265393</x:v>
      </x:c>
      <x:c r="M53" s="126" t="n">
        <x:f>M42*(1-Assumptions!$D$22)</x:f>
        <x:v>816.3361552468906</x:v>
      </x:c>
      <x:c r="N53" s="126" t="n">
        <x:f>N42*(1-Assumptions!$D$22)</x:f>
        <x:v>986.8644716359007</x:v>
      </x:c>
      <x:c r="O53" s="126" t="n">
        <x:f>O42*(1-Assumptions!$D$22)</x:f>
        <x:v>1166.5511228122868</x:v>
      </x:c>
      <x:c r="P53" s="126" t="n">
        <x:f>P42*(1-Assumptions!$D$22)</x:f>
        <x:v>1356.4307422270645</x:v>
      </x:c>
      <x:c r="Q53" s="126" t="n">
        <x:f>Q42*(1-Assumptions!$D$22)</x:f>
        <x:v>1557.6285758015108</x:v>
      </x:c>
      <x:c r="R53" s="126" t="n">
        <x:f>R42*(1-Assumptions!$D$22)</x:f>
        <x:v>1771.4066647194427</x:v>
      </x:c>
      <x:c r="S53" s="126" t="n">
        <x:f>S42*(1-Assumptions!$D$22)</x:f>
        <x:v>1999.166252407149</x:v>
      </x:c>
      <x:c r="T53" s="126" t="n">
        <x:f>T42*(1-Assumptions!$D$22)</x:f>
        <x:v>2241.5377026201054</x:v>
      </x:c>
      <x:c r="U53" s="126" t="n">
        <x:f>U42*(1-Assumptions!$D$22)</x:f>
        <x:v>2493.659723899145</x:v>
      </x:c>
      <x:c r="V53" s="126" t="n">
        <x:f>V42*(1-Assumptions!$D$22)</x:f>
        <x:v>2756.0381779947197</x:v>
      </x:c>
      <x:c r="W53" s="126" t="n">
        <x:f>W42*(1-Assumptions!$D$22)</x:f>
        <x:v>3027.404690758054</x:v>
      </x:c>
      <x:c r="X53" s="126" t="n">
        <x:f>X42*(1-Assumptions!$D$22)</x:f>
        <x:v>3308.332591043648</x:v>
      </x:c>
      <x:c r="Y53" s="126" t="n">
        <x:f>Y42*(1-Assumptions!$D$22)</x:f>
        <x:v>3599.42015637109</x:v>
      </x:c>
      <x:c r="Z53" s="126" t="n">
        <x:f>Z42*(1-Assumptions!$D$22)</x:f>
        <x:v>3901.2919718916473</x:v>
      </x:c>
      <x:c r="AA53" s="126" t="n">
        <x:f>AA42*(1-Assumptions!$D$22)</x:f>
        <x:v>4214.600353957172</x:v>
      </x:c>
      <x:c r="AB53" s="126" t="n">
        <x:f>AB42*(1-Assumptions!$D$22)</x:f>
        <x:v>4540.026841621844</x:v>
      </x:c>
      <x:c r="AC53" s="126" t="n">
        <x:f>AC42*(1-Assumptions!$D$22)</x:f>
        <x:v>4878.283759570746</x:v>
      </x:c>
      <x:c r="AD53" s="126" t="n">
        <x:f>AD42*(1-Assumptions!$D$22)</x:f>
        <x:v>5230.115856141059</x:v>
      </x:c>
      <x:c r="AE53" s="126" t="n">
        <x:f>AE42*(1-Assumptions!$D$22)</x:f>
        <x:v>5596.3020202821335</x:v>
      </x:c>
      <x:c r="AF53" s="126" t="n">
        <x:f>AF42*(1-Assumptions!$D$22)</x:f>
        <x:v>5977.6570814902425</x:v>
      </x:c>
      <x:c r="AG53" s="126" t="n">
        <x:f>AG42*(1-Assumptions!$D$22)</x:f>
        <x:v>6375.033696952936</x:v>
      </x:c>
      <x:c r="AH53" s="126" t="n">
        <x:f>AH42*(1-Assumptions!$D$22)</x:f>
        <x:v>6789.32433034712</x:v>
      </x:c>
      <x:c r="AI53" s="126" t="n">
        <x:f>AI42*(1-Assumptions!$D$22)</x:f>
        <x:v>7221.463326954615</x:v>
      </x:c>
      <x:c r="AJ53" s="126" t="n">
        <x:f>AJ42*(1-Assumptions!$D$22)</x:f>
        <x:v>7672.429089989781</x:v>
      </x:c>
      <x:c r="AK53" s="126" t="n">
        <x:f>AK42*(1-Assumptions!$D$22)</x:f>
        <x:v>8143.246363276083</x:v>
      </x:c>
      <x:c r="AL53" s="127" t="n">
        <x:f>AL42*(1-Assumptions!$D$22)</x:f>
        <x:v>8634.988625663096</x:v>
      </x:c>
    </x:row>
    <x:row r="54">
      <x:c r="A54" s="142" t="str">
        <x:v>Total direct costs</x:v>
      </x:c>
      <x:c r="B54" s="143" t="str">
        <x:v>$</x:v>
      </x:c>
      <x:c r="C54" s="154" t="n">
        <x:f>SUM(C47:C53)</x:f>
        <x:v>9178.848</x:v>
      </x:c>
      <x:c r="D54" s="154" t="n">
        <x:f>SUM(D47:D53)</x:f>
        <x:v>20404.25490241152</x:v>
      </x:c>
      <x:c r="E54" s="154" t="n">
        <x:f>SUM(E47:E53)</x:f>
        <x:v>33855.778052093505</x:v>
      </x:c>
      <x:c r="F54" s="154" t="n">
        <x:f>SUM(F47:F53)</x:f>
        <x:v>36059.183676547626</x:v>
      </x:c>
      <x:c r="G54" s="154" t="n">
        <x:f>SUM(G47:G53)</x:f>
        <x:v>51410.18296198208</x:v>
      </x:c>
      <x:c r="H54" s="154" t="n">
        <x:f>SUM(H47:H53)</x:f>
        <x:v>54992.753662608986</x:v>
      </x:c>
      <x:c r="I54" s="154" t="n">
        <x:f>SUM(I47:I53)</x:f>
        <x:v>58932.868158332145</x:v>
      </x:c>
      <x:c r="J54" s="154" t="n">
        <x:f>SUM(J47:J53)</x:f>
        <x:v>69498.23482168505</x:v>
      </x:c>
      <x:c r="K54" s="154" t="n">
        <x:f>SUM(K47:K53)</x:f>
        <x:v>74600.57623585103</x:v>
      </x:c>
      <x:c r="L54" s="154" t="n">
        <x:f>SUM(L47:L53)</x:f>
        <x:v>80190.16569895936</x:v>
      </x:c>
      <x:c r="M54" s="154" t="n">
        <x:f>SUM(M47:M53)</x:f>
        <x:v>86294.58722869372</x:v>
      </x:c>
      <x:c r="N54" s="154" t="n">
        <x:f>SUM(N47:N53)</x:f>
        <x:v>92955.53677535737</x:v>
      </x:c>
      <x:c r="O54" s="154" t="n">
        <x:f>SUM(O47:O53)</x:f>
        <x:v>100163.0450078379</x:v>
      </x:c>
      <x:c r="P54" s="154" t="n">
        <x:f>SUM(P47:P53)</x:f>
        <x:v>107370.56027444096</x:v>
      </x:c>
      <x:c r="Q54" s="154" t="n">
        <x:f>SUM(Q47:Q53)</x:f>
        <x:v>114424.95549410529</x:v>
      </x:c>
      <x:c r="R54" s="154" t="n">
        <x:f>SUM(R47:R53)</x:f>
        <x:v>121270.69152709213</x:v>
      </x:c>
      <x:c r="S54" s="154" t="n">
        <x:f>SUM(S47:S53)</x:f>
        <x:v>128473.21645549506</x:v>
      </x:c>
      <x:c r="T54" s="154" t="n">
        <x:f>SUM(T47:T53)</x:f>
        <x:v>135355.13060908375</x:v>
      </x:c>
      <x:c r="U54" s="154" t="n">
        <x:f>SUM(U47:U53)</x:f>
        <x:v>142620.00590378838</x:v>
      </x:c>
      <x:c r="V54" s="154" t="n">
        <x:f>SUM(V47:V53)</x:f>
        <x:v>150235.89276132052</x:v>
      </x:c>
      <x:c r="W54" s="154" t="n">
        <x:f>SUM(W47:W53)</x:f>
        <x:v>157881.25200325018</x:v>
      </x:c>
      <x:c r="X54" s="154" t="n">
        <x:f>SUM(X47:X53)</x:f>
        <x:v>165904.87226916032</x:v>
      </x:c>
      <x:c r="Y54" s="154" t="n">
        <x:f>SUM(Y47:Y53)</x:f>
        <x:v>174325.78681839362</x:v>
      </x:c>
      <x:c r="Z54" s="154" t="n">
        <x:f>SUM(Z47:Z53)</x:f>
        <x:v>183163.9769670153</x:v>
      </x:c>
      <x:c r="AA54" s="154" t="n">
        <x:f>SUM(AA47:AA53)</x:f>
        <x:v>192440.41959883706</x:v>
      </x:c>
      <x:c r="AB54" s="154" t="n">
        <x:f>SUM(AB47:AB53)</x:f>
        <x:v>202177.1370487457</x:v>
      </x:c>
      <x:c r="AC54" s="154" t="n">
        <x:f>SUM(AC47:AC53)</x:f>
        <x:v>212397.24947705082</x:v>
      </x:c>
      <x:c r="AD54" s="154" t="n">
        <x:f>SUM(AD47:AD53)</x:f>
        <x:v>223125.02985949515</x:v>
      </x:c>
      <x:c r="AE54" s="154" t="n">
        <x:f>SUM(AE47:AE53)</x:f>
        <x:v>234385.96172380392</x:v>
      </x:c>
      <x:c r="AF54" s="154" t="n">
        <x:f>SUM(AF47:AF53)</x:f>
        <x:v>246206.7997701881</x:v>
      </x:c>
      <x:c r="AG54" s="154" t="n">
        <x:f>SUM(AG47:AG53)</x:f>
        <x:v>258615.63352008574</x:v>
      </x:c>
      <x:c r="AH54" s="154" t="n">
        <x:f>SUM(AH47:AH53)</x:f>
        <x:v>271641.9541446366</x:v>
      </x:c>
      <x:c r="AI54" s="154" t="n">
        <x:f>SUM(AI47:AI53)</x:f>
        <x:v>285316.7246319586</x:v>
      </x:c>
      <x:c r="AJ54" s="154" t="n">
        <x:f>SUM(AJ47:AJ53)</x:f>
        <x:v>299672.45346024394</x:v>
      </x:c>
      <x:c r="AK54" s="154" t="n">
        <x:f>SUM(AK47:AK53)</x:f>
        <x:v>314743.27195204294</x:v>
      </x:c>
      <x:c r="AL54" s="155" t="n">
        <x:f>SUM(AL47:AL53)</x:f>
        <x:v>328091.29580326594</x:v>
      </x:c>
    </x:row>
    <x:row r="55">
      <x:c r="A55" s="142" t="str">
        <x:v>Gross profit</x:v>
      </x:c>
      <x:c r="B55" s="143" t="str">
        <x:v>$</x:v>
      </x:c>
      <x:c r="C55" s="154" t="n">
        <x:f>C43-C54</x:f>
        <x:v>24730.271999999997</x:v>
      </x:c>
      <x:c r="D55" s="154" t="n">
        <x:f>D43-D54</x:f>
        <x:v>48903.94710649728</x:v>
      </x:c>
      <x:c r="E55" s="154" t="n">
        <x:f>E43-E54</x:f>
        <x:v>71855.68288703919</x:v>
      </x:c>
      <x:c r="F55" s="154" t="n">
        <x:f>F43-F54</x:f>
        <x:v>76577.04267038382</x:v>
      </x:c>
      <x:c r="G55" s="154" t="n">
        <x:f>G43-G54</x:f>
        <x:v>99620.46115049387</x:v>
      </x:c>
      <x:c r="H55" s="154" t="n">
        <x:f>H43-H54</x:f>
        <x:v>106855.12250760423</x:v>
      </x:c>
      <x:c r="I55" s="154" t="n">
        <x:f>I43-I54</x:f>
        <x:v>114774.649371246</x:v>
      </x:c>
      <x:c r="J55" s="154" t="n">
        <x:f>J43-J54</x:f>
        <x:v>131150.63742402813</x:v>
      </x:c>
      <x:c r="K55" s="154" t="n">
        <x:f>K43-K54</x:f>
        <x:v>141142.37639741297</x:v>
      </x:c>
      <x:c r="L55" s="154" t="n">
        <x:f>L43-L54</x:f>
        <x:v>152056.84720236895</x:v>
      </x:c>
      <x:c r="M55" s="154" t="n">
        <x:f>M43-M54</x:f>
        <x:v>163961.77487371687</x:v>
      </x:c>
      <x:c r="N55" s="154" t="n">
        <x:f>N43-N54</x:f>
        <x:v>176948.29191212333</x:v>
      </x:c>
      <x:c r="O55" s="154" t="n">
        <x:f>O43-O54</x:f>
        <x:v>190927.75176390875</x:v>
      </x:c>
      <x:c r="P55" s="154" t="n">
        <x:f>P43-P54</x:f>
        <x:v>204442.92135916738</x:v>
      </x:c>
      <x:c r="Q55" s="154" t="n">
        <x:f>Q43-Q54</x:f>
        <x:v>217477.85818930686</x:v>
      </x:c>
      <x:c r="R55" s="154" t="n">
        <x:f>R43-R54</x:f>
        <x:v>230221.1714631513</x:v>
      </x:c>
      <x:c r="S55" s="154" t="n">
        <x:f>S43-S54</x:f>
        <x:v>243625.2677682786</x:v>
      </x:c>
      <x:c r="T55" s="154" t="n">
        <x:f>T43-T54</x:f>
        <x:v>256762.210609889</x:v>
      </x:c>
      <x:c r="U55" s="154" t="n">
        <x:f>U43-U54</x:f>
        <x:v>270596.9250082118</x:v>
      </x:c>
      <x:c r="V55" s="154" t="n">
        <x:f>V43-V54</x:f>
        <x:v>285101.8978012097</x:v>
      </x:c>
      <x:c r="W55" s="154" t="n">
        <x:f>W43-W54</x:f>
        <x:v>299891.25110672455</x:v>
      </x:c>
      <x:c r="X55" s="154" t="n">
        <x:f>X43-X54</x:f>
        <x:v>315404.0443250515</x:v>
      </x:c>
      <x:c r="Y55" s="154" t="n">
        <x:f>Y43-Y54</x:f>
        <x:v>331676.9302844052</x:v>
      </x:c>
      <x:c r="Z55" s="154" t="n">
        <x:f>Z43-Z54</x:f>
        <x:v>348748.3800294335</x:v>
      </x:c>
      <x:c r="AA55" s="154" t="n">
        <x:f>AA43-AA54</x:f>
        <x:v>366658.7741647891</x:v>
      </x:c>
      <x:c r="AB55" s="154" t="n">
        <x:f>AB43-AB54</x:f>
        <x:v>385450.4987528957</x:v>
      </x:c>
      <x:c r="AC55" s="154" t="n">
        <x:f>AC43-AC54</x:f>
        <x:v>405168.0459940118</x:v>
      </x:c>
      <x:c r="AD55" s="154" t="n">
        <x:f>AD43-AD54</x:f>
        <x:v>425858.1199280794</x:v>
      </x:c>
      <x:c r="AE55" s="154" t="n">
        <x:f>AE43-AE54</x:f>
        <x:v>447569.7474098196</x:v>
      </x:c>
      <x:c r="AF55" s="154" t="n">
        <x:f>AF43-AF54</x:f>
        <x:v>470354.3946210865</x:v>
      </x:c>
      <x:c r="AG55" s="154" t="n">
        <x:f>AG43-AG54</x:f>
        <x:v>494266.08939769363</x:v>
      </x:c>
      <x:c r="AH55" s="154" t="n">
        <x:f>AH43-AH54</x:f>
        <x:v>519361.54966176447</x:v>
      </x:c>
      <x:c r="AI55" s="154" t="n">
        <x:f>AI43-AI54</x:f>
        <x:v>545700.3182652132</x:v>
      </x:c>
      <x:c r="AJ55" s="154" t="n">
        <x:f>AJ43-AJ54</x:f>
        <x:v>573344.9045652237</x:v>
      </x:c>
      <x:c r="AK55" s="154" t="n">
        <x:f>AK43-AK54</x:f>
        <x:v>602360.9330686319</x:v>
      </x:c>
      <x:c r="AL55" s="155" t="n">
        <x:f>AL43-AL54</x:f>
        <x:v>627539.689763417</x:v>
      </x:c>
    </x:row>
    <x:row r="56">
      <x:c r="A56" s="49" t="str">
        <x:v>Gross margin</x:v>
      </x:c>
      <x:c r="B56" s="50" t="str">
        <x:v>%</x:v>
      </x:c>
      <x:c r="C56" s="118" t="n">
        <x:f>IFERROR(C55/C43,0)</x:f>
        <x:v>0.7293103448275863</x:v>
      </x:c>
      <x:c r="D56" s="118" t="n">
        <x:f>IFERROR(D55/D43,0)</x:f>
        <x:v>0.7056011509317645</x:v>
      </x:c>
      <x:c r="E56" s="118" t="n">
        <x:f>IFERROR(E55/E43,0)</x:f>
        <x:v>0.679734082271484</x:v>
      </x:c>
      <x:c r="F56" s="118" t="n">
        <x:f>IFERROR(F55/F43,0)</x:f>
        <x:v>0.6798615787652407</x:v>
      </x:c>
      <x:c r="G56" s="118" t="n">
        <x:f>IFERROR(G55/G43,0)</x:f>
        <x:v>0.6596042924659995</x:v>
      </x:c>
      <x:c r="H56" s="118" t="n">
        <x:f>IFERROR(H55/H43,0)</x:f>
        <x:v>0.6602194915132908</x:v>
      </x:c>
      <x:c r="I56" s="118" t="n">
        <x:f>IFERROR(I55/I43,0)</x:f>
        <x:v>0.6607350735508766</x:v>
      </x:c>
      <x:c r="J56" s="118" t="n">
        <x:f>IFERROR(J55/J43,0)</x:f>
        <x:v>0.6536325669621605</x:v>
      </x:c>
      <x:c r="K56" s="118" t="n">
        <x:f>IFERROR(K55/K43,0)</x:f>
        <x:v>0.6542154664831037</x:v>
      </x:c>
      <x:c r="L56" s="118" t="n">
        <x:f>IFERROR(L55/L43,0)</x:f>
        <x:v>0.6547203570147588</x:v>
      </x:c>
      <x:c r="M56" s="118" t="n">
        <x:f>IFERROR(M55/M43,0)</x:f>
        <x:v>0.655175251075615</x:v>
      </x:c>
      <x:c r="N56" s="118" t="n">
        <x:f>IFERROR(N55/N43,0)</x:f>
        <x:v>0.6555975614447849</x:v>
      </x:c>
      <x:c r="O56" s="118" t="n">
        <x:f>IFERROR(O55/O43,0)</x:f>
        <x:v>0.6559044596439823</x:v>
      </x:c>
      <x:c r="P56" s="118" t="n">
        <x:f>IFERROR(P55/P43,0)</x:f>
        <x:v>0.6556577357979502</x:v>
      </x:c>
      <x:c r="Q56" s="118" t="n">
        <x:f>IFERROR(Q55/Q43,0)</x:f>
        <x:v>0.6552455996855443</x:v>
      </x:c>
      <x:c r="R56" s="118" t="n">
        <x:f>IFERROR(R55/R43,0)</x:f>
        <x:v>0.6549829333304984</x:v>
      </x:c>
      <x:c r="S56" s="118" t="n">
        <x:f>IFERROR(S55/S43,0)</x:f>
        <x:v>0.654733298031299</x:v>
      </x:c>
      <x:c r="T56" s="118" t="n">
        <x:f>IFERROR(T55/T43,0)</x:f>
        <x:v>0.6548096286986286</x:v>
      </x:c>
      <x:c r="U56" s="118" t="n">
        <x:f>IFERROR(U55/U43,0)</x:f>
        <x:v>0.6548543991432889</x:v>
      </x:c>
      <x:c r="V56" s="118" t="n">
        <x:f>IFERROR(V55/V43,0)</x:f>
        <x:v>0.6548981135609884</x:v>
      </x:c>
      <x:c r="W56" s="118" t="n">
        <x:f>IFERROR(W55/W43,0)</x:f>
        <x:v>0.6551097959561784</x:v>
      </x:c>
      <x:c r="X56" s="118" t="n">
        <x:f>IFERROR(X55/X43,0)</x:f>
        <x:v>0.655304802073647</x:v>
      </x:c>
      <x:c r="Y56" s="118" t="n">
        <x:f>IFERROR(Y55/Y43,0)</x:f>
        <x:v>0.655484484714777</x:v>
      </x:c>
      <x:c r="Z56" s="118" t="n">
        <x:f>IFERROR(Z55/Z43,0)</x:f>
        <x:v>0.6556500811500453</x:v>
      </x:c>
      <x:c r="AA56" s="118" t="n">
        <x:f>IFERROR(AA55/AA43,0)</x:f>
        <x:v>0.6558027238361638</x:v>
      </x:c>
      <x:c r="AB56" s="118" t="n">
        <x:f>IFERROR(AB55/AB43,0)</x:f>
        <x:v>0.6559434500167173</x:v>
      </x:c>
      <x:c r="AC56" s="118" t="n">
        <x:f>IFERROR(AC55/AC43,0)</x:f>
        <x:v>0.6560732103395808</x:v>
      </x:c>
      <x:c r="AD56" s="118" t="n">
        <x:f>IFERROR(AD55/AD43,0)</x:f>
        <x:v>0.6561928766062285</x:v>
      </x:c>
      <x:c r="AE56" s="118" t="n">
        <x:f>IFERROR(AE55/AE43,0)</x:f>
        <x:v>0.6563032487526578</x:v>
      </x:c>
      <x:c r="AF56" s="118" t="n">
        <x:f>IFERROR(AF55/AF43,0)</x:f>
        <x:v>0.6564050611485553</x:v>
      </x:c>
      <x:c r="AG56" s="118" t="n">
        <x:f>IFERROR(AG55/AG43,0)</x:f>
        <x:v>0.6564989882901852</x:v>
      </x:c>
      <x:c r="AH56" s="118" t="n">
        <x:f>IFERROR(AH55/AH43,0)</x:f>
        <x:v>0.656585649952922</x:v>
      </x:c>
      <x:c r="AI56" s="118" t="n">
        <x:f>IFERROR(AI55/AI43,0)</x:f>
        <x:v>0.6566656158611862</x:v>
      </x:c>
      <x:c r="AJ56" s="118" t="n">
        <x:f>IFERROR(AJ55/AJ43,0)</x:f>
        <x:v>0.6567394099264842</x:v>
      </x:c>
      <x:c r="AK56" s="118" t="n">
        <x:f>IFERROR(AK55/AK43,0)</x:f>
        <x:v>0.6568075140981962</x:v>
      </x:c>
      <x:c r="AL56" s="119" t="n">
        <x:f>IFERROR(AL55/AL43,0)</x:f>
        <x:v>0.6566757453885718</x:v>
      </x:c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 ht="23" customHeight="1">
      <x:c r="A58" s="416" t="str">
        <x:v>OPERATING EXPENSES</x:v>
      </x:c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9" t="str">
        <x:v>Payroll and contractors</x:v>
      </x:c>
      <x:c r="B59" s="50" t="str">
        <x:v>$</x:v>
      </x:c>
      <x:c r="C59" s="126" t="n">
        <x:f>Assumptions!$D$55*POWER(1+Assumptions!$D$61,INT((C$6-1)/3))</x:f>
        <x:v>80000</x:v>
      </x:c>
      <x:c r="D59" s="126" t="n">
        <x:f>Assumptions!$D$55*POWER(1+Assumptions!$D$61,INT((D$6-1)/3))</x:f>
        <x:v>80000</x:v>
      </x:c>
      <x:c r="E59" s="126" t="n">
        <x:f>Assumptions!$D$55*POWER(1+Assumptions!$D$61,INT((E$6-1)/3))</x:f>
        <x:v>80000</x:v>
      </x:c>
      <x:c r="F59" s="126" t="n">
        <x:f>Assumptions!$D$55*POWER(1+Assumptions!$D$61,INT((F$6-1)/3))</x:f>
        <x:v>84000</x:v>
      </x:c>
      <x:c r="G59" s="126" t="n">
        <x:f>Assumptions!$D$55*POWER(1+Assumptions!$D$61,INT((G$6-1)/3))</x:f>
        <x:v>84000</x:v>
      </x:c>
      <x:c r="H59" s="126" t="n">
        <x:f>Assumptions!$D$55*POWER(1+Assumptions!$D$61,INT((H$6-1)/3))</x:f>
        <x:v>84000</x:v>
      </x:c>
      <x:c r="I59" s="126" t="n">
        <x:f>Assumptions!$D$55*POWER(1+Assumptions!$D$61,INT((I$6-1)/3))</x:f>
        <x:v>88200</x:v>
      </x:c>
      <x:c r="J59" s="126" t="n">
        <x:f>Assumptions!$D$55*POWER(1+Assumptions!$D$61,INT((J$6-1)/3))</x:f>
        <x:v>88200</x:v>
      </x:c>
      <x:c r="K59" s="126" t="n">
        <x:f>Assumptions!$D$55*POWER(1+Assumptions!$D$61,INT((K$6-1)/3))</x:f>
        <x:v>88200</x:v>
      </x:c>
      <x:c r="L59" s="126" t="n">
        <x:f>Assumptions!$D$55*POWER(1+Assumptions!$D$61,INT((L$6-1)/3))</x:f>
        <x:v>92610.00000000001</x:v>
      </x:c>
      <x:c r="M59" s="126" t="n">
        <x:f>Assumptions!$D$55*POWER(1+Assumptions!$D$61,INT((M$6-1)/3))</x:f>
        <x:v>92610.00000000001</x:v>
      </x:c>
      <x:c r="N59" s="126" t="n">
        <x:f>Assumptions!$D$55*POWER(1+Assumptions!$D$61,INT((N$6-1)/3))</x:f>
        <x:v>92610.00000000001</x:v>
      </x:c>
      <x:c r="O59" s="126" t="n">
        <x:f>Assumptions!$D$55*POWER(1+Assumptions!$D$61,INT((O$6-1)/3))</x:f>
        <x:v>97240.5</x:v>
      </x:c>
      <x:c r="P59" s="126" t="n">
        <x:f>Assumptions!$D$55*POWER(1+Assumptions!$D$61,INT((P$6-1)/3))</x:f>
        <x:v>97240.5</x:v>
      </x:c>
      <x:c r="Q59" s="126" t="n">
        <x:f>Assumptions!$D$55*POWER(1+Assumptions!$D$61,INT((Q$6-1)/3))</x:f>
        <x:v>97240.5</x:v>
      </x:c>
      <x:c r="R59" s="126" t="n">
        <x:f>Assumptions!$D$55*POWER(1+Assumptions!$D$61,INT((R$6-1)/3))</x:f>
        <x:v>102102.52500000001</x:v>
      </x:c>
      <x:c r="S59" s="126" t="n">
        <x:f>Assumptions!$D$55*POWER(1+Assumptions!$D$61,INT((S$6-1)/3))</x:f>
        <x:v>102102.52500000001</x:v>
      </x:c>
      <x:c r="T59" s="126" t="n">
        <x:f>Assumptions!$D$55*POWER(1+Assumptions!$D$61,INT((T$6-1)/3))</x:f>
        <x:v>102102.52500000001</x:v>
      </x:c>
      <x:c r="U59" s="126" t="n">
        <x:f>Assumptions!$D$55*POWER(1+Assumptions!$D$61,INT((U$6-1)/3))</x:f>
        <x:v>107207.65125</x:v>
      </x:c>
      <x:c r="V59" s="126" t="n">
        <x:f>Assumptions!$D$55*POWER(1+Assumptions!$D$61,INT((V$6-1)/3))</x:f>
        <x:v>107207.65125</x:v>
      </x:c>
      <x:c r="W59" s="126" t="n">
        <x:f>Assumptions!$D$55*POWER(1+Assumptions!$D$61,INT((W$6-1)/3))</x:f>
        <x:v>107207.65125</x:v>
      </x:c>
      <x:c r="X59" s="126" t="n">
        <x:f>Assumptions!$D$55*POWER(1+Assumptions!$D$61,INT((X$6-1)/3))</x:f>
        <x:v>112568.03381250001</x:v>
      </x:c>
      <x:c r="Y59" s="126" t="n">
        <x:f>Assumptions!$D$55*POWER(1+Assumptions!$D$61,INT((Y$6-1)/3))</x:f>
        <x:v>112568.03381250001</x:v>
      </x:c>
      <x:c r="Z59" s="126" t="n">
        <x:f>Assumptions!$D$55*POWER(1+Assumptions!$D$61,INT((Z$6-1)/3))</x:f>
        <x:v>112568.03381250001</x:v>
      </x:c>
      <x:c r="AA59" s="126" t="n">
        <x:f>Assumptions!$D$55*POWER(1+Assumptions!$D$61,INT((AA$6-1)/3))</x:f>
        <x:v>118196.435503125</x:v>
      </x:c>
      <x:c r="AB59" s="126" t="n">
        <x:f>Assumptions!$D$55*POWER(1+Assumptions!$D$61,INT((AB$6-1)/3))</x:f>
        <x:v>118196.435503125</x:v>
      </x:c>
      <x:c r="AC59" s="126" t="n">
        <x:f>Assumptions!$D$55*POWER(1+Assumptions!$D$61,INT((AC$6-1)/3))</x:f>
        <x:v>118196.435503125</x:v>
      </x:c>
      <x:c r="AD59" s="126" t="n">
        <x:f>Assumptions!$D$55*POWER(1+Assumptions!$D$61,INT((AD$6-1)/3))</x:f>
        <x:v>124106.25727828126</x:v>
      </x:c>
      <x:c r="AE59" s="126" t="n">
        <x:f>Assumptions!$D$55*POWER(1+Assumptions!$D$61,INT((AE$6-1)/3))</x:f>
        <x:v>124106.25727828126</x:v>
      </x:c>
      <x:c r="AF59" s="126" t="n">
        <x:f>Assumptions!$D$55*POWER(1+Assumptions!$D$61,INT((AF$6-1)/3))</x:f>
        <x:v>124106.25727828126</x:v>
      </x:c>
      <x:c r="AG59" s="126" t="n">
        <x:f>Assumptions!$D$55*POWER(1+Assumptions!$D$61,INT((AG$6-1)/3))</x:f>
        <x:v>130311.57014219533</x:v>
      </x:c>
      <x:c r="AH59" s="126" t="n">
        <x:f>Assumptions!$D$55*POWER(1+Assumptions!$D$61,INT((AH$6-1)/3))</x:f>
        <x:v>130311.57014219533</x:v>
      </x:c>
      <x:c r="AI59" s="126" t="n">
        <x:f>Assumptions!$D$55*POWER(1+Assumptions!$D$61,INT((AI$6-1)/3))</x:f>
        <x:v>130311.57014219533</x:v>
      </x:c>
      <x:c r="AJ59" s="126" t="n">
        <x:f>Assumptions!$D$55*POWER(1+Assumptions!$D$61,INT((AJ$6-1)/3))</x:f>
        <x:v>136827.1486493051</x:v>
      </x:c>
      <x:c r="AK59" s="126" t="n">
        <x:f>Assumptions!$D$55*POWER(1+Assumptions!$D$61,INT((AK$6-1)/3))</x:f>
        <x:v>136827.1486493051</x:v>
      </x:c>
      <x:c r="AL59" s="127" t="n">
        <x:f>Assumptions!$D$55*POWER(1+Assumptions!$D$61,INT((AL$6-1)/3))</x:f>
        <x:v>136827.1486493051</x:v>
      </x:c>
    </x:row>
    <x:row r="60">
      <x:c r="A60" s="49" t="str">
        <x:v>Product and hosting</x:v>
      </x:c>
      <x:c r="B60" s="50" t="str">
        <x:v>$</x:v>
      </x:c>
      <x:c r="C60" s="126" t="n">
        <x:f>Assumptions!$D$56*POWER(1+Assumptions!$D$61,INT((C$6-1)/3))</x:f>
        <x:v>15000</x:v>
      </x:c>
      <x:c r="D60" s="126" t="n">
        <x:f>Assumptions!$D$56*POWER(1+Assumptions!$D$61,INT((D$6-1)/3))</x:f>
        <x:v>15000</x:v>
      </x:c>
      <x:c r="E60" s="126" t="n">
        <x:f>Assumptions!$D$56*POWER(1+Assumptions!$D$61,INT((E$6-1)/3))</x:f>
        <x:v>15000</x:v>
      </x:c>
      <x:c r="F60" s="126" t="n">
        <x:f>Assumptions!$D$56*POWER(1+Assumptions!$D$61,INT((F$6-1)/3))</x:f>
        <x:v>15750</x:v>
      </x:c>
      <x:c r="G60" s="126" t="n">
        <x:f>Assumptions!$D$56*POWER(1+Assumptions!$D$61,INT((G$6-1)/3))</x:f>
        <x:v>15750</x:v>
      </x:c>
      <x:c r="H60" s="126" t="n">
        <x:f>Assumptions!$D$56*POWER(1+Assumptions!$D$61,INT((H$6-1)/3))</x:f>
        <x:v>15750</x:v>
      </x:c>
      <x:c r="I60" s="126" t="n">
        <x:f>Assumptions!$D$56*POWER(1+Assumptions!$D$61,INT((I$6-1)/3))</x:f>
        <x:v>16537.5</x:v>
      </x:c>
      <x:c r="J60" s="126" t="n">
        <x:f>Assumptions!$D$56*POWER(1+Assumptions!$D$61,INT((J$6-1)/3))</x:f>
        <x:v>16537.5</x:v>
      </x:c>
      <x:c r="K60" s="126" t="n">
        <x:f>Assumptions!$D$56*POWER(1+Assumptions!$D$61,INT((K$6-1)/3))</x:f>
        <x:v>16537.5</x:v>
      </x:c>
      <x:c r="L60" s="126" t="n">
        <x:f>Assumptions!$D$56*POWER(1+Assumptions!$D$61,INT((L$6-1)/3))</x:f>
        <x:v>17364.375000000004</x:v>
      </x:c>
      <x:c r="M60" s="126" t="n">
        <x:f>Assumptions!$D$56*POWER(1+Assumptions!$D$61,INT((M$6-1)/3))</x:f>
        <x:v>17364.375000000004</x:v>
      </x:c>
      <x:c r="N60" s="126" t="n">
        <x:f>Assumptions!$D$56*POWER(1+Assumptions!$D$61,INT((N$6-1)/3))</x:f>
        <x:v>17364.375000000004</x:v>
      </x:c>
      <x:c r="O60" s="126" t="n">
        <x:f>Assumptions!$D$56*POWER(1+Assumptions!$D$61,INT((O$6-1)/3))</x:f>
        <x:v>18232.59375</x:v>
      </x:c>
      <x:c r="P60" s="126" t="n">
        <x:f>Assumptions!$D$56*POWER(1+Assumptions!$D$61,INT((P$6-1)/3))</x:f>
        <x:v>18232.59375</x:v>
      </x:c>
      <x:c r="Q60" s="126" t="n">
        <x:f>Assumptions!$D$56*POWER(1+Assumptions!$D$61,INT((Q$6-1)/3))</x:f>
        <x:v>18232.59375</x:v>
      </x:c>
      <x:c r="R60" s="126" t="n">
        <x:f>Assumptions!$D$56*POWER(1+Assumptions!$D$61,INT((R$6-1)/3))</x:f>
        <x:v>19144.2234375</x:v>
      </x:c>
      <x:c r="S60" s="126" t="n">
        <x:f>Assumptions!$D$56*POWER(1+Assumptions!$D$61,INT((S$6-1)/3))</x:f>
        <x:v>19144.2234375</x:v>
      </x:c>
      <x:c r="T60" s="126" t="n">
        <x:f>Assumptions!$D$56*POWER(1+Assumptions!$D$61,INT((T$6-1)/3))</x:f>
        <x:v>19144.2234375</x:v>
      </x:c>
      <x:c r="U60" s="126" t="n">
        <x:f>Assumptions!$D$56*POWER(1+Assumptions!$D$61,INT((U$6-1)/3))</x:f>
        <x:v>20101.434609375</x:v>
      </x:c>
      <x:c r="V60" s="126" t="n">
        <x:f>Assumptions!$D$56*POWER(1+Assumptions!$D$61,INT((V$6-1)/3))</x:f>
        <x:v>20101.434609375</x:v>
      </x:c>
      <x:c r="W60" s="126" t="n">
        <x:f>Assumptions!$D$56*POWER(1+Assumptions!$D$61,INT((W$6-1)/3))</x:f>
        <x:v>20101.434609375</x:v>
      </x:c>
      <x:c r="X60" s="126" t="n">
        <x:f>Assumptions!$D$56*POWER(1+Assumptions!$D$61,INT((X$6-1)/3))</x:f>
        <x:v>21106.506339843752</x:v>
      </x:c>
      <x:c r="Y60" s="126" t="n">
        <x:f>Assumptions!$D$56*POWER(1+Assumptions!$D$61,INT((Y$6-1)/3))</x:f>
        <x:v>21106.506339843752</x:v>
      </x:c>
      <x:c r="Z60" s="126" t="n">
        <x:f>Assumptions!$D$56*POWER(1+Assumptions!$D$61,INT((Z$6-1)/3))</x:f>
        <x:v>21106.506339843752</x:v>
      </x:c>
      <x:c r="AA60" s="126" t="n">
        <x:f>Assumptions!$D$56*POWER(1+Assumptions!$D$61,INT((AA$6-1)/3))</x:f>
        <x:v>22161.831656835937</x:v>
      </x:c>
      <x:c r="AB60" s="126" t="n">
        <x:f>Assumptions!$D$56*POWER(1+Assumptions!$D$61,INT((AB$6-1)/3))</x:f>
        <x:v>22161.831656835937</x:v>
      </x:c>
      <x:c r="AC60" s="126" t="n">
        <x:f>Assumptions!$D$56*POWER(1+Assumptions!$D$61,INT((AC$6-1)/3))</x:f>
        <x:v>22161.831656835937</x:v>
      </x:c>
      <x:c r="AD60" s="126" t="n">
        <x:f>Assumptions!$D$56*POWER(1+Assumptions!$D$61,INT((AD$6-1)/3))</x:f>
        <x:v>23269.923239677737</x:v>
      </x:c>
      <x:c r="AE60" s="126" t="n">
        <x:f>Assumptions!$D$56*POWER(1+Assumptions!$D$61,INT((AE$6-1)/3))</x:f>
        <x:v>23269.923239677737</x:v>
      </x:c>
      <x:c r="AF60" s="126" t="n">
        <x:f>Assumptions!$D$56*POWER(1+Assumptions!$D$61,INT((AF$6-1)/3))</x:f>
        <x:v>23269.923239677737</x:v>
      </x:c>
      <x:c r="AG60" s="126" t="n">
        <x:f>Assumptions!$D$56*POWER(1+Assumptions!$D$61,INT((AG$6-1)/3))</x:f>
        <x:v>24433.419401661624</x:v>
      </x:c>
      <x:c r="AH60" s="126" t="n">
        <x:f>Assumptions!$D$56*POWER(1+Assumptions!$D$61,INT((AH$6-1)/3))</x:f>
        <x:v>24433.419401661624</x:v>
      </x:c>
      <x:c r="AI60" s="126" t="n">
        <x:f>Assumptions!$D$56*POWER(1+Assumptions!$D$61,INT((AI$6-1)/3))</x:f>
        <x:v>24433.419401661624</x:v>
      </x:c>
      <x:c r="AJ60" s="126" t="n">
        <x:f>Assumptions!$D$56*POWER(1+Assumptions!$D$61,INT((AJ$6-1)/3))</x:f>
        <x:v>25655.090371744707</x:v>
      </x:c>
      <x:c r="AK60" s="126" t="n">
        <x:f>Assumptions!$D$56*POWER(1+Assumptions!$D$61,INT((AK$6-1)/3))</x:f>
        <x:v>25655.090371744707</x:v>
      </x:c>
      <x:c r="AL60" s="127" t="n">
        <x:f>Assumptions!$D$56*POWER(1+Assumptions!$D$61,INT((AL$6-1)/3))</x:f>
        <x:v>25655.090371744707</x:v>
      </x:c>
    </x:row>
    <x:row r="61">
      <x:c r="A61" s="49" t="str">
        <x:v>G&amp;A</x:v>
      </x:c>
      <x:c r="B61" s="50" t="str">
        <x:v>$</x:v>
      </x:c>
      <x:c r="C61" s="126" t="n">
        <x:f>Assumptions!$D$57*POWER(1+Assumptions!$D$61,INT((C$6-1)/3))</x:f>
        <x:v>10000</x:v>
      </x:c>
      <x:c r="D61" s="126" t="n">
        <x:f>Assumptions!$D$57*POWER(1+Assumptions!$D$61,INT((D$6-1)/3))</x:f>
        <x:v>10000</x:v>
      </x:c>
      <x:c r="E61" s="126" t="n">
        <x:f>Assumptions!$D$57*POWER(1+Assumptions!$D$61,INT((E$6-1)/3))</x:f>
        <x:v>10000</x:v>
      </x:c>
      <x:c r="F61" s="126" t="n">
        <x:f>Assumptions!$D$57*POWER(1+Assumptions!$D$61,INT((F$6-1)/3))</x:f>
        <x:v>10500</x:v>
      </x:c>
      <x:c r="G61" s="126" t="n">
        <x:f>Assumptions!$D$57*POWER(1+Assumptions!$D$61,INT((G$6-1)/3))</x:f>
        <x:v>10500</x:v>
      </x:c>
      <x:c r="H61" s="126" t="n">
        <x:f>Assumptions!$D$57*POWER(1+Assumptions!$D$61,INT((H$6-1)/3))</x:f>
        <x:v>10500</x:v>
      </x:c>
      <x:c r="I61" s="126" t="n">
        <x:f>Assumptions!$D$57*POWER(1+Assumptions!$D$61,INT((I$6-1)/3))</x:f>
        <x:v>11025</x:v>
      </x:c>
      <x:c r="J61" s="126" t="n">
        <x:f>Assumptions!$D$57*POWER(1+Assumptions!$D$61,INT((J$6-1)/3))</x:f>
        <x:v>11025</x:v>
      </x:c>
      <x:c r="K61" s="126" t="n">
        <x:f>Assumptions!$D$57*POWER(1+Assumptions!$D$61,INT((K$6-1)/3))</x:f>
        <x:v>11025</x:v>
      </x:c>
      <x:c r="L61" s="126" t="n">
        <x:f>Assumptions!$D$57*POWER(1+Assumptions!$D$61,INT((L$6-1)/3))</x:f>
        <x:v>11576.250000000002</x:v>
      </x:c>
      <x:c r="M61" s="126" t="n">
        <x:f>Assumptions!$D$57*POWER(1+Assumptions!$D$61,INT((M$6-1)/3))</x:f>
        <x:v>11576.250000000002</x:v>
      </x:c>
      <x:c r="N61" s="126" t="n">
        <x:f>Assumptions!$D$57*POWER(1+Assumptions!$D$61,INT((N$6-1)/3))</x:f>
        <x:v>11576.250000000002</x:v>
      </x:c>
      <x:c r="O61" s="126" t="n">
        <x:f>Assumptions!$D$57*POWER(1+Assumptions!$D$61,INT((O$6-1)/3))</x:f>
        <x:v>12155.0625</x:v>
      </x:c>
      <x:c r="P61" s="126" t="n">
        <x:f>Assumptions!$D$57*POWER(1+Assumptions!$D$61,INT((P$6-1)/3))</x:f>
        <x:v>12155.0625</x:v>
      </x:c>
      <x:c r="Q61" s="126" t="n">
        <x:f>Assumptions!$D$57*POWER(1+Assumptions!$D$61,INT((Q$6-1)/3))</x:f>
        <x:v>12155.0625</x:v>
      </x:c>
      <x:c r="R61" s="126" t="n">
        <x:f>Assumptions!$D$57*POWER(1+Assumptions!$D$61,INT((R$6-1)/3))</x:f>
        <x:v>12762.815625000001</x:v>
      </x:c>
      <x:c r="S61" s="126" t="n">
        <x:f>Assumptions!$D$57*POWER(1+Assumptions!$D$61,INT((S$6-1)/3))</x:f>
        <x:v>12762.815625000001</x:v>
      </x:c>
      <x:c r="T61" s="126" t="n">
        <x:f>Assumptions!$D$57*POWER(1+Assumptions!$D$61,INT((T$6-1)/3))</x:f>
        <x:v>12762.815625000001</x:v>
      </x:c>
      <x:c r="U61" s="126" t="n">
        <x:f>Assumptions!$D$57*POWER(1+Assumptions!$D$61,INT((U$6-1)/3))</x:f>
        <x:v>13400.95640625</x:v>
      </x:c>
      <x:c r="V61" s="126" t="n">
        <x:f>Assumptions!$D$57*POWER(1+Assumptions!$D$61,INT((V$6-1)/3))</x:f>
        <x:v>13400.95640625</x:v>
      </x:c>
      <x:c r="W61" s="126" t="n">
        <x:f>Assumptions!$D$57*POWER(1+Assumptions!$D$61,INT((W$6-1)/3))</x:f>
        <x:v>13400.95640625</x:v>
      </x:c>
      <x:c r="X61" s="126" t="n">
        <x:f>Assumptions!$D$57*POWER(1+Assumptions!$D$61,INT((X$6-1)/3))</x:f>
        <x:v>14071.004226562502</x:v>
      </x:c>
      <x:c r="Y61" s="126" t="n">
        <x:f>Assumptions!$D$57*POWER(1+Assumptions!$D$61,INT((Y$6-1)/3))</x:f>
        <x:v>14071.004226562502</x:v>
      </x:c>
      <x:c r="Z61" s="126" t="n">
        <x:f>Assumptions!$D$57*POWER(1+Assumptions!$D$61,INT((Z$6-1)/3))</x:f>
        <x:v>14071.004226562502</x:v>
      </x:c>
      <x:c r="AA61" s="126" t="n">
        <x:f>Assumptions!$D$57*POWER(1+Assumptions!$D$61,INT((AA$6-1)/3))</x:f>
        <x:v>14774.554437890625</x:v>
      </x:c>
      <x:c r="AB61" s="126" t="n">
        <x:f>Assumptions!$D$57*POWER(1+Assumptions!$D$61,INT((AB$6-1)/3))</x:f>
        <x:v>14774.554437890625</x:v>
      </x:c>
      <x:c r="AC61" s="126" t="n">
        <x:f>Assumptions!$D$57*POWER(1+Assumptions!$D$61,INT((AC$6-1)/3))</x:f>
        <x:v>14774.554437890625</x:v>
      </x:c>
      <x:c r="AD61" s="126" t="n">
        <x:f>Assumptions!$D$57*POWER(1+Assumptions!$D$61,INT((AD$6-1)/3))</x:f>
        <x:v>15513.282159785158</x:v>
      </x:c>
      <x:c r="AE61" s="126" t="n">
        <x:f>Assumptions!$D$57*POWER(1+Assumptions!$D$61,INT((AE$6-1)/3))</x:f>
        <x:v>15513.282159785158</x:v>
      </x:c>
      <x:c r="AF61" s="126" t="n">
        <x:f>Assumptions!$D$57*POWER(1+Assumptions!$D$61,INT((AF$6-1)/3))</x:f>
        <x:v>15513.282159785158</x:v>
      </x:c>
      <x:c r="AG61" s="126" t="n">
        <x:f>Assumptions!$D$57*POWER(1+Assumptions!$D$61,INT((AG$6-1)/3))</x:f>
        <x:v>16288.946267774416</x:v>
      </x:c>
      <x:c r="AH61" s="126" t="n">
        <x:f>Assumptions!$D$57*POWER(1+Assumptions!$D$61,INT((AH$6-1)/3))</x:f>
        <x:v>16288.946267774416</x:v>
      </x:c>
      <x:c r="AI61" s="126" t="n">
        <x:f>Assumptions!$D$57*POWER(1+Assumptions!$D$61,INT((AI$6-1)/3))</x:f>
        <x:v>16288.946267774416</x:v>
      </x:c>
      <x:c r="AJ61" s="126" t="n">
        <x:f>Assumptions!$D$57*POWER(1+Assumptions!$D$61,INT((AJ$6-1)/3))</x:f>
        <x:v>17103.393581163138</x:v>
      </x:c>
      <x:c r="AK61" s="126" t="n">
        <x:f>Assumptions!$D$57*POWER(1+Assumptions!$D$61,INT((AK$6-1)/3))</x:f>
        <x:v>17103.393581163138</x:v>
      </x:c>
      <x:c r="AL61" s="127" t="n">
        <x:f>Assumptions!$D$57*POWER(1+Assumptions!$D$61,INT((AL$6-1)/3))</x:f>
        <x:v>17103.393581163138</x:v>
      </x:c>
    </x:row>
    <x:row r="62">
      <x:c r="A62" s="49" t="str">
        <x:v>Legal, security, and compliance</x:v>
      </x:c>
      <x:c r="B62" s="50" t="str">
        <x:v>$</x:v>
      </x:c>
      <x:c r="C62" s="126" t="n">
        <x:f>Assumptions!$D$58*POWER(1+Assumptions!$D$61,INT((C$6-1)/3))</x:f>
        <x:v>8000</x:v>
      </x:c>
      <x:c r="D62" s="126" t="n">
        <x:f>Assumptions!$D$58*POWER(1+Assumptions!$D$61,INT((D$6-1)/3))</x:f>
        <x:v>8000</x:v>
      </x:c>
      <x:c r="E62" s="126" t="n">
        <x:f>Assumptions!$D$58*POWER(1+Assumptions!$D$61,INT((E$6-1)/3))</x:f>
        <x:v>8000</x:v>
      </x:c>
      <x:c r="F62" s="126" t="n">
        <x:f>Assumptions!$D$58*POWER(1+Assumptions!$D$61,INT((F$6-1)/3))</x:f>
        <x:v>8400</x:v>
      </x:c>
      <x:c r="G62" s="126" t="n">
        <x:f>Assumptions!$D$58*POWER(1+Assumptions!$D$61,INT((G$6-1)/3))</x:f>
        <x:v>8400</x:v>
      </x:c>
      <x:c r="H62" s="126" t="n">
        <x:f>Assumptions!$D$58*POWER(1+Assumptions!$D$61,INT((H$6-1)/3))</x:f>
        <x:v>8400</x:v>
      </x:c>
      <x:c r="I62" s="126" t="n">
        <x:f>Assumptions!$D$58*POWER(1+Assumptions!$D$61,INT((I$6-1)/3))</x:f>
        <x:v>8820</x:v>
      </x:c>
      <x:c r="J62" s="126" t="n">
        <x:f>Assumptions!$D$58*POWER(1+Assumptions!$D$61,INT((J$6-1)/3))</x:f>
        <x:v>8820</x:v>
      </x:c>
      <x:c r="K62" s="126" t="n">
        <x:f>Assumptions!$D$58*POWER(1+Assumptions!$D$61,INT((K$6-1)/3))</x:f>
        <x:v>8820</x:v>
      </x:c>
      <x:c r="L62" s="126" t="n">
        <x:f>Assumptions!$D$58*POWER(1+Assumptions!$D$61,INT((L$6-1)/3))</x:f>
        <x:v>9261.000000000002</x:v>
      </x:c>
      <x:c r="M62" s="126" t="n">
        <x:f>Assumptions!$D$58*POWER(1+Assumptions!$D$61,INT((M$6-1)/3))</x:f>
        <x:v>9261.000000000002</x:v>
      </x:c>
      <x:c r="N62" s="126" t="n">
        <x:f>Assumptions!$D$58*POWER(1+Assumptions!$D$61,INT((N$6-1)/3))</x:f>
        <x:v>9261.000000000002</x:v>
      </x:c>
      <x:c r="O62" s="126" t="n">
        <x:f>Assumptions!$D$58*POWER(1+Assumptions!$D$61,INT((O$6-1)/3))</x:f>
        <x:v>9724.05</x:v>
      </x:c>
      <x:c r="P62" s="126" t="n">
        <x:f>Assumptions!$D$58*POWER(1+Assumptions!$D$61,INT((P$6-1)/3))</x:f>
        <x:v>9724.05</x:v>
      </x:c>
      <x:c r="Q62" s="126" t="n">
        <x:f>Assumptions!$D$58*POWER(1+Assumptions!$D$61,INT((Q$6-1)/3))</x:f>
        <x:v>9724.05</x:v>
      </x:c>
      <x:c r="R62" s="126" t="n">
        <x:f>Assumptions!$D$58*POWER(1+Assumptions!$D$61,INT((R$6-1)/3))</x:f>
        <x:v>10210.2525</x:v>
      </x:c>
      <x:c r="S62" s="126" t="n">
        <x:f>Assumptions!$D$58*POWER(1+Assumptions!$D$61,INT((S$6-1)/3))</x:f>
        <x:v>10210.2525</x:v>
      </x:c>
      <x:c r="T62" s="126" t="n">
        <x:f>Assumptions!$D$58*POWER(1+Assumptions!$D$61,INT((T$6-1)/3))</x:f>
        <x:v>10210.2525</x:v>
      </x:c>
      <x:c r="U62" s="126" t="n">
        <x:f>Assumptions!$D$58*POWER(1+Assumptions!$D$61,INT((U$6-1)/3))</x:f>
        <x:v>10720.765125</x:v>
      </x:c>
      <x:c r="V62" s="126" t="n">
        <x:f>Assumptions!$D$58*POWER(1+Assumptions!$D$61,INT((V$6-1)/3))</x:f>
        <x:v>10720.765125</x:v>
      </x:c>
      <x:c r="W62" s="126" t="n">
        <x:f>Assumptions!$D$58*POWER(1+Assumptions!$D$61,INT((W$6-1)/3))</x:f>
        <x:v>10720.765125</x:v>
      </x:c>
      <x:c r="X62" s="126" t="n">
        <x:f>Assumptions!$D$58*POWER(1+Assumptions!$D$61,INT((X$6-1)/3))</x:f>
        <x:v>11256.803381250002</x:v>
      </x:c>
      <x:c r="Y62" s="126" t="n">
        <x:f>Assumptions!$D$58*POWER(1+Assumptions!$D$61,INT((Y$6-1)/3))</x:f>
        <x:v>11256.803381250002</x:v>
      </x:c>
      <x:c r="Z62" s="126" t="n">
        <x:f>Assumptions!$D$58*POWER(1+Assumptions!$D$61,INT((Z$6-1)/3))</x:f>
        <x:v>11256.803381250002</x:v>
      </x:c>
      <x:c r="AA62" s="126" t="n">
        <x:f>Assumptions!$D$58*POWER(1+Assumptions!$D$61,INT((AA$6-1)/3))</x:f>
        <x:v>11819.643550312501</x:v>
      </x:c>
      <x:c r="AB62" s="126" t="n">
        <x:f>Assumptions!$D$58*POWER(1+Assumptions!$D$61,INT((AB$6-1)/3))</x:f>
        <x:v>11819.643550312501</x:v>
      </x:c>
      <x:c r="AC62" s="126" t="n">
        <x:f>Assumptions!$D$58*POWER(1+Assumptions!$D$61,INT((AC$6-1)/3))</x:f>
        <x:v>11819.643550312501</x:v>
      </x:c>
      <x:c r="AD62" s="126" t="n">
        <x:f>Assumptions!$D$58*POWER(1+Assumptions!$D$61,INT((AD$6-1)/3))</x:f>
        <x:v>12410.625727828126</x:v>
      </x:c>
      <x:c r="AE62" s="126" t="n">
        <x:f>Assumptions!$D$58*POWER(1+Assumptions!$D$61,INT((AE$6-1)/3))</x:f>
        <x:v>12410.625727828126</x:v>
      </x:c>
      <x:c r="AF62" s="126" t="n">
        <x:f>Assumptions!$D$58*POWER(1+Assumptions!$D$61,INT((AF$6-1)/3))</x:f>
        <x:v>12410.625727828126</x:v>
      </x:c>
      <x:c r="AG62" s="126" t="n">
        <x:f>Assumptions!$D$58*POWER(1+Assumptions!$D$61,INT((AG$6-1)/3))</x:f>
        <x:v>13031.157014219532</x:v>
      </x:c>
      <x:c r="AH62" s="126" t="n">
        <x:f>Assumptions!$D$58*POWER(1+Assumptions!$D$61,INT((AH$6-1)/3))</x:f>
        <x:v>13031.157014219532</x:v>
      </x:c>
      <x:c r="AI62" s="126" t="n">
        <x:f>Assumptions!$D$58*POWER(1+Assumptions!$D$61,INT((AI$6-1)/3))</x:f>
        <x:v>13031.157014219532</x:v>
      </x:c>
      <x:c r="AJ62" s="126" t="n">
        <x:f>Assumptions!$D$58*POWER(1+Assumptions!$D$61,INT((AJ$6-1)/3))</x:f>
        <x:v>13682.71486493051</x:v>
      </x:c>
      <x:c r="AK62" s="126" t="n">
        <x:f>Assumptions!$D$58*POWER(1+Assumptions!$D$61,INT((AK$6-1)/3))</x:f>
        <x:v>13682.71486493051</x:v>
      </x:c>
      <x:c r="AL62" s="127" t="n">
        <x:f>Assumptions!$D$58*POWER(1+Assumptions!$D$61,INT((AL$6-1)/3))</x:f>
        <x:v>13682.71486493051</x:v>
      </x:c>
    </x:row>
    <x:row r="63">
      <x:c r="A63" s="49" t="str">
        <x:v>Fixed marketing</x:v>
      </x:c>
      <x:c r="B63" s="50" t="str">
        <x:v>$</x:v>
      </x:c>
      <x:c r="C63" s="126" t="n">
        <x:f>Assumptions!$D$59*POWER(1+Assumptions!$D$61,INT((C$6-1)/3))</x:f>
        <x:v>10000</x:v>
      </x:c>
      <x:c r="D63" s="126" t="n">
        <x:f>Assumptions!$D$59*POWER(1+Assumptions!$D$61,INT((D$6-1)/3))</x:f>
        <x:v>10000</x:v>
      </x:c>
      <x:c r="E63" s="126" t="n">
        <x:f>Assumptions!$D$59*POWER(1+Assumptions!$D$61,INT((E$6-1)/3))</x:f>
        <x:v>10000</x:v>
      </x:c>
      <x:c r="F63" s="126" t="n">
        <x:f>Assumptions!$D$59*POWER(1+Assumptions!$D$61,INT((F$6-1)/3))</x:f>
        <x:v>10500</x:v>
      </x:c>
      <x:c r="G63" s="126" t="n">
        <x:f>Assumptions!$D$59*POWER(1+Assumptions!$D$61,INT((G$6-1)/3))</x:f>
        <x:v>10500</x:v>
      </x:c>
      <x:c r="H63" s="126" t="n">
        <x:f>Assumptions!$D$59*POWER(1+Assumptions!$D$61,INT((H$6-1)/3))</x:f>
        <x:v>10500</x:v>
      </x:c>
      <x:c r="I63" s="126" t="n">
        <x:f>Assumptions!$D$59*POWER(1+Assumptions!$D$61,INT((I$6-1)/3))</x:f>
        <x:v>11025</x:v>
      </x:c>
      <x:c r="J63" s="126" t="n">
        <x:f>Assumptions!$D$59*POWER(1+Assumptions!$D$61,INT((J$6-1)/3))</x:f>
        <x:v>11025</x:v>
      </x:c>
      <x:c r="K63" s="126" t="n">
        <x:f>Assumptions!$D$59*POWER(1+Assumptions!$D$61,INT((K$6-1)/3))</x:f>
        <x:v>11025</x:v>
      </x:c>
      <x:c r="L63" s="126" t="n">
        <x:f>Assumptions!$D$59*POWER(1+Assumptions!$D$61,INT((L$6-1)/3))</x:f>
        <x:v>11576.250000000002</x:v>
      </x:c>
      <x:c r="M63" s="126" t="n">
        <x:f>Assumptions!$D$59*POWER(1+Assumptions!$D$61,INT((M$6-1)/3))</x:f>
        <x:v>11576.250000000002</x:v>
      </x:c>
      <x:c r="N63" s="126" t="n">
        <x:f>Assumptions!$D$59*POWER(1+Assumptions!$D$61,INT((N$6-1)/3))</x:f>
        <x:v>11576.250000000002</x:v>
      </x:c>
      <x:c r="O63" s="126" t="n">
        <x:f>Assumptions!$D$59*POWER(1+Assumptions!$D$61,INT((O$6-1)/3))</x:f>
        <x:v>12155.0625</x:v>
      </x:c>
      <x:c r="P63" s="126" t="n">
        <x:f>Assumptions!$D$59*POWER(1+Assumptions!$D$61,INT((P$6-1)/3))</x:f>
        <x:v>12155.0625</x:v>
      </x:c>
      <x:c r="Q63" s="126" t="n">
        <x:f>Assumptions!$D$59*POWER(1+Assumptions!$D$61,INT((Q$6-1)/3))</x:f>
        <x:v>12155.0625</x:v>
      </x:c>
      <x:c r="R63" s="126" t="n">
        <x:f>Assumptions!$D$59*POWER(1+Assumptions!$D$61,INT((R$6-1)/3))</x:f>
        <x:v>12762.815625000001</x:v>
      </x:c>
      <x:c r="S63" s="126" t="n">
        <x:f>Assumptions!$D$59*POWER(1+Assumptions!$D$61,INT((S$6-1)/3))</x:f>
        <x:v>12762.815625000001</x:v>
      </x:c>
      <x:c r="T63" s="126" t="n">
        <x:f>Assumptions!$D$59*POWER(1+Assumptions!$D$61,INT((T$6-1)/3))</x:f>
        <x:v>12762.815625000001</x:v>
      </x:c>
      <x:c r="U63" s="126" t="n">
        <x:f>Assumptions!$D$59*POWER(1+Assumptions!$D$61,INT((U$6-1)/3))</x:f>
        <x:v>13400.95640625</x:v>
      </x:c>
      <x:c r="V63" s="126" t="n">
        <x:f>Assumptions!$D$59*POWER(1+Assumptions!$D$61,INT((V$6-1)/3))</x:f>
        <x:v>13400.95640625</x:v>
      </x:c>
      <x:c r="W63" s="126" t="n">
        <x:f>Assumptions!$D$59*POWER(1+Assumptions!$D$61,INT((W$6-1)/3))</x:f>
        <x:v>13400.95640625</x:v>
      </x:c>
      <x:c r="X63" s="126" t="n">
        <x:f>Assumptions!$D$59*POWER(1+Assumptions!$D$61,INT((X$6-1)/3))</x:f>
        <x:v>14071.004226562502</x:v>
      </x:c>
      <x:c r="Y63" s="126" t="n">
        <x:f>Assumptions!$D$59*POWER(1+Assumptions!$D$61,INT((Y$6-1)/3))</x:f>
        <x:v>14071.004226562502</x:v>
      </x:c>
      <x:c r="Z63" s="126" t="n">
        <x:f>Assumptions!$D$59*POWER(1+Assumptions!$D$61,INT((Z$6-1)/3))</x:f>
        <x:v>14071.004226562502</x:v>
      </x:c>
      <x:c r="AA63" s="126" t="n">
        <x:f>Assumptions!$D$59*POWER(1+Assumptions!$D$61,INT((AA$6-1)/3))</x:f>
        <x:v>14774.554437890625</x:v>
      </x:c>
      <x:c r="AB63" s="126" t="n">
        <x:f>Assumptions!$D$59*POWER(1+Assumptions!$D$61,INT((AB$6-1)/3))</x:f>
        <x:v>14774.554437890625</x:v>
      </x:c>
      <x:c r="AC63" s="126" t="n">
        <x:f>Assumptions!$D$59*POWER(1+Assumptions!$D$61,INT((AC$6-1)/3))</x:f>
        <x:v>14774.554437890625</x:v>
      </x:c>
      <x:c r="AD63" s="126" t="n">
        <x:f>Assumptions!$D$59*POWER(1+Assumptions!$D$61,INT((AD$6-1)/3))</x:f>
        <x:v>15513.282159785158</x:v>
      </x:c>
      <x:c r="AE63" s="126" t="n">
        <x:f>Assumptions!$D$59*POWER(1+Assumptions!$D$61,INT((AE$6-1)/3))</x:f>
        <x:v>15513.282159785158</x:v>
      </x:c>
      <x:c r="AF63" s="126" t="n">
        <x:f>Assumptions!$D$59*POWER(1+Assumptions!$D$61,INT((AF$6-1)/3))</x:f>
        <x:v>15513.282159785158</x:v>
      </x:c>
      <x:c r="AG63" s="126" t="n">
        <x:f>Assumptions!$D$59*POWER(1+Assumptions!$D$61,INT((AG$6-1)/3))</x:f>
        <x:v>16288.946267774416</x:v>
      </x:c>
      <x:c r="AH63" s="126" t="n">
        <x:f>Assumptions!$D$59*POWER(1+Assumptions!$D$61,INT((AH$6-1)/3))</x:f>
        <x:v>16288.946267774416</x:v>
      </x:c>
      <x:c r="AI63" s="126" t="n">
        <x:f>Assumptions!$D$59*POWER(1+Assumptions!$D$61,INT((AI$6-1)/3))</x:f>
        <x:v>16288.946267774416</x:v>
      </x:c>
      <x:c r="AJ63" s="126" t="n">
        <x:f>Assumptions!$D$59*POWER(1+Assumptions!$D$61,INT((AJ$6-1)/3))</x:f>
        <x:v>17103.393581163138</x:v>
      </x:c>
      <x:c r="AK63" s="126" t="n">
        <x:f>Assumptions!$D$59*POWER(1+Assumptions!$D$61,INT((AK$6-1)/3))</x:f>
        <x:v>17103.393581163138</x:v>
      </x:c>
      <x:c r="AL63" s="127" t="n">
        <x:f>Assumptions!$D$59*POWER(1+Assumptions!$D$61,INT((AL$6-1)/3))</x:f>
        <x:v>17103.393581163138</x:v>
      </x:c>
    </x:row>
    <x:row r="64">
      <x:c r="A64" s="49" t="str">
        <x:v>Variable marketing</x:v>
      </x:c>
      <x:c r="B64" s="50" t="str">
        <x:v>$</x:v>
      </x:c>
      <x:c r="C64" s="126" t="n">
        <x:f>C43*Assumptions!$D$60</x:f>
        <x:v>2373.6384</x:v>
      </x:c>
      <x:c r="D64" s="126" t="n">
        <x:f>D43*Assumptions!$D$60</x:f>
        <x:v>4851.574140623617</x:v>
      </x:c>
      <x:c r="E64" s="126" t="n">
        <x:f>E43*Assumptions!$D$60</x:f>
        <x:v>7399.802265739289</x:v>
      </x:c>
      <x:c r="F64" s="126" t="n">
        <x:f>F43*Assumptions!$D$60</x:f>
        <x:v>7884.535844285202</x:v>
      </x:c>
      <x:c r="G64" s="126" t="n">
        <x:f>G43*Assumptions!$D$60</x:f>
        <x:v>10572.145087873318</x:v>
      </x:c>
      <x:c r="H64" s="126" t="n">
        <x:f>H43*Assumptions!$D$60</x:f>
        <x:v>11329.351331914926</x:v>
      </x:c>
      <x:c r="I64" s="126" t="n">
        <x:f>I43*Assumptions!$D$60</x:f>
        <x:v>12159.526227070472</x:v>
      </x:c>
      <x:c r="J64" s="126" t="n">
        <x:f>J43*Assumptions!$D$60</x:f>
        <x:v>14045.421057199925</x:v>
      </x:c>
      <x:c r="K64" s="126" t="n">
        <x:f>K43*Assumptions!$D$60</x:f>
        <x:v>15102.006684328482</x:v>
      </x:c>
      <x:c r="L64" s="126" t="n">
        <x:f>L43*Assumptions!$D$60</x:f>
        <x:v>16257.290903092982</x:v>
      </x:c>
      <x:c r="M64" s="126" t="n">
        <x:f>M43*Assumptions!$D$60</x:f>
        <x:v>17517.94534716874</x:v>
      </x:c>
      <x:c r="N64" s="126" t="n">
        <x:f>N43*Assumptions!$D$60</x:f>
        <x:v>18893.26800812365</x:v>
      </x:c>
      <x:c r="O64" s="126" t="n">
        <x:f>O43*Assumptions!$D$60</x:f>
        <x:v>20376.355774022268</x:v>
      </x:c>
      <x:c r="P64" s="126" t="n">
        <x:f>P43*Assumptions!$D$60</x:f>
        <x:v>21826.943714352587</x:v>
      </x:c>
      <x:c r="Q64" s="126" t="n">
        <x:f>Q43*Assumptions!$D$60</x:f>
        <x:v>23233.196957838853</x:v>
      </x:c>
      <x:c r="R64" s="126" t="n">
        <x:f>R43*Assumptions!$D$60</x:f>
        <x:v>24604.430409317043</x:v>
      </x:c>
      <x:c r="S64" s="126" t="n">
        <x:f>S43*Assumptions!$D$60</x:f>
        <x:v>26046.893895664158</x:v>
      </x:c>
      <x:c r="T64" s="126" t="n">
        <x:f>T43*Assumptions!$D$60</x:f>
        <x:v>27448.213885328096</x:v>
      </x:c>
      <x:c r="U64" s="126" t="n">
        <x:f>U43*Assumptions!$D$60</x:f>
        <x:v>28925.185163840015</x:v>
      </x:c>
      <x:c r="V64" s="126" t="n">
        <x:f>V43*Assumptions!$D$60</x:f>
        <x:v>30473.64533937712</x:v>
      </x:c>
      <x:c r="W64" s="126" t="n">
        <x:f>W43*Assumptions!$D$60</x:f>
        <x:v>32044.075217698235</x:v>
      </x:c>
      <x:c r="X64" s="126" t="n">
        <x:f>X43*Assumptions!$D$60</x:f>
        <x:v>33691.62416159483</x:v>
      </x:c>
      <x:c r="Y64" s="126" t="n">
        <x:f>Y43*Assumptions!$D$60</x:f>
        <x:v>35420.19019719592</x:v>
      </x:c>
      <x:c r="Z64" s="126" t="n">
        <x:f>Z43*Assumptions!$D$60</x:f>
        <x:v>37233.86498975142</x:v>
      </x:c>
      <x:c r="AA64" s="126" t="n">
        <x:f>AA43*Assumptions!$D$60</x:f>
        <x:v>39136.94356345383</x:v>
      </x:c>
      <x:c r="AB64" s="126" t="n">
        <x:f>AB43*Assumptions!$D$60</x:f>
        <x:v>41133.9345061149</x:v>
      </x:c>
      <x:c r="AC64" s="126" t="n">
        <x:f>AC43*Assumptions!$D$60</x:f>
        <x:v>43229.57068297439</x:v>
      </x:c>
      <x:c r="AD64" s="126" t="n">
        <x:f>AD43*Assumptions!$D$60</x:f>
        <x:v>45428.82048513022</x:v>
      </x:c>
      <x:c r="AE64" s="126" t="n">
        <x:f>AE43*Assumptions!$D$60</x:f>
        <x:v>47736.89963935365</x:v>
      </x:c>
      <x:c r="AF64" s="126" t="n">
        <x:f>AF43*Assumptions!$D$60</x:f>
        <x:v>50159.283607389225</x:v>
      </x:c>
      <x:c r="AG64" s="126" t="n">
        <x:f>AG43*Assumptions!$D$60</x:f>
        <x:v>52701.72060424456</x:v>
      </x:c>
      <x:c r="AH64" s="126" t="n">
        <x:f>AH43*Assumptions!$D$60</x:f>
        <x:v>55370.24526644808</x:v>
      </x:c>
      <x:c r="AI64" s="126" t="n">
        <x:f>AI43*Assumptions!$D$60</x:f>
        <x:v>58171.19300280203</x:v>
      </x:c>
      <x:c r="AJ64" s="126" t="n">
        <x:f>AJ43*Assumptions!$D$60</x:f>
        <x:v>61111.215061782736</x:v>
      </x:c>
      <x:c r="AK64" s="126" t="n">
        <x:f>AK43*Assumptions!$D$60</x:f>
        <x:v>64197.29435144724</x:v>
      </x:c>
      <x:c r="AL64" s="127" t="n">
        <x:f>AL43*Assumptions!$D$60</x:f>
        <x:v>66894.16898966781</x:v>
      </x:c>
    </x:row>
    <x:row r="65">
      <x:c r="A65" s="142" t="str">
        <x:v>Total operating expenses</x:v>
      </x:c>
      <x:c r="B65" s="143" t="str">
        <x:v>$</x:v>
      </x:c>
      <x:c r="C65" s="154" t="n">
        <x:f>SUM(C59:C64)</x:f>
        <x:v>125373.6384</x:v>
      </x:c>
      <x:c r="D65" s="154" t="n">
        <x:f>SUM(D59:D64)</x:f>
        <x:v>127851.57414062362</x:v>
      </x:c>
      <x:c r="E65" s="154" t="n">
        <x:f>SUM(E59:E64)</x:f>
        <x:v>130399.80226573929</x:v>
      </x:c>
      <x:c r="F65" s="154" t="n">
        <x:f>SUM(F59:F64)</x:f>
        <x:v>137034.53584428522</x:v>
      </x:c>
      <x:c r="G65" s="154" t="n">
        <x:f>SUM(G59:G64)</x:f>
        <x:v>139722.14508787333</x:v>
      </x:c>
      <x:c r="H65" s="154" t="n">
        <x:f>SUM(H59:H64)</x:f>
        <x:v>140479.35133191492</x:v>
      </x:c>
      <x:c r="I65" s="154" t="n">
        <x:f>SUM(I59:I64)</x:f>
        <x:v>147767.02622707048</x:v>
      </x:c>
      <x:c r="J65" s="154" t="n">
        <x:f>SUM(J59:J64)</x:f>
        <x:v>149652.9210571999</x:v>
      </x:c>
      <x:c r="K65" s="154" t="n">
        <x:f>SUM(K59:K64)</x:f>
        <x:v>150709.5066843285</x:v>
      </x:c>
      <x:c r="L65" s="154" t="n">
        <x:f>SUM(L59:L64)</x:f>
        <x:v>158645.165903093</x:v>
      </x:c>
      <x:c r="M65" s="154" t="n">
        <x:f>SUM(M59:M64)</x:f>
        <x:v>159905.82034716877</x:v>
      </x:c>
      <x:c r="N65" s="154" t="n">
        <x:f>SUM(N59:N64)</x:f>
        <x:v>161281.14300812368</x:v>
      </x:c>
      <x:c r="O65" s="154" t="n">
        <x:f>SUM(O59:O64)</x:f>
        <x:v>169883.62452402225</x:v>
      </x:c>
      <x:c r="P65" s="154" t="n">
        <x:f>SUM(P59:P64)</x:f>
        <x:v>171334.21246435257</x:v>
      </x:c>
      <x:c r="Q65" s="154" t="n">
        <x:f>SUM(Q59:Q64)</x:f>
        <x:v>172740.46570783883</x:v>
      </x:c>
      <x:c r="R65" s="154" t="n">
        <x:f>SUM(R59:R64)</x:f>
        <x:v>181587.06259681704</x:v>
      </x:c>
      <x:c r="S65" s="154" t="n">
        <x:f>SUM(S59:S64)</x:f>
        <x:v>183029.52608316415</x:v>
      </x:c>
      <x:c r="T65" s="154" t="n">
        <x:f>SUM(T59:T64)</x:f>
        <x:v>184430.84607282808</x:v>
      </x:c>
      <x:c r="U65" s="154" t="n">
        <x:f>SUM(U59:U64)</x:f>
        <x:v>193756.94896071497</x:v>
      </x:c>
      <x:c r="V65" s="154" t="n">
        <x:f>SUM(V59:V64)</x:f>
        <x:v>195305.40913625207</x:v>
      </x:c>
      <x:c r="W65" s="154" t="n">
        <x:f>SUM(W59:W64)</x:f>
        <x:v>196875.8390145732</x:v>
      </x:c>
      <x:c r="X65" s="154" t="n">
        <x:f>SUM(X59:X64)</x:f>
        <x:v>206764.97614831364</x:v>
      </x:c>
      <x:c r="Y65" s="154" t="n">
        <x:f>SUM(Y59:Y64)</x:f>
        <x:v>208493.54218391472</x:v>
      </x:c>
      <x:c r="Z65" s="154" t="n">
        <x:f>SUM(Z59:Z64)</x:f>
        <x:v>210307.21697647023</x:v>
      </x:c>
      <x:c r="AA65" s="154" t="n">
        <x:f>SUM(AA59:AA64)</x:f>
        <x:v>220863.9631495085</x:v>
      </x:c>
      <x:c r="AB65" s="154" t="n">
        <x:f>SUM(AB59:AB64)</x:f>
        <x:v>222860.95409216956</x:v>
      </x:c>
      <x:c r="AC65" s="154" t="n">
        <x:f>SUM(AC59:AC64)</x:f>
        <x:v>224956.59026902905</x:v>
      </x:c>
      <x:c r="AD65" s="154" t="n">
        <x:f>SUM(AD59:AD64)</x:f>
        <x:v>236242.19105048766</x:v>
      </x:c>
      <x:c r="AE65" s="154" t="n">
        <x:f>SUM(AE59:AE64)</x:f>
        <x:v>238550.2702047111</x:v>
      </x:c>
      <x:c r="AF65" s="154" t="n">
        <x:f>SUM(AF59:AF64)</x:f>
        <x:v>240972.65417274667</x:v>
      </x:c>
      <x:c r="AG65" s="154" t="n">
        <x:f>SUM(AG59:AG64)</x:f>
        <x:v>253055.75969786986</x:v>
      </x:c>
      <x:c r="AH65" s="154" t="n">
        <x:f>SUM(AH59:AH64)</x:f>
        <x:v>255724.2843600734</x:v>
      </x:c>
      <x:c r="AI65" s="154" t="n">
        <x:f>SUM(AI59:AI64)</x:f>
        <x:v>258525.23209642732</x:v>
      </x:c>
      <x:c r="AJ65" s="154" t="n">
        <x:f>SUM(AJ59:AJ64)</x:f>
        <x:v>271482.9561100893</x:v>
      </x:c>
      <x:c r="AK65" s="154" t="n">
        <x:f>SUM(AK59:AK64)</x:f>
        <x:v>274569.03539975383</x:v>
      </x:c>
      <x:c r="AL65" s="155" t="n">
        <x:f>SUM(AL59:AL64)</x:f>
        <x:v>277265.9100379744</x:v>
      </x:c>
    </x:row>
    <x:row r="66">
      <x:c r="A66" s="142" t="str">
        <x:v>EBITDA</x:v>
      </x:c>
      <x:c r="B66" s="143" t="str">
        <x:v>$</x:v>
      </x:c>
      <x:c r="C66" s="154" t="n">
        <x:f>C55-C65</x:f>
        <x:v>-100643.3664</x:v>
      </x:c>
      <x:c r="D66" s="154" t="n">
        <x:f>D55-D65</x:f>
        <x:v>-78947.62703412634</x:v>
      </x:c>
      <x:c r="E66" s="154" t="n">
        <x:f>E55-E65</x:f>
        <x:v>-58544.119378700096</x:v>
      </x:c>
      <x:c r="F66" s="154" t="n">
        <x:f>F55-F65</x:f>
        <x:v>-60457.4931739014</x:v>
      </x:c>
      <x:c r="G66" s="154" t="n">
        <x:f>G55-G65</x:f>
        <x:v>-40101.683937379465</x:v>
      </x:c>
      <x:c r="H66" s="154" t="n">
        <x:f>H55-H65</x:f>
        <x:v>-33624.22882431069</x:v>
      </x:c>
      <x:c r="I66" s="154" t="n">
        <x:f>I55-I65</x:f>
        <x:v>-32992.37685582448</x:v>
      </x:c>
      <x:c r="J66" s="154" t="n">
        <x:f>J55-J65</x:f>
        <x:v>-18502.283633171784</x:v>
      </x:c>
      <x:c r="K66" s="154" t="n">
        <x:f>K55-K65</x:f>
        <x:v>-9567.130286915519</x:v>
      </x:c>
      <x:c r="L66" s="154" t="n">
        <x:f>L55-L65</x:f>
        <x:v>-6588.3187007240485</x:v>
      </x:c>
      <x:c r="M66" s="154" t="n">
        <x:f>M55-M65</x:f>
        <x:v>4055.9545265480992</x:v>
      </x:c>
      <x:c r="N66" s="154" t="n">
        <x:f>N55-N65</x:f>
        <x:v>15667.148903999652</x:v>
      </x:c>
      <x:c r="O66" s="154" t="n">
        <x:f>O55-O65</x:f>
        <x:v>21044.127239886497</x:v>
      </x:c>
      <x:c r="P66" s="154" t="n">
        <x:f>P55-P65</x:f>
        <x:v>33108.7088948148</x:v>
      </x:c>
      <x:c r="Q66" s="154" t="n">
        <x:f>Q55-Q65</x:f>
        <x:v>44737.392481468036</x:v>
      </x:c>
      <x:c r="R66" s="154" t="n">
        <x:f>R55-R65</x:f>
        <x:v>48634.10886633425</x:v>
      </x:c>
      <x:c r="S66" s="154" t="n">
        <x:f>S55-S65</x:f>
        <x:v>60595.74168511445</x:v>
      </x:c>
      <x:c r="T66" s="154" t="n">
        <x:f>T55-T65</x:f>
        <x:v>72331.36453706093</x:v>
      </x:c>
      <x:c r="U66" s="154" t="n">
        <x:f>U55-U65</x:f>
        <x:v>76839.97604749684</x:v>
      </x:c>
      <x:c r="V66" s="154" t="n">
        <x:f>V55-V65</x:f>
        <x:v>89796.48866495764</x:v>
      </x:c>
      <x:c r="W66" s="154" t="n">
        <x:f>W55-W65</x:f>
        <x:v>103015.41209215135</x:v>
      </x:c>
      <x:c r="X66" s="154" t="n">
        <x:f>X55-X65</x:f>
        <x:v>108639.06817673784</x:v>
      </x:c>
      <x:c r="Y66" s="154" t="n">
        <x:f>Y55-Y65</x:f>
        <x:v>123183.38810049047</x:v>
      </x:c>
      <x:c r="Z66" s="154" t="n">
        <x:f>Z55-Z65</x:f>
        <x:v>138441.1630529633</x:v>
      </x:c>
      <x:c r="AA66" s="154" t="n">
        <x:f>AA55-AA65</x:f>
        <x:v>145794.81101528063</x:v>
      </x:c>
      <x:c r="AB66" s="154" t="n">
        <x:f>AB55-AB65</x:f>
        <x:v>162589.54466072613</x:v>
      </x:c>
      <x:c r="AC66" s="154" t="n">
        <x:f>AC55-AC65</x:f>
        <x:v>180211.45572498275</x:v>
      </x:c>
      <x:c r="AD66" s="154" t="n">
        <x:f>AD55-AD65</x:f>
        <x:v>189615.92887759177</x:v>
      </x:c>
      <x:c r="AE66" s="154" t="n">
        <x:f>AE55-AE65</x:f>
        <x:v>209019.47720510853</x:v>
      </x:c>
      <x:c r="AF66" s="154" t="n">
        <x:f>AF55-AF65</x:f>
        <x:v>229381.7404483398</x:v>
      </x:c>
      <x:c r="AG66" s="154" t="n">
        <x:f>AG55-AG65</x:f>
        <x:v>241210.32969982378</x:v>
      </x:c>
      <x:c r="AH66" s="154" t="n">
        <x:f>AH55-AH65</x:f>
        <x:v>263637.2653016911</x:v>
      </x:c>
      <x:c r="AI66" s="154" t="n">
        <x:f>AI55-AI65</x:f>
        <x:v>287175.0861687858</x:v>
      </x:c>
      <x:c r="AJ66" s="154" t="n">
        <x:f>AJ55-AJ65</x:f>
        <x:v>301861.9484551344</x:v>
      </x:c>
      <x:c r="AK66" s="154" t="n">
        <x:f>AK55-AK65</x:f>
        <x:v>327791.8976688781</x:v>
      </x:c>
      <x:c r="AL66" s="155" t="n">
        <x:f>AL55-AL65</x:f>
        <x:v>350273.7797254426</x:v>
      </x:c>
    </x:row>
    <x:row r="67">
      <x:c r="A67" s="49" t="str">
        <x:v>EBITDA margin</x:v>
      </x:c>
      <x:c r="B67" s="50" t="str">
        <x:v>%</x:v>
      </x:c>
      <x:c r="C67" s="118" t="n">
        <x:f>IFERROR(C66/C43,0)</x:f>
        <x:v>-2.9680323877470136</x:v>
      </x:c>
      <x:c r="D67" s="118" t="n">
        <x:f>IFERROR(D66/D43,0)</x:f>
        <x:v>-1.139080581313861</x:v>
      </x:c>
      <x:c r="E67" s="118" t="n">
        <x:f>IFERROR(E66/E43,0)</x:f>
        <x:v>-0.553810522138267</x:v>
      </x:c>
      <x:c r="F67" s="118" t="n">
        <x:f>IFERROR(F66/F43,0)</x:f>
        <x:v>-0.5367499883002645</x:v>
      </x:c>
      <x:c r="G67" s="118" t="n">
        <x:f>IFERROR(G66/G43,0)</x:f>
        <x:v>-0.2655201808416763</x:v>
      </x:c>
      <x:c r="H67" s="118" t="n">
        <x:f>IFERROR(H66/H43,0)</x:f>
        <x:v>-0.20775205470690603</x:v>
      </x:c>
      <x:c r="I67" s="118" t="n">
        <x:f>IFERROR(I66/I43,0)</x:f>
        <x:v>-0.18993062203083227</x:v>
      </x:c>
      <x:c r="J67" s="118" t="n">
        <x:f>IFERROR(J66/J43,0)</x:f>
        <x:v>-0.09221224832260218</x:v>
      </x:c>
      <x:c r="K67" s="118" t="n">
        <x:f>IFERROR(K66/K43,0)</x:f>
        <x:v>-0.04434504195916166</x:v>
      </x:c>
      <x:c r="L67" s="118" t="n">
        <x:f>IFERROR(L66/L43,0)</x:f>
        <x:v>-0.028367722014677278</x:v>
      </x:c>
      <x:c r="M67" s="118" t="n">
        <x:f>IFERROR(M66/M43,0)</x:f>
        <x:v>0.016207198460306518</x:v>
      </x:c>
      <x:c r="N67" s="118" t="n">
        <x:f>IFERROR(N66/N43,0)</x:f>
        <x:v>0.058047153240425156</x:v>
      </x:c>
      <x:c r="O67" s="118" t="n">
        <x:f>IFERROR(O66/O43,0)</x:f>
        <x:v>0.07229403152992106</x:v>
      </x:c>
      <x:c r="P67" s="118" t="n">
        <x:f>IFERROR(P66/P43,0)</x:f>
        <x:v>0.10618113341782534</x:v>
      </x:c>
      <x:c r="Q67" s="118" t="n">
        <x:f>IFERROR(Q66/Q43,0)</x:f>
        <x:v>0.13479063941934857</x:v>
      </x:c>
      <x:c r="R67" s="118" t="n">
        <x:f>IFERROR(R66/R43,0)</x:f>
        <x:v>0.1383648214572871</x:v>
      </x:c>
      <x:c r="S67" s="118" t="n">
        <x:f>IFERROR(S66/S43,0)</x:f>
        <x:v>0.16284866575450282</x:v>
      </x:c>
      <x:c r="T67" s="118" t="n">
        <x:f>IFERROR(T66/T43,0)</x:f>
        <x:v>0.18446356978807635</x:v>
      </x:c>
      <x:c r="U67" s="118" t="n">
        <x:f>IFERROR(U66/U43,0)</x:f>
        <x:v>0.18595553642467008</x:v>
      </x:c>
      <x:c r="V67" s="118" t="n">
        <x:f>IFERROR(V66/V43,0)</x:f>
        <x:v>0.20626853586252034</x:v>
      </x:c>
      <x:c r="W67" s="118" t="n">
        <x:f>IFERROR(W66/W43,0)</x:f>
        <x:v>0.22503626013422448</x:v>
      </x:c>
      <x:c r="X67" s="118" t="n">
        <x:f>IFERROR(X66/X43,0)</x:f>
        <x:v>0.2257158852270561</x:v>
      </x:c>
      <x:c r="Y67" s="118" t="n">
        <x:f>IFERROR(Y66/Y43,0)</x:f>
        <x:v>0.24344412379007976</x:v>
      </x:c>
      <x:c r="Z67" s="118" t="n">
        <x:f>IFERROR(Z66/Z43,0)</x:f>
        <x:v>0.260270627730289</x:v>
      </x:c>
      <x:c r="AA67" s="118" t="n">
        <x:f>IFERROR(AA66/AA43,0)</x:f>
        <x:v>0.26076734261383894</x:v>
      </x:c>
      <x:c r="AB67" s="118" t="n">
        <x:f>IFERROR(AB66/AB43,0)</x:f>
        <x:v>0.2766880499738947</x:v>
      </x:c>
      <x:c r="AC67" s="118" t="n">
        <x:f>IFERROR(AC66/AC43,0)</x:f>
        <x:v>0.2918095577043755</x:v>
      </x:c>
      <x:c r="AD67" s="118" t="n">
        <x:f>IFERROR(AD66/AD43,0)</x:f>
        <x:v>0.29217388608572803</x:v>
      </x:c>
      <x:c r="AE67" s="118" t="n">
        <x:f>IFERROR(AE66/AE43,0)</x:f>
        <x:v>0.3065000767728054</x:v>
      </x:c>
      <x:c r="AF67" s="118" t="n">
        <x:f>IFERROR(AF66/AF43,0)</x:f>
        <x:v>0.32011465628305724</x:v>
      </x:c>
      <x:c r="AG67" s="118" t="n">
        <x:f>IFERROR(AG66/AG43,0)</x:f>
        <x:v>0.3203827671164835</x:v>
      </x:c>
      <x:c r="AH67" s="118" t="n">
        <x:f>IFERROR(AH66/AH43,0)</x:f>
        <x:v>0.3332946871069949</x:v>
      </x:c>
      <x:c r="AI67" s="118" t="n">
        <x:f>IFERROR(AI66/AI43,0)</x:f>
        <x:v>0.34557063374730357</x:v>
      </x:c>
      <x:c r="AJ67" s="118" t="n">
        <x:f>IFERROR(AJ66/AJ43,0)</x:f>
        <x:v>0.345768552801591</x:v>
      </x:c>
      <x:c r="AK67" s="118" t="n">
        <x:f>IFERROR(AK66/AK43,0)</x:f>
        <x:v>0.3574205590535794</x:v>
      </x:c>
      <x:c r="AL67" s="119" t="n">
        <x:f>IFERROR(AL66/AL43,0)</x:f>
        <x:v>0.3665366496229007</x:v>
      </x:c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 ht="23" customHeight="1">
      <x:c r="A69" s="416" t="str">
        <x:v>CASH, REINVESTMENT &amp; PROOF ASSETS</x:v>
      </x:c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9" t="str">
        <x:v>Growth reinvestment</x:v>
      </x:c>
      <x:c r="B70" s="50" t="str">
        <x:v>$</x:v>
      </x:c>
      <x:c r="C70" s="126" t="n">
        <x:f>MAX(0,C66)*Assumptions!$D$62</x:f>
        <x:v>0</x:v>
      </x:c>
      <x:c r="D70" s="126" t="n">
        <x:f>MAX(0,D66)*Assumptions!$D$62</x:f>
        <x:v>0</x:v>
      </x:c>
      <x:c r="E70" s="126" t="n">
        <x:f>MAX(0,E66)*Assumptions!$D$62</x:f>
        <x:v>0</x:v>
      </x:c>
      <x:c r="F70" s="126" t="n">
        <x:f>MAX(0,F66)*Assumptions!$D$62</x:f>
        <x:v>0</x:v>
      </x:c>
      <x:c r="G70" s="126" t="n">
        <x:f>MAX(0,G66)*Assumptions!$D$62</x:f>
        <x:v>0</x:v>
      </x:c>
      <x:c r="H70" s="126" t="n">
        <x:f>MAX(0,H66)*Assumptions!$D$62</x:f>
        <x:v>0</x:v>
      </x:c>
      <x:c r="I70" s="126" t="n">
        <x:f>MAX(0,I66)*Assumptions!$D$62</x:f>
        <x:v>0</x:v>
      </x:c>
      <x:c r="J70" s="126" t="n">
        <x:f>MAX(0,J66)*Assumptions!$D$62</x:f>
        <x:v>0</x:v>
      </x:c>
      <x:c r="K70" s="126" t="n">
        <x:f>MAX(0,K66)*Assumptions!$D$62</x:f>
        <x:v>0</x:v>
      </x:c>
      <x:c r="L70" s="126" t="n">
        <x:f>MAX(0,L66)*Assumptions!$D$62</x:f>
        <x:v>0</x:v>
      </x:c>
      <x:c r="M70" s="126" t="n">
        <x:f>MAX(0,M66)*Assumptions!$D$62</x:f>
        <x:v>811.1909053096199</x:v>
      </x:c>
      <x:c r="N70" s="126" t="n">
        <x:f>MAX(0,N66)*Assumptions!$D$62</x:f>
        <x:v>3133.4297807999305</x:v>
      </x:c>
      <x:c r="O70" s="126" t="n">
        <x:f>MAX(0,O66)*Assumptions!$D$62</x:f>
        <x:v>4208.8254479772995</x:v>
      </x:c>
      <x:c r="P70" s="126" t="n">
        <x:f>MAX(0,P66)*Assumptions!$D$62</x:f>
        <x:v>6621.741778962961</x:v>
      </x:c>
      <x:c r="Q70" s="126" t="n">
        <x:f>MAX(0,Q66)*Assumptions!$D$62</x:f>
        <x:v>8947.478496293608</x:v>
      </x:c>
      <x:c r="R70" s="126" t="n">
        <x:f>MAX(0,R66)*Assumptions!$D$62</x:f>
        <x:v>9726.82177326685</x:v>
      </x:c>
      <x:c r="S70" s="126" t="n">
        <x:f>MAX(0,S66)*Assumptions!$D$62</x:f>
        <x:v>12119.14833702289</x:v>
      </x:c>
      <x:c r="T70" s="126" t="n">
        <x:f>MAX(0,T66)*Assumptions!$D$62</x:f>
        <x:v>14466.272907412187</x:v>
      </x:c>
      <x:c r="U70" s="126" t="n">
        <x:f>MAX(0,U66)*Assumptions!$D$62</x:f>
        <x:v>15367.995209499368</x:v>
      </x:c>
      <x:c r="V70" s="126" t="n">
        <x:f>MAX(0,V66)*Assumptions!$D$62</x:f>
        <x:v>17959.297732991527</x:v>
      </x:c>
      <x:c r="W70" s="126" t="n">
        <x:f>MAX(0,W66)*Assumptions!$D$62</x:f>
        <x:v>20603.082418430273</x:v>
      </x:c>
      <x:c r="X70" s="126" t="n">
        <x:f>MAX(0,X66)*Assumptions!$D$62</x:f>
        <x:v>21727.81363534757</x:v>
      </x:c>
      <x:c r="Y70" s="126" t="n">
        <x:f>MAX(0,Y66)*Assumptions!$D$62</x:f>
        <x:v>24636.677620098097</x:v>
      </x:c>
      <x:c r="Z70" s="126" t="n">
        <x:f>MAX(0,Z66)*Assumptions!$D$62</x:f>
        <x:v>27688.232610592662</x:v>
      </x:c>
      <x:c r="AA70" s="126" t="n">
        <x:f>MAX(0,AA66)*Assumptions!$D$62</x:f>
        <x:v>29158.96220305613</x:v>
      </x:c>
      <x:c r="AB70" s="126" t="n">
        <x:f>MAX(0,AB66)*Assumptions!$D$62</x:f>
        <x:v>32517.908932145227</x:v>
      </x:c>
      <x:c r="AC70" s="126" t="n">
        <x:f>MAX(0,AC66)*Assumptions!$D$62</x:f>
        <x:v>36042.291144996554</x:v>
      </x:c>
      <x:c r="AD70" s="126" t="n">
        <x:f>MAX(0,AD66)*Assumptions!$D$62</x:f>
        <x:v>37923.18577551835</x:v>
      </x:c>
      <x:c r="AE70" s="126" t="n">
        <x:f>MAX(0,AE66)*Assumptions!$D$62</x:f>
        <x:v>41803.89544102171</x:v>
      </x:c>
      <x:c r="AF70" s="126" t="n">
        <x:f>MAX(0,AF66)*Assumptions!$D$62</x:f>
        <x:v>45876.34808966797</x:v>
      </x:c>
      <x:c r="AG70" s="126" t="n">
        <x:f>MAX(0,AG66)*Assumptions!$D$62</x:f>
        <x:v>48242.065939964756</x:v>
      </x:c>
      <x:c r="AH70" s="126" t="n">
        <x:f>MAX(0,AH66)*Assumptions!$D$62</x:f>
        <x:v>52727.453060338215</x:v>
      </x:c>
      <x:c r="AI70" s="126" t="n">
        <x:f>MAX(0,AI66)*Assumptions!$D$62</x:f>
        <x:v>57435.017233757164</x:v>
      </x:c>
      <x:c r="AJ70" s="126" t="n">
        <x:f>MAX(0,AJ66)*Assumptions!$D$62</x:f>
        <x:v>60372.38969102688</x:v>
      </x:c>
      <x:c r="AK70" s="126" t="n">
        <x:f>MAX(0,AK66)*Assumptions!$D$62</x:f>
        <x:v>65558.37953377562</x:v>
      </x:c>
      <x:c r="AL70" s="127" t="n">
        <x:f>MAX(0,AL66)*Assumptions!$D$62</x:f>
        <x:v>70054.75594508852</x:v>
      </x:c>
    </x:row>
    <x:row r="71">
      <x:c r="A71" s="49" t="str">
        <x:v>Capex / capitalized infrastructure</x:v>
      </x:c>
      <x:c r="B71" s="50" t="str">
        <x:v>$</x:v>
      </x:c>
      <x:c r="C71" s="126" t="n">
        <x:f>C43*Assumptions!$D$63</x:f>
        <x:v>508.63679999999994</x:v>
      </x:c>
      <x:c r="D71" s="126" t="n">
        <x:f>D43*Assumptions!$D$63</x:f>
        <x:v>1039.623030133632</x:v>
      </x:c>
      <x:c r="E71" s="126" t="n">
        <x:f>E43*Assumptions!$D$63</x:f>
        <x:v>1585.6719140869905</x:v>
      </x:c>
      <x:c r="F71" s="126" t="n">
        <x:f>F43*Assumptions!$D$63</x:f>
        <x:v>1689.5433952039716</x:v>
      </x:c>
      <x:c r="G71" s="126" t="n">
        <x:f>G43*Assumptions!$D$63</x:f>
        <x:v>2265.459661687139</x:v>
      </x:c>
      <x:c r="H71" s="126" t="n">
        <x:f>H43*Assumptions!$D$63</x:f>
        <x:v>2427.718142553198</x:v>
      </x:c>
      <x:c r="I71" s="126" t="n">
        <x:f>I43*Assumptions!$D$63</x:f>
        <x:v>2605.6127629436724</x:v>
      </x:c>
      <x:c r="J71" s="126" t="n">
        <x:f>J43*Assumptions!$D$63</x:f>
        <x:v>3009.7330836856977</x:v>
      </x:c>
      <x:c r="K71" s="126" t="n">
        <x:f>K43*Assumptions!$D$63</x:f>
        <x:v>3236.14428949896</x:v>
      </x:c>
      <x:c r="L71" s="126" t="n">
        <x:f>L43*Assumptions!$D$63</x:f>
        <x:v>3483.7051935199243</x:v>
      </x:c>
      <x:c r="M71" s="126" t="n">
        <x:f>M43*Assumptions!$D$63</x:f>
        <x:v>3753.8454315361587</x:v>
      </x:c>
      <x:c r="N71" s="126" t="n">
        <x:f>N43*Assumptions!$D$63</x:f>
        <x:v>4048.5574303122103</x:v>
      </x:c>
      <x:c r="O71" s="126" t="n">
        <x:f>O43*Assumptions!$D$63</x:f>
        <x:v>4366.361951576199</x:v>
      </x:c>
      <x:c r="P71" s="126" t="n">
        <x:f>P43*Assumptions!$D$63</x:f>
        <x:v>4677.202224504125</x:v>
      </x:c>
      <x:c r="Q71" s="126" t="n">
        <x:f>Q43*Assumptions!$D$63</x:f>
        <x:v>4978.542205251182</x:v>
      </x:c>
      <x:c r="R71" s="126" t="n">
        <x:f>R43*Assumptions!$D$63</x:f>
        <x:v>5272.377944853651</x:v>
      </x:c>
      <x:c r="S71" s="126" t="n">
        <x:f>S43*Assumptions!$D$63</x:f>
        <x:v>5581.477263356604</x:v>
      </x:c>
      <x:c r="T71" s="126" t="n">
        <x:f>T43*Assumptions!$D$63</x:f>
        <x:v>5881.760118284591</x:v>
      </x:c>
      <x:c r="U71" s="126" t="n">
        <x:f>U43*Assumptions!$D$63</x:f>
        <x:v>6198.253963680003</x:v>
      </x:c>
      <x:c r="V71" s="126" t="n">
        <x:f>V43*Assumptions!$D$63</x:f>
        <x:v>6530.066858437953</x:v>
      </x:c>
      <x:c r="W71" s="126" t="n">
        <x:f>W43*Assumptions!$D$63</x:f>
        <x:v>6866.587546649621</x:v>
      </x:c>
      <x:c r="X71" s="126" t="n">
        <x:f>X43*Assumptions!$D$63</x:f>
        <x:v>7219.633748913177</x:v>
      </x:c>
      <x:c r="Y71" s="126" t="n">
        <x:f>Y43*Assumptions!$D$63</x:f>
        <x:v>7590.040756541982</x:v>
      </x:c>
      <x:c r="Z71" s="126" t="n">
        <x:f>Z43*Assumptions!$D$63</x:f>
        <x:v>7978.685354946732</x:v>
      </x:c>
      <x:c r="AA71" s="126" t="n">
        <x:f>AA43*Assumptions!$D$63</x:f>
        <x:v>8386.487906454393</x:v>
      </x:c>
      <x:c r="AB71" s="126" t="n">
        <x:f>AB43*Assumptions!$D$63</x:f>
        <x:v>8814.41453702462</x:v>
      </x:c>
      <x:c r="AC71" s="126" t="n">
        <x:f>AC43*Assumptions!$D$63</x:f>
        <x:v>9263.47943206594</x:v>
      </x:c>
      <x:c r="AD71" s="126" t="n">
        <x:f>AD43*Assumptions!$D$63</x:f>
        <x:v>9734.747246813618</x:v>
      </x:c>
      <x:c r="AE71" s="126" t="n">
        <x:f>AE43*Assumptions!$D$63</x:f>
        <x:v>10229.335637004353</x:v>
      </x:c>
      <x:c r="AF71" s="126" t="n">
        <x:f>AF43*Assumptions!$D$63</x:f>
        <x:v>10748.417915869119</x:v>
      </x:c>
      <x:c r="AG71" s="126" t="n">
        <x:f>AG43*Assumptions!$D$63</x:f>
        <x:v>11293.22584376669</x:v>
      </x:c>
      <x:c r="AH71" s="126" t="n">
        <x:f>AH43*Assumptions!$D$63</x:f>
        <x:v>11865.052557096014</x:v>
      </x:c>
      <x:c r="AI71" s="126" t="n">
        <x:f>AI43*Assumptions!$D$63</x:f>
        <x:v>12465.255643457576</x:v>
      </x:c>
      <x:c r="AJ71" s="126" t="n">
        <x:f>AJ43*Assumptions!$D$63</x:f>
        <x:v>13095.260370382013</x:v>
      </x:c>
      <x:c r="AK71" s="126" t="n">
        <x:f>AK43*Assumptions!$D$63</x:f>
        <x:v>13756.563075310123</x:v>
      </x:c>
      <x:c r="AL71" s="127" t="n">
        <x:f>AL43*Assumptions!$D$63</x:f>
        <x:v>14334.464783500245</x:v>
      </x:c>
    </x:row>
    <x:row r="72">
      <x:c r="A72" s="142" t="str">
        <x:v>Free cash flow</x:v>
      </x:c>
      <x:c r="B72" s="143" t="str">
        <x:v>$</x:v>
      </x:c>
      <x:c r="C72" s="154" t="n">
        <x:f>C66-C70-C71</x:f>
        <x:v>-101152.00319999999</x:v>
      </x:c>
      <x:c r="D72" s="154" t="n">
        <x:f>D66-D70-D71</x:f>
        <x:v>-79987.25006425998</x:v>
      </x:c>
      <x:c r="E72" s="154" t="n">
        <x:f>E66-E70-E71</x:f>
        <x:v>-60129.791292787086</x:v>
      </x:c>
      <x:c r="F72" s="154" t="n">
        <x:f>F66-F70-F71</x:f>
        <x:v>-62147.036569105374</x:v>
      </x:c>
      <x:c r="G72" s="154" t="n">
        <x:f>G66-G70-G71</x:f>
        <x:v>-42367.14359906661</x:v>
      </x:c>
      <x:c r="H72" s="154" t="n">
        <x:f>H66-H70-H71</x:f>
        <x:v>-36051.946966863885</x:v>
      </x:c>
      <x:c r="I72" s="154" t="n">
        <x:f>I66-I70-I71</x:f>
        <x:v>-35597.98961876815</x:v>
      </x:c>
      <x:c r="J72" s="154" t="n">
        <x:f>J66-J70-J71</x:f>
        <x:v>-21512.01671685748</x:v>
      </x:c>
      <x:c r="K72" s="154" t="n">
        <x:f>K66-K70-K71</x:f>
        <x:v>-12803.274576414478</x:v>
      </x:c>
      <x:c r="L72" s="154" t="n">
        <x:f>L66-L70-L71</x:f>
        <x:v>-10072.023894243972</x:v>
      </x:c>
      <x:c r="M72" s="154" t="n">
        <x:f>M66-M70-M71</x:f>
        <x:v>-509.0818102976791</x:v>
      </x:c>
      <x:c r="N72" s="154" t="n">
        <x:f>N66-N70-N71</x:f>
        <x:v>8485.161692887512</x:v>
      </x:c>
      <x:c r="O72" s="154" t="n">
        <x:f>O66-O70-O71</x:f>
        <x:v>12468.939840332998</x:v>
      </x:c>
      <x:c r="P72" s="154" t="n">
        <x:f>P66-P70-P71</x:f>
        <x:v>21809.764891347713</x:v>
      </x:c>
      <x:c r="Q72" s="154" t="n">
        <x:f>Q66-Q70-Q71</x:f>
        <x:v>30811.371779923244</x:v>
      </x:c>
      <x:c r="R72" s="154" t="n">
        <x:f>R66-R70-R71</x:f>
        <x:v>33634.90914821375</x:v>
      </x:c>
      <x:c r="S72" s="154" t="n">
        <x:f>S66-S70-S71</x:f>
        <x:v>42895.11608473496</x:v>
      </x:c>
      <x:c r="T72" s="154" t="n">
        <x:f>T66-T70-T71</x:f>
        <x:v>51983.33151136415</x:v>
      </x:c>
      <x:c r="U72" s="154" t="n">
        <x:f>U66-U70-U71</x:f>
        <x:v>55273.726874317465</x:v>
      </x:c>
      <x:c r="V72" s="154" t="n">
        <x:f>V66-V70-V71</x:f>
        <x:v>65307.12407352815</x:v>
      </x:c>
      <x:c r="W72" s="154" t="n">
        <x:f>W66-W70-W71</x:f>
        <x:v>75545.74212707145</x:v>
      </x:c>
      <x:c r="X72" s="154" t="n">
        <x:f>X66-X70-X71</x:f>
        <x:v>79691.62079247709</x:v>
      </x:c>
      <x:c r="Y72" s="154" t="n">
        <x:f>Y66-Y70-Y71</x:f>
        <x:v>90956.66972385038</x:v>
      </x:c>
      <x:c r="Z72" s="154" t="n">
        <x:f>Z66-Z70-Z71</x:f>
        <x:v>102774.2450874239</x:v>
      </x:c>
      <x:c r="AA72" s="154" t="n">
        <x:f>AA66-AA70-AA71</x:f>
        <x:v>108249.36090577011</x:v>
      </x:c>
      <x:c r="AB72" s="154" t="n">
        <x:f>AB66-AB70-AB71</x:f>
        <x:v>121257.22119155628</x:v>
      </x:c>
      <x:c r="AC72" s="154" t="n">
        <x:f>AC66-AC70-AC71</x:f>
        <x:v>134905.68514792025</x:v>
      </x:c>
      <x:c r="AD72" s="154" t="n">
        <x:f>AD66-AD70-AD71</x:f>
        <x:v>141957.9958552598</x:v>
      </x:c>
      <x:c r="AE72" s="154" t="n">
        <x:f>AE66-AE70-AE71</x:f>
        <x:v>156986.24612708247</x:v>
      </x:c>
      <x:c r="AF72" s="154" t="n">
        <x:f>AF66-AF70-AF71</x:f>
        <x:v>172756.97444280272</x:v>
      </x:c>
      <x:c r="AG72" s="154" t="n">
        <x:f>AG66-AG70-AG71</x:f>
        <x:v>181675.03791609232</x:v>
      </x:c>
      <x:c r="AH72" s="154" t="n">
        <x:f>AH66-AH70-AH71</x:f>
        <x:v>199044.75968425686</x:v>
      </x:c>
      <x:c r="AI72" s="154" t="n">
        <x:f>AI66-AI70-AI71</x:f>
        <x:v>217274.81329157107</x:v>
      </x:c>
      <x:c r="AJ72" s="154" t="n">
        <x:f>AJ66-AJ70-AJ71</x:f>
        <x:v>228394.2983937255</x:v>
      </x:c>
      <x:c r="AK72" s="154" t="n">
        <x:f>AK66-AK70-AK71</x:f>
        <x:v>248476.95505979235</x:v>
      </x:c>
      <x:c r="AL72" s="155" t="n">
        <x:f>AL66-AL70-AL71</x:f>
        <x:v>265884.5589968538</x:v>
      </x:c>
    </x:row>
    <x:row r="73">
      <x:c r="A73" s="49" t="str">
        <x:v>Opening cash</x:v>
      </x:c>
      <x:c r="B73" s="50" t="str">
        <x:v>$</x:v>
      </x:c>
      <x:c r="C73" s="166" t="n">
        <x:f>Assumptions!$D$5</x:f>
        <x:v>1500000</x:v>
      </x:c>
      <x:c r="D73" s="126" t="n">
        <x:f>C74</x:f>
        <x:v>1398847.9968</x:v>
      </x:c>
      <x:c r="E73" s="126" t="n">
        <x:f>D74</x:f>
        <x:v>1318860.74673574</x:v>
      </x:c>
      <x:c r="F73" s="126" t="n">
        <x:f>E74</x:f>
        <x:v>1258730.955442953</x:v>
      </x:c>
      <x:c r="G73" s="126" t="n">
        <x:f>F74</x:f>
        <x:v>1196583.9188738475</x:v>
      </x:c>
      <x:c r="H73" s="126" t="n">
        <x:f>G74</x:f>
        <x:v>1154216.7752747808</x:v>
      </x:c>
      <x:c r="I73" s="126" t="n">
        <x:f>H74</x:f>
        <x:v>1118164.8283079169</x:v>
      </x:c>
      <x:c r="J73" s="126" t="n">
        <x:f>I74</x:f>
        <x:v>1082566.8386891487</x:v>
      </x:c>
      <x:c r="K73" s="126" t="n">
        <x:f>J74</x:f>
        <x:v>1061054.8219722912</x:v>
      </x:c>
      <x:c r="L73" s="126" t="n">
        <x:f>K74</x:f>
        <x:v>1048251.5473958767</x:v>
      </x:c>
      <x:c r="M73" s="126" t="n">
        <x:f>L74</x:f>
        <x:v>1038179.5235016327</x:v>
      </x:c>
      <x:c r="N73" s="126" t="n">
        <x:f>M74</x:f>
        <x:v>1037670.441691335</x:v>
      </x:c>
      <x:c r="O73" s="126" t="n">
        <x:f>N74</x:f>
        <x:v>1046155.6033842226</x:v>
      </x:c>
      <x:c r="P73" s="126" t="n">
        <x:f>O74</x:f>
        <x:v>1058624.5432245557</x:v>
      </x:c>
      <x:c r="Q73" s="126" t="n">
        <x:f>P74</x:f>
        <x:v>1080434.3081159033</x:v>
      </x:c>
      <x:c r="R73" s="126" t="n">
        <x:f>Q74</x:f>
        <x:v>1111245.6798958266</x:v>
      </x:c>
      <x:c r="S73" s="126" t="n">
        <x:f>R74</x:f>
        <x:v>1144880.5890440403</x:v>
      </x:c>
      <x:c r="T73" s="126" t="n">
        <x:f>S74</x:f>
        <x:v>1187775.7051287752</x:v>
      </x:c>
      <x:c r="U73" s="126" t="n">
        <x:f>T74</x:f>
        <x:v>1239759.0366401393</x:v>
      </x:c>
      <x:c r="V73" s="126" t="n">
        <x:f>U74</x:f>
        <x:v>1295032.7635144568</x:v>
      </x:c>
      <x:c r="W73" s="126" t="n">
        <x:f>V74</x:f>
        <x:v>1360339.887587985</x:v>
      </x:c>
      <x:c r="X73" s="126" t="n">
        <x:f>W74</x:f>
        <x:v>1435885.6297150564</x:v>
      </x:c>
      <x:c r="Y73" s="126" t="n">
        <x:f>X74</x:f>
        <x:v>1515577.2505075336</x:v>
      </x:c>
      <x:c r="Z73" s="126" t="n">
        <x:f>Y74</x:f>
        <x:v>1606533.920231384</x:v>
      </x:c>
      <x:c r="AA73" s="126" t="n">
        <x:f>Z74</x:f>
        <x:v>1709308.1653188078</x:v>
      </x:c>
      <x:c r="AB73" s="126" t="n">
        <x:f>AA74</x:f>
        <x:v>1817557.526224578</x:v>
      </x:c>
      <x:c r="AC73" s="126" t="n">
        <x:f>AB74</x:f>
        <x:v>1938814.7474161342</x:v>
      </x:c>
      <x:c r="AD73" s="126" t="n">
        <x:f>AC74</x:f>
        <x:v>2073720.4325640544</x:v>
      </x:c>
      <x:c r="AE73" s="126" t="n">
        <x:f>AD74</x:f>
        <x:v>2215678.4284193143</x:v>
      </x:c>
      <x:c r="AF73" s="126" t="n">
        <x:f>AE74</x:f>
        <x:v>2372664.674546397</x:v>
      </x:c>
      <x:c r="AG73" s="126" t="n">
        <x:f>AF74</x:f>
        <x:v>2545421.6489891997</x:v>
      </x:c>
      <x:c r="AH73" s="126" t="n">
        <x:f>AG74</x:f>
        <x:v>2727096.686905292</x:v>
      </x:c>
      <x:c r="AI73" s="126" t="n">
        <x:f>AH74</x:f>
        <x:v>2926141.4465895486</x:v>
      </x:c>
      <x:c r="AJ73" s="126" t="n">
        <x:f>AI74</x:f>
        <x:v>3143416.2598811197</x:v>
      </x:c>
      <x:c r="AK73" s="126" t="n">
        <x:f>AJ74</x:f>
        <x:v>3371810.558274845</x:v>
      </x:c>
      <x:c r="AL73" s="127" t="n">
        <x:f>AK74</x:f>
        <x:v>3620287.5133346375</x:v>
      </x:c>
    </x:row>
    <x:row r="74">
      <x:c r="A74" s="142" t="str">
        <x:v>Ending cash</x:v>
      </x:c>
      <x:c r="B74" s="143" t="str">
        <x:v>$</x:v>
      </x:c>
      <x:c r="C74" s="154" t="n">
        <x:f>C73+C72</x:f>
        <x:v>1398847.9968</x:v>
      </x:c>
      <x:c r="D74" s="154" t="n">
        <x:f>D73+D72</x:f>
        <x:v>1318860.74673574</x:v>
      </x:c>
      <x:c r="E74" s="154" t="n">
        <x:f>E73+E72</x:f>
        <x:v>1258730.955442953</x:v>
      </x:c>
      <x:c r="F74" s="154" t="n">
        <x:f>F73+F72</x:f>
        <x:v>1196583.9188738475</x:v>
      </x:c>
      <x:c r="G74" s="154" t="n">
        <x:f>G73+G72</x:f>
        <x:v>1154216.7752747808</x:v>
      </x:c>
      <x:c r="H74" s="154" t="n">
        <x:f>H73+H72</x:f>
        <x:v>1118164.8283079169</x:v>
      </x:c>
      <x:c r="I74" s="154" t="n">
        <x:f>I73+I72</x:f>
        <x:v>1082566.8386891487</x:v>
      </x:c>
      <x:c r="J74" s="154" t="n">
        <x:f>J73+J72</x:f>
        <x:v>1061054.8219722912</x:v>
      </x:c>
      <x:c r="K74" s="154" t="n">
        <x:f>K73+K72</x:f>
        <x:v>1048251.5473958767</x:v>
      </x:c>
      <x:c r="L74" s="154" t="n">
        <x:f>L73+L72</x:f>
        <x:v>1038179.5235016327</x:v>
      </x:c>
      <x:c r="M74" s="154" t="n">
        <x:f>M73+M72</x:f>
        <x:v>1037670.441691335</x:v>
      </x:c>
      <x:c r="N74" s="154" t="n">
        <x:f>N73+N72</x:f>
        <x:v>1046155.6033842226</x:v>
      </x:c>
      <x:c r="O74" s="154" t="n">
        <x:f>O73+O72</x:f>
        <x:v>1058624.5432245557</x:v>
      </x:c>
      <x:c r="P74" s="154" t="n">
        <x:f>P73+P72</x:f>
        <x:v>1080434.3081159033</x:v>
      </x:c>
      <x:c r="Q74" s="154" t="n">
        <x:f>Q73+Q72</x:f>
        <x:v>1111245.6798958266</x:v>
      </x:c>
      <x:c r="R74" s="154" t="n">
        <x:f>R73+R72</x:f>
        <x:v>1144880.5890440403</x:v>
      </x:c>
      <x:c r="S74" s="154" t="n">
        <x:f>S73+S72</x:f>
        <x:v>1187775.7051287752</x:v>
      </x:c>
      <x:c r="T74" s="154" t="n">
        <x:f>T73+T72</x:f>
        <x:v>1239759.0366401393</x:v>
      </x:c>
      <x:c r="U74" s="154" t="n">
        <x:f>U73+U72</x:f>
        <x:v>1295032.7635144568</x:v>
      </x:c>
      <x:c r="V74" s="154" t="n">
        <x:f>V73+V72</x:f>
        <x:v>1360339.887587985</x:v>
      </x:c>
      <x:c r="W74" s="154" t="n">
        <x:f>W73+W72</x:f>
        <x:v>1435885.6297150564</x:v>
      </x:c>
      <x:c r="X74" s="154" t="n">
        <x:f>X73+X72</x:f>
        <x:v>1515577.2505075336</x:v>
      </x:c>
      <x:c r="Y74" s="154" t="n">
        <x:f>Y73+Y72</x:f>
        <x:v>1606533.920231384</x:v>
      </x:c>
      <x:c r="Z74" s="154" t="n">
        <x:f>Z73+Z72</x:f>
        <x:v>1709308.1653188078</x:v>
      </x:c>
      <x:c r="AA74" s="154" t="n">
        <x:f>AA73+AA72</x:f>
        <x:v>1817557.526224578</x:v>
      </x:c>
      <x:c r="AB74" s="154" t="n">
        <x:f>AB73+AB72</x:f>
        <x:v>1938814.7474161342</x:v>
      </x:c>
      <x:c r="AC74" s="154" t="n">
        <x:f>AC73+AC72</x:f>
        <x:v>2073720.4325640544</x:v>
      </x:c>
      <x:c r="AD74" s="154" t="n">
        <x:f>AD73+AD72</x:f>
        <x:v>2215678.4284193143</x:v>
      </x:c>
      <x:c r="AE74" s="154" t="n">
        <x:f>AE73+AE72</x:f>
        <x:v>2372664.674546397</x:v>
      </x:c>
      <x:c r="AF74" s="154" t="n">
        <x:f>AF73+AF72</x:f>
        <x:v>2545421.6489891997</x:v>
      </x:c>
      <x:c r="AG74" s="154" t="n">
        <x:f>AG73+AG72</x:f>
        <x:v>2727096.686905292</x:v>
      </x:c>
      <x:c r="AH74" s="154" t="n">
        <x:f>AH73+AH72</x:f>
        <x:v>2926141.4465895486</x:v>
      </x:c>
      <x:c r="AI74" s="154" t="n">
        <x:f>AI73+AI72</x:f>
        <x:v>3143416.2598811197</x:v>
      </x:c>
      <x:c r="AJ74" s="154" t="n">
        <x:f>AJ73+AJ72</x:f>
        <x:v>3371810.558274845</x:v>
      </x:c>
      <x:c r="AK74" s="154" t="n">
        <x:f>AK73+AK72</x:f>
        <x:v>3620287.5133346375</x:v>
      </x:c>
      <x:c r="AL74" s="155" t="n">
        <x:f>AL73+AL72</x:f>
        <x:v>3886172.0723314914</x:v>
      </x:c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9" t="str">
        <x:v>New validated cases</x:v>
      </x:c>
      <x:c r="B76" s="50" t="str">
        <x:v>cases</x:v>
      </x:c>
      <x:c r="C76" s="110" t="n">
        <x:f>SUM(C23,C27:C30)*Assumptions!$D$44</x:f>
        <x:v>0.9938879999999999</x:v>
      </x:c>
      <x:c r="D76" s="110" t="n">
        <x:f>SUM(D23,D27:D30)*Assumptions!$D$44</x:f>
        <x:v>1.4323727402611202</x:v>
      </x:c>
      <x:c r="E76" s="110" t="n">
        <x:f>SUM(E23,E27:E30)*Assumptions!$D$44</x:f>
        <x:v>1.7063159391206348</x:v>
      </x:c>
      <x:c r="F76" s="110" t="n">
        <x:f>SUM(F23,F27:F30)*Assumptions!$D$44</x:f>
        <x:v>1.821083292386568</x:v>
      </x:c>
      <x:c r="G76" s="110" t="n">
        <x:f>SUM(G23,G27:G30)*Assumptions!$D$44</x:f>
        <x:v>2.033786224572854</x:v>
      </x:c>
      <x:c r="H76" s="110" t="n">
        <x:f>SUM(H23,H27:H30)*Assumptions!$D$44</x:f>
        <x:v>2.176883246043974</x:v>
      </x:c>
      <x:c r="I76" s="110" t="n">
        <x:f>SUM(I23,I27:I30)*Assumptions!$D$44</x:f>
        <x:v>2.3330677380612497</x:v>
      </x:c>
      <x:c r="J76" s="110" t="n">
        <x:f>SUM(J23,J27:J30)*Assumptions!$D$44</x:f>
        <x:v>2.519030694668749</x:v>
      </x:c>
      <x:c r="K76" s="110" t="n">
        <x:f>SUM(K23,K27:K30)*Assumptions!$D$44</x:f>
        <x:v>2.7058038259516533</x:v>
      </x:c>
      <x:c r="L76" s="110" t="n">
        <x:f>SUM(L23,L27:L30)*Assumptions!$D$44</x:f>
        <x:v>2.9099150295023213</x:v>
      </x:c>
      <x:c r="M76" s="110" t="n">
        <x:f>SUM(M23,M27:M30)*Assumptions!$D$44</x:f>
        <x:v>3.1331514491748167</x:v>
      </x:c>
      <x:c r="N76" s="110" t="n">
        <x:f>SUM(N23,N27:N30)*Assumptions!$D$44</x:f>
        <x:v>3.377639010618154</x:v>
      </x:c>
      <x:c r="O76" s="110" t="n">
        <x:f>SUM(O23,O27:O30)*Assumptions!$D$44</x:f>
        <x:v>3.636802405749989</x:v>
      </x:c>
      <x:c r="P76" s="110" t="n">
        <x:f>SUM(P23,P27:P30)*Assumptions!$D$44</x:f>
        <x:v>3.854538406856328</x:v>
      </x:c>
      <x:c r="Q76" s="110" t="n">
        <x:f>SUM(Q23,Q27:Q30)*Assumptions!$D$44</x:f>
        <x:v>4.062355868105324</x:v>
      </x:c>
      <x:c r="R76" s="110" t="n">
        <x:f>SUM(R23,R27:R30)*Assumptions!$D$44</x:f>
        <x:v>4.27109433202505</x:v>
      </x:c>
      <x:c r="S76" s="110" t="n">
        <x:f>SUM(S23,S27:S30)*Assumptions!$D$44</x:f>
        <x:v>4.490211298682353</x:v>
      </x:c>
      <x:c r="T76" s="110" t="n">
        <x:f>SUM(T23,T27:T30)*Assumptions!$D$44</x:f>
        <x:v>4.715517312991992</x:v>
      </x:c>
      <x:c r="U76" s="110" t="n">
        <x:f>SUM(U23,U27:U30)*Assumptions!$D$44</x:f>
        <x:v>4.952192475186441</x:v>
      </x:c>
      <x:c r="V76" s="110" t="n">
        <x:f>SUM(V23,V27:V30)*Assumptions!$D$44</x:f>
        <x:v>5.20067650614658</x:v>
      </x:c>
      <x:c r="W76" s="110" t="n">
        <x:f>SUM(W23,W27:W30)*Assumptions!$D$44</x:f>
        <x:v>5.460710331453909</x:v>
      </x:c>
      <x:c r="X76" s="110" t="n">
        <x:f>SUM(X23,X27:X30)*Assumptions!$D$44</x:f>
        <x:v>5.733745848026604</x:v>
      </x:c>
      <x:c r="Y76" s="110" t="n">
        <x:f>SUM(Y23,Y27:Y30)*Assumptions!$D$44</x:f>
        <x:v>6.020433140427936</x:v>
      </x:c>
      <x:c r="Z76" s="110" t="n">
        <x:f>SUM(Z23,Z27:Z30)*Assumptions!$D$44</x:f>
        <x:v>6.321454797449333</x:v>
      </x:c>
      <x:c r="AA76" s="110" t="n">
        <x:f>SUM(AA23,AA27:AA30)*Assumptions!$D$44</x:f>
        <x:v>6.637527537321802</x:v>
      </x:c>
      <x:c r="AB76" s="110" t="n">
        <x:f>SUM(AB23,AB27:AB30)*Assumptions!$D$44</x:f>
        <x:v>6.9694039141878905</x:v>
      </x:c>
      <x:c r="AC76" s="110" t="n">
        <x:f>SUM(AC23,AC27:AC30)*Assumptions!$D$44</x:f>
        <x:v>7.317874109897286</x:v>
      </x:c>
      <x:c r="AD76" s="110" t="n">
        <x:f>SUM(AD23,AD27:AD30)*Assumptions!$D$44</x:f>
        <x:v>7.683767815392149</x:v>
      </x:c>
      <x:c r="AE76" s="110" t="n">
        <x:f>SUM(AE23,AE27:AE30)*Assumptions!$D$44</x:f>
        <x:v>8.067956206161758</x:v>
      </x:c>
      <x:c r="AF76" s="110" t="n">
        <x:f>SUM(AF23,AF27:AF30)*Assumptions!$D$44</x:f>
        <x:v>8.471354016469846</x:v>
      </x:c>
      <x:c r="AG76" s="110" t="n">
        <x:f>SUM(AG23,AG27:AG30)*Assumptions!$D$44</x:f>
        <x:v>8.894921717293338</x:v>
      </x:c>
      <x:c r="AH76" s="110" t="n">
        <x:f>SUM(AH23,AH27:AH30)*Assumptions!$D$44</x:f>
        <x:v>9.339667803158004</x:v>
      </x:c>
      <x:c r="AI76" s="110" t="n">
        <x:f>SUM(AI23,AI27:AI30)*Assumptions!$D$44</x:f>
        <x:v>9.80665119331591</x:v>
      </x:c>
      <x:c r="AJ76" s="110" t="n">
        <x:f>SUM(AJ23,AJ27:AJ30)*Assumptions!$D$44</x:f>
        <x:v>10.296983752981703</x:v>
      </x:c>
      <x:c r="AK76" s="110" t="n">
        <x:f>SUM(AK23,AK27:AK30)*Assumptions!$D$44</x:f>
        <x:v>10.811832940630786</x:v>
      </x:c>
      <x:c r="AL76" s="111" t="n">
        <x:f>SUM(AL23,AL27:AL30)*Assumptions!$D$44</x:f>
        <x:v>11.262404809633264</x:v>
      </x:c>
    </x:row>
    <x:row r="77">
      <x:c r="A77" s="142" t="str">
        <x:v>Cumulative validated cases</x:v>
      </x:c>
      <x:c r="B77" s="143" t="str">
        <x:v>cases</x:v>
      </x:c>
      <x:c r="C77" s="144" t="n">
        <x:f>C76</x:f>
        <x:v>0.9938879999999999</x:v>
      </x:c>
      <x:c r="D77" s="144" t="n">
        <x:f>C77+D76</x:f>
        <x:v>2.42626074026112</x:v>
      </x:c>
      <x:c r="E77" s="144" t="n">
        <x:f>D77+E76</x:f>
        <x:v>4.132576679381755</x:v>
      </x:c>
      <x:c r="F77" s="144" t="n">
        <x:f>E77+F76</x:f>
        <x:v>5.953659971768323</x:v>
      </x:c>
      <x:c r="G77" s="144" t="n">
        <x:f>F77+G76</x:f>
        <x:v>7.9874461963411765</x:v>
      </x:c>
      <x:c r="H77" s="144" t="n">
        <x:f>G77+H76</x:f>
        <x:v>10.164329442385151</x:v>
      </x:c>
      <x:c r="I77" s="144" t="n">
        <x:f>H77+I76</x:f>
        <x:v>12.4973971804464</x:v>
      </x:c>
      <x:c r="J77" s="144" t="n">
        <x:f>I77+J76</x:f>
        <x:v>15.016427875115149</x:v>
      </x:c>
      <x:c r="K77" s="144" t="n">
        <x:f>J77+K76</x:f>
        <x:v>17.722231701066804</x:v>
      </x:c>
      <x:c r="L77" s="144" t="n">
        <x:f>K77+L76</x:f>
        <x:v>20.632146730569126</x:v>
      </x:c>
      <x:c r="M77" s="144" t="n">
        <x:f>L77+M76</x:f>
        <x:v>23.765298179743944</x:v>
      </x:c>
      <x:c r="N77" s="144" t="n">
        <x:f>M77+N76</x:f>
        <x:v>27.142937190362098</x:v>
      </x:c>
      <x:c r="O77" s="144" t="n">
        <x:f>N77+O76</x:f>
        <x:v>30.779739596112087</x:v>
      </x:c>
      <x:c r="P77" s="144" t="n">
        <x:f>O77+P76</x:f>
        <x:v>34.634278002968415</x:v>
      </x:c>
      <x:c r="Q77" s="144" t="n">
        <x:f>P77+Q76</x:f>
        <x:v>38.696633871073736</x:v>
      </x:c>
      <x:c r="R77" s="144" t="n">
        <x:f>Q77+R76</x:f>
        <x:v>42.96772820309879</x:v>
      </x:c>
      <x:c r="S77" s="144" t="n">
        <x:f>R77+S76</x:f>
        <x:v>47.45793950178114</x:v>
      </x:c>
      <x:c r="T77" s="144" t="n">
        <x:f>S77+T76</x:f>
        <x:v>52.17345681477313</x:v>
      </x:c>
      <x:c r="U77" s="144" t="n">
        <x:f>T77+U76</x:f>
        <x:v>57.125649289959576</x:v>
      </x:c>
      <x:c r="V77" s="144" t="n">
        <x:f>U77+V76</x:f>
        <x:v>62.326325796106154</x:v>
      </x:c>
      <x:c r="W77" s="144" t="n">
        <x:f>V77+W76</x:f>
        <x:v>67.78703612756006</x:v>
      </x:c>
      <x:c r="X77" s="144" t="n">
        <x:f>W77+X76</x:f>
        <x:v>73.52078197558666</x:v>
      </x:c>
      <x:c r="Y77" s="144" t="n">
        <x:f>X77+Y76</x:f>
        <x:v>79.5412151160146</x:v>
      </x:c>
      <x:c r="Z77" s="144" t="n">
        <x:f>Y77+Z76</x:f>
        <x:v>85.86266991346393</x:v>
      </x:c>
      <x:c r="AA77" s="144" t="n">
        <x:f>Z77+AA76</x:f>
        <x:v>92.50019745078573</x:v>
      </x:c>
      <x:c r="AB77" s="144" t="n">
        <x:f>AA77+AB76</x:f>
        <x:v>99.46960136497363</x:v>
      </x:c>
      <x:c r="AC77" s="144" t="n">
        <x:f>AB77+AC76</x:f>
        <x:v>106.78747547487092</x:v>
      </x:c>
      <x:c r="AD77" s="144" t="n">
        <x:f>AC77+AD76</x:f>
        <x:v>114.47124329026306</x:v>
      </x:c>
      <x:c r="AE77" s="144" t="n">
        <x:f>AD77+AE76</x:f>
        <x:v>122.53919949642481</x:v>
      </x:c>
      <x:c r="AF77" s="144" t="n">
        <x:f>AE77+AF76</x:f>
        <x:v>131.01055351289466</x:v>
      </x:c>
      <x:c r="AG77" s="144" t="n">
        <x:f>AF77+AG76</x:f>
        <x:v>139.905475230188</x:v>
      </x:c>
      <x:c r="AH77" s="144" t="n">
        <x:f>AG77+AH76</x:f>
        <x:v>149.24514303334598</x:v>
      </x:c>
      <x:c r="AI77" s="144" t="n">
        <x:f>AH77+AI76</x:f>
        <x:v>159.05179422666188</x:v>
      </x:c>
      <x:c r="AJ77" s="144" t="n">
        <x:f>AI77+AJ76</x:f>
        <x:v>169.3487779796436</x:v>
      </x:c>
      <x:c r="AK77" s="144" t="n">
        <x:f>AJ77+AK76</x:f>
        <x:v>180.16061092027437</x:v>
      </x:c>
      <x:c r="AL77" s="145" t="n">
        <x:f>AK77+AL76</x:f>
        <x:v>191.42301572990763</x:v>
      </x:c>
    </x:row>
    <x:row r="78">
      <x:c r="A78" s="49" t="str">
        <x:v>Capacity lift</x:v>
      </x:c>
      <x:c r="B78" s="50" t="str">
        <x:v>%</x:v>
      </x:c>
      <x:c r="C78" s="118" t="n">
        <x:f>C18-1</x:f>
        <x:v>0</x:v>
      </x:c>
      <x:c r="D78" s="118" t="n">
        <x:f>D18-1</x:f>
        <x:v>0.007951103999999987</x:v>
      </x:c>
      <x:c r="E78" s="118" t="n">
        <x:f>E18-1</x:f>
        <x:v>0.019410085922088927</x:v>
      </x:c>
      <x:c r="F78" s="118" t="n">
        <x:f>F18-1</x:f>
        <x:v>0.033060613435053954</x:v>
      </x:c>
      <x:c r="G78" s="118" t="n">
        <x:f>G18-1</x:f>
        <x:v>0.04762927977414666</x:v>
      </x:c>
      <x:c r="H78" s="118" t="n">
        <x:f>H18-1</x:f>
        <x:v>0.0638995695707294</x:v>
      </x:c>
      <x:c r="I78" s="118" t="n">
        <x:f>I18-1</x:f>
        <x:v>0.08131463553908125</x:v>
      </x:c>
      <x:c r="J78" s="118" t="n">
        <x:f>J18-1</x:f>
        <x:v>0.09997917744357121</x:v>
      </x:c>
      <x:c r="K78" s="118" t="n">
        <x:f>K18-1</x:f>
        <x:v>0.12013142300092117</x:v>
      </x:c>
      <x:c r="L78" s="118" t="n">
        <x:f>L18-1</x:f>
        <x:v>0.14177785360853434</x:v>
      </x:c>
      <x:c r="M78" s="118" t="n">
        <x:f>M18-1</x:f>
        <x:v>0.16505717384455298</x:v>
      </x:c>
      <x:c r="N78" s="118" t="n">
        <x:f>N18-1</x:f>
        <x:v>0.19012238543795146</x:v>
      </x:c>
      <x:c r="O78" s="118" t="n">
        <x:f>O18-1</x:f>
        <x:v>0.21714349752289674</x:v>
      </x:c>
      <x:c r="P78" s="118" t="n">
        <x:f>P18-1</x:f>
        <x:v>0.24623791676889661</x:v>
      </x:c>
      <x:c r="Q78" s="118" t="n">
        <x:f>Q18-1</x:f>
        <x:v>0.2770742240237474</x:v>
      </x:c>
      <x:c r="R78" s="118" t="n">
        <x:f>R18-1</x:f>
        <x:v>0.30957307096859</x:v>
      </x:c>
      <x:c r="S78" s="118" t="n">
        <x:f>S18-1</x:f>
        <x:v>0.3437418256247904</x:v>
      </x:c>
      <x:c r="T78" s="118" t="n">
        <x:f>T18-1</x:f>
        <x:v>0.3796635160142492</x:v>
      </x:c>
      <x:c r="U78" s="118" t="n">
        <x:f>U18-1</x:f>
        <x:v>0.41738765451818516</x:v>
      </x:c>
      <x:c r="V78" s="118" t="n">
        <x:f>V18-1</x:f>
        <x:v>0.44999999999999996</x:v>
      </x:c>
      <x:c r="W78" s="118" t="n">
        <x:f>W18-1</x:f>
        <x:v>0.44999999999999996</x:v>
      </x:c>
      <x:c r="X78" s="118" t="n">
        <x:f>X18-1</x:f>
        <x:v>0.44999999999999996</x:v>
      </x:c>
      <x:c r="Y78" s="118" t="n">
        <x:f>Y18-1</x:f>
        <x:v>0.44999999999999996</x:v>
      </x:c>
      <x:c r="Z78" s="118" t="n">
        <x:f>Z18-1</x:f>
        <x:v>0.44999999999999996</x:v>
      </x:c>
      <x:c r="AA78" s="118" t="n">
        <x:f>AA18-1</x:f>
        <x:v>0.44999999999999996</x:v>
      </x:c>
      <x:c r="AB78" s="118" t="n">
        <x:f>AB18-1</x:f>
        <x:v>0.44999999999999996</x:v>
      </x:c>
      <x:c r="AC78" s="118" t="n">
        <x:f>AC18-1</x:f>
        <x:v>0.44999999999999996</x:v>
      </x:c>
      <x:c r="AD78" s="118" t="n">
        <x:f>AD18-1</x:f>
        <x:v>0.44999999999999996</x:v>
      </x:c>
      <x:c r="AE78" s="118" t="n">
        <x:f>AE18-1</x:f>
        <x:v>0.44999999999999996</x:v>
      </x:c>
      <x:c r="AF78" s="118" t="n">
        <x:f>AF18-1</x:f>
        <x:v>0.44999999999999996</x:v>
      </x:c>
      <x:c r="AG78" s="118" t="n">
        <x:f>AG18-1</x:f>
        <x:v>0.44999999999999996</x:v>
      </x:c>
      <x:c r="AH78" s="118" t="n">
        <x:f>AH18-1</x:f>
        <x:v>0.44999999999999996</x:v>
      </x:c>
      <x:c r="AI78" s="118" t="n">
        <x:f>AI18-1</x:f>
        <x:v>0.44999999999999996</x:v>
      </x:c>
      <x:c r="AJ78" s="118" t="n">
        <x:f>AJ18-1</x:f>
        <x:v>0.44999999999999996</x:v>
      </x:c>
      <x:c r="AK78" s="118" t="n">
        <x:f>AK18-1</x:f>
        <x:v>0.44999999999999996</x:v>
      </x:c>
      <x:c r="AL78" s="119" t="n">
        <x:f>AL18-1</x:f>
        <x:v>0.44999999999999996</x:v>
      </x:c>
    </x:row>
    <x:row r="79">
      <x:c r="A79" s="142" t="str">
        <x:v>Proof OS exit MRR</x:v>
      </x:c>
      <x:c r="B79" s="143" t="str">
        <x:v>$ / month</x:v>
      </x:c>
      <x:c r="C79" s="154" t="n">
        <x:f>C33*Assumptions!$D$21</x:f>
        <x:v>0</x:v>
      </x:c>
      <x:c r="D79" s="154" t="n">
        <x:f>D33*Assumptions!$D$21</x:f>
        <x:v>0</x:v>
      </x:c>
      <x:c r="E79" s="154" t="n">
        <x:f>E33*Assumptions!$D$21</x:f>
        <x:v>0</x:v>
      </x:c>
      <x:c r="F79" s="154" t="n">
        <x:f>F33*Assumptions!$D$21</x:f>
        <x:v>0</x:v>
      </x:c>
      <x:c r="G79" s="154" t="n">
        <x:f>G33*Assumptions!$D$21</x:f>
        <x:v>0</x:v>
      </x:c>
      <x:c r="H79" s="154" t="n">
        <x:f>H33*Assumptions!$D$21</x:f>
        <x:v>511.86401279999995</x:v>
      </x:c>
      <x:c r="I79" s="154" t="n">
        <x:f>I33*Assumptions!$D$21</x:f>
        <x:v>1039.6885802304798</x:v>
      </x:c>
      <x:c r="J79" s="154" t="n">
        <x:f>J33*Assumptions!$D$21</x:f>
        <x:v>1753.3420646188363</x:v>
      </x:c>
      <x:c r="K79" s="154" t="n">
        <x:f>K33*Assumptions!$D$21</x:f>
        <x:v>2495.51540321694</x:v>
      </x:c>
      <x:c r="L79" s="154" t="n">
        <x:f>L33*Assumptions!$D$21</x:f>
        <x:v>3270.107897632697</x:v>
      </x:c>
      <x:c r="M79" s="154" t="n">
        <x:f>M33*Assumptions!$D$21</x:f>
        <x:v>4081.680776234454</x:v>
      </x:c>
      <x:c r="N79" s="154" t="n">
        <x:f>N33*Assumptions!$D$21</x:f>
        <x:v>4934.322358179505</x:v>
      </x:c>
      <x:c r="O79" s="154" t="n">
        <x:f>O33*Assumptions!$D$21</x:f>
        <x:v>5832.755614061436</x:v>
      </x:c>
      <x:c r="P79" s="154" t="n">
        <x:f>P33*Assumptions!$D$21</x:f>
        <x:v>6782.153711135324</x:v>
      </x:c>
      <x:c r="Q79" s="154" t="n">
        <x:f>Q33*Assumptions!$D$21</x:f>
        <x:v>7788.142879007556</x:v>
      </x:c>
      <x:c r="R79" s="154" t="n">
        <x:f>R33*Assumptions!$D$21</x:f>
        <x:v>8857.033323597216</x:v>
      </x:c>
      <x:c r="S79" s="154" t="n">
        <x:f>S33*Assumptions!$D$21</x:f>
        <x:v>9995.831262035746</x:v>
      </x:c>
      <x:c r="T79" s="154" t="n">
        <x:f>T33*Assumptions!$D$21</x:f>
        <x:v>11207.68851310053</x:v>
      </x:c>
      <x:c r="U79" s="154" t="n">
        <x:f>U33*Assumptions!$D$21</x:f>
        <x:v>12468.298619495727</x:v>
      </x:c>
      <x:c r="V79" s="154" t="n">
        <x:f>V33*Assumptions!$D$21</x:f>
        <x:v>13780.1908899736</x:v>
      </x:c>
      <x:c r="W79" s="154" t="n">
        <x:f>W33*Assumptions!$D$21</x:f>
        <x:v>15137.023453790274</x:v>
      </x:c>
      <x:c r="X79" s="154" t="n">
        <x:f>X33*Assumptions!$D$21</x:f>
        <x:v>16541.662955218242</x:v>
      </x:c>
      <x:c r="Y79" s="154" t="n">
        <x:f>Y33*Assumptions!$D$21</x:f>
        <x:v>17997.100781855454</x:v>
      </x:c>
      <x:c r="Z79" s="154" t="n">
        <x:f>Z33*Assumptions!$D$21</x:f>
        <x:v>19506.459859458242</x:v>
      </x:c>
      <x:c r="AA79" s="154" t="n">
        <x:f>AA33*Assumptions!$D$21</x:f>
        <x:v>21073.001769785864</x:v>
      </x:c>
      <x:c r="AB79" s="154" t="n">
        <x:f>AB33*Assumptions!$D$21</x:f>
        <x:v>22700.134208109226</x:v>
      </x:c>
      <x:c r="AC79" s="154" t="n">
        <x:f>AC33*Assumptions!$D$21</x:f>
        <x:v>24391.418797853737</x:v>
      </x:c>
      <x:c r="AD79" s="154" t="n">
        <x:f>AD33*Assumptions!$D$21</x:f>
        <x:v>26150.5792807053</x:v>
      </x:c>
      <x:c r="AE79" s="154" t="n">
        <x:f>AE33*Assumptions!$D$21</x:f>
        <x:v>27981.510101410673</x:v>
      </x:c>
      <x:c r="AF79" s="154" t="n">
        <x:f>AF33*Assumptions!$D$21</x:f>
        <x:v>29888.285407451218</x:v>
      </x:c>
      <x:c r="AG79" s="154" t="n">
        <x:f>AG33*Assumptions!$D$21</x:f>
        <x:v>31875.16848476469</x:v>
      </x:c>
      <x:c r="AH79" s="154" t="n">
        <x:f>AH33*Assumptions!$D$21</x:f>
        <x:v>33946.62165173561</x:v>
      </x:c>
      <x:c r="AI79" s="154" t="n">
        <x:f>AI33*Assumptions!$D$21</x:f>
        <x:v>36107.31663477308</x:v>
      </x:c>
      <x:c r="AJ79" s="154" t="n">
        <x:f>AJ33*Assumptions!$D$21</x:f>
        <x:v>38362.14544994891</x:v>
      </x:c>
      <x:c r="AK79" s="154" t="n">
        <x:f>AK33*Assumptions!$D$21</x:f>
        <x:v>40716.23181638042</x:v>
      </x:c>
      <x:c r="AL79" s="155" t="n">
        <x:f>AL33*Assumptions!$D$21</x:f>
        <x:v>43174.94312831549</x:v>
      </x:c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9" t="str">
        <x:v>EBITDA-positive flag</x:v>
      </x:c>
      <x:c r="B81" s="50" t="str">
        <x:v>1 / 0</x:v>
      </x:c>
      <x:c r="C81" s="50" t="n">
        <x:f>IF(C66&gt;0,1,0)</x:f>
        <x:v>0</x:v>
      </x:c>
      <x:c r="D81" s="50" t="n">
        <x:f>IF(D66&gt;0,1,0)</x:f>
        <x:v>0</x:v>
      </x:c>
      <x:c r="E81" s="50" t="n">
        <x:f>IF(E66&gt;0,1,0)</x:f>
        <x:v>0</x:v>
      </x:c>
      <x:c r="F81" s="50" t="n">
        <x:f>IF(F66&gt;0,1,0)</x:f>
        <x:v>0</x:v>
      </x:c>
      <x:c r="G81" s="50" t="n">
        <x:f>IF(G66&gt;0,1,0)</x:f>
        <x:v>0</x:v>
      </x:c>
      <x:c r="H81" s="50" t="n">
        <x:f>IF(H66&gt;0,1,0)</x:f>
        <x:v>0</x:v>
      </x:c>
      <x:c r="I81" s="50" t="n">
        <x:f>IF(I66&gt;0,1,0)</x:f>
        <x:v>0</x:v>
      </x:c>
      <x:c r="J81" s="50" t="n">
        <x:f>IF(J66&gt;0,1,0)</x:f>
        <x:v>0</x:v>
      </x:c>
      <x:c r="K81" s="50" t="n">
        <x:f>IF(K66&gt;0,1,0)</x:f>
        <x:v>0</x:v>
      </x:c>
      <x:c r="L81" s="50" t="n">
        <x:f>IF(L66&gt;0,1,0)</x:f>
        <x:v>0</x:v>
      </x:c>
      <x:c r="M81" s="50" t="n">
        <x:f>IF(M66&gt;0,1,0)</x:f>
        <x:v>1</x:v>
      </x:c>
      <x:c r="N81" s="50" t="n">
        <x:f>IF(N66&gt;0,1,0)</x:f>
        <x:v>1</x:v>
      </x:c>
      <x:c r="O81" s="50" t="n">
        <x:f>IF(O66&gt;0,1,0)</x:f>
        <x:v>1</x:v>
      </x:c>
      <x:c r="P81" s="50" t="n">
        <x:f>IF(P66&gt;0,1,0)</x:f>
        <x:v>1</x:v>
      </x:c>
      <x:c r="Q81" s="50" t="n">
        <x:f>IF(Q66&gt;0,1,0)</x:f>
        <x:v>1</x:v>
      </x:c>
      <x:c r="R81" s="50" t="n">
        <x:f>IF(R66&gt;0,1,0)</x:f>
        <x:v>1</x:v>
      </x:c>
      <x:c r="S81" s="50" t="n">
        <x:f>IF(S66&gt;0,1,0)</x:f>
        <x:v>1</x:v>
      </x:c>
      <x:c r="T81" s="50" t="n">
        <x:f>IF(T66&gt;0,1,0)</x:f>
        <x:v>1</x:v>
      </x:c>
      <x:c r="U81" s="50" t="n">
        <x:f>IF(U66&gt;0,1,0)</x:f>
        <x:v>1</x:v>
      </x:c>
      <x:c r="V81" s="50" t="n">
        <x:f>IF(V66&gt;0,1,0)</x:f>
        <x:v>1</x:v>
      </x:c>
      <x:c r="W81" s="50" t="n">
        <x:f>IF(W66&gt;0,1,0)</x:f>
        <x:v>1</x:v>
      </x:c>
      <x:c r="X81" s="50" t="n">
        <x:f>IF(X66&gt;0,1,0)</x:f>
        <x:v>1</x:v>
      </x:c>
      <x:c r="Y81" s="50" t="n">
        <x:f>IF(Y66&gt;0,1,0)</x:f>
        <x:v>1</x:v>
      </x:c>
      <x:c r="Z81" s="50" t="n">
        <x:f>IF(Z66&gt;0,1,0)</x:f>
        <x:v>1</x:v>
      </x:c>
      <x:c r="AA81" s="50" t="n">
        <x:f>IF(AA66&gt;0,1,0)</x:f>
        <x:v>1</x:v>
      </x:c>
      <x:c r="AB81" s="50" t="n">
        <x:f>IF(AB66&gt;0,1,0)</x:f>
        <x:v>1</x:v>
      </x:c>
      <x:c r="AC81" s="50" t="n">
        <x:f>IF(AC66&gt;0,1,0)</x:f>
        <x:v>1</x:v>
      </x:c>
      <x:c r="AD81" s="50" t="n">
        <x:f>IF(AD66&gt;0,1,0)</x:f>
        <x:v>1</x:v>
      </x:c>
      <x:c r="AE81" s="50" t="n">
        <x:f>IF(AE66&gt;0,1,0)</x:f>
        <x:v>1</x:v>
      </x:c>
      <x:c r="AF81" s="50" t="n">
        <x:f>IF(AF66&gt;0,1,0)</x:f>
        <x:v>1</x:v>
      </x:c>
      <x:c r="AG81" s="50" t="n">
        <x:f>IF(AG66&gt;0,1,0)</x:f>
        <x:v>1</x:v>
      </x:c>
      <x:c r="AH81" s="50" t="n">
        <x:f>IF(AH66&gt;0,1,0)</x:f>
        <x:v>1</x:v>
      </x:c>
      <x:c r="AI81" s="50" t="n">
        <x:f>IF(AI66&gt;0,1,0)</x:f>
        <x:v>1</x:v>
      </x:c>
      <x:c r="AJ81" s="50" t="n">
        <x:f>IF(AJ66&gt;0,1,0)</x:f>
        <x:v>1</x:v>
      </x:c>
      <x:c r="AK81" s="50" t="n">
        <x:f>IF(AK66&gt;0,1,0)</x:f>
        <x:v>1</x:v>
      </x:c>
      <x:c r="AL81" s="51" t="n">
        <x:f>IF(AL66&gt;0,1,0)</x:f>
        <x:v>1</x:v>
      </x:c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AL1"/>
    <x:mergeCell ref="A2:AL2"/>
    <x:mergeCell ref="A8:AL8"/>
    <x:mergeCell ref="A20:AL20"/>
    <x:mergeCell ref="A26:AL26"/>
    <x:mergeCell ref="A35:AL35"/>
    <x:mergeCell ref="A46:AL46"/>
    <x:mergeCell ref="A58:AL58"/>
    <x:mergeCell ref="A69:AL69"/>
  </x:mergeCells>
  <x:conditionalFormatting sqref="C66:AL66">
    <x:cfRule type="expression" dxfId="4" priority="1">
      <x:formula>C66&lt;0</x:formula>
    </x:cfRule>
  </x:conditionalFormatting>
  <x:conditionalFormatting sqref="C72:AL72">
    <x:cfRule type="expression" dxfId="5" priority="2">
      <x:formula>C72&lt;0</x:formula>
    </x:cfRule>
  </x:conditionalFormatting>
  <x:conditionalFormatting sqref="C74:AL74">
    <x:cfRule type="expression" dxfId="6" priority="3">
      <x:formula>C74&lt;0</x:formula>
    </x:cfRule>
  </x:conditionalFormatting>
  <x:conditionalFormatting sqref="C55:AL55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{0A0DFCC1-F2E1-BF45-A5B3-F701BFE7BFE3}</x14:id>
        </x:ext>
      </x:extLst>
    </x:cfRule>
  </x:conditionalFormatting>
  <x:conditionalFormatting sqref="C77:AL77">
    <x:cfRule type="dataBar" priority="5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{0845F82D-AC34-78C6-A2DC-0C558D38D2C2}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A0DFCC1-F2E1-BF45-A5B3-F701BFE7BFE3}">
            <x14:dataBar gradient="1">
              <x14:cfvo type="min"/>
              <x14:cfvo type="max"/>
              <x14:fillColor rgb="FFA02B93"/>
            </x14:dataBar>
          </x14:cfRule>
          <xm:sqref>C55:AL55</xm:sqref>
        </x14:conditionalFormatting>
        <x14:conditionalFormatting>
          <x14:cfRule type="dataBar" priority="5" id="{0845F82D-AC34-78C6-A2DC-0C558D38D2C2}">
            <x14:dataBar gradient="1">
              <x14:cfvo type="min"/>
              <x14:cfvo type="max"/>
              <x14:fillColor rgb="FF4EA72E"/>
            </x14:dataBar>
          </x14:cfRule>
          <xm:sqref>C77:AL77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</x:cols>
  <x:sheetData>
    <x:row r="1" ht="34" customHeight="1">
      <x:c r="A1" s="414" t="str">
        <x:v>GoalOS Financial Projection — Upside Scenario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Expected-value monthly model. Fractional engagements represent probability-weighted pipeline outcomes. All assumptions are editable on the Assumptions sheet.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>
      <x:c r="A4" s="415"/>
      <x:c r="B4" s="415"/>
      <x:c r="C4" s="415"/>
      <x:c r="D4" s="415"/>
      <x:c r="E4" s="415"/>
      <x:c r="F4" s="415"/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 ht="28" customHeight="1">
      <x:c r="A5" s="26" t="str">
        <x:v>Date</x:v>
      </x:c>
      <x:c r="B5" s="28" t="str">
        <x:v>Unit</x:v>
      </x:c>
      <x:c r="C5" s="422" t="n">
        <x:f>Assumptions!$E$4</x:f>
        <x:v>46235</x:v>
      </x:c>
      <x:c r="D5" s="423" t="n">
        <x:f>DATE(YEAR(C5),MONTH(C5)+1,1)</x:f>
        <x:v>46266</x:v>
      </x:c>
      <x:c r="E5" s="423" t="n">
        <x:f>DATE(YEAR(D5),MONTH(D5)+1,1)</x:f>
        <x:v>46296</x:v>
      </x:c>
      <x:c r="F5" s="423" t="n">
        <x:f>DATE(YEAR(E5),MONTH(E5)+1,1)</x:f>
        <x:v>46327</x:v>
      </x:c>
      <x:c r="G5" s="423" t="n">
        <x:f>DATE(YEAR(F5),MONTH(F5)+1,1)</x:f>
        <x:v>46357</x:v>
      </x:c>
      <x:c r="H5" s="423" t="n">
        <x:f>DATE(YEAR(G5),MONTH(G5)+1,1)</x:f>
        <x:v>46388</x:v>
      </x:c>
      <x:c r="I5" s="423" t="n">
        <x:f>DATE(YEAR(H5),MONTH(H5)+1,1)</x:f>
        <x:v>46419</x:v>
      </x:c>
      <x:c r="J5" s="423" t="n">
        <x:f>DATE(YEAR(I5),MONTH(I5)+1,1)</x:f>
        <x:v>46447</x:v>
      </x:c>
      <x:c r="K5" s="423" t="n">
        <x:f>DATE(YEAR(J5),MONTH(J5)+1,1)</x:f>
        <x:v>46478</x:v>
      </x:c>
      <x:c r="L5" s="423" t="n">
        <x:f>DATE(YEAR(K5),MONTH(K5)+1,1)</x:f>
        <x:v>46508</x:v>
      </x:c>
      <x:c r="M5" s="423" t="n">
        <x:f>DATE(YEAR(L5),MONTH(L5)+1,1)</x:f>
        <x:v>46539</x:v>
      </x:c>
      <x:c r="N5" s="423" t="n">
        <x:f>DATE(YEAR(M5),MONTH(M5)+1,1)</x:f>
        <x:v>46569</x:v>
      </x:c>
      <x:c r="O5" s="423" t="n">
        <x:f>DATE(YEAR(N5),MONTH(N5)+1,1)</x:f>
        <x:v>46600</x:v>
      </x:c>
      <x:c r="P5" s="423" t="n">
        <x:f>DATE(YEAR(O5),MONTH(O5)+1,1)</x:f>
        <x:v>46631</x:v>
      </x:c>
      <x:c r="Q5" s="423" t="n">
        <x:f>DATE(YEAR(P5),MONTH(P5)+1,1)</x:f>
        <x:v>46661</x:v>
      </x:c>
      <x:c r="R5" s="423" t="n">
        <x:f>DATE(YEAR(Q5),MONTH(Q5)+1,1)</x:f>
        <x:v>46692</x:v>
      </x:c>
      <x:c r="S5" s="423" t="n">
        <x:f>DATE(YEAR(R5),MONTH(R5)+1,1)</x:f>
        <x:v>46722</x:v>
      </x:c>
      <x:c r="T5" s="423" t="n">
        <x:f>DATE(YEAR(S5),MONTH(S5)+1,1)</x:f>
        <x:v>46753</x:v>
      </x:c>
      <x:c r="U5" s="423" t="n">
        <x:f>DATE(YEAR(T5),MONTH(T5)+1,1)</x:f>
        <x:v>46784</x:v>
      </x:c>
      <x:c r="V5" s="423" t="n">
        <x:f>DATE(YEAR(U5),MONTH(U5)+1,1)</x:f>
        <x:v>46813</x:v>
      </x:c>
      <x:c r="W5" s="423" t="n">
        <x:f>DATE(YEAR(V5),MONTH(V5)+1,1)</x:f>
        <x:v>46844</x:v>
      </x:c>
      <x:c r="X5" s="423" t="n">
        <x:f>DATE(YEAR(W5),MONTH(W5)+1,1)</x:f>
        <x:v>46874</x:v>
      </x:c>
      <x:c r="Y5" s="423" t="n">
        <x:f>DATE(YEAR(X5),MONTH(X5)+1,1)</x:f>
        <x:v>46905</x:v>
      </x:c>
      <x:c r="Z5" s="423" t="n">
        <x:f>DATE(YEAR(Y5),MONTH(Y5)+1,1)</x:f>
        <x:v>46935</x:v>
      </x:c>
      <x:c r="AA5" s="423" t="n">
        <x:f>DATE(YEAR(Z5),MONTH(Z5)+1,1)</x:f>
        <x:v>46966</x:v>
      </x:c>
      <x:c r="AB5" s="423" t="n">
        <x:f>DATE(YEAR(AA5),MONTH(AA5)+1,1)</x:f>
        <x:v>46997</x:v>
      </x:c>
      <x:c r="AC5" s="423" t="n">
        <x:f>DATE(YEAR(AB5),MONTH(AB5)+1,1)</x:f>
        <x:v>47027</x:v>
      </x:c>
      <x:c r="AD5" s="423" t="n">
        <x:f>DATE(YEAR(AC5),MONTH(AC5)+1,1)</x:f>
        <x:v>47058</x:v>
      </x:c>
      <x:c r="AE5" s="423" t="n">
        <x:f>DATE(YEAR(AD5),MONTH(AD5)+1,1)</x:f>
        <x:v>47088</x:v>
      </x:c>
      <x:c r="AF5" s="423" t="n">
        <x:f>DATE(YEAR(AE5),MONTH(AE5)+1,1)</x:f>
        <x:v>47119</x:v>
      </x:c>
      <x:c r="AG5" s="423" t="n">
        <x:f>DATE(YEAR(AF5),MONTH(AF5)+1,1)</x:f>
        <x:v>47150</x:v>
      </x:c>
      <x:c r="AH5" s="423" t="n">
        <x:f>DATE(YEAR(AG5),MONTH(AG5)+1,1)</x:f>
        <x:v>47178</x:v>
      </x:c>
      <x:c r="AI5" s="423" t="n">
        <x:f>DATE(YEAR(AH5),MONTH(AH5)+1,1)</x:f>
        <x:v>47209</x:v>
      </x:c>
      <x:c r="AJ5" s="423" t="n">
        <x:f>DATE(YEAR(AI5),MONTH(AI5)+1,1)</x:f>
        <x:v>47239</x:v>
      </x:c>
      <x:c r="AK5" s="423" t="n">
        <x:f>DATE(YEAR(AJ5),MONTH(AJ5)+1,1)</x:f>
        <x:v>47270</x:v>
      </x:c>
      <x:c r="AL5" s="423" t="n">
        <x:f>DATE(YEAR(AK5),MONTH(AK5)+1,1)</x:f>
        <x:v>47300</x:v>
      </x:c>
    </x:row>
    <x:row r="6">
      <x:c r="A6" s="49" t="str">
        <x:v>Month</x:v>
      </x:c>
      <x:c r="B6" s="51" t="str">
        <x:v>#</x:v>
      </x:c>
      <x:c r="C6" s="415" t="n">
        <x:f>1</x:f>
        <x:v>1</x:v>
      </x:c>
      <x:c r="D6" s="415" t="n">
        <x:f>C6+1</x:f>
        <x:v>2</x:v>
      </x:c>
      <x:c r="E6" s="415" t="n">
        <x:f>D6+1</x:f>
        <x:v>3</x:v>
      </x:c>
      <x:c r="F6" s="415" t="n">
        <x:f>E6+1</x:f>
        <x:v>4</x:v>
      </x:c>
      <x:c r="G6" s="415" t="n">
        <x:f>F6+1</x:f>
        <x:v>5</x:v>
      </x:c>
      <x:c r="H6" s="415" t="n">
        <x:f>G6+1</x:f>
        <x:v>6</x:v>
      </x:c>
      <x:c r="I6" s="415" t="n">
        <x:f>H6+1</x:f>
        <x:v>7</x:v>
      </x:c>
      <x:c r="J6" s="415" t="n">
        <x:f>I6+1</x:f>
        <x:v>8</x:v>
      </x:c>
      <x:c r="K6" s="415" t="n">
        <x:f>J6+1</x:f>
        <x:v>9</x:v>
      </x:c>
      <x:c r="L6" s="415" t="n">
        <x:f>K6+1</x:f>
        <x:v>10</x:v>
      </x:c>
      <x:c r="M6" s="415" t="n">
        <x:f>L6+1</x:f>
        <x:v>11</x:v>
      </x:c>
      <x:c r="N6" s="415" t="n">
        <x:f>M6+1</x:f>
        <x:v>12</x:v>
      </x:c>
      <x:c r="O6" s="415" t="n">
        <x:f>N6+1</x:f>
        <x:v>13</x:v>
      </x:c>
      <x:c r="P6" s="415" t="n">
        <x:f>O6+1</x:f>
        <x:v>14</x:v>
      </x:c>
      <x:c r="Q6" s="415" t="n">
        <x:f>P6+1</x:f>
        <x:v>15</x:v>
      </x:c>
      <x:c r="R6" s="415" t="n">
        <x:f>Q6+1</x:f>
        <x:v>16</x:v>
      </x:c>
      <x:c r="S6" s="415" t="n">
        <x:f>R6+1</x:f>
        <x:v>17</x:v>
      </x:c>
      <x:c r="T6" s="415" t="n">
        <x:f>S6+1</x:f>
        <x:v>18</x:v>
      </x:c>
      <x:c r="U6" s="415" t="n">
        <x:f>T6+1</x:f>
        <x:v>19</x:v>
      </x:c>
      <x:c r="V6" s="415" t="n">
        <x:f>U6+1</x:f>
        <x:v>20</x:v>
      </x:c>
      <x:c r="W6" s="415" t="n">
        <x:f>V6+1</x:f>
        <x:v>21</x:v>
      </x:c>
      <x:c r="X6" s="415" t="n">
        <x:f>W6+1</x:f>
        <x:v>22</x:v>
      </x:c>
      <x:c r="Y6" s="415" t="n">
        <x:f>X6+1</x:f>
        <x:v>23</x:v>
      </x:c>
      <x:c r="Z6" s="415" t="n">
        <x:f>Y6+1</x:f>
        <x:v>24</x:v>
      </x:c>
      <x:c r="AA6" s="415" t="n">
        <x:f>Z6+1</x:f>
        <x:v>25</x:v>
      </x:c>
      <x:c r="AB6" s="415" t="n">
        <x:f>AA6+1</x:f>
        <x:v>26</x:v>
      </x:c>
      <x:c r="AC6" s="415" t="n">
        <x:f>AB6+1</x:f>
        <x:v>27</x:v>
      </x:c>
      <x:c r="AD6" s="415" t="n">
        <x:f>AC6+1</x:f>
        <x:v>28</x:v>
      </x:c>
      <x:c r="AE6" s="415" t="n">
        <x:f>AD6+1</x:f>
        <x:v>29</x:v>
      </x:c>
      <x:c r="AF6" s="415" t="n">
        <x:f>AE6+1</x:f>
        <x:v>30</x:v>
      </x:c>
      <x:c r="AG6" s="415" t="n">
        <x:f>AF6+1</x:f>
        <x:v>31</x:v>
      </x:c>
      <x:c r="AH6" s="415" t="n">
        <x:f>AG6+1</x:f>
        <x:v>32</x:v>
      </x:c>
      <x:c r="AI6" s="415" t="n">
        <x:f>AH6+1</x:f>
        <x:v>33</x:v>
      </x:c>
      <x:c r="AJ6" s="415" t="n">
        <x:f>AI6+1</x:f>
        <x:v>34</x:v>
      </x:c>
      <x:c r="AK6" s="415" t="n">
        <x:f>AJ6+1</x:f>
        <x:v>35</x:v>
      </x:c>
      <x:c r="AL6" s="415" t="n">
        <x:f>AK6+1</x:f>
        <x:v>36</x:v>
      </x:c>
    </x:row>
    <x:row r="7">
      <x:c r="A7" s="415"/>
      <x:c r="B7" s="415"/>
      <x:c r="C7" s="415"/>
      <x:c r="D7" s="415"/>
      <x:c r="E7" s="415"/>
      <x:c r="F7" s="415"/>
      <x:c r="G7" s="415"/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 ht="23" customHeight="1">
      <x:c r="A8" s="416" t="str">
        <x:v>FUNNEL</x:v>
      </x:c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9" t="str">
        <x:v>Qualified leads</x:v>
      </x:c>
      <x:c r="B9" s="50" t="str">
        <x:v>leads</x:v>
      </x:c>
      <x:c r="C9" s="164" t="n">
        <x:f>Assumptions!$E$25</x:f>
        <x:v>35</x:v>
      </x:c>
      <x:c r="D9" s="110" t="n">
        <x:f>C9*(1+Assumptions!$E$26)</x:f>
        <x:v>37.45</x:v>
      </x:c>
      <x:c r="E9" s="110" t="n">
        <x:f>D9*(1+Assumptions!$E$26)</x:f>
        <x:v>40.07150000000001</x:v>
      </x:c>
      <x:c r="F9" s="110" t="n">
        <x:f>E9*(1+Assumptions!$E$26)</x:f>
        <x:v>42.87650500000001</x:v>
      </x:c>
      <x:c r="G9" s="110" t="n">
        <x:f>F9*(1+Assumptions!$E$26)</x:f>
        <x:v>45.87786035000001</x:v>
      </x:c>
      <x:c r="H9" s="110" t="n">
        <x:f>G9*(1+Assumptions!$E$26)</x:f>
        <x:v>49.08931057450002</x:v>
      </x:c>
      <x:c r="I9" s="110" t="n">
        <x:f>H9*(1+Assumptions!$E$26)</x:f>
        <x:v>52.525562314715025</x:v>
      </x:c>
      <x:c r="J9" s="110" t="n">
        <x:f>I9*(1+Assumptions!$E$26)</x:f>
        <x:v>56.20235167674508</x:v>
      </x:c>
      <x:c r="K9" s="110" t="n">
        <x:f>J9*(1+Assumptions!$E$26)</x:f>
        <x:v>60.13651629411724</x:v>
      </x:c>
      <x:c r="L9" s="110" t="n">
        <x:f>K9*(1+Assumptions!$E$26)</x:f>
        <x:v>64.34607243470545</x:v>
      </x:c>
      <x:c r="M9" s="110" t="n">
        <x:f>L9*(1+Assumptions!$E$26)</x:f>
        <x:v>68.85029750513483</x:v>
      </x:c>
      <x:c r="N9" s="110" t="n">
        <x:f>M9*(1+Assumptions!$E$26)</x:f>
        <x:v>73.66981833049428</x:v>
      </x:c>
      <x:c r="O9" s="110" t="n">
        <x:f>N9*(1+Assumptions!$E$26)</x:f>
        <x:v>78.82670561362889</x:v>
      </x:c>
      <x:c r="P9" s="110" t="n">
        <x:f>O9*(1+Assumptions!$E$26)</x:f>
        <x:v>84.34457500658291</x:v>
      </x:c>
      <x:c r="Q9" s="110" t="n">
        <x:f>P9*(1+Assumptions!$E$26)</x:f>
        <x:v>90.24869525704372</x:v>
      </x:c>
      <x:c r="R9" s="110" t="n">
        <x:f>Q9*(1+Assumptions!$E$26)</x:f>
        <x:v>96.56610392503678</x:v>
      </x:c>
      <x:c r="S9" s="110" t="n">
        <x:f>R9*(1+Assumptions!$E$26)</x:f>
        <x:v>103.32573119978936</x:v>
      </x:c>
      <x:c r="T9" s="110" t="n">
        <x:f>S9*(1+Assumptions!$E$26)</x:f>
        <x:v>110.55853238377462</x:v>
      </x:c>
      <x:c r="U9" s="110" t="n">
        <x:f>T9*(1+Assumptions!$E$26)</x:f>
        <x:v>118.29762965063885</x:v>
      </x:c>
      <x:c r="V9" s="110" t="n">
        <x:f>U9*(1+Assumptions!$E$26)</x:f>
        <x:v>126.57846372618359</x:v>
      </x:c>
      <x:c r="W9" s="110" t="n">
        <x:f>V9*(1+Assumptions!$E$26)</x:f>
        <x:v>135.43895618701646</x:v>
      </x:c>
      <x:c r="X9" s="110" t="n">
        <x:f>W9*(1+Assumptions!$E$26)</x:f>
        <x:v>144.9196831201076</x:v>
      </x:c>
      <x:c r="Y9" s="110" t="n">
        <x:f>X9*(1+Assumptions!$E$26)</x:f>
        <x:v>155.06406093851515</x:v>
      </x:c>
      <x:c r="Z9" s="110" t="n">
        <x:f>Y9*(1+Assumptions!$E$26)</x:f>
        <x:v>165.91854520421123</x:v>
      </x:c>
      <x:c r="AA9" s="110" t="n">
        <x:f>Z9*(1+Assumptions!$E$26)</x:f>
        <x:v>177.53284336850604</x:v>
      </x:c>
      <x:c r="AB9" s="110" t="n">
        <x:f>AA9*(1+Assumptions!$E$26)</x:f>
        <x:v>189.96014240430148</x:v>
      </x:c>
      <x:c r="AC9" s="110" t="n">
        <x:f>AB9*(1+Assumptions!$E$26)</x:f>
        <x:v>203.25735237260258</x:v>
      </x:c>
      <x:c r="AD9" s="110" t="n">
        <x:f>AC9*(1+Assumptions!$E$26)</x:f>
        <x:v>217.48536703868479</x:v>
      </x:c>
      <x:c r="AE9" s="110" t="n">
        <x:f>AD9*(1+Assumptions!$E$26)</x:f>
        <x:v>232.70934273139272</x:v>
      </x:c>
      <x:c r="AF9" s="110" t="n">
        <x:f>AE9*(1+Assumptions!$E$26)</x:f>
        <x:v>248.99899672259022</x:v>
      </x:c>
      <x:c r="AG9" s="110" t="n">
        <x:f>AF9*(1+Assumptions!$E$26)</x:f>
        <x:v>266.42892649317156</x:v>
      </x:c>
      <x:c r="AH9" s="110" t="n">
        <x:f>AG9*(1+Assumptions!$E$26)</x:f>
        <x:v>285.0789513476936</x:v>
      </x:c>
      <x:c r="AI9" s="110" t="n">
        <x:f>AH9*(1+Assumptions!$E$26)</x:f>
        <x:v>305.03447794203214</x:v>
      </x:c>
      <x:c r="AJ9" s="110" t="n">
        <x:f>AI9*(1+Assumptions!$E$26)</x:f>
        <x:v>326.3868913979744</x:v>
      </x:c>
      <x:c r="AK9" s="110" t="n">
        <x:f>AJ9*(1+Assumptions!$E$26)</x:f>
        <x:v>349.23397379583264</x:v>
      </x:c>
      <x:c r="AL9" s="111" t="n">
        <x:f>AK9*(1+Assumptions!$E$26)</x:f>
        <x:v>373.68035196154096</x:v>
      </x:c>
    </x:row>
    <x:row r="10">
      <x:c r="A10" s="49" t="str">
        <x:v>Lead → discovery call</x:v>
      </x:c>
      <x:c r="B10" s="50" t="str">
        <x:v>%</x:v>
      </x:c>
      <x:c r="C10" s="158" t="n">
        <x:f>Assumptions!$E$27</x:f>
        <x:v>0.33</x:v>
      </x:c>
      <x:c r="D10" s="158" t="n">
        <x:f>Assumptions!$E$27</x:f>
        <x:v>0.33</x:v>
      </x:c>
      <x:c r="E10" s="158" t="n">
        <x:f>Assumptions!$E$27</x:f>
        <x:v>0.33</x:v>
      </x:c>
      <x:c r="F10" s="158" t="n">
        <x:f>Assumptions!$E$27</x:f>
        <x:v>0.33</x:v>
      </x:c>
      <x:c r="G10" s="158" t="n">
        <x:f>Assumptions!$E$27</x:f>
        <x:v>0.33</x:v>
      </x:c>
      <x:c r="H10" s="158" t="n">
        <x:f>Assumptions!$E$27</x:f>
        <x:v>0.33</x:v>
      </x:c>
      <x:c r="I10" s="158" t="n">
        <x:f>Assumptions!$E$27</x:f>
        <x:v>0.33</x:v>
      </x:c>
      <x:c r="J10" s="158" t="n">
        <x:f>Assumptions!$E$27</x:f>
        <x:v>0.33</x:v>
      </x:c>
      <x:c r="K10" s="158" t="n">
        <x:f>Assumptions!$E$27</x:f>
        <x:v>0.33</x:v>
      </x:c>
      <x:c r="L10" s="158" t="n">
        <x:f>Assumptions!$E$27</x:f>
        <x:v>0.33</x:v>
      </x:c>
      <x:c r="M10" s="158" t="n">
        <x:f>Assumptions!$E$27</x:f>
        <x:v>0.33</x:v>
      </x:c>
      <x:c r="N10" s="158" t="n">
        <x:f>Assumptions!$E$27</x:f>
        <x:v>0.33</x:v>
      </x:c>
      <x:c r="O10" s="158" t="n">
        <x:f>Assumptions!$E$27</x:f>
        <x:v>0.33</x:v>
      </x:c>
      <x:c r="P10" s="158" t="n">
        <x:f>Assumptions!$E$27</x:f>
        <x:v>0.33</x:v>
      </x:c>
      <x:c r="Q10" s="158" t="n">
        <x:f>Assumptions!$E$27</x:f>
        <x:v>0.33</x:v>
      </x:c>
      <x:c r="R10" s="158" t="n">
        <x:f>Assumptions!$E$27</x:f>
        <x:v>0.33</x:v>
      </x:c>
      <x:c r="S10" s="158" t="n">
        <x:f>Assumptions!$E$27</x:f>
        <x:v>0.33</x:v>
      </x:c>
      <x:c r="T10" s="158" t="n">
        <x:f>Assumptions!$E$27</x:f>
        <x:v>0.33</x:v>
      </x:c>
      <x:c r="U10" s="158" t="n">
        <x:f>Assumptions!$E$27</x:f>
        <x:v>0.33</x:v>
      </x:c>
      <x:c r="V10" s="158" t="n">
        <x:f>Assumptions!$E$27</x:f>
        <x:v>0.33</x:v>
      </x:c>
      <x:c r="W10" s="158" t="n">
        <x:f>Assumptions!$E$27</x:f>
        <x:v>0.33</x:v>
      </x:c>
      <x:c r="X10" s="158" t="n">
        <x:f>Assumptions!$E$27</x:f>
        <x:v>0.33</x:v>
      </x:c>
      <x:c r="Y10" s="158" t="n">
        <x:f>Assumptions!$E$27</x:f>
        <x:v>0.33</x:v>
      </x:c>
      <x:c r="Z10" s="158" t="n">
        <x:f>Assumptions!$E$27</x:f>
        <x:v>0.33</x:v>
      </x:c>
      <x:c r="AA10" s="158" t="n">
        <x:f>Assumptions!$E$27</x:f>
        <x:v>0.33</x:v>
      </x:c>
      <x:c r="AB10" s="158" t="n">
        <x:f>Assumptions!$E$27</x:f>
        <x:v>0.33</x:v>
      </x:c>
      <x:c r="AC10" s="158" t="n">
        <x:f>Assumptions!$E$27</x:f>
        <x:v>0.33</x:v>
      </x:c>
      <x:c r="AD10" s="158" t="n">
        <x:f>Assumptions!$E$27</x:f>
        <x:v>0.33</x:v>
      </x:c>
      <x:c r="AE10" s="158" t="n">
        <x:f>Assumptions!$E$27</x:f>
        <x:v>0.33</x:v>
      </x:c>
      <x:c r="AF10" s="158" t="n">
        <x:f>Assumptions!$E$27</x:f>
        <x:v>0.33</x:v>
      </x:c>
      <x:c r="AG10" s="158" t="n">
        <x:f>Assumptions!$E$27</x:f>
        <x:v>0.33</x:v>
      </x:c>
      <x:c r="AH10" s="158" t="n">
        <x:f>Assumptions!$E$27</x:f>
        <x:v>0.33</x:v>
      </x:c>
      <x:c r="AI10" s="158" t="n">
        <x:f>Assumptions!$E$27</x:f>
        <x:v>0.33</x:v>
      </x:c>
      <x:c r="AJ10" s="158" t="n">
        <x:f>Assumptions!$E$27</x:f>
        <x:v>0.33</x:v>
      </x:c>
      <x:c r="AK10" s="158" t="n">
        <x:f>Assumptions!$E$27</x:f>
        <x:v>0.33</x:v>
      </x:c>
      <x:c r="AL10" s="159" t="n">
        <x:f>Assumptions!$E$27</x:f>
        <x:v>0.33</x:v>
      </x:c>
    </x:row>
    <x:row r="11">
      <x:c r="A11" s="49" t="str">
        <x:v>Discovery calls</x:v>
      </x:c>
      <x:c r="B11" s="50" t="str">
        <x:v>calls</x:v>
      </x:c>
      <x:c r="C11" s="110" t="n">
        <x:f>C9*C10</x:f>
        <x:v>11.55</x:v>
      </x:c>
      <x:c r="D11" s="110" t="n">
        <x:f>D9*D10</x:f>
        <x:v>12.358500000000001</x:v>
      </x:c>
      <x:c r="E11" s="110" t="n">
        <x:f>E9*E10</x:f>
        <x:v>13.223595000000003</x:v>
      </x:c>
      <x:c r="F11" s="110" t="n">
        <x:f>F9*F10</x:f>
        <x:v>14.149246650000004</x:v>
      </x:c>
      <x:c r="G11" s="110" t="n">
        <x:f>G9*G10</x:f>
        <x:v>15.139693915500006</x:v>
      </x:c>
      <x:c r="H11" s="110" t="n">
        <x:f>H9*H10</x:f>
        <x:v>16.199472489585006</x:v>
      </x:c>
      <x:c r="I11" s="110" t="n">
        <x:f>I9*I10</x:f>
        <x:v>17.333435563855957</x:v>
      </x:c>
      <x:c r="J11" s="110" t="n">
        <x:f>J9*J10</x:f>
        <x:v>18.54677605332588</x:v>
      </x:c>
      <x:c r="K11" s="110" t="n">
        <x:f>K9*K10</x:f>
        <x:v>19.84505037705869</x:v>
      </x:c>
      <x:c r="L11" s="110" t="n">
        <x:f>L9*L10</x:f>
        <x:v>21.234203903452798</x:v>
      </x:c>
      <x:c r="M11" s="110" t="n">
        <x:f>M9*M10</x:f>
        <x:v>22.720598176694494</x:v>
      </x:c>
      <x:c r="N11" s="110" t="n">
        <x:f>N9*N10</x:f>
        <x:v>24.311040049063113</x:v>
      </x:c>
      <x:c r="O11" s="110" t="n">
        <x:f>O9*O10</x:f>
        <x:v>26.012812852497536</x:v>
      </x:c>
      <x:c r="P11" s="110" t="n">
        <x:f>P9*P10</x:f>
        <x:v>27.833709752172364</x:v>
      </x:c>
      <x:c r="Q11" s="110" t="n">
        <x:f>Q9*Q10</x:f>
        <x:v>29.78206943482443</x:v>
      </x:c>
      <x:c r="R11" s="110" t="n">
        <x:f>R9*R10</x:f>
        <x:v>31.86681429526214</x:v>
      </x:c>
      <x:c r="S11" s="110" t="n">
        <x:f>S9*S10</x:f>
        <x:v>34.09749129593049</x:v>
      </x:c>
      <x:c r="T11" s="110" t="n">
        <x:f>T9*T10</x:f>
        <x:v>36.48431568664562</x:v>
      </x:c>
      <x:c r="U11" s="110" t="n">
        <x:f>U9*U10</x:f>
        <x:v>39.038217784710824</x:v>
      </x:c>
      <x:c r="V11" s="110" t="n">
        <x:f>V9*V10</x:f>
        <x:v>41.77089302964058</x:v>
      </x:c>
      <x:c r="W11" s="110" t="n">
        <x:f>W9*W10</x:f>
        <x:v>44.694855541715434</x:v>
      </x:c>
      <x:c r="X11" s="110" t="n">
        <x:f>X9*X10</x:f>
        <x:v>47.823495429635514</x:v>
      </x:c>
      <x:c r="Y11" s="110" t="n">
        <x:f>Y9*Y10</x:f>
        <x:v>51.17114010971</x:v>
      </x:c>
      <x:c r="Z11" s="110" t="n">
        <x:f>Z9*Z10</x:f>
        <x:v>54.75311991738971</x:v>
      </x:c>
      <x:c r="AA11" s="110" t="n">
        <x:f>AA9*AA10</x:f>
        <x:v>58.58583831160699</x:v>
      </x:c>
      <x:c r="AB11" s="110" t="n">
        <x:f>AB9*AB10</x:f>
        <x:v>62.68684699341949</x:v>
      </x:c>
      <x:c r="AC11" s="110" t="n">
        <x:f>AC9*AC10</x:f>
        <x:v>67.07492628295886</x:v>
      </x:c>
      <x:c r="AD11" s="110" t="n">
        <x:f>AD9*AD10</x:f>
        <x:v>71.77017112276599</x:v>
      </x:c>
      <x:c r="AE11" s="110" t="n">
        <x:f>AE9*AE10</x:f>
        <x:v>76.7940831013596</x:v>
      </x:c>
      <x:c r="AF11" s="110" t="n">
        <x:f>AF9*AF10</x:f>
        <x:v>82.16966891845478</x:v>
      </x:c>
      <x:c r="AG11" s="110" t="n">
        <x:f>AG9*AG10</x:f>
        <x:v>87.92154574274662</x:v>
      </x:c>
      <x:c r="AH11" s="110" t="n">
        <x:f>AH9*AH10</x:f>
        <x:v>94.07605394473889</x:v>
      </x:c>
      <x:c r="AI11" s="110" t="n">
        <x:f>AI9*AI10</x:f>
        <x:v>100.6613777208706</x:v>
      </x:c>
      <x:c r="AJ11" s="110" t="n">
        <x:f>AJ9*AJ10</x:f>
        <x:v>107.70767416133155</x:v>
      </x:c>
      <x:c r="AK11" s="110" t="n">
        <x:f>AK9*AK10</x:f>
        <x:v>115.24721135262477</x:v>
      </x:c>
      <x:c r="AL11" s="111" t="n">
        <x:f>AL9*AL10</x:f>
        <x:v>123.31451614730852</x:v>
      </x:c>
    </x:row>
    <x:row r="12">
      <x:c r="A12" s="49" t="str">
        <x:v>Discovery call → proposal</x:v>
      </x:c>
      <x:c r="B12" s="50" t="str">
        <x:v>%</x:v>
      </x:c>
      <x:c r="C12" s="158" t="n">
        <x:f>Assumptions!$E$28</x:f>
        <x:v>0.62</x:v>
      </x:c>
      <x:c r="D12" s="158" t="n">
        <x:f>Assumptions!$E$28</x:f>
        <x:v>0.62</x:v>
      </x:c>
      <x:c r="E12" s="158" t="n">
        <x:f>Assumptions!$E$28</x:f>
        <x:v>0.62</x:v>
      </x:c>
      <x:c r="F12" s="158" t="n">
        <x:f>Assumptions!$E$28</x:f>
        <x:v>0.62</x:v>
      </x:c>
      <x:c r="G12" s="158" t="n">
        <x:f>Assumptions!$E$28</x:f>
        <x:v>0.62</x:v>
      </x:c>
      <x:c r="H12" s="158" t="n">
        <x:f>Assumptions!$E$28</x:f>
        <x:v>0.62</x:v>
      </x:c>
      <x:c r="I12" s="158" t="n">
        <x:f>Assumptions!$E$28</x:f>
        <x:v>0.62</x:v>
      </x:c>
      <x:c r="J12" s="158" t="n">
        <x:f>Assumptions!$E$28</x:f>
        <x:v>0.62</x:v>
      </x:c>
      <x:c r="K12" s="158" t="n">
        <x:f>Assumptions!$E$28</x:f>
        <x:v>0.62</x:v>
      </x:c>
      <x:c r="L12" s="158" t="n">
        <x:f>Assumptions!$E$28</x:f>
        <x:v>0.62</x:v>
      </x:c>
      <x:c r="M12" s="158" t="n">
        <x:f>Assumptions!$E$28</x:f>
        <x:v>0.62</x:v>
      </x:c>
      <x:c r="N12" s="158" t="n">
        <x:f>Assumptions!$E$28</x:f>
        <x:v>0.62</x:v>
      </x:c>
      <x:c r="O12" s="158" t="n">
        <x:f>Assumptions!$E$28</x:f>
        <x:v>0.62</x:v>
      </x:c>
      <x:c r="P12" s="158" t="n">
        <x:f>Assumptions!$E$28</x:f>
        <x:v>0.62</x:v>
      </x:c>
      <x:c r="Q12" s="158" t="n">
        <x:f>Assumptions!$E$28</x:f>
        <x:v>0.62</x:v>
      </x:c>
      <x:c r="R12" s="158" t="n">
        <x:f>Assumptions!$E$28</x:f>
        <x:v>0.62</x:v>
      </x:c>
      <x:c r="S12" s="158" t="n">
        <x:f>Assumptions!$E$28</x:f>
        <x:v>0.62</x:v>
      </x:c>
      <x:c r="T12" s="158" t="n">
        <x:f>Assumptions!$E$28</x:f>
        <x:v>0.62</x:v>
      </x:c>
      <x:c r="U12" s="158" t="n">
        <x:f>Assumptions!$E$28</x:f>
        <x:v>0.62</x:v>
      </x:c>
      <x:c r="V12" s="158" t="n">
        <x:f>Assumptions!$E$28</x:f>
        <x:v>0.62</x:v>
      </x:c>
      <x:c r="W12" s="158" t="n">
        <x:f>Assumptions!$E$28</x:f>
        <x:v>0.62</x:v>
      </x:c>
      <x:c r="X12" s="158" t="n">
        <x:f>Assumptions!$E$28</x:f>
        <x:v>0.62</x:v>
      </x:c>
      <x:c r="Y12" s="158" t="n">
        <x:f>Assumptions!$E$28</x:f>
        <x:v>0.62</x:v>
      </x:c>
      <x:c r="Z12" s="158" t="n">
        <x:f>Assumptions!$E$28</x:f>
        <x:v>0.62</x:v>
      </x:c>
      <x:c r="AA12" s="158" t="n">
        <x:f>Assumptions!$E$28</x:f>
        <x:v>0.62</x:v>
      </x:c>
      <x:c r="AB12" s="158" t="n">
        <x:f>Assumptions!$E$28</x:f>
        <x:v>0.62</x:v>
      </x:c>
      <x:c r="AC12" s="158" t="n">
        <x:f>Assumptions!$E$28</x:f>
        <x:v>0.62</x:v>
      </x:c>
      <x:c r="AD12" s="158" t="n">
        <x:f>Assumptions!$E$28</x:f>
        <x:v>0.62</x:v>
      </x:c>
      <x:c r="AE12" s="158" t="n">
        <x:f>Assumptions!$E$28</x:f>
        <x:v>0.62</x:v>
      </x:c>
      <x:c r="AF12" s="158" t="n">
        <x:f>Assumptions!$E$28</x:f>
        <x:v>0.62</x:v>
      </x:c>
      <x:c r="AG12" s="158" t="n">
        <x:f>Assumptions!$E$28</x:f>
        <x:v>0.62</x:v>
      </x:c>
      <x:c r="AH12" s="158" t="n">
        <x:f>Assumptions!$E$28</x:f>
        <x:v>0.62</x:v>
      </x:c>
      <x:c r="AI12" s="158" t="n">
        <x:f>Assumptions!$E$28</x:f>
        <x:v>0.62</x:v>
      </x:c>
      <x:c r="AJ12" s="158" t="n">
        <x:f>Assumptions!$E$28</x:f>
        <x:v>0.62</x:v>
      </x:c>
      <x:c r="AK12" s="158" t="n">
        <x:f>Assumptions!$E$28</x:f>
        <x:v>0.62</x:v>
      </x:c>
      <x:c r="AL12" s="159" t="n">
        <x:f>Assumptions!$E$28</x:f>
        <x:v>0.62</x:v>
      </x:c>
    </x:row>
    <x:row r="13">
      <x:c r="A13" s="49" t="str">
        <x:v>Proposals</x:v>
      </x:c>
      <x:c r="B13" s="50" t="str">
        <x:v>proposals</x:v>
      </x:c>
      <x:c r="C13" s="110" t="n">
        <x:f>C11*C12</x:f>
        <x:v>7.1610000000000005</x:v>
      </x:c>
      <x:c r="D13" s="110" t="n">
        <x:f>D11*D12</x:f>
        <x:v>7.66227</x:v>
      </x:c>
      <x:c r="E13" s="110" t="n">
        <x:f>E11*E12</x:f>
        <x:v>8.198628900000001</x:v>
      </x:c>
      <x:c r="F13" s="110" t="n">
        <x:f>F11*F12</x:f>
        <x:v>8.772532923000002</x:v>
      </x:c>
      <x:c r="G13" s="110" t="n">
        <x:f>G11*G12</x:f>
        <x:v>9.386610227610003</x:v>
      </x:c>
      <x:c r="H13" s="110" t="n">
        <x:f>H11*H12</x:f>
        <x:v>10.043672943542703</x:v>
      </x:c>
      <x:c r="I13" s="110" t="n">
        <x:f>I11*I12</x:f>
        <x:v>10.746730049590694</x:v>
      </x:c>
      <x:c r="J13" s="110" t="n">
        <x:f>J11*J12</x:f>
        <x:v>11.499001153062045</x:v>
      </x:c>
      <x:c r="K13" s="110" t="n">
        <x:f>K11*K12</x:f>
        <x:v>12.303931233776389</x:v>
      </x:c>
      <x:c r="L13" s="110" t="n">
        <x:f>L11*L12</x:f>
        <x:v>13.165206420140734</x:v>
      </x:c>
      <x:c r="M13" s="110" t="n">
        <x:f>M11*M12</x:f>
        <x:v>14.086770869550586</x:v>
      </x:c>
      <x:c r="N13" s="110" t="n">
        <x:f>N11*N12</x:f>
        <x:v>15.07284483041913</x:v>
      </x:c>
      <x:c r="O13" s="110" t="n">
        <x:f>O11*O12</x:f>
        <x:v>16.127943968548472</x:v>
      </x:c>
      <x:c r="P13" s="110" t="n">
        <x:f>P11*P12</x:f>
        <x:v>17.256900046346864</x:v>
      </x:c>
      <x:c r="Q13" s="110" t="n">
        <x:f>Q11*Q12</x:f>
        <x:v>18.464883049591144</x:v>
      </x:c>
      <x:c r="R13" s="110" t="n">
        <x:f>R11*R12</x:f>
        <x:v>19.75742486306253</x:v>
      </x:c>
      <x:c r="S13" s="110" t="n">
        <x:f>S11*S12</x:f>
        <x:v>21.140444603476904</x:v>
      </x:c>
      <x:c r="T13" s="110" t="n">
        <x:f>T11*T12</x:f>
        <x:v>22.620275725720287</x:v>
      </x:c>
      <x:c r="U13" s="110" t="n">
        <x:f>U11*U12</x:f>
        <x:v>24.20369502652071</x:v>
      </x:c>
      <x:c r="V13" s="110" t="n">
        <x:f>V11*V12</x:f>
        <x:v>25.89795367837716</x:v>
      </x:c>
      <x:c r="W13" s="110" t="n">
        <x:f>W11*W12</x:f>
        <x:v>27.710810435863568</x:v>
      </x:c>
      <x:c r="X13" s="110" t="n">
        <x:f>X11*X12</x:f>
        <x:v>29.650567166374017</x:v>
      </x:c>
      <x:c r="Y13" s="110" t="n">
        <x:f>Y11*Y12</x:f>
        <x:v>31.7261068680202</x:v>
      </x:c>
      <x:c r="Z13" s="110" t="n">
        <x:f>Z11*Z12</x:f>
        <x:v>33.94693434878162</x:v>
      </x:c>
      <x:c r="AA13" s="110" t="n">
        <x:f>AA11*AA12</x:f>
        <x:v>36.323219753196334</x:v>
      </x:c>
      <x:c r="AB13" s="110" t="n">
        <x:f>AB11*AB12</x:f>
        <x:v>38.86584513592008</x:v>
      </x:c>
      <x:c r="AC13" s="110" t="n">
        <x:f>AC11*AC12</x:f>
        <x:v>41.58645429543449</x:v>
      </x:c>
      <x:c r="AD13" s="110" t="n">
        <x:f>AD11*AD12</x:f>
        <x:v>44.49750609611491</x:v>
      </x:c>
      <x:c r="AE13" s="110" t="n">
        <x:f>AE11*AE12</x:f>
        <x:v>47.61233152284296</x:v>
      </x:c>
      <x:c r="AF13" s="110" t="n">
        <x:f>AF11*AF12</x:f>
        <x:v>50.94519472944196</x:v>
      </x:c>
      <x:c r="AG13" s="110" t="n">
        <x:f>AG11*AG12</x:f>
        <x:v>54.5113583605029</x:v>
      </x:c>
      <x:c r="AH13" s="110" t="n">
        <x:f>AH11*AH12</x:f>
        <x:v>58.32715344573811</x:v>
      </x:c>
      <x:c r="AI13" s="110" t="n">
        <x:f>AI11*AI12</x:f>
        <x:v>62.410054186939774</x:v>
      </x:c>
      <x:c r="AJ13" s="110" t="n">
        <x:f>AJ11*AJ12</x:f>
        <x:v>66.77875798002556</x:v>
      </x:c>
      <x:c r="AK13" s="110" t="n">
        <x:f>AK11*AK12</x:f>
        <x:v>71.45327103862736</x:v>
      </x:c>
      <x:c r="AL13" s="111" t="n">
        <x:f>AL11*AL12</x:f>
        <x:v>76.45500001133128</x:v>
      </x:c>
    </x:row>
    <x:row r="14">
      <x:c r="A14" s="49" t="str">
        <x:v>Base proposal → paid entry close</x:v>
      </x:c>
      <x:c r="B14" s="50" t="str">
        <x:v>%</x:v>
      </x:c>
      <x:c r="C14" s="158" t="n">
        <x:f>Assumptions!$E$29</x:f>
        <x:v>0.32</x:v>
      </x:c>
      <x:c r="D14" s="158" t="n">
        <x:f>Assumptions!$E$29</x:f>
        <x:v>0.32</x:v>
      </x:c>
      <x:c r="E14" s="158" t="n">
        <x:f>Assumptions!$E$29</x:f>
        <x:v>0.32</x:v>
      </x:c>
      <x:c r="F14" s="158" t="n">
        <x:f>Assumptions!$E$29</x:f>
        <x:v>0.32</x:v>
      </x:c>
      <x:c r="G14" s="158" t="n">
        <x:f>Assumptions!$E$29</x:f>
        <x:v>0.32</x:v>
      </x:c>
      <x:c r="H14" s="158" t="n">
        <x:f>Assumptions!$E$29</x:f>
        <x:v>0.32</x:v>
      </x:c>
      <x:c r="I14" s="158" t="n">
        <x:f>Assumptions!$E$29</x:f>
        <x:v>0.32</x:v>
      </x:c>
      <x:c r="J14" s="158" t="n">
        <x:f>Assumptions!$E$29</x:f>
        <x:v>0.32</x:v>
      </x:c>
      <x:c r="K14" s="158" t="n">
        <x:f>Assumptions!$E$29</x:f>
        <x:v>0.32</x:v>
      </x:c>
      <x:c r="L14" s="158" t="n">
        <x:f>Assumptions!$E$29</x:f>
        <x:v>0.32</x:v>
      </x:c>
      <x:c r="M14" s="158" t="n">
        <x:f>Assumptions!$E$29</x:f>
        <x:v>0.32</x:v>
      </x:c>
      <x:c r="N14" s="158" t="n">
        <x:f>Assumptions!$E$29</x:f>
        <x:v>0.32</x:v>
      </x:c>
      <x:c r="O14" s="158" t="n">
        <x:f>Assumptions!$E$29</x:f>
        <x:v>0.32</x:v>
      </x:c>
      <x:c r="P14" s="158" t="n">
        <x:f>Assumptions!$E$29</x:f>
        <x:v>0.32</x:v>
      </x:c>
      <x:c r="Q14" s="158" t="n">
        <x:f>Assumptions!$E$29</x:f>
        <x:v>0.32</x:v>
      </x:c>
      <x:c r="R14" s="158" t="n">
        <x:f>Assumptions!$E$29</x:f>
        <x:v>0.32</x:v>
      </x:c>
      <x:c r="S14" s="158" t="n">
        <x:f>Assumptions!$E$29</x:f>
        <x:v>0.32</x:v>
      </x:c>
      <x:c r="T14" s="158" t="n">
        <x:f>Assumptions!$E$29</x:f>
        <x:v>0.32</x:v>
      </x:c>
      <x:c r="U14" s="158" t="n">
        <x:f>Assumptions!$E$29</x:f>
        <x:v>0.32</x:v>
      </x:c>
      <x:c r="V14" s="158" t="n">
        <x:f>Assumptions!$E$29</x:f>
        <x:v>0.32</x:v>
      </x:c>
      <x:c r="W14" s="158" t="n">
        <x:f>Assumptions!$E$29</x:f>
        <x:v>0.32</x:v>
      </x:c>
      <x:c r="X14" s="158" t="n">
        <x:f>Assumptions!$E$29</x:f>
        <x:v>0.32</x:v>
      </x:c>
      <x:c r="Y14" s="158" t="n">
        <x:f>Assumptions!$E$29</x:f>
        <x:v>0.32</x:v>
      </x:c>
      <x:c r="Z14" s="158" t="n">
        <x:f>Assumptions!$E$29</x:f>
        <x:v>0.32</x:v>
      </x:c>
      <x:c r="AA14" s="158" t="n">
        <x:f>Assumptions!$E$29</x:f>
        <x:v>0.32</x:v>
      </x:c>
      <x:c r="AB14" s="158" t="n">
        <x:f>Assumptions!$E$29</x:f>
        <x:v>0.32</x:v>
      </x:c>
      <x:c r="AC14" s="158" t="n">
        <x:f>Assumptions!$E$29</x:f>
        <x:v>0.32</x:v>
      </x:c>
      <x:c r="AD14" s="158" t="n">
        <x:f>Assumptions!$E$29</x:f>
        <x:v>0.32</x:v>
      </x:c>
      <x:c r="AE14" s="158" t="n">
        <x:f>Assumptions!$E$29</x:f>
        <x:v>0.32</x:v>
      </x:c>
      <x:c r="AF14" s="158" t="n">
        <x:f>Assumptions!$E$29</x:f>
        <x:v>0.32</x:v>
      </x:c>
      <x:c r="AG14" s="158" t="n">
        <x:f>Assumptions!$E$29</x:f>
        <x:v>0.32</x:v>
      </x:c>
      <x:c r="AH14" s="158" t="n">
        <x:f>Assumptions!$E$29</x:f>
        <x:v>0.32</x:v>
      </x:c>
      <x:c r="AI14" s="158" t="n">
        <x:f>Assumptions!$E$29</x:f>
        <x:v>0.32</x:v>
      </x:c>
      <x:c r="AJ14" s="158" t="n">
        <x:f>Assumptions!$E$29</x:f>
        <x:v>0.32</x:v>
      </x:c>
      <x:c r="AK14" s="158" t="n">
        <x:f>Assumptions!$E$29</x:f>
        <x:v>0.32</x:v>
      </x:c>
      <x:c r="AL14" s="159" t="n">
        <x:f>Assumptions!$E$29</x:f>
        <x:v>0.32</x:v>
      </x:c>
    </x:row>
    <x:row r="15">
      <x:c r="A15" s="49" t="str">
        <x:v>Proof-driven close-rate lift</x:v>
      </x:c>
      <x:c r="B15" s="50" t="str">
        <x:v>pp</x:v>
      </x:c>
      <x:c r="C15" s="118" t="n">
        <x:f>0</x:f>
        <x:v>0</x:v>
      </x:c>
      <x:c r="D15" s="118" t="n">
        <x:f>MIN(Assumptions!$E$31,C77*Assumptions!$E$30)</x:f>
        <x:v>0.008249472</x:v>
      </x:c>
      <x:c r="E15" s="118" t="n">
        <x:f>MIN(Assumptions!$E$31,D77*Assumptions!$E$30)</x:f>
        <x:v>0.021016224294557184</x:v>
      </x:c>
      <x:c r="F15" s="118" t="n">
        <x:f>MIN(Assumptions!$E$31,E77*Assumptions!$E$30)</x:f>
        <x:v>0.03719760476584078</x:v>
      </x:c>
      <x:c r="G15" s="118" t="n">
        <x:f>MIN(Assumptions!$E$31,F77*Assumptions!$E$30)</x:f>
        <x:v>0.05524859297134376</x:v>
      </x:c>
      <x:c r="H15" s="118" t="n">
        <x:f>MIN(Assumptions!$E$31,G77*Assumptions!$E$30)</x:f>
        <x:v>0.07661930764470867</x:v>
      </x:c>
      <x:c r="I15" s="118" t="n">
        <x:f>MIN(Assumptions!$E$31,H77*Assumptions!$E$30)</x:f>
        <x:v>0.1</x:v>
      </x:c>
      <x:c r="J15" s="118" t="n">
        <x:f>MIN(Assumptions!$E$31,I77*Assumptions!$E$30)</x:f>
        <x:v>0.1</x:v>
      </x:c>
      <x:c r="K15" s="118" t="n">
        <x:f>MIN(Assumptions!$E$31,J77*Assumptions!$E$30)</x:f>
        <x:v>0.1</x:v>
      </x:c>
      <x:c r="L15" s="118" t="n">
        <x:f>MIN(Assumptions!$E$31,K77*Assumptions!$E$30)</x:f>
        <x:v>0.1</x:v>
      </x:c>
      <x:c r="M15" s="118" t="n">
        <x:f>MIN(Assumptions!$E$31,L77*Assumptions!$E$30)</x:f>
        <x:v>0.1</x:v>
      </x:c>
      <x:c r="N15" s="118" t="n">
        <x:f>MIN(Assumptions!$E$31,M77*Assumptions!$E$30)</x:f>
        <x:v>0.1</x:v>
      </x:c>
      <x:c r="O15" s="118" t="n">
        <x:f>MIN(Assumptions!$E$31,N77*Assumptions!$E$30)</x:f>
        <x:v>0.1</x:v>
      </x:c>
      <x:c r="P15" s="118" t="n">
        <x:f>MIN(Assumptions!$E$31,O77*Assumptions!$E$30)</x:f>
        <x:v>0.1</x:v>
      </x:c>
      <x:c r="Q15" s="118" t="n">
        <x:f>MIN(Assumptions!$E$31,P77*Assumptions!$E$30)</x:f>
        <x:v>0.1</x:v>
      </x:c>
      <x:c r="R15" s="118" t="n">
        <x:f>MIN(Assumptions!$E$31,Q77*Assumptions!$E$30)</x:f>
        <x:v>0.1</x:v>
      </x:c>
      <x:c r="S15" s="118" t="n">
        <x:f>MIN(Assumptions!$E$31,R77*Assumptions!$E$30)</x:f>
        <x:v>0.1</x:v>
      </x:c>
      <x:c r="T15" s="118" t="n">
        <x:f>MIN(Assumptions!$E$31,S77*Assumptions!$E$30)</x:f>
        <x:v>0.1</x:v>
      </x:c>
      <x:c r="U15" s="118" t="n">
        <x:f>MIN(Assumptions!$E$31,T77*Assumptions!$E$30)</x:f>
        <x:v>0.1</x:v>
      </x:c>
      <x:c r="V15" s="118" t="n">
        <x:f>MIN(Assumptions!$E$31,U77*Assumptions!$E$30)</x:f>
        <x:v>0.1</x:v>
      </x:c>
      <x:c r="W15" s="118" t="n">
        <x:f>MIN(Assumptions!$E$31,V77*Assumptions!$E$30)</x:f>
        <x:v>0.1</x:v>
      </x:c>
      <x:c r="X15" s="118" t="n">
        <x:f>MIN(Assumptions!$E$31,W77*Assumptions!$E$30)</x:f>
        <x:v>0.1</x:v>
      </x:c>
      <x:c r="Y15" s="118" t="n">
        <x:f>MIN(Assumptions!$E$31,X77*Assumptions!$E$30)</x:f>
        <x:v>0.1</x:v>
      </x:c>
      <x:c r="Z15" s="118" t="n">
        <x:f>MIN(Assumptions!$E$31,Y77*Assumptions!$E$30)</x:f>
        <x:v>0.1</x:v>
      </x:c>
      <x:c r="AA15" s="118" t="n">
        <x:f>MIN(Assumptions!$E$31,Z77*Assumptions!$E$30)</x:f>
        <x:v>0.1</x:v>
      </x:c>
      <x:c r="AB15" s="118" t="n">
        <x:f>MIN(Assumptions!$E$31,AA77*Assumptions!$E$30)</x:f>
        <x:v>0.1</x:v>
      </x:c>
      <x:c r="AC15" s="118" t="n">
        <x:f>MIN(Assumptions!$E$31,AB77*Assumptions!$E$30)</x:f>
        <x:v>0.1</x:v>
      </x:c>
      <x:c r="AD15" s="118" t="n">
        <x:f>MIN(Assumptions!$E$31,AC77*Assumptions!$E$30)</x:f>
        <x:v>0.1</x:v>
      </x:c>
      <x:c r="AE15" s="118" t="n">
        <x:f>MIN(Assumptions!$E$31,AD77*Assumptions!$E$30)</x:f>
        <x:v>0.1</x:v>
      </x:c>
      <x:c r="AF15" s="118" t="n">
        <x:f>MIN(Assumptions!$E$31,AE77*Assumptions!$E$30)</x:f>
        <x:v>0.1</x:v>
      </x:c>
      <x:c r="AG15" s="118" t="n">
        <x:f>MIN(Assumptions!$E$31,AF77*Assumptions!$E$30)</x:f>
        <x:v>0.1</x:v>
      </x:c>
      <x:c r="AH15" s="118" t="n">
        <x:f>MIN(Assumptions!$E$31,AG77*Assumptions!$E$30)</x:f>
        <x:v>0.1</x:v>
      </x:c>
      <x:c r="AI15" s="118" t="n">
        <x:f>MIN(Assumptions!$E$31,AH77*Assumptions!$E$30)</x:f>
        <x:v>0.1</x:v>
      </x:c>
      <x:c r="AJ15" s="118" t="n">
        <x:f>MIN(Assumptions!$E$31,AI77*Assumptions!$E$30)</x:f>
        <x:v>0.1</x:v>
      </x:c>
      <x:c r="AK15" s="118" t="n">
        <x:f>MIN(Assumptions!$E$31,AJ77*Assumptions!$E$30)</x:f>
        <x:v>0.1</x:v>
      </x:c>
      <x:c r="AL15" s="119" t="n">
        <x:f>MIN(Assumptions!$E$31,AK77*Assumptions!$E$30)</x:f>
        <x:v>0.1</x:v>
      </x:c>
    </x:row>
    <x:row r="16">
      <x:c r="A16" s="49" t="str">
        <x:v>Effective proposal → paid entry close</x:v>
      </x:c>
      <x:c r="B16" s="50" t="str">
        <x:v>%</x:v>
      </x:c>
      <x:c r="C16" s="118" t="n">
        <x:f>C14+C15</x:f>
        <x:v>0.32</x:v>
      </x:c>
      <x:c r="D16" s="118" t="n">
        <x:f>D14+D15</x:f>
        <x:v>0.328249472</x:v>
      </x:c>
      <x:c r="E16" s="118" t="n">
        <x:f>E14+E15</x:f>
        <x:v>0.3410162242945572</x:v>
      </x:c>
      <x:c r="F16" s="118" t="n">
        <x:f>F14+F15</x:f>
        <x:v>0.3571976047658408</x:v>
      </x:c>
      <x:c r="G16" s="118" t="n">
        <x:f>G14+G15</x:f>
        <x:v>0.3752485929713438</x:v>
      </x:c>
      <x:c r="H16" s="118" t="n">
        <x:f>H14+H15</x:f>
        <x:v>0.39661930764470865</x:v>
      </x:c>
      <x:c r="I16" s="118" t="n">
        <x:f>I14+I15</x:f>
        <x:v>0.42000000000000004</x:v>
      </x:c>
      <x:c r="J16" s="118" t="n">
        <x:f>J14+J15</x:f>
        <x:v>0.42000000000000004</x:v>
      </x:c>
      <x:c r="K16" s="118" t="n">
        <x:f>K14+K15</x:f>
        <x:v>0.42000000000000004</x:v>
      </x:c>
      <x:c r="L16" s="118" t="n">
        <x:f>L14+L15</x:f>
        <x:v>0.42000000000000004</x:v>
      </x:c>
      <x:c r="M16" s="118" t="n">
        <x:f>M14+M15</x:f>
        <x:v>0.42000000000000004</x:v>
      </x:c>
      <x:c r="N16" s="118" t="n">
        <x:f>N14+N15</x:f>
        <x:v>0.42000000000000004</x:v>
      </x:c>
      <x:c r="O16" s="118" t="n">
        <x:f>O14+O15</x:f>
        <x:v>0.42000000000000004</x:v>
      </x:c>
      <x:c r="P16" s="118" t="n">
        <x:f>P14+P15</x:f>
        <x:v>0.42000000000000004</x:v>
      </x:c>
      <x:c r="Q16" s="118" t="n">
        <x:f>Q14+Q15</x:f>
        <x:v>0.42000000000000004</x:v>
      </x:c>
      <x:c r="R16" s="118" t="n">
        <x:f>R14+R15</x:f>
        <x:v>0.42000000000000004</x:v>
      </x:c>
      <x:c r="S16" s="118" t="n">
        <x:f>S14+S15</x:f>
        <x:v>0.42000000000000004</x:v>
      </x:c>
      <x:c r="T16" s="118" t="n">
        <x:f>T14+T15</x:f>
        <x:v>0.42000000000000004</x:v>
      </x:c>
      <x:c r="U16" s="118" t="n">
        <x:f>U14+U15</x:f>
        <x:v>0.42000000000000004</x:v>
      </x:c>
      <x:c r="V16" s="118" t="n">
        <x:f>V14+V15</x:f>
        <x:v>0.42000000000000004</x:v>
      </x:c>
      <x:c r="W16" s="118" t="n">
        <x:f>W14+W15</x:f>
        <x:v>0.42000000000000004</x:v>
      </x:c>
      <x:c r="X16" s="118" t="n">
        <x:f>X14+X15</x:f>
        <x:v>0.42000000000000004</x:v>
      </x:c>
      <x:c r="Y16" s="118" t="n">
        <x:f>Y14+Y15</x:f>
        <x:v>0.42000000000000004</x:v>
      </x:c>
      <x:c r="Z16" s="118" t="n">
        <x:f>Z14+Z15</x:f>
        <x:v>0.42000000000000004</x:v>
      </x:c>
      <x:c r="AA16" s="118" t="n">
        <x:f>AA14+AA15</x:f>
        <x:v>0.42000000000000004</x:v>
      </x:c>
      <x:c r="AB16" s="118" t="n">
        <x:f>AB14+AB15</x:f>
        <x:v>0.42000000000000004</x:v>
      </x:c>
      <x:c r="AC16" s="118" t="n">
        <x:f>AC14+AC15</x:f>
        <x:v>0.42000000000000004</x:v>
      </x:c>
      <x:c r="AD16" s="118" t="n">
        <x:f>AD14+AD15</x:f>
        <x:v>0.42000000000000004</x:v>
      </x:c>
      <x:c r="AE16" s="118" t="n">
        <x:f>AE14+AE15</x:f>
        <x:v>0.42000000000000004</x:v>
      </x:c>
      <x:c r="AF16" s="118" t="n">
        <x:f>AF14+AF15</x:f>
        <x:v>0.42000000000000004</x:v>
      </x:c>
      <x:c r="AG16" s="118" t="n">
        <x:f>AG14+AG15</x:f>
        <x:v>0.42000000000000004</x:v>
      </x:c>
      <x:c r="AH16" s="118" t="n">
        <x:f>AH14+AH15</x:f>
        <x:v>0.42000000000000004</x:v>
      </x:c>
      <x:c r="AI16" s="118" t="n">
        <x:f>AI14+AI15</x:f>
        <x:v>0.42000000000000004</x:v>
      </x:c>
      <x:c r="AJ16" s="118" t="n">
        <x:f>AJ14+AJ15</x:f>
        <x:v>0.42000000000000004</x:v>
      </x:c>
      <x:c r="AK16" s="118" t="n">
        <x:f>AK14+AK15</x:f>
        <x:v>0.42000000000000004</x:v>
      </x:c>
      <x:c r="AL16" s="119" t="n">
        <x:f>AL14+AL15</x:f>
        <x:v>0.42000000000000004</x:v>
      </x:c>
    </x:row>
    <x:row r="17">
      <x:c r="A17" s="49" t="str">
        <x:v>Raw paid-entry demand</x:v>
      </x:c>
      <x:c r="B17" s="50" t="str">
        <x:v>engagements</x:v>
      </x:c>
      <x:c r="C17" s="110" t="n">
        <x:f>C13*C16</x:f>
        <x:v>2.2915200000000002</x:v>
      </x:c>
      <x:c r="D17" s="110" t="n">
        <x:f>D13*D16</x:f>
        <x:v>2.51513608182144</x:v>
      </x:c>
      <x:c r="E17" s="110" t="n">
        <x:f>E13*E16</x:f>
        <x:v>2.795865471870239</x:v>
      </x:c>
      <x:c r="F17" s="110" t="n">
        <x:f>F13*F16</x:f>
        <x:v>3.1335277478250805</x:v>
      </x:c>
      <x:c r="G17" s="110" t="n">
        <x:f>G13*G16</x:f>
        <x:v>3.5223122806810787</x:v>
      </x:c>
      <x:c r="H17" s="110" t="n">
        <x:f>H13*H16</x:f>
        <x:v>3.9835146090777998</x:v>
      </x:c>
      <x:c r="I17" s="110" t="n">
        <x:f>I13*I16</x:f>
        <x:v>4.5136266208280915</x:v>
      </x:c>
      <x:c r="J17" s="110" t="n">
        <x:f>J13*J16</x:f>
        <x:v>4.829580484286059</x:v>
      </x:c>
      <x:c r="K17" s="110" t="n">
        <x:f>K13*K16</x:f>
        <x:v>5.167651118186084</x:v>
      </x:c>
      <x:c r="L17" s="110" t="n">
        <x:f>L13*L16</x:f>
        <x:v>5.529386696459109</x:v>
      </x:c>
      <x:c r="M17" s="110" t="n">
        <x:f>M13*M16</x:f>
        <x:v>5.9164437652112465</x:v>
      </x:c>
      <x:c r="N17" s="110" t="n">
        <x:f>N13*N16</x:f>
        <x:v>6.330594828776036</x:v>
      </x:c>
      <x:c r="O17" s="110" t="n">
        <x:f>O13*O16</x:f>
        <x:v>6.773736466790359</x:v>
      </x:c>
      <x:c r="P17" s="110" t="n">
        <x:f>P13*P16</x:f>
        <x:v>7.2478980194656835</x:v>
      </x:c>
      <x:c r="Q17" s="110" t="n">
        <x:f>Q13*Q16</x:f>
        <x:v>7.755250880828282</x:v>
      </x:c>
      <x:c r="R17" s="110" t="n">
        <x:f>R13*R16</x:f>
        <x:v>8.298118442486263</x:v>
      </x:c>
      <x:c r="S17" s="110" t="n">
        <x:f>S13*S16</x:f>
        <x:v>8.8789867334603</x:v>
      </x:c>
      <x:c r="T17" s="110" t="n">
        <x:f>T13*T16</x:f>
        <x:v>9.500515804802522</x:v>
      </x:c>
      <x:c r="U17" s="110" t="n">
        <x:f>U13*U16</x:f>
        <x:v>10.1655519111387</x:v>
      </x:c>
      <x:c r="V17" s="110" t="n">
        <x:f>V13*V16</x:f>
        <x:v>10.877140544918408</x:v>
      </x:c>
      <x:c r="W17" s="110" t="n">
        <x:f>W13*W16</x:f>
        <x:v>11.638540383062699</x:v>
      </x:c>
      <x:c r="X17" s="110" t="n">
        <x:f>X13*X16</x:f>
        <x:v>12.453238209877089</x:v>
      </x:c>
      <x:c r="Y17" s="110" t="n">
        <x:f>Y13*Y16</x:f>
        <x:v>13.324964884568486</x:v>
      </x:c>
      <x:c r="Z17" s="110" t="n">
        <x:f>Z13*Z16</x:f>
        <x:v>14.25771242648828</x:v>
      </x:c>
      <x:c r="AA17" s="110" t="n">
        <x:f>AA13*AA16</x:f>
        <x:v>15.255752296342461</x:v>
      </x:c>
      <x:c r="AB17" s="110" t="n">
        <x:f>AB13*AB16</x:f>
        <x:v>16.323654957086436</x:v>
      </x:c>
      <x:c r="AC17" s="110" t="n">
        <x:f>AC13*AC16</x:f>
        <x:v>17.46631080408249</x:v>
      </x:c>
      <x:c r="AD17" s="110" t="n">
        <x:f>AD13*AD16</x:f>
        <x:v>18.688952560368264</x:v>
      </x:c>
      <x:c r="AE17" s="110" t="n">
        <x:f>AE13*AE16</x:f>
        <x:v>19.997179239594043</x:v>
      </x:c>
      <x:c r="AF17" s="110" t="n">
        <x:f>AF13*AF16</x:f>
        <x:v>21.396981786365625</x:v>
      </x:c>
      <x:c r="AG17" s="110" t="n">
        <x:f>AG13*AG16</x:f>
        <x:v>22.89477051141122</x:v>
      </x:c>
      <x:c r="AH17" s="110" t="n">
        <x:f>AH13*AH16</x:f>
        <x:v>24.49740444721001</x:v>
      </x:c>
      <x:c r="AI17" s="110" t="n">
        <x:f>AI13*AI16</x:f>
        <x:v>26.21222275851471</x:v>
      </x:c>
      <x:c r="AJ17" s="110" t="n">
        <x:f>AJ13*AJ16</x:f>
        <x:v>28.04707835161074</x:v>
      </x:c>
      <x:c r="AK17" s="110" t="n">
        <x:f>AK13*AK16</x:f>
        <x:v>30.010373836223497</x:v>
      </x:c>
      <x:c r="AL17" s="111" t="n">
        <x:f>AL13*AL16</x:f>
        <x:v>32.11110000475914</x:v>
      </x:c>
    </x:row>
    <x:row r="18">
      <x:c r="A18" s="49" t="str">
        <x:v>Capacity multiplier</x:v>
      </x:c>
      <x:c r="B18" s="50" t="str">
        <x:v>x</x:v>
      </x:c>
      <x:c r="C18" s="122" t="n">
        <x:f>1</x:f>
        <x:v>1</x:v>
      </x:c>
      <x:c r="D18" s="122" t="n">
        <x:f>1+MIN(Assumptions!$E$46,C77*Assumptions!$E$45)</x:f>
        <x:v>1.02062368</x:v>
      </x:c>
      <x:c r="E18" s="122" t="n">
        <x:f>1+MIN(Assumptions!$E$46,D77*Assumptions!$E$45)</x:f>
        <x:v>1.052540560736393</x:v>
      </x:c>
      <x:c r="F18" s="122" t="n">
        <x:f>1+MIN(Assumptions!$E$46,E77*Assumptions!$E$45)</x:f>
        <x:v>1.092994011914602</x:v>
      </x:c>
      <x:c r="G18" s="122" t="n">
        <x:f>1+MIN(Assumptions!$E$46,F77*Assumptions!$E$45)</x:f>
        <x:v>1.1381214824283594</x:v>
      </x:c>
      <x:c r="H18" s="122" t="n">
        <x:f>1+MIN(Assumptions!$E$46,G77*Assumptions!$E$45)</x:f>
        <x:v>1.1915482691117716</x:v>
      </x:c>
      <x:c r="I18" s="122" t="n">
        <x:f>1+MIN(Assumptions!$E$46,H77*Assumptions!$E$45)</x:f>
        <x:v>1.251726554480752</x:v>
      </x:c>
      <x:c r="J18" s="122" t="n">
        <x:f>1+MIN(Assumptions!$E$46,I77*Assumptions!$E$45)</x:f>
        <x:v>1.3197536635264122</x:v>
      </x:c>
      <x:c r="K18" s="122" t="n">
        <x:f>1+MIN(Assumptions!$E$46,J77*Assumptions!$E$45)</x:f>
        <x:v>1.3949141672831156</x:v>
      </x:c>
      <x:c r="L18" s="122" t="n">
        <x:f>1+MIN(Assumptions!$E$46,K77*Assumptions!$E$45)</x:f>
        <x:v>1.4761225434619731</x:v>
      </x:c>
      <x:c r="M18" s="122" t="n">
        <x:f>1+MIN(Assumptions!$E$46,L77*Assumptions!$E$45)</x:f>
        <x:v>1.5633105257945088</x:v>
      </x:c>
      <x:c r="N18" s="122" t="n">
        <x:f>1+MIN(Assumptions!$E$46,M77*Assumptions!$E$45)</x:f>
        <x:v>1.65</x:v>
      </x:c>
      <x:c r="O18" s="122" t="n">
        <x:f>1+MIN(Assumptions!$E$46,N77*Assumptions!$E$45)</x:f>
        <x:v>1.65</x:v>
      </x:c>
      <x:c r="P18" s="122" t="n">
        <x:f>1+MIN(Assumptions!$E$46,O77*Assumptions!$E$45)</x:f>
        <x:v>1.65</x:v>
      </x:c>
      <x:c r="Q18" s="122" t="n">
        <x:f>1+MIN(Assumptions!$E$46,P77*Assumptions!$E$45)</x:f>
        <x:v>1.65</x:v>
      </x:c>
      <x:c r="R18" s="122" t="n">
        <x:f>1+MIN(Assumptions!$E$46,Q77*Assumptions!$E$45)</x:f>
        <x:v>1.65</x:v>
      </x:c>
      <x:c r="S18" s="122" t="n">
        <x:f>1+MIN(Assumptions!$E$46,R77*Assumptions!$E$45)</x:f>
        <x:v>1.65</x:v>
      </x:c>
      <x:c r="T18" s="122" t="n">
        <x:f>1+MIN(Assumptions!$E$46,S77*Assumptions!$E$45)</x:f>
        <x:v>1.65</x:v>
      </x:c>
      <x:c r="U18" s="122" t="n">
        <x:f>1+MIN(Assumptions!$E$46,T77*Assumptions!$E$45)</x:f>
        <x:v>1.65</x:v>
      </x:c>
      <x:c r="V18" s="122" t="n">
        <x:f>1+MIN(Assumptions!$E$46,U77*Assumptions!$E$45)</x:f>
        <x:v>1.65</x:v>
      </x:c>
      <x:c r="W18" s="122" t="n">
        <x:f>1+MIN(Assumptions!$E$46,V77*Assumptions!$E$45)</x:f>
        <x:v>1.65</x:v>
      </x:c>
      <x:c r="X18" s="122" t="n">
        <x:f>1+MIN(Assumptions!$E$46,W77*Assumptions!$E$45)</x:f>
        <x:v>1.65</x:v>
      </x:c>
      <x:c r="Y18" s="122" t="n">
        <x:f>1+MIN(Assumptions!$E$46,X77*Assumptions!$E$45)</x:f>
        <x:v>1.65</x:v>
      </x:c>
      <x:c r="Z18" s="122" t="n">
        <x:f>1+MIN(Assumptions!$E$46,Y77*Assumptions!$E$45)</x:f>
        <x:v>1.65</x:v>
      </x:c>
      <x:c r="AA18" s="122" t="n">
        <x:f>1+MIN(Assumptions!$E$46,Z77*Assumptions!$E$45)</x:f>
        <x:v>1.65</x:v>
      </x:c>
      <x:c r="AB18" s="122" t="n">
        <x:f>1+MIN(Assumptions!$E$46,AA77*Assumptions!$E$45)</x:f>
        <x:v>1.65</x:v>
      </x:c>
      <x:c r="AC18" s="122" t="n">
        <x:f>1+MIN(Assumptions!$E$46,AB77*Assumptions!$E$45)</x:f>
        <x:v>1.65</x:v>
      </x:c>
      <x:c r="AD18" s="122" t="n">
        <x:f>1+MIN(Assumptions!$E$46,AC77*Assumptions!$E$45)</x:f>
        <x:v>1.65</x:v>
      </x:c>
      <x:c r="AE18" s="122" t="n">
        <x:f>1+MIN(Assumptions!$E$46,AD77*Assumptions!$E$45)</x:f>
        <x:v>1.65</x:v>
      </x:c>
      <x:c r="AF18" s="122" t="n">
        <x:f>1+MIN(Assumptions!$E$46,AE77*Assumptions!$E$45)</x:f>
        <x:v>1.65</x:v>
      </x:c>
      <x:c r="AG18" s="122" t="n">
        <x:f>1+MIN(Assumptions!$E$46,AF77*Assumptions!$E$45)</x:f>
        <x:v>1.65</x:v>
      </x:c>
      <x:c r="AH18" s="122" t="n">
        <x:f>1+MIN(Assumptions!$E$46,AG77*Assumptions!$E$45)</x:f>
        <x:v>1.65</x:v>
      </x:c>
      <x:c r="AI18" s="122" t="n">
        <x:f>1+MIN(Assumptions!$E$46,AH77*Assumptions!$E$45)</x:f>
        <x:v>1.65</x:v>
      </x:c>
      <x:c r="AJ18" s="122" t="n">
        <x:f>1+MIN(Assumptions!$E$46,AI77*Assumptions!$E$45)</x:f>
        <x:v>1.65</x:v>
      </x:c>
      <x:c r="AK18" s="122" t="n">
        <x:f>1+MIN(Assumptions!$E$46,AJ77*Assumptions!$E$45)</x:f>
        <x:v>1.65</x:v>
      </x:c>
      <x:c r="AL18" s="123" t="n">
        <x:f>1+MIN(Assumptions!$E$46,AK77*Assumptions!$E$45)</x:f>
        <x:v>1.65</x:v>
      </x:c>
    </x:row>
    <x:row r="19">
      <x:c r="A19" s="415"/>
      <x:c r="B19" s="415"/>
      <x:c r="C19" s="415"/>
      <x:c r="D19" s="415"/>
      <x:c r="E19" s="415"/>
      <x:c r="F19" s="415"/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 ht="23" customHeight="1">
      <x:c r="A20" s="416" t="str">
        <x:v>PAID ENTRY OFFERS</x:v>
      </x:c>
      <x:c r="B20" s="415"/>
      <x:c r="C20" s="415"/>
      <x:c r="D20" s="415"/>
      <x:c r="E20" s="415"/>
      <x:c r="F20" s="415"/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9" t="str">
        <x:v>Frontier Executive Briefings</x:v>
      </x:c>
      <x:c r="B21" s="50" t="str">
        <x:v>units</x:v>
      </x:c>
      <x:c r="C21" s="110" t="n">
        <x:f>MIN(C17*Assumptions!$E$32,Assumptions!$E$47*C18)</x:f>
        <x:v>0.5728800000000001</x:v>
      </x:c>
      <x:c r="D21" s="110" t="n">
        <x:f>MIN(D17*Assumptions!$E$32,Assumptions!$E$47*D18)</x:f>
        <x:v>0.62878402045536</x:v>
      </x:c>
      <x:c r="E21" s="110" t="n">
        <x:f>MIN(E17*Assumptions!$E$32,Assumptions!$E$47*E18)</x:f>
        <x:v>0.6989663679675597</x:v>
      </x:c>
      <x:c r="F21" s="110" t="n">
        <x:f>MIN(F17*Assumptions!$E$32,Assumptions!$E$47*F18)</x:f>
        <x:v>0.7833819369562701</x:v>
      </x:c>
      <x:c r="G21" s="110" t="n">
        <x:f>MIN(G17*Assumptions!$E$32,Assumptions!$E$47*G18)</x:f>
        <x:v>0.8805780701702697</x:v>
      </x:c>
      <x:c r="H21" s="110" t="n">
        <x:f>MIN(H17*Assumptions!$E$32,Assumptions!$E$47*H18)</x:f>
        <x:v>0.9958786522694499</x:v>
      </x:c>
      <x:c r="I21" s="110" t="n">
        <x:f>MIN(I17*Assumptions!$E$32,Assumptions!$E$47*I18)</x:f>
        <x:v>1.1284066552070229</x:v>
      </x:c>
      <x:c r="J21" s="110" t="n">
        <x:f>MIN(J17*Assumptions!$E$32,Assumptions!$E$47*J18)</x:f>
        <x:v>1.2073951210715148</x:v>
      </x:c>
      <x:c r="K21" s="110" t="n">
        <x:f>MIN(K17*Assumptions!$E$32,Assumptions!$E$47*K18)</x:f>
        <x:v>1.291912779546521</x:v>
      </x:c>
      <x:c r="L21" s="110" t="n">
        <x:f>MIN(L17*Assumptions!$E$32,Assumptions!$E$47*L18)</x:f>
        <x:v>1.3823466741147772</x:v>
      </x:c>
      <x:c r="M21" s="110" t="n">
        <x:f>MIN(M17*Assumptions!$E$32,Assumptions!$E$47*M18)</x:f>
        <x:v>1.4791109413028116</x:v>
      </x:c>
      <x:c r="N21" s="110" t="n">
        <x:f>MIN(N17*Assumptions!$E$32,Assumptions!$E$47*N18)</x:f>
        <x:v>1.582648707194009</x:v>
      </x:c>
      <x:c r="O21" s="110" t="n">
        <x:f>MIN(O17*Assumptions!$E$32,Assumptions!$E$47*O18)</x:f>
        <x:v>1.6934341166975897</x:v>
      </x:c>
      <x:c r="P21" s="110" t="n">
        <x:f>MIN(P17*Assumptions!$E$32,Assumptions!$E$47*P18)</x:f>
        <x:v>1.8119745048664209</x:v>
      </x:c>
      <x:c r="Q21" s="110" t="n">
        <x:f>MIN(Q17*Assumptions!$E$32,Assumptions!$E$47*Q18)</x:f>
        <x:v>1.9388127202070704</x:v>
      </x:c>
      <x:c r="R21" s="110" t="n">
        <x:f>MIN(R17*Assumptions!$E$32,Assumptions!$E$47*R18)</x:f>
        <x:v>2.074529610621566</x:v>
      </x:c>
      <x:c r="S21" s="110" t="n">
        <x:f>MIN(S17*Assumptions!$E$32,Assumptions!$E$47*S18)</x:f>
        <x:v>2.219746683365075</x:v>
      </x:c>
      <x:c r="T21" s="110" t="n">
        <x:f>MIN(T17*Assumptions!$E$32,Assumptions!$E$47*T18)</x:f>
        <x:v>2.3751289512006304</x:v>
      </x:c>
      <x:c r="U21" s="110" t="n">
        <x:f>MIN(U17*Assumptions!$E$32,Assumptions!$E$47*U18)</x:f>
        <x:v>2.541387977784675</x:v>
      </x:c>
      <x:c r="V21" s="110" t="n">
        <x:f>MIN(V17*Assumptions!$E$32,Assumptions!$E$47*V18)</x:f>
        <x:v>2.719285136229602</x:v>
      </x:c>
      <x:c r="W21" s="110" t="n">
        <x:f>MIN(W17*Assumptions!$E$32,Assumptions!$E$47*W18)</x:f>
        <x:v>2.9096350957656747</x:v>
      </x:c>
      <x:c r="X21" s="110" t="n">
        <x:f>MIN(X17*Assumptions!$E$32,Assumptions!$E$47*X18)</x:f>
        <x:v>3.113309552469272</x:v>
      </x:c>
      <x:c r="Y21" s="110" t="n">
        <x:f>MIN(Y17*Assumptions!$E$32,Assumptions!$E$47*Y18)</x:f>
        <x:v>3.3312412211421214</x:v>
      </x:c>
      <x:c r="Z21" s="110" t="n">
        <x:f>MIN(Z17*Assumptions!$E$32,Assumptions!$E$47*Z18)</x:f>
        <x:v>3.56442810662207</x:v>
      </x:c>
      <x:c r="AA21" s="110" t="n">
        <x:f>MIN(AA17*Assumptions!$E$32,Assumptions!$E$47*AA18)</x:f>
        <x:v>3.8139380740856152</x:v>
      </x:c>
      <x:c r="AB21" s="110" t="n">
        <x:f>MIN(AB17*Assumptions!$E$32,Assumptions!$E$47*AB18)</x:f>
        <x:v>4.080913739271609</x:v>
      </x:c>
      <x:c r="AC21" s="110" t="n">
        <x:f>MIN(AC17*Assumptions!$E$32,Assumptions!$E$47*AC18)</x:f>
        <x:v>4.366577701020622</x:v>
      </x:c>
      <x:c r="AD21" s="110" t="n">
        <x:f>MIN(AD17*Assumptions!$E$32,Assumptions!$E$47*AD18)</x:f>
        <x:v>4.672238140092066</x:v>
      </x:c>
      <x:c r="AE21" s="110" t="n">
        <x:f>MIN(AE17*Assumptions!$E$32,Assumptions!$E$47*AE18)</x:f>
        <x:v>4.999294809898511</x:v>
      </x:c>
      <x:c r="AF21" s="110" t="n">
        <x:f>MIN(AF17*Assumptions!$E$32,Assumptions!$E$47*AF18)</x:f>
        <x:v>5.349245446591406</x:v>
      </x:c>
      <x:c r="AG21" s="110" t="n">
        <x:f>MIN(AG17*Assumptions!$E$32,Assumptions!$E$47*AG18)</x:f>
        <x:v>5.723692627852805</x:v>
      </x:c>
      <x:c r="AH21" s="110" t="n">
        <x:f>MIN(AH17*Assumptions!$E$32,Assumptions!$E$47*AH18)</x:f>
        <x:v>6.124351111802502</x:v>
      </x:c>
      <x:c r="AI21" s="110" t="n">
        <x:f>MIN(AI17*Assumptions!$E$32,Assumptions!$E$47*AI18)</x:f>
        <x:v>6.553055689628677</x:v>
      </x:c>
      <x:c r="AJ21" s="110" t="n">
        <x:f>MIN(AJ17*Assumptions!$E$32,Assumptions!$E$47*AJ18)</x:f>
        <x:v>7.011769587902685</x:v>
      </x:c>
      <x:c r="AK21" s="110" t="n">
        <x:f>MIN(AK17*Assumptions!$E$32,Assumptions!$E$47*AK18)</x:f>
        <x:v>7.502593459055874</x:v>
      </x:c>
      <x:c r="AL21" s="111" t="n">
        <x:f>MIN(AL17*Assumptions!$E$32,Assumptions!$E$47*AL18)</x:f>
        <x:v>8.027775001189784</x:v>
      </x:c>
    </x:row>
    <x:row r="22">
      <x:c r="A22" s="49" t="str">
        <x:v>Private Flagship MasterClasses</x:v>
      </x:c>
      <x:c r="B22" s="50" t="str">
        <x:v>units</x:v>
      </x:c>
      <x:c r="C22" s="110" t="n">
        <x:f>MIN(C17*(1-Assumptions!$E$32),Assumptions!$E$48*C18)</x:f>
        <x:v>1.7186400000000002</x:v>
      </x:c>
      <x:c r="D22" s="110" t="n">
        <x:f>MIN(D17*(1-Assumptions!$E$32),Assumptions!$E$48*D18)</x:f>
        <x:v>1.8863520613660798</x:v>
      </x:c>
      <x:c r="E22" s="110" t="n">
        <x:f>MIN(E17*(1-Assumptions!$E$32),Assumptions!$E$48*E18)</x:f>
        <x:v>2.096899103902679</x:v>
      </x:c>
      <x:c r="F22" s="110" t="n">
        <x:f>MIN(F17*(1-Assumptions!$E$32),Assumptions!$E$48*F18)</x:f>
        <x:v>2.3501458108688102</x:v>
      </x:c>
      <x:c r="G22" s="110" t="n">
        <x:f>MIN(G17*(1-Assumptions!$E$32),Assumptions!$E$48*G18)</x:f>
        <x:v>2.6417342105108093</x:v>
      </x:c>
      <x:c r="H22" s="110" t="n">
        <x:f>MIN(H17*(1-Assumptions!$E$32),Assumptions!$E$48*H18)</x:f>
        <x:v>2.98763595680835</x:v>
      </x:c>
      <x:c r="I22" s="110" t="n">
        <x:f>MIN(I17*(1-Assumptions!$E$32),Assumptions!$E$48*I18)</x:f>
        <x:v>3.3852199656210686</x:v>
      </x:c>
      <x:c r="J22" s="110" t="n">
        <x:f>MIN(J17*(1-Assumptions!$E$32),Assumptions!$E$48*J18)</x:f>
        <x:v>3.6221853632145447</x:v>
      </x:c>
      <x:c r="K22" s="110" t="n">
        <x:f>MIN(K17*(1-Assumptions!$E$32),Assumptions!$E$48*K18)</x:f>
        <x:v>3.875738338639563</x:v>
      </x:c>
      <x:c r="L22" s="110" t="n">
        <x:f>MIN(L17*(1-Assumptions!$E$32),Assumptions!$E$48*L18)</x:f>
        <x:v>4.147040022344331</x:v>
      </x:c>
      <x:c r="M22" s="110" t="n">
        <x:f>MIN(M17*(1-Assumptions!$E$32),Assumptions!$E$48*M18)</x:f>
        <x:v>4.437332823908434</x:v>
      </x:c>
      <x:c r="N22" s="110" t="n">
        <x:f>MIN(N17*(1-Assumptions!$E$32),Assumptions!$E$48*N18)</x:f>
        <x:v>4.747946121582027</x:v>
      </x:c>
      <x:c r="O22" s="110" t="n">
        <x:f>MIN(O17*(1-Assumptions!$E$32),Assumptions!$E$48*O18)</x:f>
        <x:v>5.080302350092769</x:v>
      </x:c>
      <x:c r="P22" s="110" t="n">
        <x:f>MIN(P17*(1-Assumptions!$E$32),Assumptions!$E$48*P18)</x:f>
        <x:v>5.435923514599263</x:v>
      </x:c>
      <x:c r="Q22" s="110" t="n">
        <x:f>MIN(Q17*(1-Assumptions!$E$32),Assumptions!$E$48*Q18)</x:f>
        <x:v>5.816438160621211</x:v>
      </x:c>
      <x:c r="R22" s="110" t="n">
        <x:f>MIN(R17*(1-Assumptions!$E$32),Assumptions!$E$48*R18)</x:f>
        <x:v>6.2235888318646975</x:v>
      </x:c>
      <x:c r="S22" s="110" t="n">
        <x:f>MIN(S17*(1-Assumptions!$E$32),Assumptions!$E$48*S18)</x:f>
        <x:v>6.6592400500952245</x:v>
      </x:c>
      <x:c r="T22" s="110" t="n">
        <x:f>MIN(T17*(1-Assumptions!$E$32),Assumptions!$E$48*T18)</x:f>
        <x:v>7.125386853601891</x:v>
      </x:c>
      <x:c r="U22" s="110" t="n">
        <x:f>MIN(U17*(1-Assumptions!$E$32),Assumptions!$E$48*U18)</x:f>
        <x:v>7.6241639333540245</x:v>
      </x:c>
      <x:c r="V22" s="110" t="n">
        <x:f>MIN(V17*(1-Assumptions!$E$32),Assumptions!$E$48*V18)</x:f>
        <x:v>8.157855408688807</x:v>
      </x:c>
      <x:c r="W22" s="110" t="n">
        <x:f>MIN(W17*(1-Assumptions!$E$32),Assumptions!$E$48*W18)</x:f>
        <x:v>8.728905287297025</x:v>
      </x:c>
      <x:c r="X22" s="110" t="n">
        <x:f>MIN(X17*(1-Assumptions!$E$32),Assumptions!$E$48*X18)</x:f>
        <x:v>9.339928657407818</x:v>
      </x:c>
      <x:c r="Y22" s="110" t="n">
        <x:f>MIN(Y17*(1-Assumptions!$E$32),Assumptions!$E$48*Y18)</x:f>
        <x:v>9.899999999999999</x:v>
      </x:c>
      <x:c r="Z22" s="110" t="n">
        <x:f>MIN(Z17*(1-Assumptions!$E$32),Assumptions!$E$48*Z18)</x:f>
        <x:v>9.899999999999999</x:v>
      </x:c>
      <x:c r="AA22" s="110" t="n">
        <x:f>MIN(AA17*(1-Assumptions!$E$32),Assumptions!$E$48*AA18)</x:f>
        <x:v>9.899999999999999</x:v>
      </x:c>
      <x:c r="AB22" s="110" t="n">
        <x:f>MIN(AB17*(1-Assumptions!$E$32),Assumptions!$E$48*AB18)</x:f>
        <x:v>9.899999999999999</x:v>
      </x:c>
      <x:c r="AC22" s="110" t="n">
        <x:f>MIN(AC17*(1-Assumptions!$E$32),Assumptions!$E$48*AC18)</x:f>
        <x:v>9.899999999999999</x:v>
      </x:c>
      <x:c r="AD22" s="110" t="n">
        <x:f>MIN(AD17*(1-Assumptions!$E$32),Assumptions!$E$48*AD18)</x:f>
        <x:v>9.899999999999999</x:v>
      </x:c>
      <x:c r="AE22" s="110" t="n">
        <x:f>MIN(AE17*(1-Assumptions!$E$32),Assumptions!$E$48*AE18)</x:f>
        <x:v>9.899999999999999</x:v>
      </x:c>
      <x:c r="AF22" s="110" t="n">
        <x:f>MIN(AF17*(1-Assumptions!$E$32),Assumptions!$E$48*AF18)</x:f>
        <x:v>9.899999999999999</x:v>
      </x:c>
      <x:c r="AG22" s="110" t="n">
        <x:f>MIN(AG17*(1-Assumptions!$E$32),Assumptions!$E$48*AG18)</x:f>
        <x:v>9.899999999999999</x:v>
      </x:c>
      <x:c r="AH22" s="110" t="n">
        <x:f>MIN(AH17*(1-Assumptions!$E$32),Assumptions!$E$48*AH18)</x:f>
        <x:v>9.899999999999999</x:v>
      </x:c>
      <x:c r="AI22" s="110" t="n">
        <x:f>MIN(AI17*(1-Assumptions!$E$32),Assumptions!$E$48*AI18)</x:f>
        <x:v>9.899999999999999</x:v>
      </x:c>
      <x:c r="AJ22" s="110" t="n">
        <x:f>MIN(AJ17*(1-Assumptions!$E$32),Assumptions!$E$48*AJ18)</x:f>
        <x:v>9.899999999999999</x:v>
      </x:c>
      <x:c r="AK22" s="110" t="n">
        <x:f>MIN(AK17*(1-Assumptions!$E$32),Assumptions!$E$48*AK18)</x:f>
        <x:v>9.899999999999999</x:v>
      </x:c>
      <x:c r="AL22" s="111" t="n">
        <x:f>MIN(AL17*(1-Assumptions!$E$32),Assumptions!$E$48*AL18)</x:f>
        <x:v>9.899999999999999</x:v>
      </x:c>
    </x:row>
    <x:row r="23">
      <x:c r="A23" s="142" t="str">
        <x:v>Total paid entry engagements</x:v>
      </x:c>
      <x:c r="B23" s="143" t="str">
        <x:v>units</x:v>
      </x:c>
      <x:c r="C23" s="144" t="n">
        <x:f>SUM(C21:C22)</x:f>
        <x:v>2.2915200000000002</x:v>
      </x:c>
      <x:c r="D23" s="144" t="n">
        <x:f>SUM(D21:D22)</x:f>
        <x:v>2.51513608182144</x:v>
      </x:c>
      <x:c r="E23" s="144" t="n">
        <x:f>SUM(E21:E22)</x:f>
        <x:v>2.795865471870239</x:v>
      </x:c>
      <x:c r="F23" s="144" t="n">
        <x:f>SUM(F21:F22)</x:f>
        <x:v>3.1335277478250805</x:v>
      </x:c>
      <x:c r="G23" s="144" t="n">
        <x:f>SUM(G21:G22)</x:f>
        <x:v>3.5223122806810787</x:v>
      </x:c>
      <x:c r="H23" s="144" t="n">
        <x:f>SUM(H21:H22)</x:f>
        <x:v>3.9835146090777998</x:v>
      </x:c>
      <x:c r="I23" s="144" t="n">
        <x:f>SUM(I21:I22)</x:f>
        <x:v>4.5136266208280915</x:v>
      </x:c>
      <x:c r="J23" s="144" t="n">
        <x:f>SUM(J21:J22)</x:f>
        <x:v>4.829580484286059</x:v>
      </x:c>
      <x:c r="K23" s="144" t="n">
        <x:f>SUM(K21:K22)</x:f>
        <x:v>5.167651118186084</x:v>
      </x:c>
      <x:c r="L23" s="144" t="n">
        <x:f>SUM(L21:L22)</x:f>
        <x:v>5.529386696459109</x:v>
      </x:c>
      <x:c r="M23" s="144" t="n">
        <x:f>SUM(M21:M22)</x:f>
        <x:v>5.9164437652112465</x:v>
      </x:c>
      <x:c r="N23" s="144" t="n">
        <x:f>SUM(N21:N22)</x:f>
        <x:v>6.330594828776036</x:v>
      </x:c>
      <x:c r="O23" s="144" t="n">
        <x:f>SUM(O21:O22)</x:f>
        <x:v>6.773736466790359</x:v>
      </x:c>
      <x:c r="P23" s="144" t="n">
        <x:f>SUM(P21:P22)</x:f>
        <x:v>7.2478980194656835</x:v>
      </x:c>
      <x:c r="Q23" s="144" t="n">
        <x:f>SUM(Q21:Q22)</x:f>
        <x:v>7.755250880828282</x:v>
      </x:c>
      <x:c r="R23" s="144" t="n">
        <x:f>SUM(R21:R22)</x:f>
        <x:v>8.298118442486263</x:v>
      </x:c>
      <x:c r="S23" s="144" t="n">
        <x:f>SUM(S21:S22)</x:f>
        <x:v>8.8789867334603</x:v>
      </x:c>
      <x:c r="T23" s="144" t="n">
        <x:f>SUM(T21:T22)</x:f>
        <x:v>9.500515804802522</x:v>
      </x:c>
      <x:c r="U23" s="144" t="n">
        <x:f>SUM(U21:U22)</x:f>
        <x:v>10.1655519111387</x:v>
      </x:c>
      <x:c r="V23" s="144" t="n">
        <x:f>SUM(V21:V22)</x:f>
        <x:v>10.877140544918408</x:v>
      </x:c>
      <x:c r="W23" s="144" t="n">
        <x:f>SUM(W21:W22)</x:f>
        <x:v>11.638540383062699</x:v>
      </x:c>
      <x:c r="X23" s="144" t="n">
        <x:f>SUM(X21:X22)</x:f>
        <x:v>12.453238209877089</x:v>
      </x:c>
      <x:c r="Y23" s="144" t="n">
        <x:f>SUM(Y21:Y22)</x:f>
        <x:v>13.23124122114212</x:v>
      </x:c>
      <x:c r="Z23" s="144" t="n">
        <x:f>SUM(Z21:Z22)</x:f>
        <x:v>13.46442810662207</x:v>
      </x:c>
      <x:c r="AA23" s="144" t="n">
        <x:f>SUM(AA21:AA22)</x:f>
        <x:v>13.713938074085615</x:v>
      </x:c>
      <x:c r="AB23" s="144" t="n">
        <x:f>SUM(AB21:AB22)</x:f>
        <x:v>13.980913739271607</x:v>
      </x:c>
      <x:c r="AC23" s="144" t="n">
        <x:f>SUM(AC21:AC22)</x:f>
        <x:v>14.266577701020621</x:v>
      </x:c>
      <x:c r="AD23" s="144" t="n">
        <x:f>SUM(AD21:AD22)</x:f>
        <x:v>14.572238140092065</x:v>
      </x:c>
      <x:c r="AE23" s="144" t="n">
        <x:f>SUM(AE21:AE22)</x:f>
        <x:v>14.89929480989851</x:v>
      </x:c>
      <x:c r="AF23" s="144" t="n">
        <x:f>SUM(AF21:AF22)</x:f>
        <x:v>15.249245446591406</x:v>
      </x:c>
      <x:c r="AG23" s="144" t="n">
        <x:f>SUM(AG21:AG22)</x:f>
        <x:v>15.623692627852805</x:v>
      </x:c>
      <x:c r="AH23" s="144" t="n">
        <x:f>SUM(AH21:AH22)</x:f>
        <x:v>16.024351111802503</x:v>
      </x:c>
      <x:c r="AI23" s="144" t="n">
        <x:f>SUM(AI21:AI22)</x:f>
        <x:v>16.453055689628677</x:v>
      </x:c>
      <x:c r="AJ23" s="144" t="n">
        <x:f>SUM(AJ21:AJ22)</x:f>
        <x:v>16.911769587902683</x:v>
      </x:c>
      <x:c r="AK23" s="144" t="n">
        <x:f>SUM(AK21:AK22)</x:f>
        <x:v>17.402593459055872</x:v>
      </x:c>
      <x:c r="AL23" s="145" t="n">
        <x:f>SUM(AL21:AL22)</x:f>
        <x:v>17.927775001189783</x:v>
      </x:c>
    </x:row>
    <x:row r="24">
      <x:c r="A24" s="49" t="str">
        <x:v>Paid entry revenue</x:v>
      </x:c>
      <x:c r="B24" s="50" t="str">
        <x:v>$</x:v>
      </x:c>
      <x:c r="C24" s="126" t="n">
        <x:f>C21*Assumptions!$E$9+C22*Assumptions!$E$11</x:f>
        <x:v>88796.40000000001</x:v>
      </x:c>
      <x:c r="D24" s="126" t="n">
        <x:f>D21*Assumptions!$E$9+D22*Assumptions!$E$11</x:f>
        <x:v>97461.52317058078</x:v>
      </x:c>
      <x:c r="E24" s="126" t="n">
        <x:f>E21*Assumptions!$E$9+E22*Assumptions!$E$11</x:f>
        <x:v>108339.78703497176</x:v>
      </x:c>
      <x:c r="F24" s="126" t="n">
        <x:f>F21*Assumptions!$E$9+F22*Assumptions!$E$11</x:f>
        <x:v>121424.20022822186</x:v>
      </x:c>
      <x:c r="G24" s="126" t="n">
        <x:f>G21*Assumptions!$E$9+G22*Assumptions!$E$11</x:f>
        <x:v>136489.6008763918</x:v>
      </x:c>
      <x:c r="H24" s="126" t="n">
        <x:f>H21*Assumptions!$E$9+H22*Assumptions!$E$11</x:f>
        <x:v>154361.19110176474</x:v>
      </x:c>
      <x:c r="I24" s="126" t="n">
        <x:f>I21*Assumptions!$E$9+I22*Assumptions!$E$11</x:f>
        <x:v>174903.03155708854</x:v>
      </x:c>
      <x:c r="J24" s="126" t="n">
        <x:f>J21*Assumptions!$E$9+J22*Assumptions!$E$11</x:f>
        <x:v>187146.2437660848</x:v>
      </x:c>
      <x:c r="K24" s="126" t="n">
        <x:f>K21*Assumptions!$E$9+K22*Assumptions!$E$11</x:f>
        <x:v>200246.48082971078</x:v>
      </x:c>
      <x:c r="L24" s="126" t="n">
        <x:f>L21*Assumptions!$E$9+L22*Assumptions!$E$11</x:f>
        <x:v>214263.73448779044</x:v>
      </x:c>
      <x:c r="M24" s="126" t="n">
        <x:f>M21*Assumptions!$E$9+M22*Assumptions!$E$11</x:f>
        <x:v>229262.19590193577</x:v>
      </x:c>
      <x:c r="N24" s="126" t="n">
        <x:f>N21*Assumptions!$E$9+N22*Assumptions!$E$11</x:f>
        <x:v>245310.5496150714</x:v>
      </x:c>
      <x:c r="O24" s="126" t="n">
        <x:f>O21*Assumptions!$E$9+O22*Assumptions!$E$11</x:f>
        <x:v>262482.2880881264</x:v>
      </x:c>
      <x:c r="P24" s="126" t="n">
        <x:f>P21*Assumptions!$E$9+P22*Assumptions!$E$11</x:f>
        <x:v>280856.04825429525</x:v>
      </x:c>
      <x:c r="Q24" s="126" t="n">
        <x:f>Q21*Assumptions!$E$9+Q22*Assumptions!$E$11</x:f>
        <x:v>300515.9716320959</x:v>
      </x:c>
      <x:c r="R24" s="126" t="n">
        <x:f>R21*Assumptions!$E$9+R22*Assumptions!$E$11</x:f>
        <x:v>321552.0896463427</x:v>
      </x:c>
      <x:c r="S24" s="126" t="n">
        <x:f>S21*Assumptions!$E$9+S22*Assumptions!$E$11</x:f>
        <x:v>344060.7359215866</x:v>
      </x:c>
      <x:c r="T24" s="126" t="n">
        <x:f>T21*Assumptions!$E$9+T22*Assumptions!$E$11</x:f>
        <x:v>368144.9874360977</x:v>
      </x:c>
      <x:c r="U24" s="126" t="n">
        <x:f>U21*Assumptions!$E$9+U22*Assumptions!$E$11</x:f>
        <x:v>393915.1365566246</x:v>
      </x:c>
      <x:c r="V24" s="126" t="n">
        <x:f>V21*Assumptions!$E$9+V22*Assumptions!$E$11</x:f>
        <x:v>421489.19611558836</x:v>
      </x:c>
      <x:c r="W24" s="126" t="n">
        <x:f>W21*Assumptions!$E$9+W22*Assumptions!$E$11</x:f>
        <x:v>450993.4398436796</x:v>
      </x:c>
      <x:c r="X24" s="126" t="n">
        <x:f>X21*Assumptions!$E$9+X22*Assumptions!$E$11</x:f>
        <x:v>482562.9806327373</x:v>
      </x:c>
      <x:c r="Y24" s="126" t="n">
        <x:f>Y21*Assumptions!$E$9+Y22*Assumptions!$E$11</x:f>
        <x:v>512124.82442284236</x:v>
      </x:c>
      <x:c r="Z24" s="126" t="n">
        <x:f>Z21*Assumptions!$E$9+Z22*Assumptions!$E$11</x:f>
        <x:v>516788.5621324413</x:v>
      </x:c>
      <x:c r="AA24" s="126" t="n">
        <x:f>AA21*Assumptions!$E$9+AA22*Assumptions!$E$11</x:f>
        <x:v>521778.7614817122</x:v>
      </x:c>
      <x:c r="AB24" s="126" t="n">
        <x:f>AB21*Assumptions!$E$9+AB22*Assumptions!$E$11</x:f>
        <x:v>527118.2747854321</x:v>
      </x:c>
      <x:c r="AC24" s="126" t="n">
        <x:f>AC21*Assumptions!$E$9+AC22*Assumptions!$E$11</x:f>
        <x:v>532831.5540204124</x:v>
      </x:c>
      <x:c r="AD24" s="126" t="n">
        <x:f>AD21*Assumptions!$E$9+AD22*Assumptions!$E$11</x:f>
        <x:v>538944.7628018413</x:v>
      </x:c>
      <x:c r="AE24" s="126" t="n">
        <x:f>AE21*Assumptions!$E$9+AE22*Assumptions!$E$11</x:f>
        <x:v>545485.8961979701</x:v>
      </x:c>
      <x:c r="AF24" s="126" t="n">
        <x:f>AF21*Assumptions!$E$9+AF22*Assumptions!$E$11</x:f>
        <x:v>552484.9089318281</x:v>
      </x:c>
      <x:c r="AG24" s="126" t="n">
        <x:f>AG21*Assumptions!$E$9+AG22*Assumptions!$E$11</x:f>
        <x:v>559973.852557056</x:v>
      </x:c>
      <x:c r="AH24" s="126" t="n">
        <x:f>AH21*Assumptions!$E$9+AH22*Assumptions!$E$11</x:f>
        <x:v>567987.02223605</x:v>
      </x:c>
      <x:c r="AI24" s="126" t="n">
        <x:f>AI21*Assumptions!$E$9+AI22*Assumptions!$E$11</x:f>
        <x:v>576561.1137925735</x:v>
      </x:c>
      <x:c r="AJ24" s="126" t="n">
        <x:f>AJ21*Assumptions!$E$9+AJ22*Assumptions!$E$11</x:f>
        <x:v>585735.3917580537</x:v>
      </x:c>
      <x:c r="AK24" s="126" t="n">
        <x:f>AK21*Assumptions!$E$9+AK22*Assumptions!$E$11</x:f>
        <x:v>595551.8691811174</x:v>
      </x:c>
      <x:c r="AL24" s="127" t="n">
        <x:f>AL21*Assumptions!$E$9+AL22*Assumptions!$E$11</x:f>
        <x:v>606055.5000237956</x:v>
      </x:c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 ht="23" customHeight="1">
      <x:c r="A26" s="416" t="str">
        <x:v>DOWNSTREAM OFFERS &amp; RECURRING</x:v>
      </x:c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9" t="str">
        <x:v>Money Machine Design Labs</x:v>
      </x:c>
      <x:c r="B27" s="50" t="str">
        <x:v>units</x:v>
      </x:c>
      <x:c r="C27" s="110" t="n">
        <x:f>0</x:f>
        <x:v>0</x:v>
      </x:c>
      <x:c r="D27" s="110" t="n">
        <x:f>MIN(C23*Assumptions!$E$35,Assumptions!$E$49*D18)</x:f>
        <x:v>1.031184</x:v>
      </x:c>
      <x:c r="E27" s="110" t="n">
        <x:f>MIN(D23*Assumptions!$E$35,Assumptions!$E$49*E18)</x:f>
        <x:v>1.131811236819648</x:v>
      </x:c>
      <x:c r="F27" s="110" t="n">
        <x:f>MIN(E23*Assumptions!$E$35,Assumptions!$E$49*F18)</x:f>
        <x:v>1.2581394623416076</x:v>
      </x:c>
      <x:c r="G27" s="110" t="n">
        <x:f>MIN(F23*Assumptions!$E$35,Assumptions!$E$49*G18)</x:f>
        <x:v>1.4100874865212862</x:v>
      </x:c>
      <x:c r="H27" s="110" t="n">
        <x:f>MIN(G23*Assumptions!$E$35,Assumptions!$E$49*H18)</x:f>
        <x:v>1.5850405263064855</x:v>
      </x:c>
      <x:c r="I27" s="110" t="n">
        <x:f>MIN(H23*Assumptions!$E$35,Assumptions!$E$49*I18)</x:f>
        <x:v>1.79258157408501</x:v>
      </x:c>
      <x:c r="J27" s="110" t="n">
        <x:f>MIN(I23*Assumptions!$E$35,Assumptions!$E$49*J18)</x:f>
        <x:v>2.0311319793726414</x:v>
      </x:c>
      <x:c r="K27" s="110" t="n">
        <x:f>MIN(J23*Assumptions!$E$35,Assumptions!$E$49*K18)</x:f>
        <x:v>2.1733112179287266</x:v>
      </x:c>
      <x:c r="L27" s="110" t="n">
        <x:f>MIN(K23*Assumptions!$E$35,Assumptions!$E$49*L18)</x:f>
        <x:v>2.325443003183738</x:v>
      </x:c>
      <x:c r="M27" s="110" t="n">
        <x:f>MIN(L23*Assumptions!$E$35,Assumptions!$E$49*M18)</x:f>
        <x:v>2.488224013406599</x:v>
      </x:c>
      <x:c r="N27" s="110" t="n">
        <x:f>MIN(M23*Assumptions!$E$35,Assumptions!$E$49*N18)</x:f>
        <x:v>2.662399694345061</x:v>
      </x:c>
      <x:c r="O27" s="110" t="n">
        <x:f>MIN(N23*Assumptions!$E$35,Assumptions!$E$49*O18)</x:f>
        <x:v>2.8487676729492164</x:v>
      </x:c>
      <x:c r="P27" s="110" t="n">
        <x:f>MIN(O23*Assumptions!$E$35,Assumptions!$E$49*P18)</x:f>
        <x:v>3.0481814100556615</x:v>
      </x:c>
      <x:c r="Q27" s="110" t="n">
        <x:f>MIN(P23*Assumptions!$E$35,Assumptions!$E$49*Q18)</x:f>
        <x:v>3.2615541087595576</x:v>
      </x:c>
      <x:c r="R27" s="110" t="n">
        <x:f>MIN(Q23*Assumptions!$E$35,Assumptions!$E$49*R18)</x:f>
        <x:v>3.4898628963727267</x:v>
      </x:c>
      <x:c r="S27" s="110" t="n">
        <x:f>MIN(R23*Assumptions!$E$35,Assumptions!$E$49*S18)</x:f>
        <x:v>3.7341532991188187</x:v>
      </x:c>
      <x:c r="T27" s="110" t="n">
        <x:f>MIN(S23*Assumptions!$E$35,Assumptions!$E$49*T18)</x:f>
        <x:v>3.995544030057135</x:v>
      </x:c>
      <x:c r="U27" s="110" t="n">
        <x:f>MIN(T23*Assumptions!$E$35,Assumptions!$E$49*U18)</x:f>
        <x:v>4.2752321121611345</x:v>
      </x:c>
      <x:c r="V27" s="110" t="n">
        <x:f>MIN(U23*Assumptions!$E$35,Assumptions!$E$49*V18)</x:f>
        <x:v>4.574498360012415</x:v>
      </x:c>
      <x:c r="W27" s="110" t="n">
        <x:f>MIN(V23*Assumptions!$E$35,Assumptions!$E$49*W18)</x:f>
        <x:v>4.894713245213284</x:v>
      </x:c>
      <x:c r="X27" s="110" t="n">
        <x:f>MIN(W23*Assumptions!$E$35,Assumptions!$E$49*X18)</x:f>
        <x:v>4.949999999999999</x:v>
      </x:c>
      <x:c r="Y27" s="110" t="n">
        <x:f>MIN(X23*Assumptions!$E$35,Assumptions!$E$49*Y18)</x:f>
        <x:v>4.949999999999999</x:v>
      </x:c>
      <x:c r="Z27" s="110" t="n">
        <x:f>MIN(Y23*Assumptions!$E$35,Assumptions!$E$49*Z18)</x:f>
        <x:v>4.949999999999999</x:v>
      </x:c>
      <x:c r="AA27" s="110" t="n">
        <x:f>MIN(Z23*Assumptions!$E$35,Assumptions!$E$49*AA18)</x:f>
        <x:v>4.949999999999999</x:v>
      </x:c>
      <x:c r="AB27" s="110" t="n">
        <x:f>MIN(AA23*Assumptions!$E$35,Assumptions!$E$49*AB18)</x:f>
        <x:v>4.949999999999999</x:v>
      </x:c>
      <x:c r="AC27" s="110" t="n">
        <x:f>MIN(AB23*Assumptions!$E$35,Assumptions!$E$49*AC18)</x:f>
        <x:v>4.949999999999999</x:v>
      </x:c>
      <x:c r="AD27" s="110" t="n">
        <x:f>MIN(AC23*Assumptions!$E$35,Assumptions!$E$49*AD18)</x:f>
        <x:v>4.949999999999999</x:v>
      </x:c>
      <x:c r="AE27" s="110" t="n">
        <x:f>MIN(AD23*Assumptions!$E$35,Assumptions!$E$49*AE18)</x:f>
        <x:v>4.949999999999999</x:v>
      </x:c>
      <x:c r="AF27" s="110" t="n">
        <x:f>MIN(AE23*Assumptions!$E$35,Assumptions!$E$49*AF18)</x:f>
        <x:v>4.949999999999999</x:v>
      </x:c>
      <x:c r="AG27" s="110" t="n">
        <x:f>MIN(AF23*Assumptions!$E$35,Assumptions!$E$49*AG18)</x:f>
        <x:v>4.949999999999999</x:v>
      </x:c>
      <x:c r="AH27" s="110" t="n">
        <x:f>MIN(AG23*Assumptions!$E$35,Assumptions!$E$49*AH18)</x:f>
        <x:v>4.949999999999999</x:v>
      </x:c>
      <x:c r="AI27" s="110" t="n">
        <x:f>MIN(AH23*Assumptions!$E$35,Assumptions!$E$49*AI18)</x:f>
        <x:v>4.949999999999999</x:v>
      </x:c>
      <x:c r="AJ27" s="110" t="n">
        <x:f>MIN(AI23*Assumptions!$E$35,Assumptions!$E$49*AJ18)</x:f>
        <x:v>4.949999999999999</x:v>
      </x:c>
      <x:c r="AK27" s="110" t="n">
        <x:f>MIN(AJ23*Assumptions!$E$35,Assumptions!$E$49*AK18)</x:f>
        <x:v>4.949999999999999</x:v>
      </x:c>
      <x:c r="AL27" s="111" t="n">
        <x:f>MIN(AK23*Assumptions!$E$35,Assumptions!$E$49*AL18)</x:f>
        <x:v>4.949999999999999</x:v>
      </x:c>
    </x:row>
    <x:row r="28">
      <x:c r="A28" s="49" t="str">
        <x:v>Revenue Institution Sprints</x:v>
      </x:c>
      <x:c r="B28" s="50" t="str">
        <x:v>units</x:v>
      </x:c>
      <x:c r="C28" s="110" t="n">
        <x:f>0</x:f>
        <x:v>0</x:v>
      </x:c>
      <x:c r="D28" s="110" t="n">
        <x:f>MIN(C27*Assumptions!$E$36,Assumptions!$E$50*D18)</x:f>
        <x:v>0</x:v>
      </x:c>
      <x:c r="E28" s="110" t="n">
        <x:f>MIN(D27*Assumptions!$E$36,Assumptions!$E$50*E18)</x:f>
        <x:v>0.5671512000000001</x:v>
      </x:c>
      <x:c r="F28" s="110" t="n">
        <x:f>MIN(E27*Assumptions!$E$36,Assumptions!$E$50*F18)</x:f>
        <x:v>0.6224961802508064</x:v>
      </x:c>
      <x:c r="G28" s="110" t="n">
        <x:f>MIN(F27*Assumptions!$E$36,Assumptions!$E$50*G18)</x:f>
        <x:v>0.6919767042878843</x:v>
      </x:c>
      <x:c r="H28" s="110" t="n">
        <x:f>MIN(G27*Assumptions!$E$36,Assumptions!$E$50*H18)</x:f>
        <x:v>0.7755481175867075</x:v>
      </x:c>
      <x:c r="I28" s="110" t="n">
        <x:f>MIN(H27*Assumptions!$E$36,Assumptions!$E$50*I18)</x:f>
        <x:v>0.8717722894685671</x:v>
      </x:c>
      <x:c r="J28" s="110" t="n">
        <x:f>MIN(I27*Assumptions!$E$36,Assumptions!$E$50*J18)</x:f>
        <x:v>0.9859198657467556</x:v>
      </x:c>
      <x:c r="K28" s="110" t="n">
        <x:f>MIN(J27*Assumptions!$E$36,Assumptions!$E$50*K18)</x:f>
        <x:v>1.117122588654953</x:v>
      </x:c>
      <x:c r="L28" s="110" t="n">
        <x:f>MIN(K27*Assumptions!$E$36,Assumptions!$E$50*L18)</x:f>
        <x:v>1.1953211698607997</x:v>
      </x:c>
      <x:c r="M28" s="110" t="n">
        <x:f>MIN(L27*Assumptions!$E$36,Assumptions!$E$50*M18)</x:f>
        <x:v>1.278993651751056</x:v>
      </x:c>
      <x:c r="N28" s="110" t="n">
        <x:f>MIN(M27*Assumptions!$E$36,Assumptions!$E$50*N18)</x:f>
        <x:v>1.3685232073736295</x:v>
      </x:c>
      <x:c r="O28" s="110" t="n">
        <x:f>MIN(N27*Assumptions!$E$36,Assumptions!$E$50*O18)</x:f>
        <x:v>1.4643198318897839</x:v>
      </x:c>
      <x:c r="P28" s="110" t="n">
        <x:f>MIN(O27*Assumptions!$E$36,Assumptions!$E$50*P18)</x:f>
        <x:v>1.5668222201220692</x:v>
      </x:c>
      <x:c r="Q28" s="110" t="n">
        <x:f>MIN(P27*Assumptions!$E$36,Assumptions!$E$50*Q18)</x:f>
        <x:v>1.676499775530614</x:v>
      </x:c>
      <x:c r="R28" s="110" t="n">
        <x:f>MIN(Q27*Assumptions!$E$36,Assumptions!$E$50*R18)</x:f>
        <x:v>1.7938547598177568</x:v>
      </x:c>
      <x:c r="S28" s="110" t="n">
        <x:f>MIN(R27*Assumptions!$E$36,Assumptions!$E$50*S18)</x:f>
        <x:v>1.9194245930049998</x:v>
      </x:c>
      <x:c r="T28" s="110" t="n">
        <x:f>MIN(S27*Assumptions!$E$36,Assumptions!$E$50*T18)</x:f>
        <x:v>2.0537843145153505</x:v>
      </x:c>
      <x:c r="U28" s="110" t="n">
        <x:f>MIN(T27*Assumptions!$E$36,Assumptions!$E$50*U18)</x:f>
        <x:v>2.1975492165314243</x:v>
      </x:c>
      <x:c r="V28" s="110" t="n">
        <x:f>MIN(U27*Assumptions!$E$36,Assumptions!$E$50*V18)</x:f>
        <x:v>2.351377661688624</x:v>
      </x:c>
      <x:c r="W28" s="110" t="n">
        <x:f>MIN(V27*Assumptions!$E$36,Assumptions!$E$50*W18)</x:f>
        <x:v>2.5159740980068284</x:v>
      </x:c>
      <x:c r="X28" s="110" t="n">
        <x:f>MIN(W27*Assumptions!$E$36,Assumptions!$E$50*X18)</x:f>
        <x:v>2.6920922848673063</x:v>
      </x:c>
      <x:c r="Y28" s="110" t="n">
        <x:f>MIN(X27*Assumptions!$E$36,Assumptions!$E$50*Y18)</x:f>
        <x:v>2.7224999999999997</x:v>
      </x:c>
      <x:c r="Z28" s="110" t="n">
        <x:f>MIN(Y27*Assumptions!$E$36,Assumptions!$E$50*Z18)</x:f>
        <x:v>2.7224999999999997</x:v>
      </x:c>
      <x:c r="AA28" s="110" t="n">
        <x:f>MIN(Z27*Assumptions!$E$36,Assumptions!$E$50*AA18)</x:f>
        <x:v>2.7224999999999997</x:v>
      </x:c>
      <x:c r="AB28" s="110" t="n">
        <x:f>MIN(AA27*Assumptions!$E$36,Assumptions!$E$50*AB18)</x:f>
        <x:v>2.7224999999999997</x:v>
      </x:c>
      <x:c r="AC28" s="110" t="n">
        <x:f>MIN(AB27*Assumptions!$E$36,Assumptions!$E$50*AC18)</x:f>
        <x:v>2.7224999999999997</x:v>
      </x:c>
      <x:c r="AD28" s="110" t="n">
        <x:f>MIN(AC27*Assumptions!$E$36,Assumptions!$E$50*AD18)</x:f>
        <x:v>2.7224999999999997</x:v>
      </x:c>
      <x:c r="AE28" s="110" t="n">
        <x:f>MIN(AD27*Assumptions!$E$36,Assumptions!$E$50*AE18)</x:f>
        <x:v>2.7224999999999997</x:v>
      </x:c>
      <x:c r="AF28" s="110" t="n">
        <x:f>MIN(AE27*Assumptions!$E$36,Assumptions!$E$50*AF18)</x:f>
        <x:v>2.7224999999999997</x:v>
      </x:c>
      <x:c r="AG28" s="110" t="n">
        <x:f>MIN(AF27*Assumptions!$E$36,Assumptions!$E$50*AG18)</x:f>
        <x:v>2.7224999999999997</x:v>
      </x:c>
      <x:c r="AH28" s="110" t="n">
        <x:f>MIN(AG27*Assumptions!$E$36,Assumptions!$E$50*AH18)</x:f>
        <x:v>2.7224999999999997</x:v>
      </x:c>
      <x:c r="AI28" s="110" t="n">
        <x:f>MIN(AH27*Assumptions!$E$36,Assumptions!$E$50*AI18)</x:f>
        <x:v>2.7224999999999997</x:v>
      </x:c>
      <x:c r="AJ28" s="110" t="n">
        <x:f>MIN(AI27*Assumptions!$E$36,Assumptions!$E$50*AJ18)</x:f>
        <x:v>2.7224999999999997</x:v>
      </x:c>
      <x:c r="AK28" s="110" t="n">
        <x:f>MIN(AJ27*Assumptions!$E$36,Assumptions!$E$50*AK18)</x:f>
        <x:v>2.7224999999999997</x:v>
      </x:c>
      <x:c r="AL28" s="111" t="n">
        <x:f>MIN(AK27*Assumptions!$E$36,Assumptions!$E$50*AL18)</x:f>
        <x:v>2.7224999999999997</x:v>
      </x:c>
    </x:row>
    <x:row r="29">
      <x:c r="A29" s="49" t="str">
        <x:v>Proof-to-Revenue Runs</x:v>
      </x:c>
      <x:c r="B29" s="50" t="str">
        <x:v>units</x:v>
      </x:c>
      <x:c r="C29" s="110" t="n">
        <x:f>0</x:f>
        <x:v>0</x:v>
      </x:c>
      <x:c r="D29" s="110" t="n">
        <x:f>0</x:f>
        <x:v>0</x:v>
      </x:c>
      <x:c r="E29" s="110" t="n">
        <x:f>MIN(C28*Assumptions!$E$37,Assumptions!$E$51*E18)</x:f>
        <x:v>0</x:v>
      </x:c>
      <x:c r="F29" s="110" t="n">
        <x:f>MIN(D28*Assumptions!$E$37,Assumptions!$E$51*F18)</x:f>
        <x:v>0</x:v>
      </x:c>
      <x:c r="G29" s="110" t="n">
        <x:f>MIN(E28*Assumptions!$E$37,Assumptions!$E$51*G18)</x:f>
        <x:v>0.31193316000000004</x:v>
      </x:c>
      <x:c r="H29" s="110" t="n">
        <x:f>MIN(F28*Assumptions!$E$37,Assumptions!$E$51*H18)</x:f>
        <x:v>0.34237289913794355</x:v>
      </x:c>
      <x:c r="I29" s="110" t="n">
        <x:f>MIN(G28*Assumptions!$E$37,Assumptions!$E$51*I18)</x:f>
        <x:v>0.38058718735833635</x:v>
      </x:c>
      <x:c r="J29" s="110" t="n">
        <x:f>MIN(H28*Assumptions!$E$37,Assumptions!$E$51*J18)</x:f>
        <x:v>0.4265514646726892</x:v>
      </x:c>
      <x:c r="K29" s="110" t="n">
        <x:f>MIN(I28*Assumptions!$E$37,Assumptions!$E$51*K18)</x:f>
        <x:v>0.47947475920771193</x:v>
      </x:c>
      <x:c r="L29" s="110" t="n">
        <x:f>MIN(J28*Assumptions!$E$37,Assumptions!$E$51*L18)</x:f>
        <x:v>0.5422559261607156</x:v>
      </x:c>
      <x:c r="M29" s="110" t="n">
        <x:f>MIN(K28*Assumptions!$E$37,Assumptions!$E$51*M18)</x:f>
        <x:v>0.6144174237602241</x:v>
      </x:c>
      <x:c r="N29" s="110" t="n">
        <x:f>MIN(L28*Assumptions!$E$37,Assumptions!$E$51*N18)</x:f>
        <x:v>0.6574266434234399</x:v>
      </x:c>
      <x:c r="O29" s="110" t="n">
        <x:f>MIN(M28*Assumptions!$E$37,Assumptions!$E$51*O18)</x:f>
        <x:v>0.7034465084630809</x:v>
      </x:c>
      <x:c r="P29" s="110" t="n">
        <x:f>MIN(N28*Assumptions!$E$37,Assumptions!$E$51*P18)</x:f>
        <x:v>0.7526877640554963</x:v>
      </x:c>
      <x:c r="Q29" s="110" t="n">
        <x:f>MIN(O28*Assumptions!$E$37,Assumptions!$E$51*Q18)</x:f>
        <x:v>0.8053759075393812</x:v>
      </x:c>
      <x:c r="R29" s="110" t="n">
        <x:f>MIN(P28*Assumptions!$E$37,Assumptions!$E$51*R18)</x:f>
        <x:v>0.8617522210671381</x:v>
      </x:c>
      <x:c r="S29" s="110" t="n">
        <x:f>MIN(Q28*Assumptions!$E$37,Assumptions!$E$51*S18)</x:f>
        <x:v>0.9220748765418377</x:v>
      </x:c>
      <x:c r="T29" s="110" t="n">
        <x:f>MIN(R28*Assumptions!$E$37,Assumptions!$E$51*T18)</x:f>
        <x:v>0.9866201178997663</x:v>
      </x:c>
      <x:c r="U29" s="110" t="n">
        <x:f>MIN(S28*Assumptions!$E$37,Assumptions!$E$51*U18)</x:f>
        <x:v>1.05568352615275</x:v>
      </x:c>
      <x:c r="V29" s="110" t="n">
        <x:f>MIN(T28*Assumptions!$E$37,Assumptions!$E$51*V18)</x:f>
        <x:v>1.129581372983443</x:v>
      </x:c>
      <x:c r="W29" s="110" t="n">
        <x:f>MIN(U28*Assumptions!$E$37,Assumptions!$E$51*W18)</x:f>
        <x:v>1.2086520690922835</x:v>
      </x:c>
      <x:c r="X29" s="110" t="n">
        <x:f>MIN(V28*Assumptions!$E$37,Assumptions!$E$51*X18)</x:f>
        <x:v>1.2932577139287433</x:v>
      </x:c>
      <x:c r="Y29" s="110" t="n">
        <x:f>MIN(W28*Assumptions!$E$37,Assumptions!$E$51*Y18)</x:f>
        <x:v>1.3837857539037557</x:v>
      </x:c>
      <x:c r="Z29" s="110" t="n">
        <x:f>MIN(X28*Assumptions!$E$37,Assumptions!$E$51*Z18)</x:f>
        <x:v>1.4806507566770186</x:v>
      </x:c>
      <x:c r="AA29" s="110" t="n">
        <x:f>MIN(Y28*Assumptions!$E$37,Assumptions!$E$51*AA18)</x:f>
        <x:v>1.497375</x:v>
      </x:c>
      <x:c r="AB29" s="110" t="n">
        <x:f>MIN(Z28*Assumptions!$E$37,Assumptions!$E$51*AB18)</x:f>
        <x:v>1.497375</x:v>
      </x:c>
      <x:c r="AC29" s="110" t="n">
        <x:f>MIN(AA28*Assumptions!$E$37,Assumptions!$E$51*AC18)</x:f>
        <x:v>1.497375</x:v>
      </x:c>
      <x:c r="AD29" s="110" t="n">
        <x:f>MIN(AB28*Assumptions!$E$37,Assumptions!$E$51*AD18)</x:f>
        <x:v>1.497375</x:v>
      </x:c>
      <x:c r="AE29" s="110" t="n">
        <x:f>MIN(AC28*Assumptions!$E$37,Assumptions!$E$51*AE18)</x:f>
        <x:v>1.497375</x:v>
      </x:c>
      <x:c r="AF29" s="110" t="n">
        <x:f>MIN(AD28*Assumptions!$E$37,Assumptions!$E$51*AF18)</x:f>
        <x:v>1.497375</x:v>
      </x:c>
      <x:c r="AG29" s="110" t="n">
        <x:f>MIN(AE28*Assumptions!$E$37,Assumptions!$E$51*AG18)</x:f>
        <x:v>1.497375</x:v>
      </x:c>
      <x:c r="AH29" s="110" t="n">
        <x:f>MIN(AF28*Assumptions!$E$37,Assumptions!$E$51*AH18)</x:f>
        <x:v>1.497375</x:v>
      </x:c>
      <x:c r="AI29" s="110" t="n">
        <x:f>MIN(AG28*Assumptions!$E$37,Assumptions!$E$51*AI18)</x:f>
        <x:v>1.497375</x:v>
      </x:c>
      <x:c r="AJ29" s="110" t="n">
        <x:f>MIN(AH28*Assumptions!$E$37,Assumptions!$E$51*AJ18)</x:f>
        <x:v>1.497375</x:v>
      </x:c>
      <x:c r="AK29" s="110" t="n">
        <x:f>MIN(AI28*Assumptions!$E$37,Assumptions!$E$51*AK18)</x:f>
        <x:v>1.497375</x:v>
      </x:c>
      <x:c r="AL29" s="111" t="n">
        <x:f>MIN(AJ28*Assumptions!$E$37,Assumptions!$E$51*AL18)</x:f>
        <x:v>1.497375</x:v>
      </x:c>
    </x:row>
    <x:row r="30">
      <x:c r="A30" s="49" t="str">
        <x:v>Enterprise Proof Institutions</x:v>
      </x:c>
      <x:c r="B30" s="50" t="str">
        <x:v>units</x:v>
      </x:c>
      <x:c r="C30" s="110" t="n">
        <x:f>0</x:f>
        <x:v>0</x:v>
      </x:c>
      <x:c r="D30" s="110" t="n">
        <x:f>0</x:f>
        <x:v>0</x:v>
      </x:c>
      <x:c r="E30" s="110" t="n">
        <x:f>0</x:f>
        <x:v>0</x:v>
      </x:c>
      <x:c r="F30" s="110" t="n">
        <x:f>MIN(C29*Assumptions!$E$38,Assumptions!$E$52*F18)</x:f>
        <x:v>0</x:v>
      </x:c>
      <x:c r="G30" s="110" t="n">
        <x:f>MIN(D29*Assumptions!$E$38,Assumptions!$E$52*G18)</x:f>
        <x:v>0</x:v>
      </x:c>
      <x:c r="H30" s="110" t="n">
        <x:f>MIN(E29*Assumptions!$E$38,Assumptions!$E$52*H18)</x:f>
        <x:v>0</x:v>
      </x:c>
      <x:c r="I30" s="110" t="n">
        <x:f>MIN(F29*Assumptions!$E$38,Assumptions!$E$52*I18)</x:f>
        <x:v>0</x:v>
      </x:c>
      <x:c r="J30" s="110" t="n">
        <x:f>MIN(G29*Assumptions!$E$38,Assumptions!$E$52*J18)</x:f>
        <x:v>0.07798329000000001</x:v>
      </x:c>
      <x:c r="K30" s="110" t="n">
        <x:f>MIN(H29*Assumptions!$E$38,Assumptions!$E$52*K18)</x:f>
        <x:v>0.08559322478448589</x:v>
      </x:c>
      <x:c r="L30" s="110" t="n">
        <x:f>MIN(I29*Assumptions!$E$38,Assumptions!$E$52*L18)</x:f>
        <x:v>0.09514679683958409</x:v>
      </x:c>
      <x:c r="M30" s="110" t="n">
        <x:f>MIN(J29*Assumptions!$E$38,Assumptions!$E$52*M18)</x:f>
        <x:v>0.1066378661681723</x:v>
      </x:c>
      <x:c r="N30" s="110" t="n">
        <x:f>MIN(K29*Assumptions!$E$38,Assumptions!$E$52*N18)</x:f>
        <x:v>0.11986868980192798</x:v>
      </x:c>
      <x:c r="O30" s="110" t="n">
        <x:f>MIN(L29*Assumptions!$E$38,Assumptions!$E$52*O18)</x:f>
        <x:v>0.1355639815401789</x:v>
      </x:c>
      <x:c r="P30" s="110" t="n">
        <x:f>MIN(M29*Assumptions!$E$38,Assumptions!$E$52*P18)</x:f>
        <x:v>0.15360435594005603</x:v>
      </x:c>
      <x:c r="Q30" s="110" t="n">
        <x:f>MIN(N29*Assumptions!$E$38,Assumptions!$E$52*Q18)</x:f>
        <x:v>0.16435666085585998</x:v>
      </x:c>
      <x:c r="R30" s="110" t="n">
        <x:f>MIN(O29*Assumptions!$E$38,Assumptions!$E$52*R18)</x:f>
        <x:v>0.17586162711577022</x:v>
      </x:c>
      <x:c r="S30" s="110" t="n">
        <x:f>MIN(P29*Assumptions!$E$38,Assumptions!$E$52*S18)</x:f>
        <x:v>0.18817194101387408</x:v>
      </x:c>
      <x:c r="T30" s="110" t="n">
        <x:f>MIN(Q29*Assumptions!$E$38,Assumptions!$E$52*T18)</x:f>
        <x:v>0.2013439768848453</x:v>
      </x:c>
      <x:c r="U30" s="110" t="n">
        <x:f>MIN(R29*Assumptions!$E$38,Assumptions!$E$52*U18)</x:f>
        <x:v>0.21543805526678453</x:v>
      </x:c>
      <x:c r="V30" s="110" t="n">
        <x:f>MIN(S29*Assumptions!$E$38,Assumptions!$E$52*V18)</x:f>
        <x:v>0.23051871913545943</x:v>
      </x:c>
      <x:c r="W30" s="110" t="n">
        <x:f>MIN(T29*Assumptions!$E$38,Assumptions!$E$52*W18)</x:f>
        <x:v>0.24665502947494158</x:v>
      </x:c>
      <x:c r="X30" s="110" t="n">
        <x:f>MIN(U29*Assumptions!$E$38,Assumptions!$E$52*X18)</x:f>
        <x:v>0.2639208815381875</x:v>
      </x:c>
      <x:c r="Y30" s="110" t="n">
        <x:f>MIN(V29*Assumptions!$E$38,Assumptions!$E$52*Y18)</x:f>
        <x:v>0.28239534324586074</x:v>
      </x:c>
      <x:c r="Z30" s="110" t="n">
        <x:f>MIN(W29*Assumptions!$E$38,Assumptions!$E$52*Z18)</x:f>
        <x:v>0.3021630172730709</x:v>
      </x:c>
      <x:c r="AA30" s="110" t="n">
        <x:f>MIN(X29*Assumptions!$E$38,Assumptions!$E$52*AA18)</x:f>
        <x:v>0.32331442848218583</x:v>
      </x:c>
      <x:c r="AB30" s="110" t="n">
        <x:f>MIN(Y29*Assumptions!$E$38,Assumptions!$E$52*AB18)</x:f>
        <x:v>0.3459464384759389</x:v>
      </x:c>
      <x:c r="AC30" s="110" t="n">
        <x:f>MIN(Z29*Assumptions!$E$38,Assumptions!$E$52*AC18)</x:f>
        <x:v>0.37016268916925466</x:v>
      </x:c>
      <x:c r="AD30" s="110" t="n">
        <x:f>MIN(AA29*Assumptions!$E$38,Assumptions!$E$52*AD18)</x:f>
        <x:v>0.37434375</x:v>
      </x:c>
      <x:c r="AE30" s="110" t="n">
        <x:f>MIN(AB29*Assumptions!$E$38,Assumptions!$E$52*AE18)</x:f>
        <x:v>0.37434375</x:v>
      </x:c>
      <x:c r="AF30" s="110" t="n">
        <x:f>MIN(AC29*Assumptions!$E$38,Assumptions!$E$52*AF18)</x:f>
        <x:v>0.37434375</x:v>
      </x:c>
      <x:c r="AG30" s="110" t="n">
        <x:f>MIN(AD29*Assumptions!$E$38,Assumptions!$E$52*AG18)</x:f>
        <x:v>0.37434375</x:v>
      </x:c>
      <x:c r="AH30" s="110" t="n">
        <x:f>MIN(AE29*Assumptions!$E$38,Assumptions!$E$52*AH18)</x:f>
        <x:v>0.37434375</x:v>
      </x:c>
      <x:c r="AI30" s="110" t="n">
        <x:f>MIN(AF29*Assumptions!$E$38,Assumptions!$E$52*AI18)</x:f>
        <x:v>0.37434375</x:v>
      </x:c>
      <x:c r="AJ30" s="110" t="n">
        <x:f>MIN(AG29*Assumptions!$E$38,Assumptions!$E$52*AJ18)</x:f>
        <x:v>0.37434375</x:v>
      </x:c>
      <x:c r="AK30" s="110" t="n">
        <x:f>MIN(AH29*Assumptions!$E$38,Assumptions!$E$52*AK18)</x:f>
        <x:v>0.37434375</x:v>
      </x:c>
      <x:c r="AL30" s="111" t="n">
        <x:f>MIN(AI29*Assumptions!$E$38,Assumptions!$E$52*AL18)</x:f>
        <x:v>0.37434375</x:v>
      </x:c>
    </x:row>
    <x:row r="31">
      <x:c r="A31" s="49" t="str">
        <x:v>New Proof OS recurring clients</x:v>
      </x:c>
      <x:c r="B31" s="50" t="str">
        <x:v>clients</x:v>
      </x:c>
      <x:c r="C31" s="110" t="n">
        <x:f>C30*Assumptions!$E$40</x:f>
        <x:v>0</x:v>
      </x:c>
      <x:c r="D31" s="110" t="n">
        <x:f>C29*Assumptions!$E$39+D30*Assumptions!$E$40</x:f>
        <x:v>0</x:v>
      </x:c>
      <x:c r="E31" s="110" t="n">
        <x:f>D29*Assumptions!$E$39+E30*Assumptions!$E$40</x:f>
        <x:v>0</x:v>
      </x:c>
      <x:c r="F31" s="110" t="n">
        <x:f>E29*Assumptions!$E$39+F30*Assumptions!$E$40</x:f>
        <x:v>0</x:v>
      </x:c>
      <x:c r="G31" s="110" t="n">
        <x:f>F29*Assumptions!$E$39+G30*Assumptions!$E$40</x:f>
        <x:v>0</x:v>
      </x:c>
      <x:c r="H31" s="110" t="n">
        <x:f>G29*Assumptions!$E$39+H30*Assumptions!$E$40</x:f>
        <x:v>0.18715989600000002</x:v>
      </x:c>
      <x:c r="I31" s="110" t="n">
        <x:f>H29*Assumptions!$E$39+I30*Assumptions!$E$40</x:f>
        <x:v>0.20542373948276613</x:v>
      </x:c>
      <x:c r="J31" s="110" t="n">
        <x:f>I29*Assumptions!$E$39+J30*Assumptions!$E$40</x:f>
        <x:v>0.3063356024150018</x:v>
      </x:c>
      <x:c r="K31" s="110" t="n">
        <x:f>J29*Assumptions!$E$39+K30*Assumptions!$E$40</x:f>
        <x:v>0.34152410358809937</x:v>
      </x:c>
      <x:c r="L31" s="110" t="n">
        <x:f>K29*Assumptions!$E$39+L30*Assumptions!$E$40</x:f>
        <x:v>0.38283165236421124</x:v>
      </x:c>
      <x:c r="M31" s="110" t="n">
        <x:f>L29*Assumptions!$E$39+M30*Assumptions!$E$40</x:f>
        <x:v>0.43199142186460165</x:v>
      </x:c>
      <x:c r="N31" s="110" t="n">
        <x:f>M29*Assumptions!$E$39+N30*Assumptions!$E$40</x:f>
        <x:v>0.48851914405806246</x:v>
      </x:c>
      <x:c r="O31" s="110" t="n">
        <x:f>N29*Assumptions!$E$39+O30*Assumptions!$E$40</x:f>
        <x:v>0.5300199675942429</x:v>
      </x:c>
      <x:c r="P31" s="110" t="n">
        <x:f>O29*Assumptions!$E$39+P30*Assumptions!$E$40</x:f>
        <x:v>0.5756722610179046</x:v>
      </x:c>
      <x:c r="Q31" s="110" t="n">
        <x:f>P29*Assumptions!$E$39+Q30*Assumptions!$E$40</x:f>
        <x:v>0.6159693192891578</x:v>
      </x:c>
      <x:c r="R31" s="110" t="n">
        <x:f>Q29*Assumptions!$E$39+R30*Assumptions!$E$40</x:f>
        <x:v>0.6590871716393989</x:v>
      </x:c>
      <x:c r="S31" s="110" t="n">
        <x:f>R29*Assumptions!$E$39+S30*Assumptions!$E$40</x:f>
        <x:v>0.7052232736541568</x:v>
      </x:c>
      <x:c r="T31" s="110" t="n">
        <x:f>S29*Assumptions!$E$39+T30*Assumptions!$E$40</x:f>
        <x:v>0.754588902809948</x:v>
      </x:c>
      <x:c r="U31" s="110" t="n">
        <x:f>T29*Assumptions!$E$39+U30*Assumptions!$E$40</x:f>
        <x:v>0.8074101260066443</x:v>
      </x:c>
      <x:c r="V31" s="110" t="n">
        <x:f>U29*Assumptions!$E$39+V30*Assumptions!$E$40</x:f>
        <x:v>0.8639288348271094</x:v>
      </x:c>
      <x:c r="W31" s="110" t="n">
        <x:f>V29*Assumptions!$E$39+W30*Assumptions!$E$40</x:f>
        <x:v>0.9244038532650073</x:v>
      </x:c>
      <x:c r="X31" s="110" t="n">
        <x:f>W29*Assumptions!$E$39+X30*Assumptions!$E$40</x:f>
        <x:v>0.9891121229935576</x:v>
      </x:c>
      <x:c r="Y31" s="110" t="n">
        <x:f>X29*Assumptions!$E$39+Y30*Assumptions!$E$40</x:f>
        <x:v>1.0583499716031066</x:v>
      </x:c>
      <x:c r="Z31" s="110" t="n">
        <x:f>Y29*Assumptions!$E$39+Z30*Assumptions!$E$40</x:f>
        <x:v>1.1324344696153243</x:v>
      </x:c>
      <x:c r="AA31" s="110" t="n">
        <x:f>Z29*Assumptions!$E$39+AA30*Assumptions!$E$40</x:f>
        <x:v>1.2117048824883971</x:v>
      </x:c>
      <x:c r="AB31" s="110" t="n">
        <x:f>AA29*Assumptions!$E$39+AB30*Assumptions!$E$40</x:f>
        <x:v>1.2443714384759388</x:v>
      </x:c>
      <x:c r="AC31" s="110" t="n">
        <x:f>AB29*Assumptions!$E$39+AC30*Assumptions!$E$40</x:f>
        <x:v>1.2685876891692547</x:v>
      </x:c>
      <x:c r="AD31" s="110" t="n">
        <x:f>AC29*Assumptions!$E$39+AD30*Assumptions!$E$40</x:f>
        <x:v>1.27276875</x:v>
      </x:c>
      <x:c r="AE31" s="110" t="n">
        <x:f>AD29*Assumptions!$E$39+AE30*Assumptions!$E$40</x:f>
        <x:v>1.27276875</x:v>
      </x:c>
      <x:c r="AF31" s="110" t="n">
        <x:f>AE29*Assumptions!$E$39+AF30*Assumptions!$E$40</x:f>
        <x:v>1.27276875</x:v>
      </x:c>
      <x:c r="AG31" s="110" t="n">
        <x:f>AF29*Assumptions!$E$39+AG30*Assumptions!$E$40</x:f>
        <x:v>1.27276875</x:v>
      </x:c>
      <x:c r="AH31" s="110" t="n">
        <x:f>AG29*Assumptions!$E$39+AH30*Assumptions!$E$40</x:f>
        <x:v>1.27276875</x:v>
      </x:c>
      <x:c r="AI31" s="110" t="n">
        <x:f>AH29*Assumptions!$E$39+AI30*Assumptions!$E$40</x:f>
        <x:v>1.27276875</x:v>
      </x:c>
      <x:c r="AJ31" s="110" t="n">
        <x:f>AI29*Assumptions!$E$39+AJ30*Assumptions!$E$40</x:f>
        <x:v>1.27276875</x:v>
      </x:c>
      <x:c r="AK31" s="110" t="n">
        <x:f>AJ29*Assumptions!$E$39+AK30*Assumptions!$E$40</x:f>
        <x:v>1.27276875</x:v>
      </x:c>
      <x:c r="AL31" s="111" t="n">
        <x:f>AK29*Assumptions!$E$39+AL30*Assumptions!$E$40</x:f>
        <x:v>1.27276875</x:v>
      </x:c>
    </x:row>
    <x:row r="32">
      <x:c r="A32" s="49" t="str">
        <x:v>Churned Proof OS clients</x:v>
      </x:c>
      <x:c r="B32" s="50" t="str">
        <x:v>clients</x:v>
      </x:c>
      <x:c r="C32" s="110" t="n">
        <x:f>0</x:f>
        <x:v>0</x:v>
      </x:c>
      <x:c r="D32" s="110" t="n">
        <x:f>C33*Assumptions!$E$41</x:f>
        <x:v>0</x:v>
      </x:c>
      <x:c r="E32" s="110" t="n">
        <x:f>D33*Assumptions!$E$41</x:f>
        <x:v>0</x:v>
      </x:c>
      <x:c r="F32" s="110" t="n">
        <x:f>E33*Assumptions!$E$41</x:f>
        <x:v>0</x:v>
      </x:c>
      <x:c r="G32" s="110" t="n">
        <x:f>F33*Assumptions!$E$41</x:f>
        <x:v>0</x:v>
      </x:c>
      <x:c r="H32" s="110" t="n">
        <x:f>G33*Assumptions!$E$41</x:f>
        <x:v>0</x:v>
      </x:c>
      <x:c r="I32" s="110" t="n">
        <x:f>H33*Assumptions!$E$41</x:f>
        <x:v>0.004678997400000001</x:v>
      </x:c>
      <x:c r="J32" s="110" t="n">
        <x:f>I33*Assumptions!$E$41</x:f>
        <x:v>0.009697615952069154</x:v>
      </x:c>
      <x:c r="K32" s="110" t="n">
        <x:f>J33*Assumptions!$E$41</x:f>
        <x:v>0.017113565613642467</x:v>
      </x:c>
      <x:c r="L32" s="110" t="n">
        <x:f>K33*Assumptions!$E$41</x:f>
        <x:v>0.02522382906300389</x:v>
      </x:c>
      <x:c r="M32" s="110" t="n">
        <x:f>L33*Assumptions!$E$41</x:f>
        <x:v>0.03416402464553408</x:v>
      </x:c>
      <x:c r="N32" s="110" t="n">
        <x:f>M33*Assumptions!$E$41</x:f>
        <x:v>0.044109709576010764</x:v>
      </x:c>
      <x:c r="O32" s="110" t="n">
        <x:f>N33*Assumptions!$E$41</x:f>
        <x:v>0.05521994543806206</x:v>
      </x:c>
      <x:c r="P32" s="110" t="n">
        <x:f>O33*Assumptions!$E$41</x:f>
        <x:v>0.06708994599196658</x:v>
      </x:c>
      <x:c r="Q32" s="110" t="n">
        <x:f>P33*Assumptions!$E$41</x:f>
        <x:v>0.07980450386761502</x:v>
      </x:c>
      <x:c r="R32" s="110" t="n">
        <x:f>Q33*Assumptions!$E$41</x:f>
        <x:v>0.09320862425315359</x:v>
      </x:c>
      <x:c r="S32" s="110" t="n">
        <x:f>R33*Assumptions!$E$41</x:f>
        <x:v>0.10735558793780971</x:v>
      </x:c>
      <x:c r="T32" s="110" t="n">
        <x:f>S33*Assumptions!$E$41</x:f>
        <x:v>0.12230228008071838</x:v>
      </x:c>
      <x:c r="U32" s="110" t="n">
        <x:f>T33*Assumptions!$E$41</x:f>
        <x:v>0.13810944564894911</x:v>
      </x:c>
      <x:c r="V32" s="110" t="n">
        <x:f>U33*Assumptions!$E$41</x:f>
        <x:v>0.15484196265789152</x:v>
      </x:c>
      <x:c r="W32" s="110" t="n">
        <x:f>V33*Assumptions!$E$41</x:f>
        <x:v>0.17256913446212196</x:v>
      </x:c>
      <x:c r="X32" s="110" t="n">
        <x:f>W33*Assumptions!$E$41</x:f>
        <x:v>0.1913650024321941</x:v>
      </x:c>
      <x:c r="Y32" s="110" t="n">
        <x:f>X33*Assumptions!$E$41</x:f>
        <x:v>0.2113086804462282</x:v>
      </x:c>
      <x:c r="Z32" s="110" t="n">
        <x:f>Y33*Assumptions!$E$41</x:f>
        <x:v>0.23248471272515014</x:v>
      </x:c>
      <x:c r="AA32" s="110" t="n">
        <x:f>Z33*Assumptions!$E$41</x:f>
        <x:v>0.2549834566474045</x:v>
      </x:c>
      <x:c r="AB32" s="110" t="n">
        <x:f>AA33*Assumptions!$E$41</x:f>
        <x:v>0.27890149229342936</x:v>
      </x:c>
      <x:c r="AC32" s="110" t="n">
        <x:f>AB33*Assumptions!$E$41</x:f>
        <x:v>0.30303824094799214</x:v>
      </x:c>
      <x:c r="AD32" s="110" t="n">
        <x:f>AC33*Assumptions!$E$41</x:f>
        <x:v>0.3271769771535237</x:v>
      </x:c>
      <x:c r="AE32" s="110" t="n">
        <x:f>AD33*Assumptions!$E$41</x:f>
        <x:v>0.3508167714746856</x:v>
      </x:c>
      <x:c r="AF32" s="110" t="n">
        <x:f>AE33*Assumptions!$E$41</x:f>
        <x:v>0.37386557093781847</x:v>
      </x:c>
      <x:c r="AG32" s="110" t="n">
        <x:f>AF33*Assumptions!$E$41</x:f>
        <x:v>0.39633815041437304</x:v>
      </x:c>
      <x:c r="AH32" s="110" t="n">
        <x:f>AG33*Assumptions!$E$41</x:f>
        <x:v>0.41824891540401365</x:v>
      </x:c>
      <x:c r="AI32" s="110" t="n">
        <x:f>AH33*Assumptions!$E$41</x:f>
        <x:v>0.43961191126891336</x:v>
      </x:c>
      <x:c r="AJ32" s="110" t="n">
        <x:f>AI33*Assumptions!$E$41</x:f>
        <x:v>0.46044083223719057</x:v>
      </x:c>
      <x:c r="AK32" s="110" t="n">
        <x:f>AJ33*Assumptions!$E$41</x:f>
        <x:v>0.48074903018126086</x:v>
      </x:c>
      <x:c r="AL32" s="111" t="n">
        <x:f>AK33*Assumptions!$E$41</x:f>
        <x:v>0.5005495231767293</x:v>
      </x:c>
    </x:row>
    <x:row r="33">
      <x:c r="A33" s="49" t="str">
        <x:v>Ending Proof OS clients</x:v>
      </x:c>
      <x:c r="B33" s="50" t="str">
        <x:v>clients</x:v>
      </x:c>
      <x:c r="C33" s="110" t="n">
        <x:f>C31-C32</x:f>
        <x:v>0</x:v>
      </x:c>
      <x:c r="D33" s="110" t="n">
        <x:f>C33+D31-D32</x:f>
        <x:v>0</x:v>
      </x:c>
      <x:c r="E33" s="110" t="n">
        <x:f>D33+E31-E32</x:f>
        <x:v>0</x:v>
      </x:c>
      <x:c r="F33" s="110" t="n">
        <x:f>E33+F31-F32</x:f>
        <x:v>0</x:v>
      </x:c>
      <x:c r="G33" s="110" t="n">
        <x:f>F33+G31-G32</x:f>
        <x:v>0</x:v>
      </x:c>
      <x:c r="H33" s="110" t="n">
        <x:f>G33+H31-H32</x:f>
        <x:v>0.18715989600000002</x:v>
      </x:c>
      <x:c r="I33" s="110" t="n">
        <x:f>H33+I31-I32</x:f>
        <x:v>0.38790463808276615</x:v>
      </x:c>
      <x:c r="J33" s="110" t="n">
        <x:f>I33+J31-J32</x:f>
        <x:v>0.6845426245456987</x:v>
      </x:c>
      <x:c r="K33" s="110" t="n">
        <x:f>J33+K31-K32</x:f>
        <x:v>1.0089531625201555</x:v>
      </x:c>
      <x:c r="L33" s="110" t="n">
        <x:f>K33+L31-L32</x:f>
        <x:v>1.366560985821363</x:v>
      </x:c>
      <x:c r="M33" s="110" t="n">
        <x:f>L33+M31-M32</x:f>
        <x:v>1.7643883830404306</x:v>
      </x:c>
      <x:c r="N33" s="110" t="n">
        <x:f>M33+N31-N32</x:f>
        <x:v>2.2087978175224823</x:v>
      </x:c>
      <x:c r="O33" s="110" t="n">
        <x:f>N33+O31-O32</x:f>
        <x:v>2.683597839678663</x:v>
      </x:c>
      <x:c r="P33" s="110" t="n">
        <x:f>O33+P31-P32</x:f>
        <x:v>3.1921801547046007</x:v>
      </x:c>
      <x:c r="Q33" s="110" t="n">
        <x:f>P33+Q31-Q32</x:f>
        <x:v>3.7283449701261433</x:v>
      </x:c>
      <x:c r="R33" s="110" t="n">
        <x:f>Q33+R31-R32</x:f>
        <x:v>4.294223517512388</x:v>
      </x:c>
      <x:c r="S33" s="110" t="n">
        <x:f>R33+S31-S32</x:f>
        <x:v>4.892091203228735</x:v>
      </x:c>
      <x:c r="T33" s="110" t="n">
        <x:f>S33+T31-T32</x:f>
        <x:v>5.524377825957965</x:v>
      </x:c>
      <x:c r="U33" s="110" t="n">
        <x:f>T33+U31-U32</x:f>
        <x:v>6.19367850631566</x:v>
      </x:c>
      <x:c r="V33" s="110" t="n">
        <x:f>U33+V31-V32</x:f>
        <x:v>6.902765378484878</x:v>
      </x:c>
      <x:c r="W33" s="110" t="n">
        <x:f>V33+W31-W32</x:f>
        <x:v>7.654600097287763</x:v>
      </x:c>
      <x:c r="X33" s="110" t="n">
        <x:f>W33+X31-X32</x:f>
        <x:v>8.452347217849127</x:v>
      </x:c>
      <x:c r="Y33" s="110" t="n">
        <x:f>X33+Y31-Y32</x:f>
        <x:v>9.299388509006006</x:v>
      </x:c>
      <x:c r="Z33" s="110" t="n">
        <x:f>Y33+Z31-Z32</x:f>
        <x:v>10.19933826589618</x:v>
      </x:c>
      <x:c r="AA33" s="110" t="n">
        <x:f>Z33+AA31-AA32</x:f>
        <x:v>11.156059691737173</x:v>
      </x:c>
      <x:c r="AB33" s="110" t="n">
        <x:f>AA33+AB31-AB32</x:f>
        <x:v>12.121529637919684</x:v>
      </x:c>
      <x:c r="AC33" s="110" t="n">
        <x:f>AB33+AC31-AC32</x:f>
        <x:v>13.087079086140946</x:v>
      </x:c>
      <x:c r="AD33" s="110" t="n">
        <x:f>AC33+AD31-AD32</x:f>
        <x:v>14.032670858987423</x:v>
      </x:c>
      <x:c r="AE33" s="110" t="n">
        <x:f>AD33+AE31-AE32</x:f>
        <x:v>14.954622837512739</x:v>
      </x:c>
      <x:c r="AF33" s="110" t="n">
        <x:f>AE33+AF31-AF32</x:f>
        <x:v>15.85352601657492</x:v>
      </x:c>
      <x:c r="AG33" s="110" t="n">
        <x:f>AF33+AG31-AG32</x:f>
        <x:v>16.729956616160546</x:v>
      </x:c>
      <x:c r="AH33" s="110" t="n">
        <x:f>AG33+AH31-AH32</x:f>
        <x:v>17.584476450756533</x:v>
      </x:c>
      <x:c r="AI33" s="110" t="n">
        <x:f>AH33+AI31-AI32</x:f>
        <x:v>18.417633289487622</x:v>
      </x:c>
      <x:c r="AJ33" s="110" t="n">
        <x:f>AI33+AJ31-AJ32</x:f>
        <x:v>19.229961207250433</x:v>
      </x:c>
      <x:c r="AK33" s="110" t="n">
        <x:f>AJ33+AK31-AK32</x:f>
        <x:v>20.021980927069173</x:v>
      </x:c>
      <x:c r="AL33" s="111" t="n">
        <x:f>AK33+AL31-AL32</x:f>
        <x:v>20.794200153892444</x:v>
      </x:c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 ht="23" customHeight="1">
      <x:c r="A35" s="416" t="str">
        <x:v>REVENUE</x:v>
      </x:c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9" t="str">
        <x:v>Executive Briefing revenue</x:v>
      </x:c>
      <x:c r="B36" s="50" t="str">
        <x:v>$</x:v>
      </x:c>
      <x:c r="C36" s="126" t="n">
        <x:f>C21*Assumptions!$E$9</x:f>
        <x:v>11457.6</x:v>
      </x:c>
      <x:c r="D36" s="126" t="n">
        <x:f>D21*Assumptions!$E$9</x:f>
        <x:v>12575.680409107199</x:v>
      </x:c>
      <x:c r="E36" s="126" t="n">
        <x:f>E21*Assumptions!$E$9</x:f>
        <x:v>13979.327359351195</x:v>
      </x:c>
      <x:c r="F36" s="126" t="n">
        <x:f>F21*Assumptions!$E$9</x:f>
        <x:v>15667.638739125403</x:v>
      </x:c>
      <x:c r="G36" s="126" t="n">
        <x:f>G21*Assumptions!$E$9</x:f>
        <x:v>17611.561403405394</x:v>
      </x:c>
      <x:c r="H36" s="126" t="n">
        <x:f>H21*Assumptions!$E$9</x:f>
        <x:v>19917.573045389</x:v>
      </x:c>
      <x:c r="I36" s="126" t="n">
        <x:f>I21*Assumptions!$E$9</x:f>
        <x:v>22568.13310414046</x:v>
      </x:c>
      <x:c r="J36" s="126" t="n">
        <x:f>J21*Assumptions!$E$9</x:f>
        <x:v>24147.902421430295</x:v>
      </x:c>
      <x:c r="K36" s="126" t="n">
        <x:f>K21*Assumptions!$E$9</x:f>
        <x:v>25838.25559093042</x:v>
      </x:c>
      <x:c r="L36" s="126" t="n">
        <x:f>L21*Assumptions!$E$9</x:f>
        <x:v>27646.933482295542</x:v>
      </x:c>
      <x:c r="M36" s="126" t="n">
        <x:f>M21*Assumptions!$E$9</x:f>
        <x:v>29582.218826056233</x:v>
      </x:c>
      <x:c r="N36" s="126" t="n">
        <x:f>N21*Assumptions!$E$9</x:f>
        <x:v>31652.97414388018</x:v>
      </x:c>
      <x:c r="O36" s="126" t="n">
        <x:f>O21*Assumptions!$E$9</x:f>
        <x:v>33868.682333951794</x:v>
      </x:c>
      <x:c r="P36" s="126" t="n">
        <x:f>P21*Assumptions!$E$9</x:f>
        <x:v>36239.49009732842</x:v>
      </x:c>
      <x:c r="Q36" s="126" t="n">
        <x:f>Q21*Assumptions!$E$9</x:f>
        <x:v>38776.25440414141</x:v>
      </x:c>
      <x:c r="R36" s="126" t="n">
        <x:f>R21*Assumptions!$E$9</x:f>
        <x:v>41490.592212431315</x:v>
      </x:c>
      <x:c r="S36" s="126" t="n">
        <x:f>S21*Assumptions!$E$9</x:f>
        <x:v>44394.9336673015</x:v>
      </x:c>
      <x:c r="T36" s="126" t="n">
        <x:f>T21*Assumptions!$E$9</x:f>
        <x:v>47502.57902401261</x:v>
      </x:c>
      <x:c r="U36" s="126" t="n">
        <x:f>U21*Assumptions!$E$9</x:f>
        <x:v>50827.7595556935</x:v>
      </x:c>
      <x:c r="V36" s="126" t="n">
        <x:f>V21*Assumptions!$E$9</x:f>
        <x:v>54385.70272459204</x:v>
      </x:c>
      <x:c r="W36" s="126" t="n">
        <x:f>W21*Assumptions!$E$9</x:f>
        <x:v>58192.7019153135</x:v>
      </x:c>
      <x:c r="X36" s="126" t="n">
        <x:f>X21*Assumptions!$E$9</x:f>
        <x:v>62266.191049385445</x:v>
      </x:c>
      <x:c r="Y36" s="126" t="n">
        <x:f>Y21*Assumptions!$E$9</x:f>
        <x:v>66624.82442284243</x:v>
      </x:c>
      <x:c r="Z36" s="126" t="n">
        <x:f>Z21*Assumptions!$E$9</x:f>
        <x:v>71288.56213244141</x:v>
      </x:c>
      <x:c r="AA36" s="126" t="n">
        <x:f>AA21*Assumptions!$E$9</x:f>
        <x:v>76278.76148171231</x:v>
      </x:c>
      <x:c r="AB36" s="126" t="n">
        <x:f>AB21*Assumptions!$E$9</x:f>
        <x:v>81618.27478543218</x:v>
      </x:c>
      <x:c r="AC36" s="126" t="n">
        <x:f>AC21*Assumptions!$E$9</x:f>
        <x:v>87331.55402041244</x:v>
      </x:c>
      <x:c r="AD36" s="126" t="n">
        <x:f>AD21*Assumptions!$E$9</x:f>
        <x:v>93444.76280184132</x:v>
      </x:c>
      <x:c r="AE36" s="126" t="n">
        <x:f>AE21*Assumptions!$E$9</x:f>
        <x:v>99985.89619797021</x:v>
      </x:c>
      <x:c r="AF36" s="126" t="n">
        <x:f>AF21*Assumptions!$E$9</x:f>
        <x:v>106984.90893182813</x:v>
      </x:c>
      <x:c r="AG36" s="126" t="n">
        <x:f>AG21*Assumptions!$E$9</x:f>
        <x:v>114473.8525570561</x:v>
      </x:c>
      <x:c r="AH36" s="126" t="n">
        <x:f>AH21*Assumptions!$E$9</x:f>
        <x:v>122487.02223605005</x:v>
      </x:c>
      <x:c r="AI36" s="126" t="n">
        <x:f>AI21*Assumptions!$E$9</x:f>
        <x:v>131061.11379257355</x:v>
      </x:c>
      <x:c r="AJ36" s="126" t="n">
        <x:f>AJ21*Assumptions!$E$9</x:f>
        <x:v>140235.3917580537</x:v>
      </x:c>
      <x:c r="AK36" s="126" t="n">
        <x:f>AK21*Assumptions!$E$9</x:f>
        <x:v>150051.86918111748</x:v>
      </x:c>
      <x:c r="AL36" s="127" t="n">
        <x:f>AL21*Assumptions!$E$9</x:f>
        <x:v>160555.5000237957</x:v>
      </x:c>
    </x:row>
    <x:row r="37">
      <x:c r="A37" s="49" t="str">
        <x:v>MasterClass revenue</x:v>
      </x:c>
      <x:c r="B37" s="50" t="str">
        <x:v>$</x:v>
      </x:c>
      <x:c r="C37" s="126" t="n">
        <x:f>C22*Assumptions!$E$11</x:f>
        <x:v>77338.8</x:v>
      </x:c>
      <x:c r="D37" s="126" t="n">
        <x:f>D22*Assumptions!$E$11</x:f>
        <x:v>84885.84276147358</x:v>
      </x:c>
      <x:c r="E37" s="126" t="n">
        <x:f>E22*Assumptions!$E$11</x:f>
        <x:v>94360.45967562056</x:v>
      </x:c>
      <x:c r="F37" s="126" t="n">
        <x:f>F22*Assumptions!$E$11</x:f>
        <x:v>105756.56148909646</x:v>
      </x:c>
      <x:c r="G37" s="126" t="n">
        <x:f>G22*Assumptions!$E$11</x:f>
        <x:v>118878.03947298642</x:v>
      </x:c>
      <x:c r="H37" s="126" t="n">
        <x:f>H22*Assumptions!$E$11</x:f>
        <x:v>134443.61805637574</x:v>
      </x:c>
      <x:c r="I37" s="126" t="n">
        <x:f>I22*Assumptions!$E$11</x:f>
        <x:v>152334.89845294808</x:v>
      </x:c>
      <x:c r="J37" s="126" t="n">
        <x:f>J22*Assumptions!$E$11</x:f>
        <x:v>162998.3413446545</x:v>
      </x:c>
      <x:c r="K37" s="126" t="n">
        <x:f>K22*Assumptions!$E$11</x:f>
        <x:v>174408.22523878035</x:v>
      </x:c>
      <x:c r="L37" s="126" t="n">
        <x:f>L22*Assumptions!$E$11</x:f>
        <x:v>186616.8010054949</x:v>
      </x:c>
      <x:c r="M37" s="126" t="n">
        <x:f>M22*Assumptions!$E$11</x:f>
        <x:v>199679.97707587955</x:v>
      </x:c>
      <x:c r="N37" s="126" t="n">
        <x:f>N22*Assumptions!$E$11</x:f>
        <x:v>213657.5754711912</x:v>
      </x:c>
      <x:c r="O37" s="126" t="n">
        <x:f>O22*Assumptions!$E$11</x:f>
        <x:v>228613.60575417458</x:v>
      </x:c>
      <x:c r="P37" s="126" t="n">
        <x:f>P22*Assumptions!$E$11</x:f>
        <x:v>244616.5581569668</x:v>
      </x:c>
      <x:c r="Q37" s="126" t="n">
        <x:f>Q22*Assumptions!$E$11</x:f>
        <x:v>261739.7172279545</x:v>
      </x:c>
      <x:c r="R37" s="126" t="n">
        <x:f>R22*Assumptions!$E$11</x:f>
        <x:v>280061.49743391137</x:v>
      </x:c>
      <x:c r="S37" s="126" t="n">
        <x:f>S22*Assumptions!$E$11</x:f>
        <x:v>299665.8022542851</x:v>
      </x:c>
      <x:c r="T37" s="126" t="n">
        <x:f>T22*Assumptions!$E$11</x:f>
        <x:v>320642.4084120851</x:v>
      </x:c>
      <x:c r="U37" s="126" t="n">
        <x:f>U22*Assumptions!$E$11</x:f>
        <x:v>343087.3770009311</x:v>
      </x:c>
      <x:c r="V37" s="126" t="n">
        <x:f>V22*Assumptions!$E$11</x:f>
        <x:v>367103.4933909963</x:v>
      </x:c>
      <x:c r="W37" s="126" t="n">
        <x:f>W22*Assumptions!$E$11</x:f>
        <x:v>392800.7379283661</x:v>
      </x:c>
      <x:c r="X37" s="126" t="n">
        <x:f>X22*Assumptions!$E$11</x:f>
        <x:v>420296.7895833518</x:v>
      </x:c>
      <x:c r="Y37" s="126" t="n">
        <x:f>Y22*Assumptions!$E$11</x:f>
        <x:v>445499.99999999994</x:v>
      </x:c>
      <x:c r="Z37" s="126" t="n">
        <x:f>Z22*Assumptions!$E$11</x:f>
        <x:v>445499.99999999994</x:v>
      </x:c>
      <x:c r="AA37" s="126" t="n">
        <x:f>AA22*Assumptions!$E$11</x:f>
        <x:v>445499.99999999994</x:v>
      </x:c>
      <x:c r="AB37" s="126" t="n">
        <x:f>AB22*Assumptions!$E$11</x:f>
        <x:v>445499.99999999994</x:v>
      </x:c>
      <x:c r="AC37" s="126" t="n">
        <x:f>AC22*Assumptions!$E$11</x:f>
        <x:v>445499.99999999994</x:v>
      </x:c>
      <x:c r="AD37" s="126" t="n">
        <x:f>AD22*Assumptions!$E$11</x:f>
        <x:v>445499.99999999994</x:v>
      </x:c>
      <x:c r="AE37" s="126" t="n">
        <x:f>AE22*Assumptions!$E$11</x:f>
        <x:v>445499.99999999994</x:v>
      </x:c>
      <x:c r="AF37" s="126" t="n">
        <x:f>AF22*Assumptions!$E$11</x:f>
        <x:v>445499.99999999994</x:v>
      </x:c>
      <x:c r="AG37" s="126" t="n">
        <x:f>AG22*Assumptions!$E$11</x:f>
        <x:v>445499.99999999994</x:v>
      </x:c>
      <x:c r="AH37" s="126" t="n">
        <x:f>AH22*Assumptions!$E$11</x:f>
        <x:v>445499.99999999994</x:v>
      </x:c>
      <x:c r="AI37" s="126" t="n">
        <x:f>AI22*Assumptions!$E$11</x:f>
        <x:v>445499.99999999994</x:v>
      </x:c>
      <x:c r="AJ37" s="126" t="n">
        <x:f>AJ22*Assumptions!$E$11</x:f>
        <x:v>445499.99999999994</x:v>
      </x:c>
      <x:c r="AK37" s="126" t="n">
        <x:f>AK22*Assumptions!$E$11</x:f>
        <x:v>445499.99999999994</x:v>
      </x:c>
      <x:c r="AL37" s="127" t="n">
        <x:f>AL22*Assumptions!$E$11</x:f>
        <x:v>445499.99999999994</x:v>
      </x:c>
    </x:row>
    <x:row r="38">
      <x:c r="A38" s="49" t="str">
        <x:v>Design Lab revenue</x:v>
      </x:c>
      <x:c r="B38" s="50" t="str">
        <x:v>$</x:v>
      </x:c>
      <x:c r="C38" s="126" t="n">
        <x:f>C27*Assumptions!$E$13</x:f>
        <x:v>0</x:v>
      </x:c>
      <x:c r="D38" s="126" t="n">
        <x:f>D27*Assumptions!$E$13</x:f>
        <x:v>103118.40000000001</x:v>
      </x:c>
      <x:c r="E38" s="126" t="n">
        <x:f>E27*Assumptions!$E$13</x:f>
        <x:v>113181.1236819648</x:v>
      </x:c>
      <x:c r="F38" s="126" t="n">
        <x:f>F27*Assumptions!$E$13</x:f>
        <x:v>125813.94623416076</x:v>
      </x:c>
      <x:c r="G38" s="126" t="n">
        <x:f>G27*Assumptions!$E$13</x:f>
        <x:v>141008.74865212862</x:v>
      </x:c>
      <x:c r="H38" s="126" t="n">
        <x:f>H27*Assumptions!$E$13</x:f>
        <x:v>158504.05263064854</x:v>
      </x:c>
      <x:c r="I38" s="126" t="n">
        <x:f>I27*Assumptions!$E$13</x:f>
        <x:v>179258.157408501</x:v>
      </x:c>
      <x:c r="J38" s="126" t="n">
        <x:f>J27*Assumptions!$E$13</x:f>
        <x:v>203113.19793726414</x:v>
      </x:c>
      <x:c r="K38" s="126" t="n">
        <x:f>K27*Assumptions!$E$13</x:f>
        <x:v>217331.12179287267</x:v>
      </x:c>
      <x:c r="L38" s="126" t="n">
        <x:f>L27*Assumptions!$E$13</x:f>
        <x:v>232544.3003183738</x:v>
      </x:c>
      <x:c r="M38" s="126" t="n">
        <x:f>M27*Assumptions!$E$13</x:f>
        <x:v>248822.4013406599</x:v>
      </x:c>
      <x:c r="N38" s="126" t="n">
        <x:f>N27*Assumptions!$E$13</x:f>
        <x:v>266239.96943450614</x:v>
      </x:c>
      <x:c r="O38" s="126" t="n">
        <x:f>O27*Assumptions!$E$13</x:f>
        <x:v>284876.7672949216</x:v>
      </x:c>
      <x:c r="P38" s="126" t="n">
        <x:f>P27*Assumptions!$E$13</x:f>
        <x:v>304818.14100556617</x:v>
      </x:c>
      <x:c r="Q38" s="126" t="n">
        <x:f>Q27*Assumptions!$E$13</x:f>
        <x:v>326155.4108759558</x:v>
      </x:c>
      <x:c r="R38" s="126" t="n">
        <x:f>R27*Assumptions!$E$13</x:f>
        <x:v>348986.28963727265</x:v>
      </x:c>
      <x:c r="S38" s="126" t="n">
        <x:f>S27*Assumptions!$E$13</x:f>
        <x:v>373415.3299118819</x:v>
      </x:c>
      <x:c r="T38" s="126" t="n">
        <x:f>T27*Assumptions!$E$13</x:f>
        <x:v>399554.40300571354</x:v>
      </x:c>
      <x:c r="U38" s="126" t="n">
        <x:f>U27*Assumptions!$E$13</x:f>
        <x:v>427523.2112161135</x:v>
      </x:c>
      <x:c r="V38" s="126" t="n">
        <x:f>V27*Assumptions!$E$13</x:f>
        <x:v>457449.83600124146</x:v>
      </x:c>
      <x:c r="W38" s="126" t="n">
        <x:f>W27*Assumptions!$E$13</x:f>
        <x:v>489471.3245213284</x:v>
      </x:c>
      <x:c r="X38" s="126" t="n">
        <x:f>X27*Assumptions!$E$13</x:f>
        <x:v>494999.99999999994</x:v>
      </x:c>
      <x:c r="Y38" s="126" t="n">
        <x:f>Y27*Assumptions!$E$13</x:f>
        <x:v>494999.99999999994</x:v>
      </x:c>
      <x:c r="Z38" s="126" t="n">
        <x:f>Z27*Assumptions!$E$13</x:f>
        <x:v>494999.99999999994</x:v>
      </x:c>
      <x:c r="AA38" s="126" t="n">
        <x:f>AA27*Assumptions!$E$13</x:f>
        <x:v>494999.99999999994</x:v>
      </x:c>
      <x:c r="AB38" s="126" t="n">
        <x:f>AB27*Assumptions!$E$13</x:f>
        <x:v>494999.99999999994</x:v>
      </x:c>
      <x:c r="AC38" s="126" t="n">
        <x:f>AC27*Assumptions!$E$13</x:f>
        <x:v>494999.99999999994</x:v>
      </x:c>
      <x:c r="AD38" s="126" t="n">
        <x:f>AD27*Assumptions!$E$13</x:f>
        <x:v>494999.99999999994</x:v>
      </x:c>
      <x:c r="AE38" s="126" t="n">
        <x:f>AE27*Assumptions!$E$13</x:f>
        <x:v>494999.99999999994</x:v>
      </x:c>
      <x:c r="AF38" s="126" t="n">
        <x:f>AF27*Assumptions!$E$13</x:f>
        <x:v>494999.99999999994</x:v>
      </x:c>
      <x:c r="AG38" s="126" t="n">
        <x:f>AG27*Assumptions!$E$13</x:f>
        <x:v>494999.99999999994</x:v>
      </x:c>
      <x:c r="AH38" s="126" t="n">
        <x:f>AH27*Assumptions!$E$13</x:f>
        <x:v>494999.99999999994</x:v>
      </x:c>
      <x:c r="AI38" s="126" t="n">
        <x:f>AI27*Assumptions!$E$13</x:f>
        <x:v>494999.99999999994</x:v>
      </x:c>
      <x:c r="AJ38" s="126" t="n">
        <x:f>AJ27*Assumptions!$E$13</x:f>
        <x:v>494999.99999999994</x:v>
      </x:c>
      <x:c r="AK38" s="126" t="n">
        <x:f>AK27*Assumptions!$E$13</x:f>
        <x:v>494999.99999999994</x:v>
      </x:c>
      <x:c r="AL38" s="127" t="n">
        <x:f>AL27*Assumptions!$E$13</x:f>
        <x:v>494999.99999999994</x:v>
      </x:c>
    </x:row>
    <x:row r="39">
      <x:c r="A39" s="49" t="str">
        <x:v>Sprint revenue</x:v>
      </x:c>
      <x:c r="B39" s="50" t="str">
        <x:v>$</x:v>
      </x:c>
      <x:c r="C39" s="126" t="n">
        <x:f>C28*Assumptions!$E$15</x:f>
        <x:v>0</x:v>
      </x:c>
      <x:c r="D39" s="126" t="n">
        <x:f>D28*Assumptions!$E$15</x:f>
        <x:v>0</x:v>
      </x:c>
      <x:c r="E39" s="126" t="n">
        <x:f>E28*Assumptions!$E$15</x:f>
        <x:v>127609.02000000002</x:v>
      </x:c>
      <x:c r="F39" s="126" t="n">
        <x:f>F28*Assumptions!$E$15</x:f>
        <x:v>140061.64055643146</x:v>
      </x:c>
      <x:c r="G39" s="126" t="n">
        <x:f>G28*Assumptions!$E$15</x:f>
        <x:v>155694.75846477397</x:v>
      </x:c>
      <x:c r="H39" s="126" t="n">
        <x:f>H28*Assumptions!$E$15</x:f>
        <x:v>174498.32645700919</x:v>
      </x:c>
      <x:c r="I39" s="126" t="n">
        <x:f>I28*Assumptions!$E$15</x:f>
        <x:v>196148.7651304276</x:v>
      </x:c>
      <x:c r="J39" s="126" t="n">
        <x:f>J28*Assumptions!$E$15</x:f>
        <x:v>221831.96979302002</x:v>
      </x:c>
      <x:c r="K39" s="126" t="n">
        <x:f>K28*Assumptions!$E$15</x:f>
        <x:v>251352.5824473644</x:v>
      </x:c>
      <x:c r="L39" s="126" t="n">
        <x:f>L28*Assumptions!$E$15</x:f>
        <x:v>268947.26321867993</x:v>
      </x:c>
      <x:c r="M39" s="126" t="n">
        <x:f>M28*Assumptions!$E$15</x:f>
        <x:v>287773.5716439876</x:v>
      </x:c>
      <x:c r="N39" s="126" t="n">
        <x:f>N28*Assumptions!$E$15</x:f>
        <x:v>307917.7216590666</x:v>
      </x:c>
      <x:c r="O39" s="126" t="n">
        <x:f>O28*Assumptions!$E$15</x:f>
        <x:v>329471.9621752014</x:v>
      </x:c>
      <x:c r="P39" s="126" t="n">
        <x:f>P28*Assumptions!$E$15</x:f>
        <x:v>352534.99952746555</x:v>
      </x:c>
      <x:c r="Q39" s="126" t="n">
        <x:f>Q28*Assumptions!$E$15</x:f>
        <x:v>377212.4494943881</x:v>
      </x:c>
      <x:c r="R39" s="126" t="n">
        <x:f>R28*Assumptions!$E$15</x:f>
        <x:v>403617.32095899526</x:v>
      </x:c>
      <x:c r="S39" s="126" t="n">
        <x:f>S28*Assumptions!$E$15</x:f>
        <x:v>431870.53342612495</x:v>
      </x:c>
      <x:c r="T39" s="126" t="n">
        <x:f>T28*Assumptions!$E$15</x:f>
        <x:v>462101.4707659539</x:v>
      </x:c>
      <x:c r="U39" s="126" t="n">
        <x:f>U28*Assumptions!$E$15</x:f>
        <x:v>494448.5737195705</x:v>
      </x:c>
      <x:c r="V39" s="126" t="n">
        <x:f>V28*Assumptions!$E$15</x:f>
        <x:v>529059.9738799405</x:v>
      </x:c>
      <x:c r="W39" s="126" t="n">
        <x:f>W28*Assumptions!$E$15</x:f>
        <x:v>566094.1720515364</x:v>
      </x:c>
      <x:c r="X39" s="126" t="n">
        <x:f>X28*Assumptions!$E$15</x:f>
        <x:v>605720.7640951439</x:v>
      </x:c>
      <x:c r="Y39" s="126" t="n">
        <x:f>Y28*Assumptions!$E$15</x:f>
        <x:v>612562.4999999999</x:v>
      </x:c>
      <x:c r="Z39" s="126" t="n">
        <x:f>Z28*Assumptions!$E$15</x:f>
        <x:v>612562.4999999999</x:v>
      </x:c>
      <x:c r="AA39" s="126" t="n">
        <x:f>AA28*Assumptions!$E$15</x:f>
        <x:v>612562.4999999999</x:v>
      </x:c>
      <x:c r="AB39" s="126" t="n">
        <x:f>AB28*Assumptions!$E$15</x:f>
        <x:v>612562.4999999999</x:v>
      </x:c>
      <x:c r="AC39" s="126" t="n">
        <x:f>AC28*Assumptions!$E$15</x:f>
        <x:v>612562.4999999999</x:v>
      </x:c>
      <x:c r="AD39" s="126" t="n">
        <x:f>AD28*Assumptions!$E$15</x:f>
        <x:v>612562.4999999999</x:v>
      </x:c>
      <x:c r="AE39" s="126" t="n">
        <x:f>AE28*Assumptions!$E$15</x:f>
        <x:v>612562.4999999999</x:v>
      </x:c>
      <x:c r="AF39" s="126" t="n">
        <x:f>AF28*Assumptions!$E$15</x:f>
        <x:v>612562.4999999999</x:v>
      </x:c>
      <x:c r="AG39" s="126" t="n">
        <x:f>AG28*Assumptions!$E$15</x:f>
        <x:v>612562.4999999999</x:v>
      </x:c>
      <x:c r="AH39" s="126" t="n">
        <x:f>AH28*Assumptions!$E$15</x:f>
        <x:v>612562.4999999999</x:v>
      </x:c>
      <x:c r="AI39" s="126" t="n">
        <x:f>AI28*Assumptions!$E$15</x:f>
        <x:v>612562.4999999999</x:v>
      </x:c>
      <x:c r="AJ39" s="126" t="n">
        <x:f>AJ28*Assumptions!$E$15</x:f>
        <x:v>612562.4999999999</x:v>
      </x:c>
      <x:c r="AK39" s="126" t="n">
        <x:f>AK28*Assumptions!$E$15</x:f>
        <x:v>612562.4999999999</x:v>
      </x:c>
      <x:c r="AL39" s="127" t="n">
        <x:f>AL28*Assumptions!$E$15</x:f>
        <x:v>612562.4999999999</x:v>
      </x:c>
    </x:row>
    <x:row r="40">
      <x:c r="A40" s="49" t="str">
        <x:v>Proof Run revenue</x:v>
      </x:c>
      <x:c r="B40" s="50" t="str">
        <x:v>$</x:v>
      </x:c>
      <x:c r="C40" s="126" t="n">
        <x:f>C29*Assumptions!$E$17</x:f>
        <x:v>0</x:v>
      </x:c>
      <x:c r="D40" s="126" t="n">
        <x:f>D29*Assumptions!$E$17</x:f>
        <x:v>0</x:v>
      </x:c>
      <x:c r="E40" s="126" t="n">
        <x:f>E29*Assumptions!$E$17</x:f>
        <x:v>0</x:v>
      </x:c>
      <x:c r="F40" s="126" t="n">
        <x:f>F29*Assumptions!$E$17</x:f>
        <x:v>0</x:v>
      </x:c>
      <x:c r="G40" s="126" t="n">
        <x:f>G29*Assumptions!$E$17</x:f>
        <x:v>140369.92200000002</x:v>
      </x:c>
      <x:c r="H40" s="126" t="n">
        <x:f>H29*Assumptions!$E$17</x:f>
        <x:v>154067.8046120746</x:v>
      </x:c>
      <x:c r="I40" s="126" t="n">
        <x:f>I29*Assumptions!$E$17</x:f>
        <x:v>171264.23431125135</x:v>
      </x:c>
      <x:c r="J40" s="126" t="n">
        <x:f>J29*Assumptions!$E$17</x:f>
        <x:v>191948.15910271014</x:v>
      </x:c>
      <x:c r="K40" s="126" t="n">
        <x:f>K29*Assumptions!$E$17</x:f>
        <x:v>215763.64164347036</x:v>
      </x:c>
      <x:c r="L40" s="126" t="n">
        <x:f>L29*Assumptions!$E$17</x:f>
        <x:v>244015.16677232203</x:v>
      </x:c>
      <x:c r="M40" s="126" t="n">
        <x:f>M29*Assumptions!$E$17</x:f>
        <x:v>276487.8406921009</x:v>
      </x:c>
      <x:c r="N40" s="126" t="n">
        <x:f>N29*Assumptions!$E$17</x:f>
        <x:v>295841.98954054795</x:v>
      </x:c>
      <x:c r="O40" s="126" t="n">
        <x:f>O29*Assumptions!$E$17</x:f>
        <x:v>316550.9288083864</x:v>
      </x:c>
      <x:c r="P40" s="126" t="n">
        <x:f>P29*Assumptions!$E$17</x:f>
        <x:v>338709.49382497335</x:v>
      </x:c>
      <x:c r="Q40" s="126" t="n">
        <x:f>Q29*Assumptions!$E$17</x:f>
        <x:v>362419.1583927215</x:v>
      </x:c>
      <x:c r="R40" s="126" t="n">
        <x:f>R29*Assumptions!$E$17</x:f>
        <x:v>387788.49948021217</x:v>
      </x:c>
      <x:c r="S40" s="126" t="n">
        <x:f>S29*Assumptions!$E$17</x:f>
        <x:v>414933.694443827</x:v>
      </x:c>
      <x:c r="T40" s="126" t="n">
        <x:f>T29*Assumptions!$E$17</x:f>
        <x:v>443979.05305489484</x:v>
      </x:c>
      <x:c r="U40" s="126" t="n">
        <x:f>U29*Assumptions!$E$17</x:f>
        <x:v>475057.58676873747</x:v>
      </x:c>
      <x:c r="V40" s="126" t="n">
        <x:f>V29*Assumptions!$E$17</x:f>
        <x:v>508311.61784254934</x:v>
      </x:c>
      <x:c r="W40" s="126" t="n">
        <x:f>W29*Assumptions!$E$17</x:f>
        <x:v>543893.4310915276</x:v>
      </x:c>
      <x:c r="X40" s="126" t="n">
        <x:f>X29*Assumptions!$E$17</x:f>
        <x:v>581965.9712679345</x:v>
      </x:c>
      <x:c r="Y40" s="126" t="n">
        <x:f>Y29*Assumptions!$E$17</x:f>
        <x:v>622703.5892566901</x:v>
      </x:c>
      <x:c r="Z40" s="126" t="n">
        <x:f>Z29*Assumptions!$E$17</x:f>
        <x:v>666292.8405046584</x:v>
      </x:c>
      <x:c r="AA40" s="126" t="n">
        <x:f>AA29*Assumptions!$E$17</x:f>
        <x:v>673818.75</x:v>
      </x:c>
      <x:c r="AB40" s="126" t="n">
        <x:f>AB29*Assumptions!$E$17</x:f>
        <x:v>673818.75</x:v>
      </x:c>
      <x:c r="AC40" s="126" t="n">
        <x:f>AC29*Assumptions!$E$17</x:f>
        <x:v>673818.75</x:v>
      </x:c>
      <x:c r="AD40" s="126" t="n">
        <x:f>AD29*Assumptions!$E$17</x:f>
        <x:v>673818.75</x:v>
      </x:c>
      <x:c r="AE40" s="126" t="n">
        <x:f>AE29*Assumptions!$E$17</x:f>
        <x:v>673818.75</x:v>
      </x:c>
      <x:c r="AF40" s="126" t="n">
        <x:f>AF29*Assumptions!$E$17</x:f>
        <x:v>673818.75</x:v>
      </x:c>
      <x:c r="AG40" s="126" t="n">
        <x:f>AG29*Assumptions!$E$17</x:f>
        <x:v>673818.75</x:v>
      </x:c>
      <x:c r="AH40" s="126" t="n">
        <x:f>AH29*Assumptions!$E$17</x:f>
        <x:v>673818.75</x:v>
      </x:c>
      <x:c r="AI40" s="126" t="n">
        <x:f>AI29*Assumptions!$E$17</x:f>
        <x:v>673818.75</x:v>
      </x:c>
      <x:c r="AJ40" s="126" t="n">
        <x:f>AJ29*Assumptions!$E$17</x:f>
        <x:v>673818.75</x:v>
      </x:c>
      <x:c r="AK40" s="126" t="n">
        <x:f>AK29*Assumptions!$E$17</x:f>
        <x:v>673818.75</x:v>
      </x:c>
      <x:c r="AL40" s="127" t="n">
        <x:f>AL29*Assumptions!$E$17</x:f>
        <x:v>673818.75</x:v>
      </x:c>
    </x:row>
    <x:row r="41">
      <x:c r="A41" s="49" t="str">
        <x:v>Enterprise revenue</x:v>
      </x:c>
      <x:c r="B41" s="50" t="str">
        <x:v>$</x:v>
      </x:c>
      <x:c r="C41" s="126" t="n">
        <x:f>C30*Assumptions!$E$19</x:f>
        <x:v>0</x:v>
      </x:c>
      <x:c r="D41" s="126" t="n">
        <x:f>D30*Assumptions!$E$19</x:f>
        <x:v>0</x:v>
      </x:c>
      <x:c r="E41" s="126" t="n">
        <x:f>E30*Assumptions!$E$19</x:f>
        <x:v>0</x:v>
      </x:c>
      <x:c r="F41" s="126" t="n">
        <x:f>F30*Assumptions!$E$19</x:f>
        <x:v>0</x:v>
      </x:c>
      <x:c r="G41" s="126" t="n">
        <x:f>G30*Assumptions!$E$19</x:f>
        <x:v>0</x:v>
      </x:c>
      <x:c r="H41" s="126" t="n">
        <x:f>H30*Assumptions!$E$19</x:f>
        <x:v>0</x:v>
      </x:c>
      <x:c r="I41" s="126" t="n">
        <x:f>I30*Assumptions!$E$19</x:f>
        <x:v>0</x:v>
      </x:c>
      <x:c r="J41" s="126" t="n">
        <x:f>J30*Assumptions!$E$19</x:f>
        <x:v>77983.29000000001</x:v>
      </x:c>
      <x:c r="K41" s="126" t="n">
        <x:f>K30*Assumptions!$E$19</x:f>
        <x:v>85593.2247844859</x:v>
      </x:c>
      <x:c r="L41" s="126" t="n">
        <x:f>L30*Assumptions!$E$19</x:f>
        <x:v>95146.79683958409</x:v>
      </x:c>
      <x:c r="M41" s="126" t="n">
        <x:f>M30*Assumptions!$E$19</x:f>
        <x:v>106637.86616817229</x:v>
      </x:c>
      <x:c r="N41" s="126" t="n">
        <x:f>N30*Assumptions!$E$19</x:f>
        <x:v>119868.68980192798</x:v>
      </x:c>
      <x:c r="O41" s="126" t="n">
        <x:f>O30*Assumptions!$E$19</x:f>
        <x:v>135563.9815401789</x:v>
      </x:c>
      <x:c r="P41" s="126" t="n">
        <x:f>P30*Assumptions!$E$19</x:f>
        <x:v>153604.35594005603</x:v>
      </x:c>
      <x:c r="Q41" s="126" t="n">
        <x:f>Q30*Assumptions!$E$19</x:f>
        <x:v>164356.66085585998</x:v>
      </x:c>
      <x:c r="R41" s="126" t="n">
        <x:f>R30*Assumptions!$E$19</x:f>
        <x:v>175861.6271157702</x:v>
      </x:c>
      <x:c r="S41" s="126" t="n">
        <x:f>S30*Assumptions!$E$19</x:f>
        <x:v>188171.94101387408</x:v>
      </x:c>
      <x:c r="T41" s="126" t="n">
        <x:f>T30*Assumptions!$E$19</x:f>
        <x:v>201343.9768848453</x:v>
      </x:c>
      <x:c r="U41" s="126" t="n">
        <x:f>U30*Assumptions!$E$19</x:f>
        <x:v>215438.05526678453</x:v>
      </x:c>
      <x:c r="V41" s="126" t="n">
        <x:f>V30*Assumptions!$E$19</x:f>
        <x:v>230518.71913545943</x:v>
      </x:c>
      <x:c r="W41" s="126" t="n">
        <x:f>W30*Assumptions!$E$19</x:f>
        <x:v>246655.02947494158</x:v>
      </x:c>
      <x:c r="X41" s="126" t="n">
        <x:f>X30*Assumptions!$E$19</x:f>
        <x:v>263920.8815381875</x:v>
      </x:c>
      <x:c r="Y41" s="126" t="n">
        <x:f>Y30*Assumptions!$E$19</x:f>
        <x:v>282395.3432458607</x:v>
      </x:c>
      <x:c r="Z41" s="126" t="n">
        <x:f>Z30*Assumptions!$E$19</x:f>
        <x:v>302163.0172730709</x:v>
      </x:c>
      <x:c r="AA41" s="126" t="n">
        <x:f>AA30*Assumptions!$E$19</x:f>
        <x:v>323314.4284821858</x:v>
      </x:c>
      <x:c r="AB41" s="126" t="n">
        <x:f>AB30*Assumptions!$E$19</x:f>
        <x:v>345946.4384759389</x:v>
      </x:c>
      <x:c r="AC41" s="126" t="n">
        <x:f>AC30*Assumptions!$E$19</x:f>
        <x:v>370162.6891692547</x:v>
      </x:c>
      <x:c r="AD41" s="126" t="n">
        <x:f>AD30*Assumptions!$E$19</x:f>
        <x:v>374343.75</x:v>
      </x:c>
      <x:c r="AE41" s="126" t="n">
        <x:f>AE30*Assumptions!$E$19</x:f>
        <x:v>374343.75</x:v>
      </x:c>
      <x:c r="AF41" s="126" t="n">
        <x:f>AF30*Assumptions!$E$19</x:f>
        <x:v>374343.75</x:v>
      </x:c>
      <x:c r="AG41" s="126" t="n">
        <x:f>AG30*Assumptions!$E$19</x:f>
        <x:v>374343.75</x:v>
      </x:c>
      <x:c r="AH41" s="126" t="n">
        <x:f>AH30*Assumptions!$E$19</x:f>
        <x:v>374343.75</x:v>
      </x:c>
      <x:c r="AI41" s="126" t="n">
        <x:f>AI30*Assumptions!$E$19</x:f>
        <x:v>374343.75</x:v>
      </x:c>
      <x:c r="AJ41" s="126" t="n">
        <x:f>AJ30*Assumptions!$E$19</x:f>
        <x:v>374343.75</x:v>
      </x:c>
      <x:c r="AK41" s="126" t="n">
        <x:f>AK30*Assumptions!$E$19</x:f>
        <x:v>374343.75</x:v>
      </x:c>
      <x:c r="AL41" s="127" t="n">
        <x:f>AL30*Assumptions!$E$19</x:f>
        <x:v>374343.75</x:v>
      </x:c>
    </x:row>
    <x:row r="42">
      <x:c r="A42" s="49" t="str">
        <x:v>Proof OS recurring revenue</x:v>
      </x:c>
      <x:c r="B42" s="50" t="str">
        <x:v>$</x:v>
      </x:c>
      <x:c r="C42" s="126" t="n">
        <x:f>C33*Assumptions!$E$21</x:f>
        <x:v>0</x:v>
      </x:c>
      <x:c r="D42" s="126" t="n">
        <x:f>D33*Assumptions!$E$21</x:f>
        <x:v>0</x:v>
      </x:c>
      <x:c r="E42" s="126" t="n">
        <x:f>E33*Assumptions!$E$21</x:f>
        <x:v>0</x:v>
      </x:c>
      <x:c r="F42" s="126" t="n">
        <x:f>F33*Assumptions!$E$21</x:f>
        <x:v>0</x:v>
      </x:c>
      <x:c r="G42" s="126" t="n">
        <x:f>G33*Assumptions!$E$21</x:f>
        <x:v>0</x:v>
      </x:c>
      <x:c r="H42" s="126" t="n">
        <x:f>H33*Assumptions!$E$21</x:f>
        <x:v>2807.3984400000004</x:v>
      </x:c>
      <x:c r="I42" s="126" t="n">
        <x:f>I33*Assumptions!$E$21</x:f>
        <x:v>5818.569571241493</x:v>
      </x:c>
      <x:c r="J42" s="126" t="n">
        <x:f>J33*Assumptions!$E$21</x:f>
        <x:v>10268.13936818548</x:v>
      </x:c>
      <x:c r="K42" s="126" t="n">
        <x:f>K33*Assumptions!$E$21</x:f>
        <x:v>15134.297437802334</x:v>
      </x:c>
      <x:c r="L42" s="126" t="n">
        <x:f>L33*Assumptions!$E$21</x:f>
        <x:v>20498.414787320446</x:v>
      </x:c>
      <x:c r="M42" s="126" t="n">
        <x:f>M33*Assumptions!$E$21</x:f>
        <x:v>26465.825745606457</x:v>
      </x:c>
      <x:c r="N42" s="126" t="n">
        <x:f>N33*Assumptions!$E$21</x:f>
        <x:v>33131.967262837235</x:v>
      </x:c>
      <x:c r="O42" s="126" t="n">
        <x:f>O33*Assumptions!$E$21</x:f>
        <x:v>40253.96759517994</x:v>
      </x:c>
      <x:c r="P42" s="126" t="n">
        <x:f>P33*Assumptions!$E$21</x:f>
        <x:v>47882.70232056901</x:v>
      </x:c>
      <x:c r="Q42" s="126" t="n">
        <x:f>Q33*Assumptions!$E$21</x:f>
        <x:v>55925.17455189215</x:v>
      </x:c>
      <x:c r="R42" s="126" t="n">
        <x:f>R33*Assumptions!$E$21</x:f>
        <x:v>64413.35276268582</x:v>
      </x:c>
      <x:c r="S42" s="126" t="n">
        <x:f>S33*Assumptions!$E$21</x:f>
        <x:v>73381.36804843102</x:v>
      </x:c>
      <x:c r="T42" s="126" t="n">
        <x:f>T33*Assumptions!$E$21</x:f>
        <x:v>82865.66738936947</x:v>
      </x:c>
      <x:c r="U42" s="126" t="n">
        <x:f>U33*Assumptions!$E$21</x:f>
        <x:v>92905.1775947349</x:v>
      </x:c>
      <x:c r="V42" s="126" t="n">
        <x:f>V33*Assumptions!$E$21</x:f>
        <x:v>103541.48067727317</x:v>
      </x:c>
      <x:c r="W42" s="126" t="n">
        <x:f>W33*Assumptions!$E$21</x:f>
        <x:v>114819.00145931645</x:v>
      </x:c>
      <x:c r="X42" s="126" t="n">
        <x:f>X33*Assumptions!$E$21</x:f>
        <x:v>126785.2082677369</x:v>
      </x:c>
      <x:c r="Y42" s="126" t="n">
        <x:f>Y33*Assumptions!$E$21</x:f>
        <x:v>139490.8276350901</x:v>
      </x:c>
      <x:c r="Z42" s="126" t="n">
        <x:f>Z33*Assumptions!$E$21</x:f>
        <x:v>152990.07398844272</x:v>
      </x:c>
      <x:c r="AA42" s="126" t="n">
        <x:f>AA33*Assumptions!$E$21</x:f>
        <x:v>167340.8953760576</x:v>
      </x:c>
      <x:c r="AB42" s="126" t="n">
        <x:f>AB33*Assumptions!$E$21</x:f>
        <x:v>181822.94456879527</x:v>
      </x:c>
      <x:c r="AC42" s="126" t="n">
        <x:f>AC33*Assumptions!$E$21</x:f>
        <x:v>196306.1862921142</x:v>
      </x:c>
      <x:c r="AD42" s="126" t="n">
        <x:f>AD33*Assumptions!$E$21</x:f>
        <x:v>210490.06288481134</x:v>
      </x:c>
      <x:c r="AE42" s="126" t="n">
        <x:f>AE33*Assumptions!$E$21</x:f>
        <x:v>224319.34256269108</x:v>
      </x:c>
      <x:c r="AF42" s="126" t="n">
        <x:f>AF33*Assumptions!$E$21</x:f>
        <x:v>237802.8902486238</x:v>
      </x:c>
      <x:c r="AG42" s="126" t="n">
        <x:f>AG33*Assumptions!$E$21</x:f>
        <x:v>250949.3492424082</x:v>
      </x:c>
      <x:c r="AH42" s="126" t="n">
        <x:f>AH33*Assumptions!$E$21</x:f>
        <x:v>263767.146761348</x:v>
      </x:c>
      <x:c r="AI42" s="126" t="n">
        <x:f>AI33*Assumptions!$E$21</x:f>
        <x:v>276264.4993423143</x:v>
      </x:c>
      <x:c r="AJ42" s="126" t="n">
        <x:f>AJ33*Assumptions!$E$21</x:f>
        <x:v>288449.4181087565</x:v>
      </x:c>
      <x:c r="AK42" s="126" t="n">
        <x:f>AK33*Assumptions!$E$21</x:f>
        <x:v>300329.71390603756</x:v>
      </x:c>
      <x:c r="AL42" s="127" t="n">
        <x:f>AL33*Assumptions!$E$21</x:f>
        <x:v>311913.00230838667</x:v>
      </x:c>
    </x:row>
    <x:row r="43">
      <x:c r="A43" s="142" t="str">
        <x:v>Total revenue</x:v>
      </x:c>
      <x:c r="B43" s="143" t="str">
        <x:v>$</x:v>
      </x:c>
      <x:c r="C43" s="154" t="n">
        <x:f>SUM(C36:C42)</x:f>
        <x:v>88796.40000000001</x:v>
      </x:c>
      <x:c r="D43" s="154" t="n">
        <x:f>SUM(D36:D42)</x:f>
        <x:v>200579.9231705808</x:v>
      </x:c>
      <x:c r="E43" s="154" t="n">
        <x:f>SUM(E36:E42)</x:f>
        <x:v>349129.9307169366</x:v>
      </x:c>
      <x:c r="F43" s="154" t="n">
        <x:f>SUM(F36:F42)</x:f>
        <x:v>387299.7870188141</x:v>
      </x:c>
      <x:c r="G43" s="154" t="n">
        <x:f>SUM(G36:G42)</x:f>
        <x:v>573563.0299932944</x:v>
      </x:c>
      <x:c r="H43" s="154" t="n">
        <x:f>SUM(H36:H42)</x:f>
        <x:v>644238.7732414971</x:v>
      </x:c>
      <x:c r="I43" s="154" t="n">
        <x:f>SUM(I36:I42)</x:f>
        <x:v>727392.75797851</x:v>
      </x:c>
      <x:c r="J43" s="154" t="n">
        <x:f>SUM(J36:J42)</x:f>
        <x:v>892290.9999672646</x:v>
      </x:c>
      <x:c r="K43" s="154" t="n">
        <x:f>SUM(K36:K42)</x:f>
        <x:v>985421.3489357064</x:v>
      </x:c>
      <x:c r="L43" s="154" t="n">
        <x:f>SUM(L36:L42)</x:f>
        <x:v>1075415.6764240707</x:v>
      </x:c>
      <x:c r="M43" s="154" t="n">
        <x:f>SUM(M36:M42)</x:f>
        <x:v>1175449.701492463</x:v>
      </x:c>
      <x:c r="N43" s="154" t="n">
        <x:f>SUM(N36:N42)</x:f>
        <x:v>1268310.8873139573</x:v>
      </x:c>
      <x:c r="O43" s="154" t="n">
        <x:f>SUM(O36:O42)</x:f>
        <x:v>1369199.8955019948</x:v>
      </x:c>
      <x:c r="P43" s="154" t="n">
        <x:f>SUM(P36:P42)</x:f>
        <x:v>1478405.7408729254</x:v>
      </x:c>
      <x:c r="Q43" s="154" t="n">
        <x:f>SUM(Q36:Q42)</x:f>
        <x:v>1586584.8258029134</x:v>
      </x:c>
      <x:c r="R43" s="154" t="n">
        <x:f>SUM(R36:R42)</x:f>
        <x:v>1702219.1796012789</x:v>
      </x:c>
      <x:c r="S43" s="154" t="n">
        <x:f>SUM(S36:S42)</x:f>
        <x:v>1825833.6027657257</x:v>
      </x:c>
      <x:c r="T43" s="154" t="n">
        <x:f>SUM(T36:T42)</x:f>
        <x:v>1957989.5585368746</x:v>
      </x:c>
      <x:c r="U43" s="154" t="n">
        <x:f>SUM(U36:U42)</x:f>
        <x:v>2099287.7411225657</x:v>
      </x:c>
      <x:c r="V43" s="154" t="n">
        <x:f>SUM(V36:V42)</x:f>
        <x:v>2250370.8236520523</x:v>
      </x:c>
      <x:c r="W43" s="154" t="n">
        <x:f>SUM(W36:W42)</x:f>
        <x:v>2411926.39844233</x:v>
      </x:c>
      <x:c r="X43" s="154" t="n">
        <x:f>SUM(X36:X42)</x:f>
        <x:v>2555955.80580174</x:v>
      </x:c>
      <x:c r="Y43" s="154" t="n">
        <x:f>SUM(Y36:Y42)</x:f>
        <x:v>2664277.0845604837</x:v>
      </x:c>
      <x:c r="Z43" s="154" t="n">
        <x:f>SUM(Z36:Z42)</x:f>
        <x:v>2745796.993898613</x:v>
      </x:c>
      <x:c r="AA43" s="154" t="n">
        <x:f>SUM(AA36:AA42)</x:f>
        <x:v>2793815.335339955</x:v>
      </x:c>
      <x:c r="AB43" s="154" t="n">
        <x:f>SUM(AB36:AB42)</x:f>
        <x:v>2836268.907830166</x:v>
      </x:c>
      <x:c r="AC43" s="154" t="n">
        <x:f>SUM(AC36:AC42)</x:f>
        <x:v>2880681.679481781</x:v>
      </x:c>
      <x:c r="AD43" s="154" t="n">
        <x:f>SUM(AD36:AD42)</x:f>
        <x:v>2905159.825686652</x:v>
      </x:c>
      <x:c r="AE43" s="154" t="n">
        <x:f>SUM(AE36:AE42)</x:f>
        <x:v>2925530.2387606613</x:v>
      </x:c>
      <x:c r="AF43" s="154" t="n">
        <x:f>SUM(AF36:AF42)</x:f>
        <x:v>2946012.799180452</x:v>
      </x:c>
      <x:c r="AG43" s="154" t="n">
        <x:f>SUM(AG36:AG42)</x:f>
        <x:v>2966648.201799464</x:v>
      </x:c>
      <x:c r="AH43" s="154" t="n">
        <x:f>SUM(AH36:AH42)</x:f>
        <x:v>2987479.1689973976</x:v>
      </x:c>
      <x:c r="AI43" s="154" t="n">
        <x:f>SUM(AI36:AI42)</x:f>
        <x:v>3008550.6131348875</x:v>
      </x:c>
      <x:c r="AJ43" s="154" t="n">
        <x:f>SUM(AJ36:AJ42)</x:f>
        <x:v>3029909.80986681</x:v>
      </x:c>
      <x:c r="AK43" s="154" t="n">
        <x:f>SUM(AK36:AK42)</x:f>
        <x:v>3051606.5830871547</x:v>
      </x:c>
      <x:c r="AL43" s="155" t="n">
        <x:f>SUM(AL36:AL42)</x:f>
        <x:v>3073693.502332182</x:v>
      </x:c>
    </x:row>
    <x:row r="44">
      <x:c r="A44" s="49" t="str">
        <x:v>Monthly revenue growth</x:v>
      </x:c>
      <x:c r="B44" s="50" t="str">
        <x:v>%</x:v>
      </x:c>
      <x:c r="C44" s="118" t="n">
        <x:f>0</x:f>
        <x:v>0</x:v>
      </x:c>
      <x:c r="D44" s="118" t="n">
        <x:f>IFERROR(D43/C43-1,0)</x:f>
        <x:v>1.258874494580645</x:v>
      </x:c>
      <x:c r="E44" s="118" t="n">
        <x:f>IFERROR(E43/D43-1,0)</x:f>
        <x:v>0.740602574765288</x:v>
      </x:c>
      <x:c r="F44" s="118" t="n">
        <x:f>IFERROR(F43/E43-1,0)</x:f>
        <x:v>0.10932851338037941</x:v>
      </x:c>
      <x:c r="G44" s="118" t="n">
        <x:f>IFERROR(G43/F43-1,0)</x:f>
        <x:v>0.48092782185142813</x:v>
      </x:c>
      <x:c r="H44" s="118" t="n">
        <x:f>IFERROR(H43/G43-1,0)</x:f>
        <x:v>0.12322227820197718</x:v>
      </x:c>
      <x:c r="I44" s="118" t="n">
        <x:f>IFERROR(I43/H43-1,0)</x:f>
        <x:v>0.12907323835636642</x:v>
      </x:c>
      <x:c r="J44" s="118" t="n">
        <x:f>IFERROR(J43/I43-1,0)</x:f>
        <x:v>0.2266976680480317</x:v>
      </x:c>
      <x:c r="K44" s="118" t="n">
        <x:f>IFERROR(K43/J43-1,0)</x:f>
        <x:v>0.10437217115476738</x:v>
      </x:c>
      <x:c r="L44" s="118" t="n">
        <x:f>IFERROR(L43/K43-1,0)</x:f>
        <x:v>0.0913257334901072</x:v>
      </x:c>
      <x:c r="M44" s="118" t="n">
        <x:f>IFERROR(M43/L43-1,0)</x:f>
        <x:v>0.09301893887303314</x:v>
      </x:c>
      <x:c r="N44" s="118" t="n">
        <x:f>IFERROR(N43/M43-1,0)</x:f>
        <x:v>0.07900056097984365</x:v>
      </x:c>
      <x:c r="O44" s="118" t="n">
        <x:f>IFERROR(O43/N43-1,0)</x:f>
        <x:v>0.07954596085010457</x:v>
      </x:c>
      <x:c r="P44" s="118" t="n">
        <x:f>IFERROR(P43/O43-1,0)</x:f>
        <x:v>0.07975887650129576</x:v>
      </x:c>
      <x:c r="Q44" s="118" t="n">
        <x:f>IFERROR(Q43/P43-1,0)</x:f>
        <x:v>0.0731727981968695</x:v>
      </x:c>
      <x:c r="R44" s="118" t="n">
        <x:f>IFERROR(R43/Q43-1,0)</x:f>
        <x:v>0.07288255372028218</x:v>
      </x:c>
      <x:c r="S44" s="118" t="n">
        <x:f>IFERROR(S43/R43-1,0)</x:f>
        <x:v>0.07261956899898281</x:v>
      </x:c>
      <x:c r="T44" s="118" t="n">
        <x:f>IFERROR(T43/S43-1,0)</x:f>
        <x:v>0.07238116089602165</x:v>
      </x:c>
      <x:c r="U44" s="118" t="n">
        <x:f>IFERROR(U43/T43-1,0)</x:f>
        <x:v>0.07216493161040005</x:v>
      </x:c>
      <x:c r="V44" s="118" t="n">
        <x:f>IFERROR(V43/U43-1,0)</x:f>
        <x:v>0.07196873471413556</x:v>
      </x:c>
      <x:c r="W44" s="118" t="n">
        <x:f>IFERROR(W43/V43-1,0)</x:f>
        <x:v>0.07179064583146988</x:v>
      </x:c>
      <x:c r="X44" s="118" t="n">
        <x:f>IFERROR(X43/W43-1,0)</x:f>
        <x:v>0.05971550684648874</x:v>
      </x:c>
      <x:c r="Y44" s="118" t="n">
        <x:f>IFERROR(Y43/X43-1,0)</x:f>
        <x:v>0.042379949806982786</x:v>
      </x:c>
      <x:c r="Z44" s="118" t="n">
        <x:f>IFERROR(Z43/Y43-1,0)</x:f>
        <x:v>0.03059738411238766</x:v>
      </x:c>
      <x:c r="AA44" s="118" t="n">
        <x:f>IFERROR(AA43/Z43-1,0)</x:f>
        <x:v>0.017487943044603327</x:v>
      </x:c>
      <x:c r="AB44" s="118" t="n">
        <x:f>IFERROR(AB43/AA43-1,0)</x:f>
        <x:v>0.015195554249130439</x:v>
      </x:c>
      <x:c r="AC44" s="118" t="n">
        <x:f>IFERROR(AC43/AB43-1,0)</x:f>
        <x:v>0.015658871952868525</x:v>
      </x:c>
      <x:c r="AD44" s="118" t="n">
        <x:f>IFERROR(AD43/AC43-1,0)</x:f>
        <x:v>0.008497345048299243</x:v>
      </x:c>
      <x:c r="AE44" s="118" t="n">
        <x:f>IFERROR(AE43/AD43-1,0)</x:f>
        <x:v>0.007011804615326023</x:v>
      </x:c>
      <x:c r="AF44" s="118" t="n">
        <x:f>IFERROR(AF43/AE43-1,0)</x:f>
        <x:v>0.00700131557295669</x:v>
      </x:c>
      <x:c r="AG44" s="118" t="n">
        <x:f>IFERROR(AG43/AF43-1,0)</x:f>
        <x:v>0.007004518997593134</x:v>
      </x:c>
      <x:c r="AH44" s="118" t="n">
        <x:f>IFERROR(AH43/AG43-1,0)</x:f>
        <x:v>0.007021718040345348</x:v>
      </x:c>
      <x:c r="AI44" s="118" t="n">
        <x:f>IFERROR(AI43/AH43-1,0)</x:f>
        <x:v>0.007053252238930829</x:v>
      </x:c>
      <x:c r="AJ44" s="118" t="n">
        <x:f>IFERROR(AJ43/AI43-1,0)</x:f>
        <x:v>0.007099497225897311</x:v>
      </x:c>
      <x:c r="AK44" s="118" t="n">
        <x:f>IFERROR(AK43/AJ43-1,0)</x:f>
        <x:v>0.007160864376124287</x:v>
      </x:c>
      <x:c r="AL44" s="119" t="n">
        <x:f>IFERROR(AL43/AK43-1,0)</x:f>
        <x:v>0.0072378003663511326</x:v>
      </x:c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 ht="23" customHeight="1">
      <x:c r="A46" s="416" t="str">
        <x:v>DIRECT COSTS &amp; GROSS PROFIT</x:v>
      </x:c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9" t="str">
        <x:v>Executive Briefing direct costs</x:v>
      </x:c>
      <x:c r="B47" s="50" t="str">
        <x:v>$</x:v>
      </x:c>
      <x:c r="C47" s="126" t="n">
        <x:f>C36*(1-Assumptions!$E$10)</x:f>
        <x:v>2291.5199999999995</x:v>
      </x:c>
      <x:c r="D47" s="126" t="n">
        <x:f>D36*(1-Assumptions!$E$10)</x:f>
        <x:v>2515.1360818214393</x:v>
      </x:c>
      <x:c r="E47" s="126" t="n">
        <x:f>E36*(1-Assumptions!$E$10)</x:f>
        <x:v>2795.8654718702383</x:v>
      </x:c>
      <x:c r="F47" s="126" t="n">
        <x:f>F36*(1-Assumptions!$E$10)</x:f>
        <x:v>3133.52774782508</x:v>
      </x:c>
      <x:c r="G47" s="126" t="n">
        <x:f>G36*(1-Assumptions!$E$10)</x:f>
        <x:v>3522.312280681078</x:v>
      </x:c>
      <x:c r="H47" s="126" t="n">
        <x:f>H36*(1-Assumptions!$E$10)</x:f>
        <x:v>3983.514609077799</x:v>
      </x:c>
      <x:c r="I47" s="126" t="n">
        <x:f>I36*(1-Assumptions!$E$10)</x:f>
        <x:v>4513.62662082809</x:v>
      </x:c>
      <x:c r="J47" s="126" t="n">
        <x:f>J36*(1-Assumptions!$E$10)</x:f>
        <x:v>4829.580484286058</x:v>
      </x:c>
      <x:c r="K47" s="126" t="n">
        <x:f>K36*(1-Assumptions!$E$10)</x:f>
        <x:v>5167.651118186083</x:v>
      </x:c>
      <x:c r="L47" s="126" t="n">
        <x:f>L36*(1-Assumptions!$E$10)</x:f>
        <x:v>5529.386696459107</x:v>
      </x:c>
      <x:c r="M47" s="126" t="n">
        <x:f>M36*(1-Assumptions!$E$10)</x:f>
        <x:v>5916.443765211246</x:v>
      </x:c>
      <x:c r="N47" s="126" t="n">
        <x:f>N36*(1-Assumptions!$E$10)</x:f>
        <x:v>6330.594828776035</x:v>
      </x:c>
      <x:c r="O47" s="126" t="n">
        <x:f>O36*(1-Assumptions!$E$10)</x:f>
        <x:v>6773.736466790358</x:v>
      </x:c>
      <x:c r="P47" s="126" t="n">
        <x:f>P36*(1-Assumptions!$E$10)</x:f>
        <x:v>7247.8980194656815</x:v>
      </x:c>
      <x:c r="Q47" s="126" t="n">
        <x:f>Q36*(1-Assumptions!$E$10)</x:f>
        <x:v>7755.25088082828</x:v>
      </x:c>
      <x:c r="R47" s="126" t="n">
        <x:f>R36*(1-Assumptions!$E$10)</x:f>
        <x:v>8298.11844248626</x:v>
      </x:c>
      <x:c r="S47" s="126" t="n">
        <x:f>S36*(1-Assumptions!$E$10)</x:f>
        <x:v>8878.986733460299</x:v>
      </x:c>
      <x:c r="T47" s="126" t="n">
        <x:f>T36*(1-Assumptions!$E$10)</x:f>
        <x:v>9500.515804802519</x:v>
      </x:c>
      <x:c r="U47" s="126" t="n">
        <x:f>U36*(1-Assumptions!$E$10)</x:f>
        <x:v>10165.551911138697</x:v>
      </x:c>
      <x:c r="V47" s="126" t="n">
        <x:f>V36*(1-Assumptions!$E$10)</x:f>
        <x:v>10877.140544918406</x:v>
      </x:c>
      <x:c r="W47" s="126" t="n">
        <x:f>W36*(1-Assumptions!$E$10)</x:f>
        <x:v>11638.540383062696</x:v>
      </x:c>
      <x:c r="X47" s="126" t="n">
        <x:f>X36*(1-Assumptions!$E$10)</x:f>
        <x:v>12453.238209877087</x:v>
      </x:c>
      <x:c r="Y47" s="126" t="n">
        <x:f>Y36*(1-Assumptions!$E$10)</x:f>
        <x:v>13324.964884568482</x:v>
      </x:c>
      <x:c r="Z47" s="126" t="n">
        <x:f>Z36*(1-Assumptions!$E$10)</x:f>
        <x:v>14257.712426488279</x:v>
      </x:c>
      <x:c r="AA47" s="126" t="n">
        <x:f>AA36*(1-Assumptions!$E$10)</x:f>
        <x:v>15255.752296342458</x:v>
      </x:c>
      <x:c r="AB47" s="126" t="n">
        <x:f>AB36*(1-Assumptions!$E$10)</x:f>
        <x:v>16323.654957086432</x:v>
      </x:c>
      <x:c r="AC47" s="126" t="n">
        <x:f>AC36*(1-Assumptions!$E$10)</x:f>
        <x:v>17466.310804082485</x:v>
      </x:c>
      <x:c r="AD47" s="126" t="n">
        <x:f>AD36*(1-Assumptions!$E$10)</x:f>
        <x:v>18688.95256036826</x:v>
      </x:c>
      <x:c r="AE47" s="126" t="n">
        <x:f>AE36*(1-Assumptions!$E$10)</x:f>
        <x:v>19997.17923959404</x:v>
      </x:c>
      <x:c r="AF47" s="126" t="n">
        <x:f>AF36*(1-Assumptions!$E$10)</x:f>
        <x:v>21396.98178636562</x:v>
      </x:c>
      <x:c r="AG47" s="126" t="n">
        <x:f>AG36*(1-Assumptions!$E$10)</x:f>
        <x:v>22894.770511411214</x:v>
      </x:c>
      <x:c r="AH47" s="126" t="n">
        <x:f>AH36*(1-Assumptions!$E$10)</x:f>
        <x:v>24497.404447210003</x:v>
      </x:c>
      <x:c r="AI47" s="126" t="n">
        <x:f>AI36*(1-Assumptions!$E$10)</x:f>
        <x:v>26212.222758514705</x:v>
      </x:c>
      <x:c r="AJ47" s="126" t="n">
        <x:f>AJ36*(1-Assumptions!$E$10)</x:f>
        <x:v>28047.078351610737</x:v>
      </x:c>
      <x:c r="AK47" s="126" t="n">
        <x:f>AK36*(1-Assumptions!$E$10)</x:f>
        <x:v>30010.37383622349</x:v>
      </x:c>
      <x:c r="AL47" s="127" t="n">
        <x:f>AL36*(1-Assumptions!$E$10)</x:f>
        <x:v>32111.100004759133</x:v>
      </x:c>
    </x:row>
    <x:row r="48">
      <x:c r="A48" s="49" t="str">
        <x:v>MasterClass direct costs</x:v>
      </x:c>
      <x:c r="B48" s="50" t="str">
        <x:v>$</x:v>
      </x:c>
      <x:c r="C48" s="126" t="n">
        <x:f>C37*(1-Assumptions!$E$12)</x:f>
        <x:v>19334.7</x:v>
      </x:c>
      <x:c r="D48" s="126" t="n">
        <x:f>D37*(1-Assumptions!$E$12)</x:f>
        <x:v>21221.460690368396</x:v>
      </x:c>
      <x:c r="E48" s="126" t="n">
        <x:f>E37*(1-Assumptions!$E$12)</x:f>
        <x:v>23590.11491890514</x:v>
      </x:c>
      <x:c r="F48" s="126" t="n">
        <x:f>F37*(1-Assumptions!$E$12)</x:f>
        <x:v>26439.140372274116</x:v>
      </x:c>
      <x:c r="G48" s="126" t="n">
        <x:f>G37*(1-Assumptions!$E$12)</x:f>
        <x:v>29719.509868246605</x:v>
      </x:c>
      <x:c r="H48" s="126" t="n">
        <x:f>H37*(1-Assumptions!$E$12)</x:f>
        <x:v>33610.904514093934</x:v>
      </x:c>
      <x:c r="I48" s="126" t="n">
        <x:f>I37*(1-Assumptions!$E$12)</x:f>
        <x:v>38083.72461323702</x:v>
      </x:c>
      <x:c r="J48" s="126" t="n">
        <x:f>J37*(1-Assumptions!$E$12)</x:f>
        <x:v>40749.585336163625</x:v>
      </x:c>
      <x:c r="K48" s="126" t="n">
        <x:f>K37*(1-Assumptions!$E$12)</x:f>
        <x:v>43602.05630969509</x:v>
      </x:c>
      <x:c r="L48" s="126" t="n">
        <x:f>L37*(1-Assumptions!$E$12)</x:f>
        <x:v>46654.200251373724</x:v>
      </x:c>
      <x:c r="M48" s="126" t="n">
        <x:f>M37*(1-Assumptions!$E$12)</x:f>
        <x:v>49919.99426896989</x:v>
      </x:c>
      <x:c r="N48" s="126" t="n">
        <x:f>N37*(1-Assumptions!$E$12)</x:f>
        <x:v>53414.3938677978</x:v>
      </x:c>
      <x:c r="O48" s="126" t="n">
        <x:f>O37*(1-Assumptions!$E$12)</x:f>
        <x:v>57153.401438543646</x:v>
      </x:c>
      <x:c r="P48" s="126" t="n">
        <x:f>P37*(1-Assumptions!$E$12)</x:f>
        <x:v>61154.1395392417</x:v>
      </x:c>
      <x:c r="Q48" s="126" t="n">
        <x:f>Q37*(1-Assumptions!$E$12)</x:f>
        <x:v>65434.929306988626</x:v>
      </x:c>
      <x:c r="R48" s="126" t="n">
        <x:f>R37*(1-Assumptions!$E$12)</x:f>
        <x:v>70015.37435847784</x:v>
      </x:c>
      <x:c r="S48" s="126" t="n">
        <x:f>S37*(1-Assumptions!$E$12)</x:f>
        <x:v>74916.45056357127</x:v>
      </x:c>
      <x:c r="T48" s="126" t="n">
        <x:f>T37*(1-Assumptions!$E$12)</x:f>
        <x:v>80160.60210302127</x:v>
      </x:c>
      <x:c r="U48" s="126" t="n">
        <x:f>U37*(1-Assumptions!$E$12)</x:f>
        <x:v>85771.84425023278</x:v>
      </x:c>
      <x:c r="V48" s="126" t="n">
        <x:f>V37*(1-Assumptions!$E$12)</x:f>
        <x:v>91775.87334774908</x:v>
      </x:c>
      <x:c r="W48" s="126" t="n">
        <x:f>W37*(1-Assumptions!$E$12)</x:f>
        <x:v>98200.18448209153</x:v>
      </x:c>
      <x:c r="X48" s="126" t="n">
        <x:f>X37*(1-Assumptions!$E$12)</x:f>
        <x:v>105074.19739583795</x:v>
      </x:c>
      <x:c r="Y48" s="126" t="n">
        <x:f>Y37*(1-Assumptions!$E$12)</x:f>
        <x:v>111374.99999999999</x:v>
      </x:c>
      <x:c r="Z48" s="126" t="n">
        <x:f>Z37*(1-Assumptions!$E$12)</x:f>
        <x:v>111374.99999999999</x:v>
      </x:c>
      <x:c r="AA48" s="126" t="n">
        <x:f>AA37*(1-Assumptions!$E$12)</x:f>
        <x:v>111374.99999999999</x:v>
      </x:c>
      <x:c r="AB48" s="126" t="n">
        <x:f>AB37*(1-Assumptions!$E$12)</x:f>
        <x:v>111374.99999999999</x:v>
      </x:c>
      <x:c r="AC48" s="126" t="n">
        <x:f>AC37*(1-Assumptions!$E$12)</x:f>
        <x:v>111374.99999999999</x:v>
      </x:c>
      <x:c r="AD48" s="126" t="n">
        <x:f>AD37*(1-Assumptions!$E$12)</x:f>
        <x:v>111374.99999999999</x:v>
      </x:c>
      <x:c r="AE48" s="126" t="n">
        <x:f>AE37*(1-Assumptions!$E$12)</x:f>
        <x:v>111374.99999999999</x:v>
      </x:c>
      <x:c r="AF48" s="126" t="n">
        <x:f>AF37*(1-Assumptions!$E$12)</x:f>
        <x:v>111374.99999999999</x:v>
      </x:c>
      <x:c r="AG48" s="126" t="n">
        <x:f>AG37*(1-Assumptions!$E$12)</x:f>
        <x:v>111374.99999999999</x:v>
      </x:c>
      <x:c r="AH48" s="126" t="n">
        <x:f>AH37*(1-Assumptions!$E$12)</x:f>
        <x:v>111374.99999999999</x:v>
      </x:c>
      <x:c r="AI48" s="126" t="n">
        <x:f>AI37*(1-Assumptions!$E$12)</x:f>
        <x:v>111374.99999999999</x:v>
      </x:c>
      <x:c r="AJ48" s="126" t="n">
        <x:f>AJ37*(1-Assumptions!$E$12)</x:f>
        <x:v>111374.99999999999</x:v>
      </x:c>
      <x:c r="AK48" s="126" t="n">
        <x:f>AK37*(1-Assumptions!$E$12)</x:f>
        <x:v>111374.99999999999</x:v>
      </x:c>
      <x:c r="AL48" s="127" t="n">
        <x:f>AL37*(1-Assumptions!$E$12)</x:f>
        <x:v>111374.99999999999</x:v>
      </x:c>
    </x:row>
    <x:row r="49">
      <x:c r="A49" s="49" t="str">
        <x:v>Design Lab direct costs</x:v>
      </x:c>
      <x:c r="B49" s="50" t="str">
        <x:v>$</x:v>
      </x:c>
      <x:c r="C49" s="126" t="n">
        <x:f>C38*(1-Assumptions!$E$14)</x:f>
        <x:v>0</x:v>
      </x:c>
      <x:c r="D49" s="126" t="n">
        <x:f>D38*(1-Assumptions!$E$14)</x:f>
        <x:v>30935.520000000008</x:v>
      </x:c>
      <x:c r="E49" s="126" t="n">
        <x:f>E38*(1-Assumptions!$E$14)</x:f>
        <x:v>33954.337104589446</x:v>
      </x:c>
      <x:c r="F49" s="126" t="n">
        <x:f>F38*(1-Assumptions!$E$14)</x:f>
        <x:v>37744.183870248235</x:v>
      </x:c>
      <x:c r="G49" s="126" t="n">
        <x:f>G38*(1-Assumptions!$E$14)</x:f>
        <x:v>42302.62459563859</x:v>
      </x:c>
      <x:c r="H49" s="126" t="n">
        <x:f>H38*(1-Assumptions!$E$14)</x:f>
        <x:v>47551.21578919457</x:v>
      </x:c>
      <x:c r="I49" s="126" t="n">
        <x:f>I38*(1-Assumptions!$E$14)</x:f>
        <x:v>53777.447222550305</x:v>
      </x:c>
      <x:c r="J49" s="126" t="n">
        <x:f>J38*(1-Assumptions!$E$14)</x:f>
        <x:v>60933.95938117925</x:v>
      </x:c>
      <x:c r="K49" s="126" t="n">
        <x:f>K38*(1-Assumptions!$E$14)</x:f>
        <x:v>65199.33653786181</x:v>
      </x:c>
      <x:c r="L49" s="126" t="n">
        <x:f>L38*(1-Assumptions!$E$14)</x:f>
        <x:v>69763.29009551216</x:v>
      </x:c>
      <x:c r="M49" s="126" t="n">
        <x:f>M38*(1-Assumptions!$E$14)</x:f>
        <x:v>74646.72040219799</x:v>
      </x:c>
      <x:c r="N49" s="126" t="n">
        <x:f>N38*(1-Assumptions!$E$14)</x:f>
        <x:v>79871.99083035186</x:v>
      </x:c>
      <x:c r="O49" s="126" t="n">
        <x:f>O38*(1-Assumptions!$E$14)</x:f>
        <x:v>85463.03018847649</x:v>
      </x:c>
      <x:c r="P49" s="126" t="n">
        <x:f>P38*(1-Assumptions!$E$14)</x:f>
        <x:v>91445.44230166987</x:v>
      </x:c>
      <x:c r="Q49" s="126" t="n">
        <x:f>Q38*(1-Assumptions!$E$14)</x:f>
        <x:v>97846.62326278674</x:v>
      </x:c>
      <x:c r="R49" s="126" t="n">
        <x:f>R38*(1-Assumptions!$E$14)</x:f>
        <x:v>104695.88689118181</x:v>
      </x:c>
      <x:c r="S49" s="126" t="n">
        <x:f>S38*(1-Assumptions!$E$14)</x:f>
        <x:v>112024.59897356459</x:v>
      </x:c>
      <x:c r="T49" s="126" t="n">
        <x:f>T38*(1-Assumptions!$E$14)</x:f>
        <x:v>119866.32090171408</x:v>
      </x:c>
      <x:c r="U49" s="126" t="n">
        <x:f>U38*(1-Assumptions!$E$14)</x:f>
        <x:v>128256.96336483407</x:v>
      </x:c>
      <x:c r="V49" s="126" t="n">
        <x:f>V38*(1-Assumptions!$E$14)</x:f>
        <x:v>137234.95080037246</x:v>
      </x:c>
      <x:c r="W49" s="126" t="n">
        <x:f>W38*(1-Assumptions!$E$14)</x:f>
        <x:v>146841.39735639855</x:v>
      </x:c>
      <x:c r="X49" s="126" t="n">
        <x:f>X38*(1-Assumptions!$E$14)</x:f>
        <x:v>148500</x:v>
      </x:c>
      <x:c r="Y49" s="126" t="n">
        <x:f>Y38*(1-Assumptions!$E$14)</x:f>
        <x:v>148500</x:v>
      </x:c>
      <x:c r="Z49" s="126" t="n">
        <x:f>Z38*(1-Assumptions!$E$14)</x:f>
        <x:v>148500</x:v>
      </x:c>
      <x:c r="AA49" s="126" t="n">
        <x:f>AA38*(1-Assumptions!$E$14)</x:f>
        <x:v>148500</x:v>
      </x:c>
      <x:c r="AB49" s="126" t="n">
        <x:f>AB38*(1-Assumptions!$E$14)</x:f>
        <x:v>148500</x:v>
      </x:c>
      <x:c r="AC49" s="126" t="n">
        <x:f>AC38*(1-Assumptions!$E$14)</x:f>
        <x:v>148500</x:v>
      </x:c>
      <x:c r="AD49" s="126" t="n">
        <x:f>AD38*(1-Assumptions!$E$14)</x:f>
        <x:v>148500</x:v>
      </x:c>
      <x:c r="AE49" s="126" t="n">
        <x:f>AE38*(1-Assumptions!$E$14)</x:f>
        <x:v>148500</x:v>
      </x:c>
      <x:c r="AF49" s="126" t="n">
        <x:f>AF38*(1-Assumptions!$E$14)</x:f>
        <x:v>148500</x:v>
      </x:c>
      <x:c r="AG49" s="126" t="n">
        <x:f>AG38*(1-Assumptions!$E$14)</x:f>
        <x:v>148500</x:v>
      </x:c>
      <x:c r="AH49" s="126" t="n">
        <x:f>AH38*(1-Assumptions!$E$14)</x:f>
        <x:v>148500</x:v>
      </x:c>
      <x:c r="AI49" s="126" t="n">
        <x:f>AI38*(1-Assumptions!$E$14)</x:f>
        <x:v>148500</x:v>
      </x:c>
      <x:c r="AJ49" s="126" t="n">
        <x:f>AJ38*(1-Assumptions!$E$14)</x:f>
        <x:v>148500</x:v>
      </x:c>
      <x:c r="AK49" s="126" t="n">
        <x:f>AK38*(1-Assumptions!$E$14)</x:f>
        <x:v>148500</x:v>
      </x:c>
      <x:c r="AL49" s="127" t="n">
        <x:f>AL38*(1-Assumptions!$E$14)</x:f>
        <x:v>148500</x:v>
      </x:c>
    </x:row>
    <x:row r="50">
      <x:c r="A50" s="49" t="str">
        <x:v>Sprint direct costs</x:v>
      </x:c>
      <x:c r="B50" s="50" t="str">
        <x:v>$</x:v>
      </x:c>
      <x:c r="C50" s="126" t="n">
        <x:f>C39*(1-Assumptions!$E$16)</x:f>
        <x:v>0</x:v>
      </x:c>
      <x:c r="D50" s="126" t="n">
        <x:f>D39*(1-Assumptions!$E$16)</x:f>
        <x:v>0</x:v>
      </x:c>
      <x:c r="E50" s="126" t="n">
        <x:f>E39*(1-Assumptions!$E$16)</x:f>
        <x:v>44663.15700000001</x:v>
      </x:c>
      <x:c r="F50" s="126" t="n">
        <x:f>F39*(1-Assumptions!$E$16)</x:f>
        <x:v>49021.57419475101</x:v>
      </x:c>
      <x:c r="G50" s="126" t="n">
        <x:f>G39*(1-Assumptions!$E$16)</x:f>
        <x:v>54493.165462670884</x:v>
      </x:c>
      <x:c r="H50" s="126" t="n">
        <x:f>H39*(1-Assumptions!$E$16)</x:f>
        <x:v>61074.41425995321</x:v>
      </x:c>
      <x:c r="I50" s="126" t="n">
        <x:f>I39*(1-Assumptions!$E$16)</x:f>
        <x:v>68652.06779564967</x:v>
      </x:c>
      <x:c r="J50" s="126" t="n">
        <x:f>J39*(1-Assumptions!$E$16)</x:f>
        <x:v>77641.18942755701</x:v>
      </x:c>
      <x:c r="K50" s="126" t="n">
        <x:f>K39*(1-Assumptions!$E$16)</x:f>
        <x:v>87973.40385657754</x:v>
      </x:c>
      <x:c r="L50" s="126" t="n">
        <x:f>L39*(1-Assumptions!$E$16)</x:f>
        <x:v>94131.54212653797</x:v>
      </x:c>
      <x:c r="M50" s="126" t="n">
        <x:f>M39*(1-Assumptions!$E$16)</x:f>
        <x:v>100720.75007539566</x:v>
      </x:c>
      <x:c r="N50" s="126" t="n">
        <x:f>N39*(1-Assumptions!$E$16)</x:f>
        <x:v>107771.20258067331</x:v>
      </x:c>
      <x:c r="O50" s="126" t="n">
        <x:f>O39*(1-Assumptions!$E$16)</x:f>
        <x:v>115315.18676132048</x:v>
      </x:c>
      <x:c r="P50" s="126" t="n">
        <x:f>P39*(1-Assumptions!$E$16)</x:f>
        <x:v>123387.24983461293</x:v>
      </x:c>
      <x:c r="Q50" s="126" t="n">
        <x:f>Q39*(1-Assumptions!$E$16)</x:f>
        <x:v>132024.35732303583</x:v>
      </x:c>
      <x:c r="R50" s="126" t="n">
        <x:f>R39*(1-Assumptions!$E$16)</x:f>
        <x:v>141266.06233564834</x:v>
      </x:c>
      <x:c r="S50" s="126" t="n">
        <x:f>S39*(1-Assumptions!$E$16)</x:f>
        <x:v>151154.68669914373</x:v>
      </x:c>
      <x:c r="T50" s="126" t="n">
        <x:f>T39*(1-Assumptions!$E$16)</x:f>
        <x:v>161735.51476808384</x:v>
      </x:c>
      <x:c r="U50" s="126" t="n">
        <x:f>U39*(1-Assumptions!$E$16)</x:f>
        <x:v>173057.00080184964</x:v>
      </x:c>
      <x:c r="V50" s="126" t="n">
        <x:f>V39*(1-Assumptions!$E$16)</x:f>
        <x:v>185170.99085797914</x:v>
      </x:c>
      <x:c r="W50" s="126" t="n">
        <x:f>W39*(1-Assumptions!$E$16)</x:f>
        <x:v>198132.9602180377</x:v>
      </x:c>
      <x:c r="X50" s="126" t="n">
        <x:f>X39*(1-Assumptions!$E$16)</x:f>
        <x:v>212002.26743330035</x:v>
      </x:c>
      <x:c r="Y50" s="126" t="n">
        <x:f>Y39*(1-Assumptions!$E$16)</x:f>
        <x:v>214396.87499999994</x:v>
      </x:c>
      <x:c r="Z50" s="126" t="n">
        <x:f>Z39*(1-Assumptions!$E$16)</x:f>
        <x:v>214396.87499999994</x:v>
      </x:c>
      <x:c r="AA50" s="126" t="n">
        <x:f>AA39*(1-Assumptions!$E$16)</x:f>
        <x:v>214396.87499999994</x:v>
      </x:c>
      <x:c r="AB50" s="126" t="n">
        <x:f>AB39*(1-Assumptions!$E$16)</x:f>
        <x:v>214396.87499999994</x:v>
      </x:c>
      <x:c r="AC50" s="126" t="n">
        <x:f>AC39*(1-Assumptions!$E$16)</x:f>
        <x:v>214396.87499999994</x:v>
      </x:c>
      <x:c r="AD50" s="126" t="n">
        <x:f>AD39*(1-Assumptions!$E$16)</x:f>
        <x:v>214396.87499999994</x:v>
      </x:c>
      <x:c r="AE50" s="126" t="n">
        <x:f>AE39*(1-Assumptions!$E$16)</x:f>
        <x:v>214396.87499999994</x:v>
      </x:c>
      <x:c r="AF50" s="126" t="n">
        <x:f>AF39*(1-Assumptions!$E$16)</x:f>
        <x:v>214396.87499999994</x:v>
      </x:c>
      <x:c r="AG50" s="126" t="n">
        <x:f>AG39*(1-Assumptions!$E$16)</x:f>
        <x:v>214396.87499999994</x:v>
      </x:c>
      <x:c r="AH50" s="126" t="n">
        <x:f>AH39*(1-Assumptions!$E$16)</x:f>
        <x:v>214396.87499999994</x:v>
      </x:c>
      <x:c r="AI50" s="126" t="n">
        <x:f>AI39*(1-Assumptions!$E$16)</x:f>
        <x:v>214396.87499999994</x:v>
      </x:c>
      <x:c r="AJ50" s="126" t="n">
        <x:f>AJ39*(1-Assumptions!$E$16)</x:f>
        <x:v>214396.87499999994</x:v>
      </x:c>
      <x:c r="AK50" s="126" t="n">
        <x:f>AK39*(1-Assumptions!$E$16)</x:f>
        <x:v>214396.87499999994</x:v>
      </x:c>
      <x:c r="AL50" s="127" t="n">
        <x:f>AL39*(1-Assumptions!$E$16)</x:f>
        <x:v>214396.87499999994</x:v>
      </x:c>
    </x:row>
    <x:row r="51">
      <x:c r="A51" s="49" t="str">
        <x:v>Proof Run direct costs</x:v>
      </x:c>
      <x:c r="B51" s="50" t="str">
        <x:v>$</x:v>
      </x:c>
      <x:c r="C51" s="126" t="n">
        <x:f>C40*(1-Assumptions!$E$18)</x:f>
        <x:v>0</x:v>
      </x:c>
      <x:c r="D51" s="126" t="n">
        <x:f>D40*(1-Assumptions!$E$18)</x:f>
        <x:v>0</x:v>
      </x:c>
      <x:c r="E51" s="126" t="n">
        <x:f>E40*(1-Assumptions!$E$18)</x:f>
        <x:v>0</x:v>
      </x:c>
      <x:c r="F51" s="126" t="n">
        <x:f>F40*(1-Assumptions!$E$18)</x:f>
        <x:v>0</x:v>
      </x:c>
      <x:c r="G51" s="126" t="n">
        <x:f>G40*(1-Assumptions!$E$18)</x:f>
        <x:v>56147.96880000001</x:v>
      </x:c>
      <x:c r="H51" s="126" t="n">
        <x:f>H40*(1-Assumptions!$E$18)</x:f>
        <x:v>61627.121844829846</x:v>
      </x:c>
      <x:c r="I51" s="126" t="n">
        <x:f>I40*(1-Assumptions!$E$18)</x:f>
        <x:v>68505.69372450054</x:v>
      </x:c>
      <x:c r="J51" s="126" t="n">
        <x:f>J40*(1-Assumptions!$E$18)</x:f>
        <x:v>76779.26364108406</x:v>
      </x:c>
      <x:c r="K51" s="126" t="n">
        <x:f>K40*(1-Assumptions!$E$18)</x:f>
        <x:v>86305.45665738815</x:v>
      </x:c>
      <x:c r="L51" s="126" t="n">
        <x:f>L40*(1-Assumptions!$E$18)</x:f>
        <x:v>97606.06670892882</x:v>
      </x:c>
      <x:c r="M51" s="126" t="n">
        <x:f>M40*(1-Assumptions!$E$18)</x:f>
        <x:v>110595.13627684035</x:v>
      </x:c>
      <x:c r="N51" s="126" t="n">
        <x:f>N40*(1-Assumptions!$E$18)</x:f>
        <x:v>118336.79581621918</x:v>
      </x:c>
      <x:c r="O51" s="126" t="n">
        <x:f>O40*(1-Assumptions!$E$18)</x:f>
        <x:v>126620.37152335455</x:v>
      </x:c>
      <x:c r="P51" s="126" t="n">
        <x:f>P40*(1-Assumptions!$E$18)</x:f>
        <x:v>135483.79752998936</x:v>
      </x:c>
      <x:c r="Q51" s="126" t="n">
        <x:f>Q40*(1-Assumptions!$E$18)</x:f>
        <x:v>144967.6633570886</x:v>
      </x:c>
      <x:c r="R51" s="126" t="n">
        <x:f>R40*(1-Assumptions!$E$18)</x:f>
        <x:v>155115.39979208488</x:v>
      </x:c>
      <x:c r="S51" s="126" t="n">
        <x:f>S40*(1-Assumptions!$E$18)</x:f>
        <x:v>165973.4777775308</x:v>
      </x:c>
      <x:c r="T51" s="126" t="n">
        <x:f>T40*(1-Assumptions!$E$18)</x:f>
        <x:v>177591.62122195796</x:v>
      </x:c>
      <x:c r="U51" s="126" t="n">
        <x:f>U40*(1-Assumptions!$E$18)</x:f>
        <x:v>190023.034707495</x:v>
      </x:c>
      <x:c r="V51" s="126" t="n">
        <x:f>V40*(1-Assumptions!$E$18)</x:f>
        <x:v>203324.64713701975</x:v>
      </x:c>
      <x:c r="W51" s="126" t="n">
        <x:f>W40*(1-Assumptions!$E$18)</x:f>
        <x:v>217557.37243661104</x:v>
      </x:c>
      <x:c r="X51" s="126" t="n">
        <x:f>X40*(1-Assumptions!$E$18)</x:f>
        <x:v>232786.38850717383</x:v>
      </x:c>
      <x:c r="Y51" s="126" t="n">
        <x:f>Y40*(1-Assumptions!$E$18)</x:f>
        <x:v>249081.43570267607</x:v>
      </x:c>
      <x:c r="Z51" s="126" t="n">
        <x:f>Z40*(1-Assumptions!$E$18)</x:f>
        <x:v>266517.13620186335</x:v>
      </x:c>
      <x:c r="AA51" s="126" t="n">
        <x:f>AA40*(1-Assumptions!$E$18)</x:f>
        <x:v>269527.5</x:v>
      </x:c>
      <x:c r="AB51" s="126" t="n">
        <x:f>AB40*(1-Assumptions!$E$18)</x:f>
        <x:v>269527.5</x:v>
      </x:c>
      <x:c r="AC51" s="126" t="n">
        <x:f>AC40*(1-Assumptions!$E$18)</x:f>
        <x:v>269527.5</x:v>
      </x:c>
      <x:c r="AD51" s="126" t="n">
        <x:f>AD40*(1-Assumptions!$E$18)</x:f>
        <x:v>269527.5</x:v>
      </x:c>
      <x:c r="AE51" s="126" t="n">
        <x:f>AE40*(1-Assumptions!$E$18)</x:f>
        <x:v>269527.5</x:v>
      </x:c>
      <x:c r="AF51" s="126" t="n">
        <x:f>AF40*(1-Assumptions!$E$18)</x:f>
        <x:v>269527.5</x:v>
      </x:c>
      <x:c r="AG51" s="126" t="n">
        <x:f>AG40*(1-Assumptions!$E$18)</x:f>
        <x:v>269527.5</x:v>
      </x:c>
      <x:c r="AH51" s="126" t="n">
        <x:f>AH40*(1-Assumptions!$E$18)</x:f>
        <x:v>269527.5</x:v>
      </x:c>
      <x:c r="AI51" s="126" t="n">
        <x:f>AI40*(1-Assumptions!$E$18)</x:f>
        <x:v>269527.5</x:v>
      </x:c>
      <x:c r="AJ51" s="126" t="n">
        <x:f>AJ40*(1-Assumptions!$E$18)</x:f>
        <x:v>269527.5</x:v>
      </x:c>
      <x:c r="AK51" s="126" t="n">
        <x:f>AK40*(1-Assumptions!$E$18)</x:f>
        <x:v>269527.5</x:v>
      </x:c>
      <x:c r="AL51" s="127" t="n">
        <x:f>AL40*(1-Assumptions!$E$18)</x:f>
        <x:v>269527.5</x:v>
      </x:c>
    </x:row>
    <x:row r="52">
      <x:c r="A52" s="49" t="str">
        <x:v>Enterprise direct costs</x:v>
      </x:c>
      <x:c r="B52" s="50" t="str">
        <x:v>$</x:v>
      </x:c>
      <x:c r="C52" s="126" t="n">
        <x:f>C41*(1-Assumptions!$E$20)</x:f>
        <x:v>0</x:v>
      </x:c>
      <x:c r="D52" s="126" t="n">
        <x:f>D41*(1-Assumptions!$E$20)</x:f>
        <x:v>0</x:v>
      </x:c>
      <x:c r="E52" s="126" t="n">
        <x:f>E41*(1-Assumptions!$E$20)</x:f>
        <x:v>0</x:v>
      </x:c>
      <x:c r="F52" s="126" t="n">
        <x:f>F41*(1-Assumptions!$E$20)</x:f>
        <x:v>0</x:v>
      </x:c>
      <x:c r="G52" s="126" t="n">
        <x:f>G41*(1-Assumptions!$E$20)</x:f>
        <x:v>0</x:v>
      </x:c>
      <x:c r="H52" s="126" t="n">
        <x:f>H41*(1-Assumptions!$E$20)</x:f>
        <x:v>0</x:v>
      </x:c>
      <x:c r="I52" s="126" t="n">
        <x:f>I41*(1-Assumptions!$E$20)</x:f>
        <x:v>0</x:v>
      </x:c>
      <x:c r="J52" s="126" t="n">
        <x:f>J41*(1-Assumptions!$E$20)</x:f>
        <x:v>32752.981800000005</x:v>
      </x:c>
      <x:c r="K52" s="126" t="n">
        <x:f>K41*(1-Assumptions!$E$20)</x:f>
        <x:v>35949.15440948408</x:v>
      </x:c>
      <x:c r="L52" s="126" t="n">
        <x:f>L41*(1-Assumptions!$E$20)</x:f>
        <x:v>39961.65467262532</x:v>
      </x:c>
      <x:c r="M52" s="126" t="n">
        <x:f>M41*(1-Assumptions!$E$20)</x:f>
        <x:v>44787.903790632365</x:v>
      </x:c>
      <x:c r="N52" s="126" t="n">
        <x:f>N41*(1-Assumptions!$E$20)</x:f>
        <x:v>50344.84971680975</x:v>
      </x:c>
      <x:c r="O52" s="126" t="n">
        <x:f>O41*(1-Assumptions!$E$20)</x:f>
        <x:v>56936.872246875144</x:v>
      </x:c>
      <x:c r="P52" s="126" t="n">
        <x:f>P41*(1-Assumptions!$E$20)</x:f>
        <x:v>64513.82949482354</x:v>
      </x:c>
      <x:c r="Q52" s="126" t="n">
        <x:f>Q41*(1-Assumptions!$E$20)</x:f>
        <x:v>69029.79755946119</x:v>
      </x:c>
      <x:c r="R52" s="126" t="n">
        <x:f>R41*(1-Assumptions!$E$20)</x:f>
        <x:v>73861.8833886235</x:v>
      </x:c>
      <x:c r="S52" s="126" t="n">
        <x:f>S41*(1-Assumptions!$E$20)</x:f>
        <x:v>79032.21522582712</x:v>
      </x:c>
      <x:c r="T52" s="126" t="n">
        <x:f>T41*(1-Assumptions!$E$20)</x:f>
        <x:v>84564.47029163504</x:v>
      </x:c>
      <x:c r="U52" s="126" t="n">
        <x:f>U41*(1-Assumptions!$E$20)</x:f>
        <x:v>90483.98321204951</x:v>
      </x:c>
      <x:c r="V52" s="126" t="n">
        <x:f>V41*(1-Assumptions!$E$20)</x:f>
        <x:v>96817.86203689297</x:v>
      </x:c>
      <x:c r="W52" s="126" t="n">
        <x:f>W41*(1-Assumptions!$E$20)</x:f>
        <x:v>103595.11237947547</x:v>
      </x:c>
      <x:c r="X52" s="126" t="n">
        <x:f>X41*(1-Assumptions!$E$20)</x:f>
        <x:v>110846.77024603877</x:v>
      </x:c>
      <x:c r="Y52" s="126" t="n">
        <x:f>Y41*(1-Assumptions!$E$20)</x:f>
        <x:v>118606.04416326151</x:v>
      </x:c>
      <x:c r="Z52" s="126" t="n">
        <x:f>Z41*(1-Assumptions!$E$20)</x:f>
        <x:v>126908.46725468978</x:v>
      </x:c>
      <x:c r="AA52" s="126" t="n">
        <x:f>AA41*(1-Assumptions!$E$20)</x:f>
        <x:v>135792.05996251805</x:v>
      </x:c>
      <x:c r="AB52" s="126" t="n">
        <x:f>AB41*(1-Assumptions!$E$20)</x:f>
        <x:v>145297.50415989436</x:v>
      </x:c>
      <x:c r="AC52" s="126" t="n">
        <x:f>AC41*(1-Assumptions!$E$20)</x:f>
        <x:v>155468.329451087</x:v>
      </x:c>
      <x:c r="AD52" s="126" t="n">
        <x:f>AD41*(1-Assumptions!$E$20)</x:f>
        <x:v>157224.37500000003</x:v>
      </x:c>
      <x:c r="AE52" s="126" t="n">
        <x:f>AE41*(1-Assumptions!$E$20)</x:f>
        <x:v>157224.37500000003</x:v>
      </x:c>
      <x:c r="AF52" s="126" t="n">
        <x:f>AF41*(1-Assumptions!$E$20)</x:f>
        <x:v>157224.37500000003</x:v>
      </x:c>
      <x:c r="AG52" s="126" t="n">
        <x:f>AG41*(1-Assumptions!$E$20)</x:f>
        <x:v>157224.37500000003</x:v>
      </x:c>
      <x:c r="AH52" s="126" t="n">
        <x:f>AH41*(1-Assumptions!$E$20)</x:f>
        <x:v>157224.37500000003</x:v>
      </x:c>
      <x:c r="AI52" s="126" t="n">
        <x:f>AI41*(1-Assumptions!$E$20)</x:f>
        <x:v>157224.37500000003</x:v>
      </x:c>
      <x:c r="AJ52" s="126" t="n">
        <x:f>AJ41*(1-Assumptions!$E$20)</x:f>
        <x:v>157224.37500000003</x:v>
      </x:c>
      <x:c r="AK52" s="126" t="n">
        <x:f>AK41*(1-Assumptions!$E$20)</x:f>
        <x:v>157224.37500000003</x:v>
      </x:c>
      <x:c r="AL52" s="127" t="n">
        <x:f>AL41*(1-Assumptions!$E$20)</x:f>
        <x:v>157224.37500000003</x:v>
      </x:c>
    </x:row>
    <x:row r="53">
      <x:c r="A53" s="49" t="str">
        <x:v>Proof OS direct costs</x:v>
      </x:c>
      <x:c r="B53" s="50" t="str">
        <x:v>$</x:v>
      </x:c>
      <x:c r="C53" s="126" t="n">
        <x:f>C42*(1-Assumptions!$E$22)</x:f>
        <x:v>0</x:v>
      </x:c>
      <x:c r="D53" s="126" t="n">
        <x:f>D42*(1-Assumptions!$E$22)</x:f>
        <x:v>0</x:v>
      </x:c>
      <x:c r="E53" s="126" t="n">
        <x:f>E42*(1-Assumptions!$E$22)</x:f>
        <x:v>0</x:v>
      </x:c>
      <x:c r="F53" s="126" t="n">
        <x:f>F42*(1-Assumptions!$E$22)</x:f>
        <x:v>0</x:v>
      </x:c>
      <x:c r="G53" s="126" t="n">
        <x:f>G42*(1-Assumptions!$E$22)</x:f>
        <x:v>0</x:v>
      </x:c>
      <x:c r="H53" s="126" t="n">
        <x:f>H42*(1-Assumptions!$E$22)</x:f>
        <x:v>505.3317192000002</x:v>
      </x:c>
      <x:c r="I53" s="126" t="n">
        <x:f>I42*(1-Assumptions!$E$22)</x:f>
        <x:v>1047.342522823469</x:v>
      </x:c>
      <x:c r="J53" s="126" t="n">
        <x:f>J42*(1-Assumptions!$E$22)</x:f>
        <x:v>1848.265086273387</x:v>
      </x:c>
      <x:c r="K53" s="126" t="n">
        <x:f>K42*(1-Assumptions!$E$22)</x:f>
        <x:v>2724.173538804421</x:v>
      </x:c>
      <x:c r="L53" s="126" t="n">
        <x:f>L42*(1-Assumptions!$E$22)</x:f>
        <x:v>3689.7146617176813</x:v>
      </x:c>
      <x:c r="M53" s="126" t="n">
        <x:f>M42*(1-Assumptions!$E$22)</x:f>
        <x:v>4763.848634209164</x:v>
      </x:c>
      <x:c r="N53" s="126" t="n">
        <x:f>N42*(1-Assumptions!$E$22)</x:f>
        <x:v>5963.754107310704</x:v>
      </x:c>
      <x:c r="O53" s="126" t="n">
        <x:f>O42*(1-Assumptions!$E$22)</x:f>
        <x:v>7245.714167132392</x:v>
      </x:c>
      <x:c r="P53" s="126" t="n">
        <x:f>P42*(1-Assumptions!$E$22)</x:f>
        <x:v>8618.886417702424</x:v>
      </x:c>
      <x:c r="Q53" s="126" t="n">
        <x:f>Q42*(1-Assumptions!$E$22)</x:f>
        <x:v>10066.53141934059</x:v>
      </x:c>
      <x:c r="R53" s="126" t="n">
        <x:f>R42*(1-Assumptions!$E$22)</x:f>
        <x:v>11594.40349728345</x:v>
      </x:c>
      <x:c r="S53" s="126" t="n">
        <x:f>S42*(1-Assumptions!$E$22)</x:f>
        <x:v>13208.646248717587</x:v>
      </x:c>
      <x:c r="T53" s="126" t="n">
        <x:f>T42*(1-Assumptions!$E$22)</x:f>
        <x:v>14915.820130086508</x:v>
      </x:c>
      <x:c r="U53" s="126" t="n">
        <x:f>U42*(1-Assumptions!$E$22)</x:f>
        <x:v>16722.931967052285</x:v>
      </x:c>
      <x:c r="V53" s="126" t="n">
        <x:f>V42*(1-Assumptions!$E$22)</x:f>
        <x:v>18637.466521909177</x:v>
      </x:c>
      <x:c r="W53" s="126" t="n">
        <x:f>W42*(1-Assumptions!$E$22)</x:f>
        <x:v>20667.420262676966</x:v>
      </x:c>
      <x:c r="X53" s="126" t="n">
        <x:f>X42*(1-Assumptions!$E$22)</x:f>
        <x:v>22821.33748819265</x:v>
      </x:c>
      <x:c r="Y53" s="126" t="n">
        <x:f>Y42*(1-Assumptions!$E$22)</x:f>
        <x:v>25108.348974316224</x:v>
      </x:c>
      <x:c r="Z53" s="126" t="n">
        <x:f>Z42*(1-Assumptions!$E$22)</x:f>
        <x:v>27538.213317919697</x:v>
      </x:c>
      <x:c r="AA53" s="126" t="n">
        <x:f>AA42*(1-Assumptions!$E$22)</x:f>
        <x:v>30121.361167690375</x:v>
      </x:c>
      <x:c r="AB53" s="126" t="n">
        <x:f>AB42*(1-Assumptions!$E$22)</x:f>
        <x:v>32728.130022383157</x:v>
      </x:c>
      <x:c r="AC53" s="126" t="n">
        <x:f>AC42*(1-Assumptions!$E$22)</x:f>
        <x:v>35335.113532580566</x:v>
      </x:c>
      <x:c r="AD53" s="126" t="n">
        <x:f>AD42*(1-Assumptions!$E$22)</x:f>
        <x:v>37888.211319266054</x:v>
      </x:c>
      <x:c r="AE53" s="126" t="n">
        <x:f>AE42*(1-Assumptions!$E$22)</x:f>
        <x:v>40377.48166128441</x:v>
      </x:c>
      <x:c r="AF53" s="126" t="n">
        <x:f>AF42*(1-Assumptions!$E$22)</x:f>
        <x:v>42804.5202447523</x:v>
      </x:c>
      <x:c r="AG53" s="126" t="n">
        <x:f>AG42*(1-Assumptions!$E$22)</x:f>
        <x:v>45170.88286363349</x:v>
      </x:c>
      <x:c r="AH53" s="126" t="n">
        <x:f>AH42*(1-Assumptions!$E$22)</x:f>
        <x:v>47478.08641704265</x:v>
      </x:c>
      <x:c r="AI53" s="126" t="n">
        <x:f>AI42*(1-Assumptions!$E$22)</x:f>
        <x:v>49727.60988161659</x:v>
      </x:c>
      <x:c r="AJ53" s="126" t="n">
        <x:f>AJ42*(1-Assumptions!$E$22)</x:f>
        <x:v>51920.89525957618</x:v>
      </x:c>
      <x:c r="AK53" s="126" t="n">
        <x:f>AK42*(1-Assumptions!$E$22)</x:f>
        <x:v>54059.348503086774</x:v>
      </x:c>
      <x:c r="AL53" s="127" t="n">
        <x:f>AL42*(1-Assumptions!$E$22)</x:f>
        <x:v>56144.340415509614</x:v>
      </x:c>
    </x:row>
    <x:row r="54">
      <x:c r="A54" s="142" t="str">
        <x:v>Total direct costs</x:v>
      </x:c>
      <x:c r="B54" s="143" t="str">
        <x:v>$</x:v>
      </x:c>
      <x:c r="C54" s="154" t="n">
        <x:f>SUM(C47:C53)</x:f>
        <x:v>21626.22</x:v>
      </x:c>
      <x:c r="D54" s="154" t="n">
        <x:f>SUM(D47:D53)</x:f>
        <x:v>54672.11677218984</x:v>
      </x:c>
      <x:c r="E54" s="154" t="n">
        <x:f>SUM(E47:E53)</x:f>
        <x:v>105003.47449536483</x:v>
      </x:c>
      <x:c r="F54" s="154" t="n">
        <x:f>SUM(F47:F53)</x:f>
        <x:v>116338.42618509845</x:v>
      </x:c>
      <x:c r="G54" s="154" t="n">
        <x:f>SUM(G47:G53)</x:f>
        <x:v>186185.58100723717</x:v>
      </x:c>
      <x:c r="H54" s="154" t="n">
        <x:f>SUM(H47:H53)</x:f>
        <x:v>208352.5027363494</x:v>
      </x:c>
      <x:c r="I54" s="154" t="n">
        <x:f>SUM(I47:I53)</x:f>
        <x:v>234579.90249958908</x:v>
      </x:c>
      <x:c r="J54" s="154" t="n">
        <x:f>SUM(J47:J53)</x:f>
        <x:v>295534.8251565434</x:v>
      </x:c>
      <x:c r="K54" s="154" t="n">
        <x:f>SUM(K47:K53)</x:f>
        <x:v>326921.2324279971</x:v>
      </x:c>
      <x:c r="L54" s="154" t="n">
        <x:f>SUM(L47:L53)</x:f>
        <x:v>357335.8552131548</x:v>
      </x:c>
      <x:c r="M54" s="154" t="n">
        <x:f>SUM(M47:M53)</x:f>
        <x:v>391350.7972134567</x:v>
      </x:c>
      <x:c r="N54" s="154" t="n">
        <x:f>SUM(N47:N53)</x:f>
        <x:v>422033.58174793865</x:v>
      </x:c>
      <x:c r="O54" s="154" t="n">
        <x:f>SUM(O47:O53)</x:f>
        <x:v>455508.3127924931</x:v>
      </x:c>
      <x:c r="P54" s="154" t="n">
        <x:f>SUM(P47:P53)</x:f>
        <x:v>491851.24313750555</x:v>
      </x:c>
      <x:c r="Q54" s="154" t="n">
        <x:f>SUM(Q47:Q53)</x:f>
        <x:v>527125.1531095299</x:v>
      </x:c>
      <x:c r="R54" s="154" t="n">
        <x:f>SUM(R47:R53)</x:f>
        <x:v>564847.1287057861</x:v>
      </x:c>
      <x:c r="S54" s="154" t="n">
        <x:f>SUM(S47:S53)</x:f>
        <x:v>605189.0622218153</x:v>
      </x:c>
      <x:c r="T54" s="154" t="n">
        <x:f>SUM(T47:T53)</x:f>
        <x:v>648334.8652213012</x:v>
      </x:c>
      <x:c r="U54" s="154" t="n">
        <x:f>SUM(U47:U53)</x:f>
        <x:v>694481.310214652</x:v>
      </x:c>
      <x:c r="V54" s="154" t="n">
        <x:f>SUM(V47:V53)</x:f>
        <x:v>743838.9312468411</x:v>
      </x:c>
      <x:c r="W54" s="154" t="n">
        <x:f>SUM(W47:W53)</x:f>
        <x:v>796632.987518354</x:v>
      </x:c>
      <x:c r="X54" s="154" t="n">
        <x:f>SUM(X47:X53)</x:f>
        <x:v>844484.1992804207</x:v>
      </x:c>
      <x:c r="Y54" s="154" t="n">
        <x:f>SUM(Y47:Y53)</x:f>
        <x:v>880392.6687248222</x:v>
      </x:c>
      <x:c r="Z54" s="154" t="n">
        <x:f>SUM(Z47:Z53)</x:f>
        <x:v>909493.4042009611</x:v>
      </x:c>
      <x:c r="AA54" s="154" t="n">
        <x:f>SUM(AA47:AA53)</x:f>
        <x:v>924968.5484265508</x:v>
      </x:c>
      <x:c r="AB54" s="154" t="n">
        <x:f>SUM(AB47:AB53)</x:f>
        <x:v>938148.6641393638</x:v>
      </x:c>
      <x:c r="AC54" s="154" t="n">
        <x:f>SUM(AC47:AC53)</x:f>
        <x:v>952069.12878775</x:v>
      </x:c>
      <x:c r="AD54" s="154" t="n">
        <x:f>SUM(AD47:AD53)</x:f>
        <x:v>957600.9138796342</x:v>
      </x:c>
      <x:c r="AE54" s="154" t="n">
        <x:f>SUM(AE47:AE53)</x:f>
        <x:v>961398.4109008784</x:v>
      </x:c>
      <x:c r="AF54" s="154" t="n">
        <x:f>SUM(AF47:AF53)</x:f>
        <x:v>965225.2520311179</x:v>
      </x:c>
      <x:c r="AG54" s="154" t="n">
        <x:f>SUM(AG47:AG53)</x:f>
        <x:v>969089.4033750446</x:v>
      </x:c>
      <x:c r="AH54" s="154" t="n">
        <x:f>SUM(AH47:AH53)</x:f>
        <x:v>972999.2408642527</x:v>
      </x:c>
      <x:c r="AI54" s="154" t="n">
        <x:f>SUM(AI47:AI53)</x:f>
        <x:v>976963.5826401311</x:v>
      </x:c>
      <x:c r="AJ54" s="154" t="n">
        <x:f>SUM(AJ47:AJ53)</x:f>
        <x:v>980991.7236111867</x:v>
      </x:c>
      <x:c r="AK54" s="154" t="n">
        <x:f>SUM(AK47:AK53)</x:f>
        <x:v>985093.4723393102</x:v>
      </x:c>
      <x:c r="AL54" s="155" t="n">
        <x:f>SUM(AL47:AL53)</x:f>
        <x:v>989279.1904202688</x:v>
      </x:c>
    </x:row>
    <x:row r="55">
      <x:c r="A55" s="142" t="str">
        <x:v>Gross profit</x:v>
      </x:c>
      <x:c r="B55" s="143" t="str">
        <x:v>$</x:v>
      </x:c>
      <x:c r="C55" s="154" t="n">
        <x:f>C43-C54</x:f>
        <x:v>67170.18000000001</x:v>
      </x:c>
      <x:c r="D55" s="154" t="n">
        <x:f>D43-D54</x:f>
        <x:v>145907.80639839097</x:v>
      </x:c>
      <x:c r="E55" s="154" t="n">
        <x:f>E43-E54</x:f>
        <x:v>244126.45622157177</x:v>
      </x:c>
      <x:c r="F55" s="154" t="n">
        <x:f>F43-F54</x:f>
        <x:v>270961.36083371565</x:v>
      </x:c>
      <x:c r="G55" s="154" t="n">
        <x:f>G43-G54</x:f>
        <x:v>387377.4489860572</x:v>
      </x:c>
      <x:c r="H55" s="154" t="n">
        <x:f>H43-H54</x:f>
        <x:v>435886.27050514775</x:v>
      </x:c>
      <x:c r="I55" s="154" t="n">
        <x:f>I43-I54</x:f>
        <x:v>492812.8554789209</x:v>
      </x:c>
      <x:c r="J55" s="154" t="n">
        <x:f>J43-J54</x:f>
        <x:v>596756.1748107212</x:v>
      </x:c>
      <x:c r="K55" s="154" t="n">
        <x:f>K43-K54</x:f>
        <x:v>658500.1165077093</x:v>
      </x:c>
      <x:c r="L55" s="154" t="n">
        <x:f>L43-L54</x:f>
        <x:v>718079.8212109159</x:v>
      </x:c>
      <x:c r="M55" s="154" t="n">
        <x:f>M43-M54</x:f>
        <x:v>784098.9042790063</x:v>
      </x:c>
      <x:c r="N55" s="154" t="n">
        <x:f>N43-N54</x:f>
        <x:v>846277.3055660187</x:v>
      </x:c>
      <x:c r="O55" s="154" t="n">
        <x:f>O43-O54</x:f>
        <x:v>913691.5827095017</x:v>
      </x:c>
      <x:c r="P55" s="154" t="n">
        <x:f>P43-P54</x:f>
        <x:v>986554.4977354198</x:v>
      </x:c>
      <x:c r="Q55" s="154" t="n">
        <x:f>Q43-Q54</x:f>
        <x:v>1059459.6726933834</x:v>
      </x:c>
      <x:c r="R55" s="154" t="n">
        <x:f>R43-R54</x:f>
        <x:v>1137372.0508954928</x:v>
      </x:c>
      <x:c r="S55" s="154" t="n">
        <x:f>S43-S54</x:f>
        <x:v>1220644.5405439103</x:v>
      </x:c>
      <x:c r="T55" s="154" t="n">
        <x:f>T43-T54</x:f>
        <x:v>1309654.6933155735</x:v>
      </x:c>
      <x:c r="U55" s="154" t="n">
        <x:f>U43-U54</x:f>
        <x:v>1404806.4309079137</x:v>
      </x:c>
      <x:c r="V55" s="154" t="n">
        <x:f>V43-V54</x:f>
        <x:v>1506531.8924052112</x:v>
      </x:c>
      <x:c r="W55" s="154" t="n">
        <x:f>W43-W54</x:f>
        <x:v>1615293.410923976</x:v>
      </x:c>
      <x:c r="X55" s="154" t="n">
        <x:f>X43-X54</x:f>
        <x:v>1711471.6065213191</x:v>
      </x:c>
      <x:c r="Y55" s="154" t="n">
        <x:f>Y43-Y54</x:f>
        <x:v>1783884.4158356613</x:v>
      </x:c>
      <x:c r="Z55" s="154" t="n">
        <x:f>Z43-Z54</x:f>
        <x:v>1836303.5896976518</x:v>
      </x:c>
      <x:c r="AA55" s="154" t="n">
        <x:f>AA43-AA54</x:f>
        <x:v>1868846.7869134042</x:v>
      </x:c>
      <x:c r="AB55" s="154" t="n">
        <x:f>AB43-AB54</x:f>
        <x:v>1898120.2436908023</x:v>
      </x:c>
      <x:c r="AC55" s="154" t="n">
        <x:f>AC43-AC54</x:f>
        <x:v>1928612.5506940312</x:v>
      </x:c>
      <x:c r="AD55" s="154" t="n">
        <x:f>AD43-AD54</x:f>
        <x:v>1947558.9118070179</x:v>
      </x:c>
      <x:c r="AE55" s="154" t="n">
        <x:f>AE43-AE54</x:f>
        <x:v>1964131.827859783</x:v>
      </x:c>
      <x:c r="AF55" s="154" t="n">
        <x:f>AF43-AF54</x:f>
        <x:v>1980787.5471493339</x:v>
      </x:c>
      <x:c r="AG55" s="154" t="n">
        <x:f>AG43-AG54</x:f>
        <x:v>1997558.7984244195</x:v>
      </x:c>
      <x:c r="AH55" s="154" t="n">
        <x:f>AH43-AH54</x:f>
        <x:v>2014479.928133145</x:v>
      </x:c>
      <x:c r="AI55" s="154" t="n">
        <x:f>AI43-AI54</x:f>
        <x:v>2031587.0304947565</x:v>
      </x:c>
      <x:c r="AJ55" s="154" t="n">
        <x:f>AJ43-AJ54</x:f>
        <x:v>2048918.0862556235</x:v>
      </x:c>
      <x:c r="AK55" s="154" t="n">
        <x:f>AK43-AK54</x:f>
        <x:v>2066513.1107478444</x:v>
      </x:c>
      <x:c r="AL55" s="155" t="n">
        <x:f>AL43-AL54</x:f>
        <x:v>2084414.3119119133</x:v>
      </x:c>
    </x:row>
    <x:row r="56">
      <x:c r="A56" s="49" t="str">
        <x:v>Gross margin</x:v>
      </x:c>
      <x:c r="B56" s="50" t="str">
        <x:v>%</x:v>
      </x:c>
      <x:c r="C56" s="118" t="n">
        <x:f>IFERROR(C55/C43,0)</x:f>
        <x:v>0.7564516129032258</x:v>
      </x:c>
      <x:c r="D56" s="118" t="n">
        <x:f>IFERROR(D55/D43,0)</x:f>
        <x:v>0.7274297651131585</x:v>
      </x:c>
      <x:c r="E56" s="118" t="n">
        <x:f>IFERROR(E55/E43,0)</x:f>
        <x:v>0.6992424159116329</x:v>
      </x:c>
      <x:c r="F56" s="118" t="n">
        <x:f>IFERROR(F55/F43,0)</x:f>
        <x:v>0.6996166017012371</x:v>
      </x:c>
      <x:c r="G56" s="118" t="n">
        <x:f>IFERROR(G55/G43,0)</x:f>
        <x:v>0.675387758152031</x:v>
      </x:c>
      <x:c r="H56" s="118" t="n">
        <x:f>IFERROR(H55/H43,0)</x:f>
        <x:v>0.6765911780068428</x:v>
      </x:c>
      <x:c r="I56" s="118" t="n">
        <x:f>IFERROR(I55/I43,0)</x:f>
        <x:v>0.6775058592121431</x:v>
      </x:c>
      <x:c r="J56" s="118" t="n">
        <x:f>IFERROR(J55/J43,0)</x:f>
        <x:v>0.6687909827989011</x:v>
      </x:c>
      <x:c r="K56" s="118" t="n">
        <x:f>IFERROR(K55/K43,0)</x:f>
        <x:v>0.668242186166268</x:v>
      </x:c>
      <x:c r="L56" s="118" t="n">
        <x:f>IFERROR(L55/L43,0)</x:f>
        <x:v>0.667723036731849</x:v>
      </x:c>
      <x:c r="M56" s="118" t="n">
        <x:f>IFERROR(M55/M43,0)</x:f>
        <x:v>0.667062914970704</x:v>
      </x:c>
      <x:c r="N56" s="118" t="n">
        <x:f>IFERROR(N55/N43,0)</x:f>
        <x:v>0.6672475290015637</x:v>
      </x:c>
      <x:c r="O56" s="118" t="n">
        <x:f>IFERROR(O55/O43,0)</x:f>
        <x:v>0.66731788814117</x:v>
      </x:c>
      <x:c r="P56" s="118" t="n">
        <x:f>IFERROR(P55/P43,0)</x:f>
        <x:v>0.6673097042716488</x:v>
      </x:c>
      <x:c r="Q56" s="118" t="n">
        <x:f>IFERROR(Q55/Q43,0)</x:f>
        <x:v>0.6677611278408824</x:v>
      </x:c>
      <x:c r="R56" s="118" t="n">
        <x:f>IFERROR(R55/R43,0)</x:f>
        <x:v>0.6681701537177523</x:v>
      </x:c>
      <x:c r="S56" s="118" t="n">
        <x:f>IFERROR(S55/S43,0)</x:f>
        <x:v>0.6685409550437178</x:v>
      </x:c>
      <x:c r="T56" s="118" t="n">
        <x:f>IFERROR(T55/T43,0)</x:f>
        <x:v>0.6688772611710069</x:v>
      </x:c>
      <x:c r="U56" s="118" t="n">
        <x:f>IFERROR(U55/U43,0)</x:f>
        <x:v>0.6691824104859072</x:v>
      </x:c>
      <x:c r="V56" s="118" t="n">
        <x:f>IFERROR(V55/V43,0)</x:f>
        <x:v>0.6694593960120362</x:v>
      </x:c>
      <x:c r="W56" s="118" t="n">
        <x:f>IFERROR(W55/W43,0)</x:f>
        <x:v>0.6697109049294226</x:v>
      </x:c>
      <x:c r="X56" s="118" t="n">
        <x:f>IFERROR(X55/X43,0)</x:f>
        <x:v>0.669601408066785</x:v>
      </x:c>
      <x:c r="Y56" s="118" t="n">
        <x:f>IFERROR(Y55/Y43,0)</x:f>
        <x:v>0.6695566411516625</x:v>
      </x:c>
      <x:c r="Z56" s="118" t="n">
        <x:f>IFERROR(Z55/Z43,0)</x:f>
        <x:v>0.6687688834163886</x:v>
      </x:c>
      <x:c r="AA56" s="118" t="n">
        <x:f>IFERROR(AA55/AA43,0)</x:f>
        <x:v>0.6689228036204478</x:v>
      </x:c>
      <x:c r="AB56" s="118" t="n">
        <x:f>IFERROR(AB55/AB43,0)</x:f>
        <x:v>0.6692314111862274</x:v>
      </x:c>
      <x:c r="AC56" s="118" t="n">
        <x:f>IFERROR(AC55/AC43,0)</x:f>
        <x:v>0.6694986691625636</x:v>
      </x:c>
      <x:c r="AD56" s="118" t="n">
        <x:f>IFERROR(AD55/AD43,0)</x:f>
        <x:v>0.67037926608623</x:v>
      </x:c>
      <x:c r="AE56" s="118" t="n">
        <x:f>IFERROR(AE55/AE43,0)</x:f>
        <x:v>0.6713763549037339</x:v>
      </x:c>
      <x:c r="AF56" s="118" t="n">
        <x:f>IFERROR(AF55/AF43,0)</x:f>
        <x:v>0.6723621661454992</x:v>
      </x:c>
      <x:c r="AG56" s="118" t="n">
        <x:f>IFERROR(AG55/AG43,0)</x:f>
        <x:v>0.6733386173705298</x:v>
      </x:c>
      <x:c r="AH56" s="118" t="n">
        <x:f>IFERROR(AH55/AH43,0)</x:f>
        <x:v>0.674307606572938</x:v>
      </x:c>
      <x:c r="AI56" s="118" t="n">
        <x:f>IFERROR(AI55/AI43,0)</x:f>
        <x:v>0.6752710164240374</x:v>
      </x:c>
      <x:c r="AJ56" s="118" t="n">
        <x:f>IFERROR(AJ55/AJ43,0)</x:f>
        <x:v>0.6762307180178708</x:v>
      </x:c>
      <x:c r="AK56" s="118" t="n">
        <x:f>IFERROR(AK55/AK43,0)</x:f>
        <x:v>0.6771885741107749</x:v>
      </x:c>
      <x:c r="AL56" s="119" t="n">
        <x:f>IFERROR(AL55/AL43,0)</x:f>
        <x:v>0.6781464418395499</x:v>
      </x:c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 ht="23" customHeight="1">
      <x:c r="A58" s="416" t="str">
        <x:v>OPERATING EXPENSES</x:v>
      </x:c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9" t="str">
        <x:v>Payroll and contractors</x:v>
      </x:c>
      <x:c r="B59" s="50" t="str">
        <x:v>$</x:v>
      </x:c>
      <x:c r="C59" s="126" t="n">
        <x:f>Assumptions!$E$55*POWER(1+Assumptions!$E$61,INT((C$6-1)/3))</x:f>
        <x:v>125000</x:v>
      </x:c>
      <x:c r="D59" s="126" t="n">
        <x:f>Assumptions!$E$55*POWER(1+Assumptions!$E$61,INT((D$6-1)/3))</x:f>
        <x:v>125000</x:v>
      </x:c>
      <x:c r="E59" s="126" t="n">
        <x:f>Assumptions!$E$55*POWER(1+Assumptions!$E$61,INT((E$6-1)/3))</x:f>
        <x:v>125000</x:v>
      </x:c>
      <x:c r="F59" s="126" t="n">
        <x:f>Assumptions!$E$55*POWER(1+Assumptions!$E$61,INT((F$6-1)/3))</x:f>
        <x:v>133750</x:v>
      </x:c>
      <x:c r="G59" s="126" t="n">
        <x:f>Assumptions!$E$55*POWER(1+Assumptions!$E$61,INT((G$6-1)/3))</x:f>
        <x:v>133750</x:v>
      </x:c>
      <x:c r="H59" s="126" t="n">
        <x:f>Assumptions!$E$55*POWER(1+Assumptions!$E$61,INT((H$6-1)/3))</x:f>
        <x:v>133750</x:v>
      </x:c>
      <x:c r="I59" s="126" t="n">
        <x:f>Assumptions!$E$55*POWER(1+Assumptions!$E$61,INT((I$6-1)/3))</x:f>
        <x:v>143112.5</x:v>
      </x:c>
      <x:c r="J59" s="126" t="n">
        <x:f>Assumptions!$E$55*POWER(1+Assumptions!$E$61,INT((J$6-1)/3))</x:f>
        <x:v>143112.5</x:v>
      </x:c>
      <x:c r="K59" s="126" t="n">
        <x:f>Assumptions!$E$55*POWER(1+Assumptions!$E$61,INT((K$6-1)/3))</x:f>
        <x:v>143112.5</x:v>
      </x:c>
      <x:c r="L59" s="126" t="n">
        <x:f>Assumptions!$E$55*POWER(1+Assumptions!$E$61,INT((L$6-1)/3))</x:f>
        <x:v>153130.375</x:v>
      </x:c>
      <x:c r="M59" s="126" t="n">
        <x:f>Assumptions!$E$55*POWER(1+Assumptions!$E$61,INT((M$6-1)/3))</x:f>
        <x:v>153130.375</x:v>
      </x:c>
      <x:c r="N59" s="126" t="n">
        <x:f>Assumptions!$E$55*POWER(1+Assumptions!$E$61,INT((N$6-1)/3))</x:f>
        <x:v>153130.375</x:v>
      </x:c>
      <x:c r="O59" s="126" t="n">
        <x:f>Assumptions!$E$55*POWER(1+Assumptions!$E$61,INT((O$6-1)/3))</x:f>
        <x:v>163849.50125</x:v>
      </x:c>
      <x:c r="P59" s="126" t="n">
        <x:f>Assumptions!$E$55*POWER(1+Assumptions!$E$61,INT((P$6-1)/3))</x:f>
        <x:v>163849.50125</x:v>
      </x:c>
      <x:c r="Q59" s="126" t="n">
        <x:f>Assumptions!$E$55*POWER(1+Assumptions!$E$61,INT((Q$6-1)/3))</x:f>
        <x:v>163849.50125</x:v>
      </x:c>
      <x:c r="R59" s="126" t="n">
        <x:f>Assumptions!$E$55*POWER(1+Assumptions!$E$61,INT((R$6-1)/3))</x:f>
        <x:v>175318.96633750002</x:v>
      </x:c>
      <x:c r="S59" s="126" t="n">
        <x:f>Assumptions!$E$55*POWER(1+Assumptions!$E$61,INT((S$6-1)/3))</x:f>
        <x:v>175318.96633750002</x:v>
      </x:c>
      <x:c r="T59" s="126" t="n">
        <x:f>Assumptions!$E$55*POWER(1+Assumptions!$E$61,INT((T$6-1)/3))</x:f>
        <x:v>175318.96633750002</x:v>
      </x:c>
      <x:c r="U59" s="126" t="n">
        <x:f>Assumptions!$E$55*POWER(1+Assumptions!$E$61,INT((U$6-1)/3))</x:f>
        <x:v>187591.293981125</x:v>
      </x:c>
      <x:c r="V59" s="126" t="n">
        <x:f>Assumptions!$E$55*POWER(1+Assumptions!$E$61,INT((V$6-1)/3))</x:f>
        <x:v>187591.293981125</x:v>
      </x:c>
      <x:c r="W59" s="126" t="n">
        <x:f>Assumptions!$E$55*POWER(1+Assumptions!$E$61,INT((W$6-1)/3))</x:f>
        <x:v>187591.293981125</x:v>
      </x:c>
      <x:c r="X59" s="126" t="n">
        <x:f>Assumptions!$E$55*POWER(1+Assumptions!$E$61,INT((X$6-1)/3))</x:f>
        <x:v>200722.68455980378</x:v>
      </x:c>
      <x:c r="Y59" s="126" t="n">
        <x:f>Assumptions!$E$55*POWER(1+Assumptions!$E$61,INT((Y$6-1)/3))</x:f>
        <x:v>200722.68455980378</x:v>
      </x:c>
      <x:c r="Z59" s="126" t="n">
        <x:f>Assumptions!$E$55*POWER(1+Assumptions!$E$61,INT((Z$6-1)/3))</x:f>
        <x:v>200722.68455980378</x:v>
      </x:c>
      <x:c r="AA59" s="126" t="n">
        <x:f>Assumptions!$E$55*POWER(1+Assumptions!$E$61,INT((AA$6-1)/3))</x:f>
        <x:v>214773.27247899002</x:v>
      </x:c>
      <x:c r="AB59" s="126" t="n">
        <x:f>Assumptions!$E$55*POWER(1+Assumptions!$E$61,INT((AB$6-1)/3))</x:f>
        <x:v>214773.27247899002</x:v>
      </x:c>
      <x:c r="AC59" s="126" t="n">
        <x:f>Assumptions!$E$55*POWER(1+Assumptions!$E$61,INT((AC$6-1)/3))</x:f>
        <x:v>214773.27247899002</x:v>
      </x:c>
      <x:c r="AD59" s="126" t="n">
        <x:f>Assumptions!$E$55*POWER(1+Assumptions!$E$61,INT((AD$6-1)/3))</x:f>
        <x:v>229807.40155251935</x:v>
      </x:c>
      <x:c r="AE59" s="126" t="n">
        <x:f>Assumptions!$E$55*POWER(1+Assumptions!$E$61,INT((AE$6-1)/3))</x:f>
        <x:v>229807.40155251935</x:v>
      </x:c>
      <x:c r="AF59" s="126" t="n">
        <x:f>Assumptions!$E$55*POWER(1+Assumptions!$E$61,INT((AF$6-1)/3))</x:f>
        <x:v>229807.40155251935</x:v>
      </x:c>
      <x:c r="AG59" s="126" t="n">
        <x:f>Assumptions!$E$55*POWER(1+Assumptions!$E$61,INT((AG$6-1)/3))</x:f>
        <x:v>245893.9196611957</x:v>
      </x:c>
      <x:c r="AH59" s="126" t="n">
        <x:f>Assumptions!$E$55*POWER(1+Assumptions!$E$61,INT((AH$6-1)/3))</x:f>
        <x:v>245893.9196611957</x:v>
      </x:c>
      <x:c r="AI59" s="126" t="n">
        <x:f>Assumptions!$E$55*POWER(1+Assumptions!$E$61,INT((AI$6-1)/3))</x:f>
        <x:v>245893.9196611957</x:v>
      </x:c>
      <x:c r="AJ59" s="126" t="n">
        <x:f>Assumptions!$E$55*POWER(1+Assumptions!$E$61,INT((AJ$6-1)/3))</x:f>
        <x:v>263106.49403747945</x:v>
      </x:c>
      <x:c r="AK59" s="126" t="n">
        <x:f>Assumptions!$E$55*POWER(1+Assumptions!$E$61,INT((AK$6-1)/3))</x:f>
        <x:v>263106.49403747945</x:v>
      </x:c>
      <x:c r="AL59" s="127" t="n">
        <x:f>Assumptions!$E$55*POWER(1+Assumptions!$E$61,INT((AL$6-1)/3))</x:f>
        <x:v>263106.49403747945</x:v>
      </x:c>
    </x:row>
    <x:row r="60">
      <x:c r="A60" s="49" t="str">
        <x:v>Product and hosting</x:v>
      </x:c>
      <x:c r="B60" s="50" t="str">
        <x:v>$</x:v>
      </x:c>
      <x:c r="C60" s="126" t="n">
        <x:f>Assumptions!$E$56*POWER(1+Assumptions!$E$61,INT((C$6-1)/3))</x:f>
        <x:v>25000</x:v>
      </x:c>
      <x:c r="D60" s="126" t="n">
        <x:f>Assumptions!$E$56*POWER(1+Assumptions!$E$61,INT((D$6-1)/3))</x:f>
        <x:v>25000</x:v>
      </x:c>
      <x:c r="E60" s="126" t="n">
        <x:f>Assumptions!$E$56*POWER(1+Assumptions!$E$61,INT((E$6-1)/3))</x:f>
        <x:v>25000</x:v>
      </x:c>
      <x:c r="F60" s="126" t="n">
        <x:f>Assumptions!$E$56*POWER(1+Assumptions!$E$61,INT((F$6-1)/3))</x:f>
        <x:v>26750</x:v>
      </x:c>
      <x:c r="G60" s="126" t="n">
        <x:f>Assumptions!$E$56*POWER(1+Assumptions!$E$61,INT((G$6-1)/3))</x:f>
        <x:v>26750</x:v>
      </x:c>
      <x:c r="H60" s="126" t="n">
        <x:f>Assumptions!$E$56*POWER(1+Assumptions!$E$61,INT((H$6-1)/3))</x:f>
        <x:v>26750</x:v>
      </x:c>
      <x:c r="I60" s="126" t="n">
        <x:f>Assumptions!$E$56*POWER(1+Assumptions!$E$61,INT((I$6-1)/3))</x:f>
        <x:v>28622.5</x:v>
      </x:c>
      <x:c r="J60" s="126" t="n">
        <x:f>Assumptions!$E$56*POWER(1+Assumptions!$E$61,INT((J$6-1)/3))</x:f>
        <x:v>28622.5</x:v>
      </x:c>
      <x:c r="K60" s="126" t="n">
        <x:f>Assumptions!$E$56*POWER(1+Assumptions!$E$61,INT((K$6-1)/3))</x:f>
        <x:v>28622.5</x:v>
      </x:c>
      <x:c r="L60" s="126" t="n">
        <x:f>Assumptions!$E$56*POWER(1+Assumptions!$E$61,INT((L$6-1)/3))</x:f>
        <x:v>30626.075000000004</x:v>
      </x:c>
      <x:c r="M60" s="126" t="n">
        <x:f>Assumptions!$E$56*POWER(1+Assumptions!$E$61,INT((M$6-1)/3))</x:f>
        <x:v>30626.075000000004</x:v>
      </x:c>
      <x:c r="N60" s="126" t="n">
        <x:f>Assumptions!$E$56*POWER(1+Assumptions!$E$61,INT((N$6-1)/3))</x:f>
        <x:v>30626.075000000004</x:v>
      </x:c>
      <x:c r="O60" s="126" t="n">
        <x:f>Assumptions!$E$56*POWER(1+Assumptions!$E$61,INT((O$6-1)/3))</x:f>
        <x:v>32769.90025</x:v>
      </x:c>
      <x:c r="P60" s="126" t="n">
        <x:f>Assumptions!$E$56*POWER(1+Assumptions!$E$61,INT((P$6-1)/3))</x:f>
        <x:v>32769.90025</x:v>
      </x:c>
      <x:c r="Q60" s="126" t="n">
        <x:f>Assumptions!$E$56*POWER(1+Assumptions!$E$61,INT((Q$6-1)/3))</x:f>
        <x:v>32769.90025</x:v>
      </x:c>
      <x:c r="R60" s="126" t="n">
        <x:f>Assumptions!$E$56*POWER(1+Assumptions!$E$61,INT((R$6-1)/3))</x:f>
        <x:v>35063.793267500005</x:v>
      </x:c>
      <x:c r="S60" s="126" t="n">
        <x:f>Assumptions!$E$56*POWER(1+Assumptions!$E$61,INT((S$6-1)/3))</x:f>
        <x:v>35063.793267500005</x:v>
      </x:c>
      <x:c r="T60" s="126" t="n">
        <x:f>Assumptions!$E$56*POWER(1+Assumptions!$E$61,INT((T$6-1)/3))</x:f>
        <x:v>35063.793267500005</x:v>
      </x:c>
      <x:c r="U60" s="126" t="n">
        <x:f>Assumptions!$E$56*POWER(1+Assumptions!$E$61,INT((U$6-1)/3))</x:f>
        <x:v>37518.258796225</x:v>
      </x:c>
      <x:c r="V60" s="126" t="n">
        <x:f>Assumptions!$E$56*POWER(1+Assumptions!$E$61,INT((V$6-1)/3))</x:f>
        <x:v>37518.258796225</x:v>
      </x:c>
      <x:c r="W60" s="126" t="n">
        <x:f>Assumptions!$E$56*POWER(1+Assumptions!$E$61,INT((W$6-1)/3))</x:f>
        <x:v>37518.258796225</x:v>
      </x:c>
      <x:c r="X60" s="126" t="n">
        <x:f>Assumptions!$E$56*POWER(1+Assumptions!$E$61,INT((X$6-1)/3))</x:f>
        <x:v>40144.53691196076</x:v>
      </x:c>
      <x:c r="Y60" s="126" t="n">
        <x:f>Assumptions!$E$56*POWER(1+Assumptions!$E$61,INT((Y$6-1)/3))</x:f>
        <x:v>40144.53691196076</x:v>
      </x:c>
      <x:c r="Z60" s="126" t="n">
        <x:f>Assumptions!$E$56*POWER(1+Assumptions!$E$61,INT((Z$6-1)/3))</x:f>
        <x:v>40144.53691196076</x:v>
      </x:c>
      <x:c r="AA60" s="126" t="n">
        <x:f>Assumptions!$E$56*POWER(1+Assumptions!$E$61,INT((AA$6-1)/3))</x:f>
        <x:v>42954.65449579801</x:v>
      </x:c>
      <x:c r="AB60" s="126" t="n">
        <x:f>Assumptions!$E$56*POWER(1+Assumptions!$E$61,INT((AB$6-1)/3))</x:f>
        <x:v>42954.65449579801</x:v>
      </x:c>
      <x:c r="AC60" s="126" t="n">
        <x:f>Assumptions!$E$56*POWER(1+Assumptions!$E$61,INT((AC$6-1)/3))</x:f>
        <x:v>42954.65449579801</x:v>
      </x:c>
      <x:c r="AD60" s="126" t="n">
        <x:f>Assumptions!$E$56*POWER(1+Assumptions!$E$61,INT((AD$6-1)/3))</x:f>
        <x:v>45961.48031050387</x:v>
      </x:c>
      <x:c r="AE60" s="126" t="n">
        <x:f>Assumptions!$E$56*POWER(1+Assumptions!$E$61,INT((AE$6-1)/3))</x:f>
        <x:v>45961.48031050387</x:v>
      </x:c>
      <x:c r="AF60" s="126" t="n">
        <x:f>Assumptions!$E$56*POWER(1+Assumptions!$E$61,INT((AF$6-1)/3))</x:f>
        <x:v>45961.48031050387</x:v>
      </x:c>
      <x:c r="AG60" s="126" t="n">
        <x:f>Assumptions!$E$56*POWER(1+Assumptions!$E$61,INT((AG$6-1)/3))</x:f>
        <x:v>49178.78393223914</x:v>
      </x:c>
      <x:c r="AH60" s="126" t="n">
        <x:f>Assumptions!$E$56*POWER(1+Assumptions!$E$61,INT((AH$6-1)/3))</x:f>
        <x:v>49178.78393223914</x:v>
      </x:c>
      <x:c r="AI60" s="126" t="n">
        <x:f>Assumptions!$E$56*POWER(1+Assumptions!$E$61,INT((AI$6-1)/3))</x:f>
        <x:v>49178.78393223914</x:v>
      </x:c>
      <x:c r="AJ60" s="126" t="n">
        <x:f>Assumptions!$E$56*POWER(1+Assumptions!$E$61,INT((AJ$6-1)/3))</x:f>
        <x:v>52621.298807495885</x:v>
      </x:c>
      <x:c r="AK60" s="126" t="n">
        <x:f>Assumptions!$E$56*POWER(1+Assumptions!$E$61,INT((AK$6-1)/3))</x:f>
        <x:v>52621.298807495885</x:v>
      </x:c>
      <x:c r="AL60" s="127" t="n">
        <x:f>Assumptions!$E$56*POWER(1+Assumptions!$E$61,INT((AL$6-1)/3))</x:f>
        <x:v>52621.298807495885</x:v>
      </x:c>
    </x:row>
    <x:row r="61">
      <x:c r="A61" s="49" t="str">
        <x:v>G&amp;A</x:v>
      </x:c>
      <x:c r="B61" s="50" t="str">
        <x:v>$</x:v>
      </x:c>
      <x:c r="C61" s="126" t="n">
        <x:f>Assumptions!$E$57*POWER(1+Assumptions!$E$61,INT((C$6-1)/3))</x:f>
        <x:v>18000</x:v>
      </x:c>
      <x:c r="D61" s="126" t="n">
        <x:f>Assumptions!$E$57*POWER(1+Assumptions!$E$61,INT((D$6-1)/3))</x:f>
        <x:v>18000</x:v>
      </x:c>
      <x:c r="E61" s="126" t="n">
        <x:f>Assumptions!$E$57*POWER(1+Assumptions!$E$61,INT((E$6-1)/3))</x:f>
        <x:v>18000</x:v>
      </x:c>
      <x:c r="F61" s="126" t="n">
        <x:f>Assumptions!$E$57*POWER(1+Assumptions!$E$61,INT((F$6-1)/3))</x:f>
        <x:v>19260</x:v>
      </x:c>
      <x:c r="G61" s="126" t="n">
        <x:f>Assumptions!$E$57*POWER(1+Assumptions!$E$61,INT((G$6-1)/3))</x:f>
        <x:v>19260</x:v>
      </x:c>
      <x:c r="H61" s="126" t="n">
        <x:f>Assumptions!$E$57*POWER(1+Assumptions!$E$61,INT((H$6-1)/3))</x:f>
        <x:v>19260</x:v>
      </x:c>
      <x:c r="I61" s="126" t="n">
        <x:f>Assumptions!$E$57*POWER(1+Assumptions!$E$61,INT((I$6-1)/3))</x:f>
        <x:v>20608.2</x:v>
      </x:c>
      <x:c r="J61" s="126" t="n">
        <x:f>Assumptions!$E$57*POWER(1+Assumptions!$E$61,INT((J$6-1)/3))</x:f>
        <x:v>20608.2</x:v>
      </x:c>
      <x:c r="K61" s="126" t="n">
        <x:f>Assumptions!$E$57*POWER(1+Assumptions!$E$61,INT((K$6-1)/3))</x:f>
        <x:v>20608.2</x:v>
      </x:c>
      <x:c r="L61" s="126" t="n">
        <x:f>Assumptions!$E$57*POWER(1+Assumptions!$E$61,INT((L$6-1)/3))</x:f>
        <x:v>22050.774</x:v>
      </x:c>
      <x:c r="M61" s="126" t="n">
        <x:f>Assumptions!$E$57*POWER(1+Assumptions!$E$61,INT((M$6-1)/3))</x:f>
        <x:v>22050.774</x:v>
      </x:c>
      <x:c r="N61" s="126" t="n">
        <x:f>Assumptions!$E$57*POWER(1+Assumptions!$E$61,INT((N$6-1)/3))</x:f>
        <x:v>22050.774</x:v>
      </x:c>
      <x:c r="O61" s="126" t="n">
        <x:f>Assumptions!$E$57*POWER(1+Assumptions!$E$61,INT((O$6-1)/3))</x:f>
        <x:v>23594.32818</x:v>
      </x:c>
      <x:c r="P61" s="126" t="n">
        <x:f>Assumptions!$E$57*POWER(1+Assumptions!$E$61,INT((P$6-1)/3))</x:f>
        <x:v>23594.32818</x:v>
      </x:c>
      <x:c r="Q61" s="126" t="n">
        <x:f>Assumptions!$E$57*POWER(1+Assumptions!$E$61,INT((Q$6-1)/3))</x:f>
        <x:v>23594.32818</x:v>
      </x:c>
      <x:c r="R61" s="126" t="n">
        <x:f>Assumptions!$E$57*POWER(1+Assumptions!$E$61,INT((R$6-1)/3))</x:f>
        <x:v>25245.931152600002</x:v>
      </x:c>
      <x:c r="S61" s="126" t="n">
        <x:f>Assumptions!$E$57*POWER(1+Assumptions!$E$61,INT((S$6-1)/3))</x:f>
        <x:v>25245.931152600002</x:v>
      </x:c>
      <x:c r="T61" s="126" t="n">
        <x:f>Assumptions!$E$57*POWER(1+Assumptions!$E$61,INT((T$6-1)/3))</x:f>
        <x:v>25245.931152600002</x:v>
      </x:c>
      <x:c r="U61" s="126" t="n">
        <x:f>Assumptions!$E$57*POWER(1+Assumptions!$E$61,INT((U$6-1)/3))</x:f>
        <x:v>27013.146333282002</x:v>
      </x:c>
      <x:c r="V61" s="126" t="n">
        <x:f>Assumptions!$E$57*POWER(1+Assumptions!$E$61,INT((V$6-1)/3))</x:f>
        <x:v>27013.146333282002</x:v>
      </x:c>
      <x:c r="W61" s="126" t="n">
        <x:f>Assumptions!$E$57*POWER(1+Assumptions!$E$61,INT((W$6-1)/3))</x:f>
        <x:v>27013.146333282002</x:v>
      </x:c>
      <x:c r="X61" s="126" t="n">
        <x:f>Assumptions!$E$57*POWER(1+Assumptions!$E$61,INT((X$6-1)/3))</x:f>
        <x:v>28904.06657661174</x:v>
      </x:c>
      <x:c r="Y61" s="126" t="n">
        <x:f>Assumptions!$E$57*POWER(1+Assumptions!$E$61,INT((Y$6-1)/3))</x:f>
        <x:v>28904.06657661174</x:v>
      </x:c>
      <x:c r="Z61" s="126" t="n">
        <x:f>Assumptions!$E$57*POWER(1+Assumptions!$E$61,INT((Z$6-1)/3))</x:f>
        <x:v>28904.06657661174</x:v>
      </x:c>
      <x:c r="AA61" s="126" t="n">
        <x:f>Assumptions!$E$57*POWER(1+Assumptions!$E$61,INT((AA$6-1)/3))</x:f>
        <x:v>30927.351236974566</x:v>
      </x:c>
      <x:c r="AB61" s="126" t="n">
        <x:f>Assumptions!$E$57*POWER(1+Assumptions!$E$61,INT((AB$6-1)/3))</x:f>
        <x:v>30927.351236974566</x:v>
      </x:c>
      <x:c r="AC61" s="126" t="n">
        <x:f>Assumptions!$E$57*POWER(1+Assumptions!$E$61,INT((AC$6-1)/3))</x:f>
        <x:v>30927.351236974566</x:v>
      </x:c>
      <x:c r="AD61" s="126" t="n">
        <x:f>Assumptions!$E$57*POWER(1+Assumptions!$E$61,INT((AD$6-1)/3))</x:f>
        <x:v>33092.26582356279</x:v>
      </x:c>
      <x:c r="AE61" s="126" t="n">
        <x:f>Assumptions!$E$57*POWER(1+Assumptions!$E$61,INT((AE$6-1)/3))</x:f>
        <x:v>33092.26582356279</x:v>
      </x:c>
      <x:c r="AF61" s="126" t="n">
        <x:f>Assumptions!$E$57*POWER(1+Assumptions!$E$61,INT((AF$6-1)/3))</x:f>
        <x:v>33092.26582356279</x:v>
      </x:c>
      <x:c r="AG61" s="126" t="n">
        <x:f>Assumptions!$E$57*POWER(1+Assumptions!$E$61,INT((AG$6-1)/3))</x:f>
        <x:v>35408.724431212184</x:v>
      </x:c>
      <x:c r="AH61" s="126" t="n">
        <x:f>Assumptions!$E$57*POWER(1+Assumptions!$E$61,INT((AH$6-1)/3))</x:f>
        <x:v>35408.724431212184</x:v>
      </x:c>
      <x:c r="AI61" s="126" t="n">
        <x:f>Assumptions!$E$57*POWER(1+Assumptions!$E$61,INT((AI$6-1)/3))</x:f>
        <x:v>35408.724431212184</x:v>
      </x:c>
      <x:c r="AJ61" s="126" t="n">
        <x:f>Assumptions!$E$57*POWER(1+Assumptions!$E$61,INT((AJ$6-1)/3))</x:f>
        <x:v>37887.33514139704</x:v>
      </x:c>
      <x:c r="AK61" s="126" t="n">
        <x:f>Assumptions!$E$57*POWER(1+Assumptions!$E$61,INT((AK$6-1)/3))</x:f>
        <x:v>37887.33514139704</x:v>
      </x:c>
      <x:c r="AL61" s="127" t="n">
        <x:f>Assumptions!$E$57*POWER(1+Assumptions!$E$61,INT((AL$6-1)/3))</x:f>
        <x:v>37887.33514139704</x:v>
      </x:c>
    </x:row>
    <x:row r="62">
      <x:c r="A62" s="49" t="str">
        <x:v>Legal, security, and compliance</x:v>
      </x:c>
      <x:c r="B62" s="50" t="str">
        <x:v>$</x:v>
      </x:c>
      <x:c r="C62" s="126" t="n">
        <x:f>Assumptions!$E$58*POWER(1+Assumptions!$E$61,INT((C$6-1)/3))</x:f>
        <x:v>12000</x:v>
      </x:c>
      <x:c r="D62" s="126" t="n">
        <x:f>Assumptions!$E$58*POWER(1+Assumptions!$E$61,INT((D$6-1)/3))</x:f>
        <x:v>12000</x:v>
      </x:c>
      <x:c r="E62" s="126" t="n">
        <x:f>Assumptions!$E$58*POWER(1+Assumptions!$E$61,INT((E$6-1)/3))</x:f>
        <x:v>12000</x:v>
      </x:c>
      <x:c r="F62" s="126" t="n">
        <x:f>Assumptions!$E$58*POWER(1+Assumptions!$E$61,INT((F$6-1)/3))</x:f>
        <x:v>12840</x:v>
      </x:c>
      <x:c r="G62" s="126" t="n">
        <x:f>Assumptions!$E$58*POWER(1+Assumptions!$E$61,INT((G$6-1)/3))</x:f>
        <x:v>12840</x:v>
      </x:c>
      <x:c r="H62" s="126" t="n">
        <x:f>Assumptions!$E$58*POWER(1+Assumptions!$E$61,INT((H$6-1)/3))</x:f>
        <x:v>12840</x:v>
      </x:c>
      <x:c r="I62" s="126" t="n">
        <x:f>Assumptions!$E$58*POWER(1+Assumptions!$E$61,INT((I$6-1)/3))</x:f>
        <x:v>13738.800000000001</x:v>
      </x:c>
      <x:c r="J62" s="126" t="n">
        <x:f>Assumptions!$E$58*POWER(1+Assumptions!$E$61,INT((J$6-1)/3))</x:f>
        <x:v>13738.800000000001</x:v>
      </x:c>
      <x:c r="K62" s="126" t="n">
        <x:f>Assumptions!$E$58*POWER(1+Assumptions!$E$61,INT((K$6-1)/3))</x:f>
        <x:v>13738.800000000001</x:v>
      </x:c>
      <x:c r="L62" s="126" t="n">
        <x:f>Assumptions!$E$58*POWER(1+Assumptions!$E$61,INT((L$6-1)/3))</x:f>
        <x:v>14700.516000000001</x:v>
      </x:c>
      <x:c r="M62" s="126" t="n">
        <x:f>Assumptions!$E$58*POWER(1+Assumptions!$E$61,INT((M$6-1)/3))</x:f>
        <x:v>14700.516000000001</x:v>
      </x:c>
      <x:c r="N62" s="126" t="n">
        <x:f>Assumptions!$E$58*POWER(1+Assumptions!$E$61,INT((N$6-1)/3))</x:f>
        <x:v>14700.516000000001</x:v>
      </x:c>
      <x:c r="O62" s="126" t="n">
        <x:f>Assumptions!$E$58*POWER(1+Assumptions!$E$61,INT((O$6-1)/3))</x:f>
        <x:v>15729.55212</x:v>
      </x:c>
      <x:c r="P62" s="126" t="n">
        <x:f>Assumptions!$E$58*POWER(1+Assumptions!$E$61,INT((P$6-1)/3))</x:f>
        <x:v>15729.55212</x:v>
      </x:c>
      <x:c r="Q62" s="126" t="n">
        <x:f>Assumptions!$E$58*POWER(1+Assumptions!$E$61,INT((Q$6-1)/3))</x:f>
        <x:v>15729.55212</x:v>
      </x:c>
      <x:c r="R62" s="126" t="n">
        <x:f>Assumptions!$E$58*POWER(1+Assumptions!$E$61,INT((R$6-1)/3))</x:f>
        <x:v>16830.620768400004</x:v>
      </x:c>
      <x:c r="S62" s="126" t="n">
        <x:f>Assumptions!$E$58*POWER(1+Assumptions!$E$61,INT((S$6-1)/3))</x:f>
        <x:v>16830.620768400004</x:v>
      </x:c>
      <x:c r="T62" s="126" t="n">
        <x:f>Assumptions!$E$58*POWER(1+Assumptions!$E$61,INT((T$6-1)/3))</x:f>
        <x:v>16830.620768400004</x:v>
      </x:c>
      <x:c r="U62" s="126" t="n">
        <x:f>Assumptions!$E$58*POWER(1+Assumptions!$E$61,INT((U$6-1)/3))</x:f>
        <x:v>18008.764222188</x:v>
      </x:c>
      <x:c r="V62" s="126" t="n">
        <x:f>Assumptions!$E$58*POWER(1+Assumptions!$E$61,INT((V$6-1)/3))</x:f>
        <x:v>18008.764222188</x:v>
      </x:c>
      <x:c r="W62" s="126" t="n">
        <x:f>Assumptions!$E$58*POWER(1+Assumptions!$E$61,INT((W$6-1)/3))</x:f>
        <x:v>18008.764222188</x:v>
      </x:c>
      <x:c r="X62" s="126" t="n">
        <x:f>Assumptions!$E$58*POWER(1+Assumptions!$E$61,INT((X$6-1)/3))</x:f>
        <x:v>19269.37771774116</x:v>
      </x:c>
      <x:c r="Y62" s="126" t="n">
        <x:f>Assumptions!$E$58*POWER(1+Assumptions!$E$61,INT((Y$6-1)/3))</x:f>
        <x:v>19269.37771774116</x:v>
      </x:c>
      <x:c r="Z62" s="126" t="n">
        <x:f>Assumptions!$E$58*POWER(1+Assumptions!$E$61,INT((Z$6-1)/3))</x:f>
        <x:v>19269.37771774116</x:v>
      </x:c>
      <x:c r="AA62" s="126" t="n">
        <x:f>Assumptions!$E$58*POWER(1+Assumptions!$E$61,INT((AA$6-1)/3))</x:f>
        <x:v>20618.234157983043</x:v>
      </x:c>
      <x:c r="AB62" s="126" t="n">
        <x:f>Assumptions!$E$58*POWER(1+Assumptions!$E$61,INT((AB$6-1)/3))</x:f>
        <x:v>20618.234157983043</x:v>
      </x:c>
      <x:c r="AC62" s="126" t="n">
        <x:f>Assumptions!$E$58*POWER(1+Assumptions!$E$61,INT((AC$6-1)/3))</x:f>
        <x:v>20618.234157983043</x:v>
      </x:c>
      <x:c r="AD62" s="126" t="n">
        <x:f>Assumptions!$E$58*POWER(1+Assumptions!$E$61,INT((AD$6-1)/3))</x:f>
        <x:v>22061.510549041857</x:v>
      </x:c>
      <x:c r="AE62" s="126" t="n">
        <x:f>Assumptions!$E$58*POWER(1+Assumptions!$E$61,INT((AE$6-1)/3))</x:f>
        <x:v>22061.510549041857</x:v>
      </x:c>
      <x:c r="AF62" s="126" t="n">
        <x:f>Assumptions!$E$58*POWER(1+Assumptions!$E$61,INT((AF$6-1)/3))</x:f>
        <x:v>22061.510549041857</x:v>
      </x:c>
      <x:c r="AG62" s="126" t="n">
        <x:f>Assumptions!$E$58*POWER(1+Assumptions!$E$61,INT((AG$6-1)/3))</x:f>
        <x:v>23605.816287474787</x:v>
      </x:c>
      <x:c r="AH62" s="126" t="n">
        <x:f>Assumptions!$E$58*POWER(1+Assumptions!$E$61,INT((AH$6-1)/3))</x:f>
        <x:v>23605.816287474787</x:v>
      </x:c>
      <x:c r="AI62" s="126" t="n">
        <x:f>Assumptions!$E$58*POWER(1+Assumptions!$E$61,INT((AI$6-1)/3))</x:f>
        <x:v>23605.816287474787</x:v>
      </x:c>
      <x:c r="AJ62" s="126" t="n">
        <x:f>Assumptions!$E$58*POWER(1+Assumptions!$E$61,INT((AJ$6-1)/3))</x:f>
        <x:v>25258.223427598026</x:v>
      </x:c>
      <x:c r="AK62" s="126" t="n">
        <x:f>Assumptions!$E$58*POWER(1+Assumptions!$E$61,INT((AK$6-1)/3))</x:f>
        <x:v>25258.223427598026</x:v>
      </x:c>
      <x:c r="AL62" s="127" t="n">
        <x:f>Assumptions!$E$58*POWER(1+Assumptions!$E$61,INT((AL$6-1)/3))</x:f>
        <x:v>25258.223427598026</x:v>
      </x:c>
    </x:row>
    <x:row r="63">
      <x:c r="A63" s="49" t="str">
        <x:v>Fixed marketing</x:v>
      </x:c>
      <x:c r="B63" s="50" t="str">
        <x:v>$</x:v>
      </x:c>
      <x:c r="C63" s="126" t="n">
        <x:f>Assumptions!$E$59*POWER(1+Assumptions!$E$61,INT((C$6-1)/3))</x:f>
        <x:v>18000</x:v>
      </x:c>
      <x:c r="D63" s="126" t="n">
        <x:f>Assumptions!$E$59*POWER(1+Assumptions!$E$61,INT((D$6-1)/3))</x:f>
        <x:v>18000</x:v>
      </x:c>
      <x:c r="E63" s="126" t="n">
        <x:f>Assumptions!$E$59*POWER(1+Assumptions!$E$61,INT((E$6-1)/3))</x:f>
        <x:v>18000</x:v>
      </x:c>
      <x:c r="F63" s="126" t="n">
        <x:f>Assumptions!$E$59*POWER(1+Assumptions!$E$61,INT((F$6-1)/3))</x:f>
        <x:v>19260</x:v>
      </x:c>
      <x:c r="G63" s="126" t="n">
        <x:f>Assumptions!$E$59*POWER(1+Assumptions!$E$61,INT((G$6-1)/3))</x:f>
        <x:v>19260</x:v>
      </x:c>
      <x:c r="H63" s="126" t="n">
        <x:f>Assumptions!$E$59*POWER(1+Assumptions!$E$61,INT((H$6-1)/3))</x:f>
        <x:v>19260</x:v>
      </x:c>
      <x:c r="I63" s="126" t="n">
        <x:f>Assumptions!$E$59*POWER(1+Assumptions!$E$61,INT((I$6-1)/3))</x:f>
        <x:v>20608.2</x:v>
      </x:c>
      <x:c r="J63" s="126" t="n">
        <x:f>Assumptions!$E$59*POWER(1+Assumptions!$E$61,INT((J$6-1)/3))</x:f>
        <x:v>20608.2</x:v>
      </x:c>
      <x:c r="K63" s="126" t="n">
        <x:f>Assumptions!$E$59*POWER(1+Assumptions!$E$61,INT((K$6-1)/3))</x:f>
        <x:v>20608.2</x:v>
      </x:c>
      <x:c r="L63" s="126" t="n">
        <x:f>Assumptions!$E$59*POWER(1+Assumptions!$E$61,INT((L$6-1)/3))</x:f>
        <x:v>22050.774</x:v>
      </x:c>
      <x:c r="M63" s="126" t="n">
        <x:f>Assumptions!$E$59*POWER(1+Assumptions!$E$61,INT((M$6-1)/3))</x:f>
        <x:v>22050.774</x:v>
      </x:c>
      <x:c r="N63" s="126" t="n">
        <x:f>Assumptions!$E$59*POWER(1+Assumptions!$E$61,INT((N$6-1)/3))</x:f>
        <x:v>22050.774</x:v>
      </x:c>
      <x:c r="O63" s="126" t="n">
        <x:f>Assumptions!$E$59*POWER(1+Assumptions!$E$61,INT((O$6-1)/3))</x:f>
        <x:v>23594.32818</x:v>
      </x:c>
      <x:c r="P63" s="126" t="n">
        <x:f>Assumptions!$E$59*POWER(1+Assumptions!$E$61,INT((P$6-1)/3))</x:f>
        <x:v>23594.32818</x:v>
      </x:c>
      <x:c r="Q63" s="126" t="n">
        <x:f>Assumptions!$E$59*POWER(1+Assumptions!$E$61,INT((Q$6-1)/3))</x:f>
        <x:v>23594.32818</x:v>
      </x:c>
      <x:c r="R63" s="126" t="n">
        <x:f>Assumptions!$E$59*POWER(1+Assumptions!$E$61,INT((R$6-1)/3))</x:f>
        <x:v>25245.931152600002</x:v>
      </x:c>
      <x:c r="S63" s="126" t="n">
        <x:f>Assumptions!$E$59*POWER(1+Assumptions!$E$61,INT((S$6-1)/3))</x:f>
        <x:v>25245.931152600002</x:v>
      </x:c>
      <x:c r="T63" s="126" t="n">
        <x:f>Assumptions!$E$59*POWER(1+Assumptions!$E$61,INT((T$6-1)/3))</x:f>
        <x:v>25245.931152600002</x:v>
      </x:c>
      <x:c r="U63" s="126" t="n">
        <x:f>Assumptions!$E$59*POWER(1+Assumptions!$E$61,INT((U$6-1)/3))</x:f>
        <x:v>27013.146333282002</x:v>
      </x:c>
      <x:c r="V63" s="126" t="n">
        <x:f>Assumptions!$E$59*POWER(1+Assumptions!$E$61,INT((V$6-1)/3))</x:f>
        <x:v>27013.146333282002</x:v>
      </x:c>
      <x:c r="W63" s="126" t="n">
        <x:f>Assumptions!$E$59*POWER(1+Assumptions!$E$61,INT((W$6-1)/3))</x:f>
        <x:v>27013.146333282002</x:v>
      </x:c>
      <x:c r="X63" s="126" t="n">
        <x:f>Assumptions!$E$59*POWER(1+Assumptions!$E$61,INT((X$6-1)/3))</x:f>
        <x:v>28904.06657661174</x:v>
      </x:c>
      <x:c r="Y63" s="126" t="n">
        <x:f>Assumptions!$E$59*POWER(1+Assumptions!$E$61,INT((Y$6-1)/3))</x:f>
        <x:v>28904.06657661174</x:v>
      </x:c>
      <x:c r="Z63" s="126" t="n">
        <x:f>Assumptions!$E$59*POWER(1+Assumptions!$E$61,INT((Z$6-1)/3))</x:f>
        <x:v>28904.06657661174</x:v>
      </x:c>
      <x:c r="AA63" s="126" t="n">
        <x:f>Assumptions!$E$59*POWER(1+Assumptions!$E$61,INT((AA$6-1)/3))</x:f>
        <x:v>30927.351236974566</x:v>
      </x:c>
      <x:c r="AB63" s="126" t="n">
        <x:f>Assumptions!$E$59*POWER(1+Assumptions!$E$61,INT((AB$6-1)/3))</x:f>
        <x:v>30927.351236974566</x:v>
      </x:c>
      <x:c r="AC63" s="126" t="n">
        <x:f>Assumptions!$E$59*POWER(1+Assumptions!$E$61,INT((AC$6-1)/3))</x:f>
        <x:v>30927.351236974566</x:v>
      </x:c>
      <x:c r="AD63" s="126" t="n">
        <x:f>Assumptions!$E$59*POWER(1+Assumptions!$E$61,INT((AD$6-1)/3))</x:f>
        <x:v>33092.26582356279</x:v>
      </x:c>
      <x:c r="AE63" s="126" t="n">
        <x:f>Assumptions!$E$59*POWER(1+Assumptions!$E$61,INT((AE$6-1)/3))</x:f>
        <x:v>33092.26582356279</x:v>
      </x:c>
      <x:c r="AF63" s="126" t="n">
        <x:f>Assumptions!$E$59*POWER(1+Assumptions!$E$61,INT((AF$6-1)/3))</x:f>
        <x:v>33092.26582356279</x:v>
      </x:c>
      <x:c r="AG63" s="126" t="n">
        <x:f>Assumptions!$E$59*POWER(1+Assumptions!$E$61,INT((AG$6-1)/3))</x:f>
        <x:v>35408.724431212184</x:v>
      </x:c>
      <x:c r="AH63" s="126" t="n">
        <x:f>Assumptions!$E$59*POWER(1+Assumptions!$E$61,INT((AH$6-1)/3))</x:f>
        <x:v>35408.724431212184</x:v>
      </x:c>
      <x:c r="AI63" s="126" t="n">
        <x:f>Assumptions!$E$59*POWER(1+Assumptions!$E$61,INT((AI$6-1)/3))</x:f>
        <x:v>35408.724431212184</x:v>
      </x:c>
      <x:c r="AJ63" s="126" t="n">
        <x:f>Assumptions!$E$59*POWER(1+Assumptions!$E$61,INT((AJ$6-1)/3))</x:f>
        <x:v>37887.33514139704</x:v>
      </x:c>
      <x:c r="AK63" s="126" t="n">
        <x:f>Assumptions!$E$59*POWER(1+Assumptions!$E$61,INT((AK$6-1)/3))</x:f>
        <x:v>37887.33514139704</x:v>
      </x:c>
      <x:c r="AL63" s="127" t="n">
        <x:f>Assumptions!$E$59*POWER(1+Assumptions!$E$61,INT((AL$6-1)/3))</x:f>
        <x:v>37887.33514139704</x:v>
      </x:c>
    </x:row>
    <x:row r="64">
      <x:c r="A64" s="49" t="str">
        <x:v>Variable marketing</x:v>
      </x:c>
      <x:c r="B64" s="50" t="str">
        <x:v>$</x:v>
      </x:c>
      <x:c r="C64" s="126" t="n">
        <x:f>C43*Assumptions!$E$60</x:f>
        <x:v>7991.676</x:v>
      </x:c>
      <x:c r="D64" s="126" t="n">
        <x:f>D43*Assumptions!$E$60</x:f>
        <x:v>18052.19308535227</x:v>
      </x:c>
      <x:c r="E64" s="126" t="n">
        <x:f>E43*Assumptions!$E$60</x:f>
        <x:v>31421.69376452429</x:v>
      </x:c>
      <x:c r="F64" s="126" t="n">
        <x:f>F43*Assumptions!$E$60</x:f>
        <x:v>34856.98083169327</x:v>
      </x:c>
      <x:c r="G64" s="126" t="n">
        <x:f>G43*Assumptions!$E$60</x:f>
        <x:v>51620.67269939649</x:v>
      </x:c>
      <x:c r="H64" s="126" t="n">
        <x:f>H43*Assumptions!$E$60</x:f>
        <x:v>57981.48959173474</x:v>
      </x:c>
      <x:c r="I64" s="126" t="n">
        <x:f>I43*Assumptions!$E$60</x:f>
        <x:v>65465.3482180659</x:v>
      </x:c>
      <x:c r="J64" s="126" t="n">
        <x:f>J43*Assumptions!$E$60</x:f>
        <x:v>80306.1899970538</x:v>
      </x:c>
      <x:c r="K64" s="126" t="n">
        <x:f>K43*Assumptions!$E$60</x:f>
        <x:v>88687.92140421357</x:v>
      </x:c>
      <x:c r="L64" s="126" t="n">
        <x:f>L43*Assumptions!$E$60</x:f>
        <x:v>96787.41087816637</x:v>
      </x:c>
      <x:c r="M64" s="126" t="n">
        <x:f>M43*Assumptions!$E$60</x:f>
        <x:v>105790.47313432167</x:v>
      </x:c>
      <x:c r="N64" s="126" t="n">
        <x:f>N43*Assumptions!$E$60</x:f>
        <x:v>114147.97985825615</x:v>
      </x:c>
      <x:c r="O64" s="126" t="n">
        <x:f>O43*Assumptions!$E$60</x:f>
        <x:v>123227.99059517952</x:v>
      </x:c>
      <x:c r="P64" s="126" t="n">
        <x:f>P43*Assumptions!$E$60</x:f>
        <x:v>133056.5166785633</x:v>
      </x:c>
      <x:c r="Q64" s="126" t="n">
        <x:f>Q43*Assumptions!$E$60</x:f>
        <x:v>142792.6343222622</x:v>
      </x:c>
      <x:c r="R64" s="126" t="n">
        <x:f>R43*Assumptions!$E$60</x:f>
        <x:v>153199.7261641151</x:v>
      </x:c>
      <x:c r="S64" s="126" t="n">
        <x:f>S43*Assumptions!$E$60</x:f>
        <x:v>164325.02424891532</x:v>
      </x:c>
      <x:c r="T64" s="126" t="n">
        <x:f>T43*Assumptions!$E$60</x:f>
        <x:v>176219.06026831872</x:v>
      </x:c>
      <x:c r="U64" s="126" t="n">
        <x:f>U43*Assumptions!$E$60</x:f>
        <x:v>188935.8967010309</x:v>
      </x:c>
      <x:c r="V64" s="126" t="n">
        <x:f>V43*Assumptions!$E$60</x:f>
        <x:v>202533.3741286847</x:v>
      </x:c>
      <x:c r="W64" s="126" t="n">
        <x:f>W43*Assumptions!$E$60</x:f>
        <x:v>217073.3758598097</x:v>
      </x:c>
      <x:c r="X64" s="126" t="n">
        <x:f>X43*Assumptions!$E$60</x:f>
        <x:v>230036.0225221566</x:v>
      </x:c>
      <x:c r="Y64" s="126" t="n">
        <x:f>Y43*Assumptions!$E$60</x:f>
        <x:v>239784.93761044354</x:v>
      </x:c>
      <x:c r="Z64" s="126" t="n">
        <x:f>Z43*Assumptions!$E$60</x:f>
        <x:v>247121.72945087517</x:v>
      </x:c>
      <x:c r="AA64" s="126" t="n">
        <x:f>AA43*Assumptions!$E$60</x:f>
        <x:v>251443.38018059594</x:v>
      </x:c>
      <x:c r="AB64" s="126" t="n">
        <x:f>AB43*Assumptions!$E$60</x:f>
        <x:v>255264.20170471494</x:v>
      </x:c>
      <x:c r="AC64" s="126" t="n">
        <x:f>AC43*Assumptions!$E$60</x:f>
        <x:v>259261.3511533603</x:v>
      </x:c>
      <x:c r="AD64" s="126" t="n">
        <x:f>AD43*Assumptions!$E$60</x:f>
        <x:v>261464.3843117987</x:v>
      </x:c>
      <x:c r="AE64" s="126" t="n">
        <x:f>AE43*Assumptions!$E$60</x:f>
        <x:v>263297.7214884595</x:v>
      </x:c>
      <x:c r="AF64" s="126" t="n">
        <x:f>AF43*Assumptions!$E$60</x:f>
        <x:v>265141.15192624065</x:v>
      </x:c>
      <x:c r="AG64" s="126" t="n">
        <x:f>AG43*Assumptions!$E$60</x:f>
        <x:v>266998.33816195175</x:v>
      </x:c>
      <x:c r="AH64" s="126" t="n">
        <x:f>AH43*Assumptions!$E$60</x:f>
        <x:v>268873.1252097658</x:v>
      </x:c>
      <x:c r="AI64" s="126" t="n">
        <x:f>AI43*Assumptions!$E$60</x:f>
        <x:v>270769.55518213985</x:v>
      </x:c>
      <x:c r="AJ64" s="126" t="n">
        <x:f>AJ43*Assumptions!$E$60</x:f>
        <x:v>272691.8828880129</x:v>
      </x:c>
      <x:c r="AK64" s="126" t="n">
        <x:f>AK43*Assumptions!$E$60</x:f>
        <x:v>274644.5924778439</x:v>
      </x:c>
      <x:c r="AL64" s="127" t="n">
        <x:f>AL43*Assumptions!$E$60</x:f>
        <x:v>276632.4152098964</x:v>
      </x:c>
    </x:row>
    <x:row r="65">
      <x:c r="A65" s="142" t="str">
        <x:v>Total operating expenses</x:v>
      </x:c>
      <x:c r="B65" s="143" t="str">
        <x:v>$</x:v>
      </x:c>
      <x:c r="C65" s="154" t="n">
        <x:f>SUM(C59:C64)</x:f>
        <x:v>205991.676</x:v>
      </x:c>
      <x:c r="D65" s="154" t="n">
        <x:f>SUM(D59:D64)</x:f>
        <x:v>216052.19308535228</x:v>
      </x:c>
      <x:c r="E65" s="154" t="n">
        <x:f>SUM(E59:E64)</x:f>
        <x:v>229421.6937645243</x:v>
      </x:c>
      <x:c r="F65" s="154" t="n">
        <x:f>SUM(F59:F64)</x:f>
        <x:v>246716.98083169328</x:v>
      </x:c>
      <x:c r="G65" s="154" t="n">
        <x:f>SUM(G59:G64)</x:f>
        <x:v>263480.6726993965</x:v>
      </x:c>
      <x:c r="H65" s="154" t="n">
        <x:f>SUM(H59:H64)</x:f>
        <x:v>269841.4895917347</x:v>
      </x:c>
      <x:c r="I65" s="154" t="n">
        <x:f>SUM(I59:I64)</x:f>
        <x:v>292155.54821806593</x:v>
      </x:c>
      <x:c r="J65" s="154" t="n">
        <x:f>SUM(J59:J64)</x:f>
        <x:v>306996.38999705383</x:v>
      </x:c>
      <x:c r="K65" s="154" t="n">
        <x:f>SUM(K59:K64)</x:f>
        <x:v>315378.1214042136</x:v>
      </x:c>
      <x:c r="L65" s="154" t="n">
        <x:f>SUM(L59:L64)</x:f>
        <x:v>339345.9248781664</x:v>
      </x:c>
      <x:c r="M65" s="154" t="n">
        <x:f>SUM(M59:M64)</x:f>
        <x:v>348348.9871343217</x:v>
      </x:c>
      <x:c r="N65" s="154" t="n">
        <x:f>SUM(N59:N64)</x:f>
        <x:v>356706.49385825614</x:v>
      </x:c>
      <x:c r="O65" s="154" t="n">
        <x:f>SUM(O59:O64)</x:f>
        <x:v>382765.60057517956</x:v>
      </x:c>
      <x:c r="P65" s="154" t="n">
        <x:f>SUM(P59:P64)</x:f>
        <x:v>392594.1266585633</x:v>
      </x:c>
      <x:c r="Q65" s="154" t="n">
        <x:f>SUM(Q59:Q64)</x:f>
        <x:v>402330.2443022622</x:v>
      </x:c>
      <x:c r="R65" s="154" t="n">
        <x:f>SUM(R59:R64)</x:f>
        <x:v>430904.96884271514</x:v>
      </x:c>
      <x:c r="S65" s="154" t="n">
        <x:f>SUM(S59:S64)</x:f>
        <x:v>442030.26692751533</x:v>
      </x:c>
      <x:c r="T65" s="154" t="n">
        <x:f>SUM(T59:T64)</x:f>
        <x:v>453924.30294691876</x:v>
      </x:c>
      <x:c r="U65" s="154" t="n">
        <x:f>SUM(U59:U64)</x:f>
        <x:v>486080.5063671329</x:v>
      </x:c>
      <x:c r="V65" s="154" t="n">
        <x:f>SUM(V59:V64)</x:f>
        <x:v>499677.9837947867</x:v>
      </x:c>
      <x:c r="W65" s="154" t="n">
        <x:f>SUM(W59:W64)</x:f>
        <x:v>514217.9855259117</x:v>
      </x:c>
      <x:c r="X65" s="154" t="n">
        <x:f>SUM(X59:X64)</x:f>
        <x:v>547980.7548648857</x:v>
      </x:c>
      <x:c r="Y65" s="154" t="n">
        <x:f>SUM(Y59:Y64)</x:f>
        <x:v>557729.6699531727</x:v>
      </x:c>
      <x:c r="Z65" s="154" t="n">
        <x:f>SUM(Z59:Z64)</x:f>
        <x:v>565066.4617936043</x:v>
      </x:c>
      <x:c r="AA65" s="154" t="n">
        <x:f>SUM(AA59:AA64)</x:f>
        <x:v>591644.2437873161</x:v>
      </x:c>
      <x:c r="AB65" s="154" t="n">
        <x:f>SUM(AB59:AB64)</x:f>
        <x:v>595465.0653114351</x:v>
      </x:c>
      <x:c r="AC65" s="154" t="n">
        <x:f>SUM(AC59:AC64)</x:f>
        <x:v>599462.2147600806</x:v>
      </x:c>
      <x:c r="AD65" s="154" t="n">
        <x:f>SUM(AD59:AD64)</x:f>
        <x:v>625479.3083709894</x:v>
      </x:c>
      <x:c r="AE65" s="154" t="n">
        <x:f>SUM(AE59:AE64)</x:f>
        <x:v>627312.6455476502</x:v>
      </x:c>
      <x:c r="AF65" s="154" t="n">
        <x:f>SUM(AF59:AF64)</x:f>
        <x:v>629156.0759854313</x:v>
      </x:c>
      <x:c r="AG65" s="154" t="n">
        <x:f>SUM(AG59:AG64)</x:f>
        <x:v>656494.3069052857</x:v>
      </x:c>
      <x:c r="AH65" s="154" t="n">
        <x:f>SUM(AH59:AH64)</x:f>
        <x:v>658369.0939530998</x:v>
      </x:c>
      <x:c r="AI65" s="154" t="n">
        <x:f>SUM(AI59:AI64)</x:f>
        <x:v>660265.5239254738</x:v>
      </x:c>
      <x:c r="AJ65" s="154" t="n">
        <x:f>SUM(AJ59:AJ64)</x:f>
        <x:v>689452.5694433803</x:v>
      </x:c>
      <x:c r="AK65" s="154" t="n">
        <x:f>SUM(AK59:AK64)</x:f>
        <x:v>691405.2790332113</x:v>
      </x:c>
      <x:c r="AL65" s="155" t="n">
        <x:f>SUM(AL59:AL64)</x:f>
        <x:v>693393.1017652638</x:v>
      </x:c>
    </x:row>
    <x:row r="66">
      <x:c r="A66" s="142" t="str">
        <x:v>EBITDA</x:v>
      </x:c>
      <x:c r="B66" s="143" t="str">
        <x:v>$</x:v>
      </x:c>
      <x:c r="C66" s="154" t="n">
        <x:f>C55-C65</x:f>
        <x:v>-138821.49599999998</x:v>
      </x:c>
      <x:c r="D66" s="154" t="n">
        <x:f>D55-D65</x:f>
        <x:v>-70144.38668696131</x:v>
      </x:c>
      <x:c r="E66" s="154" t="n">
        <x:f>E55-E65</x:f>
        <x:v>14704.762457047473</x:v>
      </x:c>
      <x:c r="F66" s="154" t="n">
        <x:f>F55-F65</x:f>
        <x:v>24244.38000202237</x:v>
      </x:c>
      <x:c r="G66" s="154" t="n">
        <x:f>G55-G65</x:f>
        <x:v>123896.7762866607</x:v>
      </x:c>
      <x:c r="H66" s="154" t="n">
        <x:f>H55-H65</x:f>
        <x:v>166044.78091341304</x:v>
      </x:c>
      <x:c r="I66" s="154" t="n">
        <x:f>I55-I65</x:f>
        <x:v>200657.30726085498</x:v>
      </x:c>
      <x:c r="J66" s="154" t="n">
        <x:f>J55-J65</x:f>
        <x:v>289759.78481366736</x:v>
      </x:c>
      <x:c r="K66" s="154" t="n">
        <x:f>K55-K65</x:f>
        <x:v>343121.99510349566</x:v>
      </x:c>
      <x:c r="L66" s="154" t="n">
        <x:f>L55-L65</x:f>
        <x:v>378733.8963327495</x:v>
      </x:c>
      <x:c r="M66" s="154" t="n">
        <x:f>M55-M65</x:f>
        <x:v>435749.9171446846</x:v>
      </x:c>
      <x:c r="N66" s="154" t="n">
        <x:f>N55-N65</x:f>
        <x:v>489570.81170776254</x:v>
      </x:c>
      <x:c r="O66" s="154" t="n">
        <x:f>O55-O65</x:f>
        <x:v>530925.9821343222</x:v>
      </x:c>
      <x:c r="P66" s="154" t="n">
        <x:f>P55-P65</x:f>
        <x:v>593960.3710768565</x:v>
      </x:c>
      <x:c r="Q66" s="154" t="n">
        <x:f>Q55-Q65</x:f>
        <x:v>657129.4283911212</x:v>
      </x:c>
      <x:c r="R66" s="154" t="n">
        <x:f>R55-R65</x:f>
        <x:v>706467.0820527776</x:v>
      </x:c>
      <x:c r="S66" s="154" t="n">
        <x:f>S55-S65</x:f>
        <x:v>778614.273616395</x:v>
      </x:c>
      <x:c r="T66" s="154" t="n">
        <x:f>T55-T65</x:f>
        <x:v>855730.3903686547</x:v>
      </x:c>
      <x:c r="U66" s="154" t="n">
        <x:f>U55-U65</x:f>
        <x:v>918725.9245407808</x:v>
      </x:c>
      <x:c r="V66" s="154" t="n">
        <x:f>V55-V65</x:f>
        <x:v>1006853.9086104245</x:v>
      </x:c>
      <x:c r="W66" s="154" t="n">
        <x:f>W55-W65</x:f>
        <x:v>1101075.4253980643</x:v>
      </x:c>
      <x:c r="X66" s="154" t="n">
        <x:f>X55-X65</x:f>
        <x:v>1163490.8516564334</x:v>
      </x:c>
      <x:c r="Y66" s="154" t="n">
        <x:f>Y55-Y65</x:f>
        <x:v>1226154.7458824888</x:v>
      </x:c>
      <x:c r="Z66" s="154" t="n">
        <x:f>Z55-Z65</x:f>
        <x:v>1271237.1279040475</x:v>
      </x:c>
      <x:c r="AA66" s="154" t="n">
        <x:f>AA55-AA65</x:f>
        <x:v>1277202.543126088</x:v>
      </x:c>
      <x:c r="AB66" s="154" t="n">
        <x:f>AB55-AB65</x:f>
        <x:v>1302655.178379367</x:v>
      </x:c>
      <x:c r="AC66" s="154" t="n">
        <x:f>AC55-AC65</x:f>
        <x:v>1329150.3359339507</x:v>
      </x:c>
      <x:c r="AD66" s="154" t="n">
        <x:f>AD55-AD65</x:f>
        <x:v>1322079.6034360286</x:v>
      </x:c>
      <x:c r="AE66" s="154" t="n">
        <x:f>AE55-AE65</x:f>
        <x:v>1336819.1823121328</x:v>
      </x:c>
      <x:c r="AF66" s="154" t="n">
        <x:f>AF55-AF65</x:f>
        <x:v>1351631.4711639024</x:v>
      </x:c>
      <x:c r="AG66" s="154" t="n">
        <x:f>AG55-AG65</x:f>
        <x:v>1341064.4915191338</x:v>
      </x:c>
      <x:c r="AH66" s="154" t="n">
        <x:f>AH55-AH65</x:f>
        <x:v>1356110.8341800452</x:v>
      </x:c>
      <x:c r="AI66" s="154" t="n">
        <x:f>AI55-AI65</x:f>
        <x:v>1371321.5065692826</x:v>
      </x:c>
      <x:c r="AJ66" s="154" t="n">
        <x:f>AJ55-AJ65</x:f>
        <x:v>1359465.516812243</x:v>
      </x:c>
      <x:c r="AK66" s="154" t="n">
        <x:f>AK55-AK65</x:f>
        <x:v>1375107.8317146332</x:v>
      </x:c>
      <x:c r="AL66" s="155" t="n">
        <x:f>AL55-AL65</x:f>
        <x:v>1391021.2101466495</x:v>
      </x:c>
    </x:row>
    <x:row r="67">
      <x:c r="A67" s="49" t="str">
        <x:v>EBITDA margin</x:v>
      </x:c>
      <x:c r="B67" s="50" t="str">
        <x:v>%</x:v>
      </x:c>
      <x:c r="C67" s="118" t="n">
        <x:f>IFERROR(C66/C43,0)</x:f>
        <x:v>-1.5633685149397945</x:v>
      </x:c>
      <x:c r="D67" s="118" t="n">
        <x:f>IFERROR(D66/D43,0)</x:f>
        <x:v>-0.3497079148211053</x:v>
      </x:c>
      <x:c r="E67" s="118" t="n">
        <x:f>IFERROR(E66/E43,0)</x:f>
        <x:v>0.0421183094409904</x:v>
      </x:c>
      <x:c r="F67" s="118" t="n">
        <x:f>IFERROR(F66/F43,0)</x:f>
        <x:v>0.0625984852422463</x:v>
      </x:c>
      <x:c r="G67" s="118" t="n">
        <x:f>IFERROR(G66/G43,0)</x:f>
        <x:v>0.21601248652324956</x:v>
      </x:c>
      <x:c r="H67" s="118" t="n">
        <x:f>IFERROR(H66/H43,0)</x:f>
        <x:v>0.2577379502912503</x:v>
      </x:c>
      <x:c r="I67" s="118" t="n">
        <x:f>IFERROR(I66/I43,0)</x:f>
        <x:v>0.2758582692223933</x:v>
      </x:c>
      <x:c r="J67" s="118" t="n">
        <x:f>IFERROR(J66/J43,0)</x:f>
        <x:v>0.3247368681565742</x:v>
      </x:c>
      <x:c r="K67" s="118" t="n">
        <x:f>IFERROR(K66/K43,0)</x:f>
        <x:v>0.34819825597860327</x:v>
      </x:c>
      <x:c r="L67" s="118" t="n">
        <x:f>IFERROR(L66/L43,0)</x:f>
        <x:v>0.352174423932614</x:v>
      </x:c>
      <x:c r="M67" s="118" t="n">
        <x:f>IFERROR(M66/M43,0)</x:f>
        <x:v>0.3707091137897393</x:v>
      </x:c>
      <x:c r="N67" s="118" t="n">
        <x:f>IFERROR(N66/N43,0)</x:f>
        <x:v>0.3860022149179693</x:v>
      </x:c>
      <x:c r="O67" s="118" t="n">
        <x:f>IFERROR(O66/O43,0)</x:f>
        <x:v>0.38776367415633406</x:v>
      </x:c>
      <x:c r="P67" s="118" t="n">
        <x:f>IFERROR(P66/P43,0)</x:f>
        <x:v>0.4017573489170519</x:v>
      </x:c>
      <x:c r="Q67" s="118" t="n">
        <x:f>IFERROR(Q66/Q43,0)</x:f>
        <x:v>0.4141785662538224</x:v>
      </x:c>
      <x:c r="R67" s="118" t="n">
        <x:f>IFERROR(R66/R43,0)</x:f>
        <x:v>0.4150270955225976</x:v>
      </x:c>
      <x:c r="S67" s="118" t="n">
        <x:f>IFERROR(S66/S43,0)</x:f>
        <x:v>0.42644317227866224</x:v>
      </x:c>
      <x:c r="T67" s="118" t="n">
        <x:f>IFERROR(T66/T43,0)</x:f>
        <x:v>0.4370454309307487</x:v>
      </x:c>
      <x:c r="U67" s="118" t="n">
        <x:f>IFERROR(U66/U43,0)</x:f>
        <x:v>0.4376369692177141</x:v>
      </x:c>
      <x:c r="V67" s="118" t="n">
        <x:f>IFERROR(V66/V43,0)</x:f>
        <x:v>0.44741688704283616</x:v>
      </x:c>
      <x:c r="W67" s="118" t="n">
        <x:f>IFERROR(W66/W43,0)</x:f>
        <x:v>0.4565128629584886</x:v>
      </x:c>
      <x:c r="X67" s="118" t="n">
        <x:f>IFERROR(X66/X43,0)</x:f>
        <x:v>0.455207734427738</x:v>
      </x:c>
      <x:c r="Y67" s="118" t="n">
        <x:f>IFERROR(Y66/Y43,0)</x:f>
        <x:v>0.46022043014522385</x:v>
      </x:c>
      <x:c r="Z67" s="118" t="n">
        <x:f>IFERROR(Z66/Z43,0)</x:f>
        <x:v>0.4629756426745463</x:v>
      </x:c>
      <x:c r="AA67" s="118" t="n">
        <x:f>IFERROR(AA66/AA43,0)</x:f>
        <x:v>0.45715353014578414</x:v>
      </x:c>
      <x:c r="AB67" s="118" t="n">
        <x:f>IFERROR(AB66/AB43,0)</x:f>
        <x:v>0.45928479305438596</x:v>
      </x:c>
      <x:c r="AC67" s="118" t="n">
        <x:f>IFERROR(AC66/AC43,0)</x:f>
        <x:v>0.4614013222637836</x:v>
      </x:c>
      <x:c r="AD67" s="118" t="n">
        <x:f>IFERROR(AD66/AD43,0)</x:f>
        <x:v>0.4550798175530832</x:v>
      </x:c>
      <x:c r="AE67" s="118" t="n">
        <x:f>IFERROR(AE66/AE43,0)</x:f>
        <x:v>0.45694936411884357</x:v>
      </x:c>
      <x:c r="AF67" s="118" t="n">
        <x:f>IFERROR(AF66/AF43,0)</x:f>
        <x:v>0.4588002711800544</x:v>
      </x:c>
      <x:c r="AG67" s="118" t="n">
        <x:f>IFERROR(AG66/AG43,0)</x:f>
        <x:v>0.4520470242159793</x:v>
      </x:c>
      <x:c r="AH67" s="118" t="n">
        <x:f>IFERROR(AH66/AH43,0)</x:f>
        <x:v>0.453931477833587</x:v>
      </x:c>
      <x:c r="AI67" s="118" t="n">
        <x:f>IFERROR(AI66/AI43,0)</x:f>
        <x:v>0.45580802283408345</x:v>
      </x:c>
      <x:c r="AJ67" s="118" t="n">
        <x:f>IFERROR(AJ66/AJ43,0)</x:f>
        <x:v>0.44868184273511524</x:v>
      </x:c>
      <x:c r="AK67" s="118" t="n">
        <x:f>IFERROR(AK66/AK43,0)</x:f>
        <x:v>0.45061766458883</x:v>
      </x:c>
      <x:c r="AL67" s="119" t="n">
        <x:f>IFERROR(AL66/AL43,0)</x:f>
        <x:v>0.45255690233629486</x:v>
      </x:c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 ht="23" customHeight="1">
      <x:c r="A69" s="416" t="str">
        <x:v>CASH, REINVESTMENT &amp; PROOF ASSETS</x:v>
      </x:c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9" t="str">
        <x:v>Growth reinvestment</x:v>
      </x:c>
      <x:c r="B70" s="50" t="str">
        <x:v>$</x:v>
      </x:c>
      <x:c r="C70" s="126" t="n">
        <x:f>MAX(0,C66)*Assumptions!$E$62</x:f>
        <x:v>0</x:v>
      </x:c>
      <x:c r="D70" s="126" t="n">
        <x:f>MAX(0,D66)*Assumptions!$E$62</x:f>
        <x:v>0</x:v>
      </x:c>
      <x:c r="E70" s="126" t="n">
        <x:f>MAX(0,E66)*Assumptions!$E$62</x:f>
        <x:v>3676.190614261868</x:v>
      </x:c>
      <x:c r="F70" s="126" t="n">
        <x:f>MAX(0,F66)*Assumptions!$E$62</x:f>
        <x:v>6061.095000505593</x:v>
      </x:c>
      <x:c r="G70" s="126" t="n">
        <x:f>MAX(0,G66)*Assumptions!$E$62</x:f>
        <x:v>30974.194071665173</x:v>
      </x:c>
      <x:c r="H70" s="126" t="n">
        <x:f>MAX(0,H66)*Assumptions!$E$62</x:f>
        <x:v>41511.19522835326</x:v>
      </x:c>
      <x:c r="I70" s="126" t="n">
        <x:f>MAX(0,I66)*Assumptions!$E$62</x:f>
        <x:v>50164.326815213746</x:v>
      </x:c>
      <x:c r="J70" s="126" t="n">
        <x:f>MAX(0,J66)*Assumptions!$E$62</x:f>
        <x:v>72439.94620341684</x:v>
      </x:c>
      <x:c r="K70" s="126" t="n">
        <x:f>MAX(0,K66)*Assumptions!$E$62</x:f>
        <x:v>85780.49877587392</x:v>
      </x:c>
      <x:c r="L70" s="126" t="n">
        <x:f>MAX(0,L66)*Assumptions!$E$62</x:f>
        <x:v>94683.47408318738</x:v>
      </x:c>
      <x:c r="M70" s="126" t="n">
        <x:f>MAX(0,M66)*Assumptions!$E$62</x:f>
        <x:v>108937.47928617115</x:v>
      </x:c>
      <x:c r="N70" s="126" t="n">
        <x:f>MAX(0,N66)*Assumptions!$E$62</x:f>
        <x:v>122392.70292694063</x:v>
      </x:c>
      <x:c r="O70" s="126" t="n">
        <x:f>MAX(0,O66)*Assumptions!$E$62</x:f>
        <x:v>132731.49553358054</x:v>
      </x:c>
      <x:c r="P70" s="126" t="n">
        <x:f>MAX(0,P66)*Assumptions!$E$62</x:f>
        <x:v>148490.09276921413</x:v>
      </x:c>
      <x:c r="Q70" s="126" t="n">
        <x:f>MAX(0,Q66)*Assumptions!$E$62</x:f>
        <x:v>164282.3570977803</x:v>
      </x:c>
      <x:c r="R70" s="126" t="n">
        <x:f>MAX(0,R66)*Assumptions!$E$62</x:f>
        <x:v>176616.7705131944</x:v>
      </x:c>
      <x:c r="S70" s="126" t="n">
        <x:f>MAX(0,S66)*Assumptions!$E$62</x:f>
        <x:v>194653.56840409874</x:v>
      </x:c>
      <x:c r="T70" s="126" t="n">
        <x:f>MAX(0,T66)*Assumptions!$E$62</x:f>
        <x:v>213932.5975921637</x:v>
      </x:c>
      <x:c r="U70" s="126" t="n">
        <x:f>MAX(0,U66)*Assumptions!$E$62</x:f>
        <x:v>229681.4811351952</x:v>
      </x:c>
      <x:c r="V70" s="126" t="n">
        <x:f>MAX(0,V66)*Assumptions!$E$62</x:f>
        <x:v>251713.47715260612</x:v>
      </x:c>
      <x:c r="W70" s="126" t="n">
        <x:f>MAX(0,W66)*Assumptions!$E$62</x:f>
        <x:v>275268.8563495161</x:v>
      </x:c>
      <x:c r="X70" s="126" t="n">
        <x:f>MAX(0,X66)*Assumptions!$E$62</x:f>
        <x:v>290872.71291410836</x:v>
      </x:c>
      <x:c r="Y70" s="126" t="n">
        <x:f>MAX(0,Y66)*Assumptions!$E$62</x:f>
        <x:v>306538.6864706222</x:v>
      </x:c>
      <x:c r="Z70" s="126" t="n">
        <x:f>MAX(0,Z66)*Assumptions!$E$62</x:f>
        <x:v>317809.2819760119</x:v>
      </x:c>
      <x:c r="AA70" s="126" t="n">
        <x:f>MAX(0,AA66)*Assumptions!$E$62</x:f>
        <x:v>319300.635781522</x:v>
      </x:c>
      <x:c r="AB70" s="126" t="n">
        <x:f>MAX(0,AB66)*Assumptions!$E$62</x:f>
        <x:v>325663.7945948418</x:v>
      </x:c>
      <x:c r="AC70" s="126" t="n">
        <x:f>MAX(0,AC66)*Assumptions!$E$62</x:f>
        <x:v>332287.5839834877</x:v>
      </x:c>
      <x:c r="AD70" s="126" t="n">
        <x:f>MAX(0,AD66)*Assumptions!$E$62</x:f>
        <x:v>330519.90085900715</x:v>
      </x:c>
      <x:c r="AE70" s="126" t="n">
        <x:f>MAX(0,AE66)*Assumptions!$E$62</x:f>
        <x:v>334204.7955780332</x:v>
      </x:c>
      <x:c r="AF70" s="126" t="n">
        <x:f>MAX(0,AF66)*Assumptions!$E$62</x:f>
        <x:v>337907.8677909756</x:v>
      </x:c>
      <x:c r="AG70" s="126" t="n">
        <x:f>MAX(0,AG66)*Assumptions!$E$62</x:f>
        <x:v>335266.12287978345</x:v>
      </x:c>
      <x:c r="AH70" s="126" t="n">
        <x:f>MAX(0,AH66)*Assumptions!$E$62</x:f>
        <x:v>339027.7085450113</x:v>
      </x:c>
      <x:c r="AI70" s="126" t="n">
        <x:f>MAX(0,AI66)*Assumptions!$E$62</x:f>
        <x:v>342830.37664232065</x:v>
      </x:c>
      <x:c r="AJ70" s="126" t="n">
        <x:f>MAX(0,AJ66)*Assumptions!$E$62</x:f>
        <x:v>339866.37920306076</x:v>
      </x:c>
      <x:c r="AK70" s="126" t="n">
        <x:f>MAX(0,AK66)*Assumptions!$E$62</x:f>
        <x:v>343776.9579286583</x:v>
      </x:c>
      <x:c r="AL70" s="127" t="n">
        <x:f>MAX(0,AL66)*Assumptions!$E$62</x:f>
        <x:v>347755.3025366624</x:v>
      </x:c>
    </x:row>
    <x:row r="71">
      <x:c r="A71" s="49" t="str">
        <x:v>Capex / capitalized infrastructure</x:v>
      </x:c>
      <x:c r="B71" s="50" t="str">
        <x:v>$</x:v>
      </x:c>
      <x:c r="C71" s="126" t="n">
        <x:f>C43*Assumptions!$E$63</x:f>
        <x:v>1775.928</x:v>
      </x:c>
      <x:c r="D71" s="126" t="n">
        <x:f>D43*Assumptions!$E$63</x:f>
        <x:v>4011.5984634116157</x:v>
      </x:c>
      <x:c r="E71" s="126" t="n">
        <x:f>E43*Assumptions!$E$63</x:f>
        <x:v>6982.598614338732</x:v>
      </x:c>
      <x:c r="F71" s="126" t="n">
        <x:f>F43*Assumptions!$E$63</x:f>
        <x:v>7745.995740376283</x:v>
      </x:c>
      <x:c r="G71" s="126" t="n">
        <x:f>G43*Assumptions!$E$63</x:f>
        <x:v>11471.260599865887</x:v>
      </x:c>
      <x:c r="H71" s="126" t="n">
        <x:f>H43*Assumptions!$E$63</x:f>
        <x:v>12884.775464829943</x:v>
      </x:c>
      <x:c r="I71" s="126" t="n">
        <x:f>I43*Assumptions!$E$63</x:f>
        <x:v>14547.855159570201</x:v>
      </x:c>
      <x:c r="J71" s="126" t="n">
        <x:f>J43*Assumptions!$E$63</x:f>
        <x:v>17845.81999934529</x:v>
      </x:c>
      <x:c r="K71" s="126" t="n">
        <x:f>K43*Assumptions!$E$63</x:f>
        <x:v>19708.426978714127</x:v>
      </x:c>
      <x:c r="L71" s="126" t="n">
        <x:f>L43*Assumptions!$E$63</x:f>
        <x:v>21508.313528481416</x:v>
      </x:c>
      <x:c r="M71" s="126" t="n">
        <x:f>M43*Assumptions!$E$63</x:f>
        <x:v>23508.994029849262</x:v>
      </x:c>
      <x:c r="N71" s="126" t="n">
        <x:f>N43*Assumptions!$E$63</x:f>
        <x:v>25366.217746279148</x:v>
      </x:c>
      <x:c r="O71" s="126" t="n">
        <x:f>O43*Assumptions!$E$63</x:f>
        <x:v>27383.997910039896</x:v>
      </x:c>
      <x:c r="P71" s="126" t="n">
        <x:f>P43*Assumptions!$E$63</x:f>
        <x:v>29568.114817458507</x:v>
      </x:c>
      <x:c r="Q71" s="126" t="n">
        <x:f>Q43*Assumptions!$E$63</x:f>
        <x:v>31731.69651605827</x:v>
      </x:c>
      <x:c r="R71" s="126" t="n">
        <x:f>R43*Assumptions!$E$63</x:f>
        <x:v>34044.38359202558</x:v>
      </x:c>
      <x:c r="S71" s="126" t="n">
        <x:f>S43*Assumptions!$E$63</x:f>
        <x:v>36516.67205531451</x:v>
      </x:c>
      <x:c r="T71" s="126" t="n">
        <x:f>T43*Assumptions!$E$63</x:f>
        <x:v>39159.791170737495</x:v>
      </x:c>
      <x:c r="U71" s="126" t="n">
        <x:f>U43*Assumptions!$E$63</x:f>
        <x:v>41985.754822451316</x:v>
      </x:c>
      <x:c r="V71" s="126" t="n">
        <x:f>V43*Assumptions!$E$63</x:f>
        <x:v>45007.41647304105</x:v>
      </x:c>
      <x:c r="W71" s="126" t="n">
        <x:f>W43*Assumptions!$E$63</x:f>
        <x:v>48238.527968846596</x:v>
      </x:c>
      <x:c r="X71" s="126" t="n">
        <x:f>X43*Assumptions!$E$63</x:f>
        <x:v>51119.1161160348</x:v>
      </x:c>
      <x:c r="Y71" s="126" t="n">
        <x:f>Y43*Assumptions!$E$63</x:f>
        <x:v>53285.54169120968</x:v>
      </x:c>
      <x:c r="Z71" s="126" t="n">
        <x:f>Z43*Assumptions!$E$63</x:f>
        <x:v>54915.93987797226</x:v>
      </x:c>
      <x:c r="AA71" s="126" t="n">
        <x:f>AA43*Assumptions!$E$63</x:f>
        <x:v>55876.3067067991</x:v>
      </x:c>
      <x:c r="AB71" s="126" t="n">
        <x:f>AB43*Assumptions!$E$63</x:f>
        <x:v>56725.37815660332</x:v>
      </x:c>
      <x:c r="AC71" s="126" t="n">
        <x:f>AC43*Assumptions!$E$63</x:f>
        <x:v>57613.633589635625</x:v>
      </x:c>
      <x:c r="AD71" s="126" t="n">
        <x:f>AD43*Assumptions!$E$63</x:f>
        <x:v>58103.19651373305</x:v>
      </x:c>
      <x:c r="AE71" s="126" t="n">
        <x:f>AE43*Assumptions!$E$63</x:f>
        <x:v>58510.60477521323</x:v>
      </x:c>
      <x:c r="AF71" s="126" t="n">
        <x:f>AF43*Assumptions!$E$63</x:f>
        <x:v>58920.25598360904</x:v>
      </x:c>
      <x:c r="AG71" s="126" t="n">
        <x:f>AG43*Assumptions!$E$63</x:f>
        <x:v>59332.96403598928</x:v>
      </x:c>
      <x:c r="AH71" s="126" t="n">
        <x:f>AH43*Assumptions!$E$63</x:f>
        <x:v>59749.58337994795</x:v>
      </x:c>
      <x:c r="AI71" s="126" t="n">
        <x:f>AI43*Assumptions!$E$63</x:f>
        <x:v>60171.01226269775</x:v>
      </x:c>
      <x:c r="AJ71" s="126" t="n">
        <x:f>AJ43*Assumptions!$E$63</x:f>
        <x:v>60598.196197336205</x:v>
      </x:c>
      <x:c r="AK71" s="126" t="n">
        <x:f>AK43*Assumptions!$E$63</x:f>
        <x:v>61032.13166174309</x:v>
      </x:c>
      <x:c r="AL71" s="127" t="n">
        <x:f>AL43*Assumptions!$E$63</x:f>
        <x:v>61473.87004664364</x:v>
      </x:c>
    </x:row>
    <x:row r="72">
      <x:c r="A72" s="142" t="str">
        <x:v>Free cash flow</x:v>
      </x:c>
      <x:c r="B72" s="143" t="str">
        <x:v>$</x:v>
      </x:c>
      <x:c r="C72" s="154" t="n">
        <x:f>C66-C70-C71</x:f>
        <x:v>-140597.424</x:v>
      </x:c>
      <x:c r="D72" s="154" t="n">
        <x:f>D66-D70-D71</x:f>
        <x:v>-74155.98515037293</x:v>
      </x:c>
      <x:c r="E72" s="154" t="n">
        <x:f>E66-E70-E71</x:f>
        <x:v>4045.973228446873</x:v>
      </x:c>
      <x:c r="F72" s="154" t="n">
        <x:f>F66-F70-F71</x:f>
        <x:v>10437.289261140497</x:v>
      </x:c>
      <x:c r="G72" s="154" t="n">
        <x:f>G66-G70-G71</x:f>
        <x:v>81451.32161512964</x:v>
      </x:c>
      <x:c r="H72" s="154" t="n">
        <x:f>H66-H70-H71</x:f>
        <x:v>111648.81022022983</x:v>
      </x:c>
      <x:c r="I72" s="154" t="n">
        <x:f>I66-I70-I71</x:f>
        <x:v>135945.12528607104</x:v>
      </x:c>
      <x:c r="J72" s="154" t="n">
        <x:f>J66-J70-J71</x:f>
        <x:v>199474.01861090522</x:v>
      </x:c>
      <x:c r="K72" s="154" t="n">
        <x:f>K66-K70-K71</x:f>
        <x:v>237633.06934890762</x:v>
      </x:c>
      <x:c r="L72" s="154" t="n">
        <x:f>L66-L70-L71</x:f>
        <x:v>262542.1087210807</x:v>
      </x:c>
      <x:c r="M72" s="154" t="n">
        <x:f>M66-M70-M71</x:f>
        <x:v>303303.4438286642</x:v>
      </x:c>
      <x:c r="N72" s="154" t="n">
        <x:f>N66-N70-N71</x:f>
        <x:v>341811.89103454276</x:v>
      </x:c>
      <x:c r="O72" s="154" t="n">
        <x:f>O66-O70-O71</x:f>
        <x:v>370810.4886907017</x:v>
      </x:c>
      <x:c r="P72" s="154" t="n">
        <x:f>P66-P70-P71</x:f>
        <x:v>415902.1634901839</x:v>
      </x:c>
      <x:c r="Q72" s="154" t="n">
        <x:f>Q66-Q70-Q71</x:f>
        <x:v>461115.3747772826</x:v>
      </x:c>
      <x:c r="R72" s="154" t="n">
        <x:f>R66-R70-R71</x:f>
        <x:v>495805.92794755765</x:v>
      </x:c>
      <x:c r="S72" s="154" t="n">
        <x:f>S66-S70-S71</x:f>
        <x:v>547444.0331569817</x:v>
      </x:c>
      <x:c r="T72" s="154" t="n">
        <x:f>T66-T70-T71</x:f>
        <x:v>602638.0016057536</x:v>
      </x:c>
      <x:c r="U72" s="154" t="n">
        <x:f>U66-U70-U71</x:f>
        <x:v>647058.6885831343</x:v>
      </x:c>
      <x:c r="V72" s="154" t="n">
        <x:f>V66-V70-V71</x:f>
        <x:v>710133.0149847773</x:v>
      </x:c>
      <x:c r="W72" s="154" t="n">
        <x:f>W66-W70-W71</x:f>
        <x:v>777568.0410797016</x:v>
      </x:c>
      <x:c r="X72" s="154" t="n">
        <x:f>X66-X70-X71</x:f>
        <x:v>821499.0226262903</x:v>
      </x:c>
      <x:c r="Y72" s="154" t="n">
        <x:f>Y66-Y70-Y71</x:f>
        <x:v>866330.5177206569</x:v>
      </x:c>
      <x:c r="Z72" s="154" t="n">
        <x:f>Z66-Z70-Z71</x:f>
        <x:v>898511.9060500634</x:v>
      </x:c>
      <x:c r="AA72" s="154" t="n">
        <x:f>AA66-AA70-AA71</x:f>
        <x:v>902025.600637767</x:v>
      </x:c>
      <x:c r="AB72" s="154" t="n">
        <x:f>AB66-AB70-AB71</x:f>
        <x:v>920266.005627922</x:v>
      </x:c>
      <x:c r="AC72" s="154" t="n">
        <x:f>AC66-AC70-AC71</x:f>
        <x:v>939249.1183608274</x:v>
      </x:c>
      <x:c r="AD72" s="154" t="n">
        <x:f>AD66-AD70-AD71</x:f>
        <x:v>933456.5060632884</x:v>
      </x:c>
      <x:c r="AE72" s="154" t="n">
        <x:f>AE66-AE70-AE71</x:f>
        <x:v>944103.7819588864</x:v>
      </x:c>
      <x:c r="AF72" s="154" t="n">
        <x:f>AF66-AF70-AF71</x:f>
        <x:v>954803.3473893178</x:v>
      </x:c>
      <x:c r="AG72" s="154" t="n">
        <x:f>AG66-AG70-AG71</x:f>
        <x:v>946465.4046033612</x:v>
      </x:c>
      <x:c r="AH72" s="154" t="n">
        <x:f>AH66-AH70-AH71</x:f>
        <x:v>957333.542255086</x:v>
      </x:c>
      <x:c r="AI72" s="154" t="n">
        <x:f>AI66-AI70-AI71</x:f>
        <x:v>968320.1176642642</x:v>
      </x:c>
      <x:c r="AJ72" s="154" t="n">
        <x:f>AJ66-AJ70-AJ71</x:f>
        <x:v>959000.9414118461</x:v>
      </x:c>
      <x:c r="AK72" s="154" t="n">
        <x:f>AK66-AK70-AK71</x:f>
        <x:v>970298.7421242319</x:v>
      </x:c>
      <x:c r="AL72" s="155" t="n">
        <x:f>AL66-AL70-AL71</x:f>
        <x:v>981792.0375633434</x:v>
      </x:c>
    </x:row>
    <x:row r="73">
      <x:c r="A73" s="49" t="str">
        <x:v>Opening cash</x:v>
      </x:c>
      <x:c r="B73" s="50" t="str">
        <x:v>$</x:v>
      </x:c>
      <x:c r="C73" s="166" t="n">
        <x:f>Assumptions!$E$5</x:f>
        <x:v>1500000</x:v>
      </x:c>
      <x:c r="D73" s="126" t="n">
        <x:f>C74</x:f>
        <x:v>1359402.576</x:v>
      </x:c>
      <x:c r="E73" s="126" t="n">
        <x:f>D74</x:f>
        <x:v>1285246.590849627</x:v>
      </x:c>
      <x:c r="F73" s="126" t="n">
        <x:f>E74</x:f>
        <x:v>1289292.564078074</x:v>
      </x:c>
      <x:c r="G73" s="126" t="n">
        <x:f>F74</x:f>
        <x:v>1299729.8533392143</x:v>
      </x:c>
      <x:c r="H73" s="126" t="n">
        <x:f>G74</x:f>
        <x:v>1381181.174954344</x:v>
      </x:c>
      <x:c r="I73" s="126" t="n">
        <x:f>H74</x:f>
        <x:v>1492829.985174574</x:v>
      </x:c>
      <x:c r="J73" s="126" t="n">
        <x:f>I74</x:f>
        <x:v>1628775.110460645</x:v>
      </x:c>
      <x:c r="K73" s="126" t="n">
        <x:f>J74</x:f>
        <x:v>1828249.1290715502</x:v>
      </x:c>
      <x:c r="L73" s="126" t="n">
        <x:f>K74</x:f>
        <x:v>2065882.1984204578</x:v>
      </x:c>
      <x:c r="M73" s="126" t="n">
        <x:f>L74</x:f>
        <x:v>2328424.3071415387</x:v>
      </x:c>
      <x:c r="N73" s="126" t="n">
        <x:f>M74</x:f>
        <x:v>2631727.750970203</x:v>
      </x:c>
      <x:c r="O73" s="126" t="n">
        <x:f>N74</x:f>
        <x:v>2973539.6420047455</x:v>
      </x:c>
      <x:c r="P73" s="126" t="n">
        <x:f>O74</x:f>
        <x:v>3344350.1306954473</x:v>
      </x:c>
      <x:c r="Q73" s="126" t="n">
        <x:f>P74</x:f>
        <x:v>3760252.294185631</x:v>
      </x:c>
      <x:c r="R73" s="126" t="n">
        <x:f>Q74</x:f>
        <x:v>4221367.668962914</x:v>
      </x:c>
      <x:c r="S73" s="126" t="n">
        <x:f>R74</x:f>
        <x:v>4717173.596910471</x:v>
      </x:c>
      <x:c r="T73" s="126" t="n">
        <x:f>S74</x:f>
        <x:v>5264617.630067453</x:v>
      </x:c>
      <x:c r="U73" s="126" t="n">
        <x:f>T74</x:f>
        <x:v>5867255.631673207</x:v>
      </x:c>
      <x:c r="V73" s="126" t="n">
        <x:f>U74</x:f>
        <x:v>6514314.320256341</x:v>
      </x:c>
      <x:c r="W73" s="126" t="n">
        <x:f>V74</x:f>
        <x:v>7224447.335241118</x:v>
      </x:c>
      <x:c r="X73" s="126" t="n">
        <x:f>W74</x:f>
        <x:v>8002015.37632082</x:v>
      </x:c>
      <x:c r="Y73" s="126" t="n">
        <x:f>X74</x:f>
        <x:v>8823514.39894711</x:v>
      </x:c>
      <x:c r="Z73" s="126" t="n">
        <x:f>Y74</x:f>
        <x:v>9689844.916667767</x:v>
      </x:c>
      <x:c r="AA73" s="126" t="n">
        <x:f>Z74</x:f>
        <x:v>10588356.82271783</x:v>
      </x:c>
      <x:c r="AB73" s="126" t="n">
        <x:f>AA74</x:f>
        <x:v>11490382.423355598</x:v>
      </x:c>
      <x:c r="AC73" s="126" t="n">
        <x:f>AB74</x:f>
        <x:v>12410648.42898352</x:v>
      </x:c>
      <x:c r="AD73" s="126" t="n">
        <x:f>AC74</x:f>
        <x:v>13349897.547344347</x:v>
      </x:c>
      <x:c r="AE73" s="126" t="n">
        <x:f>AD74</x:f>
        <x:v>14283354.053407636</x:v>
      </x:c>
      <x:c r="AF73" s="126" t="n">
        <x:f>AE74</x:f>
        <x:v>15227457.835366521</x:v>
      </x:c>
      <x:c r="AG73" s="126" t="n">
        <x:f>AF74</x:f>
        <x:v>16182261.18275584</x:v>
      </x:c>
      <x:c r="AH73" s="126" t="n">
        <x:f>AG74</x:f>
        <x:v>17128726.5873592</x:v>
      </x:c>
      <x:c r="AI73" s="126" t="n">
        <x:f>AH74</x:f>
        <x:v>18086060.129614286</x:v>
      </x:c>
      <x:c r="AJ73" s="126" t="n">
        <x:f>AI74</x:f>
        <x:v>19054380.24727855</x:v>
      </x:c>
      <x:c r="AK73" s="126" t="n">
        <x:f>AJ74</x:f>
        <x:v>20013381.188690394</x:v>
      </x:c>
      <x:c r="AL73" s="127" t="n">
        <x:f>AK74</x:f>
        <x:v>20983679.930814628</x:v>
      </x:c>
    </x:row>
    <x:row r="74">
      <x:c r="A74" s="142" t="str">
        <x:v>Ending cash</x:v>
      </x:c>
      <x:c r="B74" s="143" t="str">
        <x:v>$</x:v>
      </x:c>
      <x:c r="C74" s="154" t="n">
        <x:f>C73+C72</x:f>
        <x:v>1359402.576</x:v>
      </x:c>
      <x:c r="D74" s="154" t="n">
        <x:f>D73+D72</x:f>
        <x:v>1285246.590849627</x:v>
      </x:c>
      <x:c r="E74" s="154" t="n">
        <x:f>E73+E72</x:f>
        <x:v>1289292.564078074</x:v>
      </x:c>
      <x:c r="F74" s="154" t="n">
        <x:f>F73+F72</x:f>
        <x:v>1299729.8533392143</x:v>
      </x:c>
      <x:c r="G74" s="154" t="n">
        <x:f>G73+G72</x:f>
        <x:v>1381181.174954344</x:v>
      </x:c>
      <x:c r="H74" s="154" t="n">
        <x:f>H73+H72</x:f>
        <x:v>1492829.985174574</x:v>
      </x:c>
      <x:c r="I74" s="154" t="n">
        <x:f>I73+I72</x:f>
        <x:v>1628775.110460645</x:v>
      </x:c>
      <x:c r="J74" s="154" t="n">
        <x:f>J73+J72</x:f>
        <x:v>1828249.1290715502</x:v>
      </x:c>
      <x:c r="K74" s="154" t="n">
        <x:f>K73+K72</x:f>
        <x:v>2065882.1984204578</x:v>
      </x:c>
      <x:c r="L74" s="154" t="n">
        <x:f>L73+L72</x:f>
        <x:v>2328424.3071415387</x:v>
      </x:c>
      <x:c r="M74" s="154" t="n">
        <x:f>M73+M72</x:f>
        <x:v>2631727.750970203</x:v>
      </x:c>
      <x:c r="N74" s="154" t="n">
        <x:f>N73+N72</x:f>
        <x:v>2973539.6420047455</x:v>
      </x:c>
      <x:c r="O74" s="154" t="n">
        <x:f>O73+O72</x:f>
        <x:v>3344350.1306954473</x:v>
      </x:c>
      <x:c r="P74" s="154" t="n">
        <x:f>P73+P72</x:f>
        <x:v>3760252.294185631</x:v>
      </x:c>
      <x:c r="Q74" s="154" t="n">
        <x:f>Q73+Q72</x:f>
        <x:v>4221367.668962914</x:v>
      </x:c>
      <x:c r="R74" s="154" t="n">
        <x:f>R73+R72</x:f>
        <x:v>4717173.596910471</x:v>
      </x:c>
      <x:c r="S74" s="154" t="n">
        <x:f>S73+S72</x:f>
        <x:v>5264617.630067453</x:v>
      </x:c>
      <x:c r="T74" s="154" t="n">
        <x:f>T73+T72</x:f>
        <x:v>5867255.631673207</x:v>
      </x:c>
      <x:c r="U74" s="154" t="n">
        <x:f>U73+U72</x:f>
        <x:v>6514314.320256341</x:v>
      </x:c>
      <x:c r="V74" s="154" t="n">
        <x:f>V73+V72</x:f>
        <x:v>7224447.335241118</x:v>
      </x:c>
      <x:c r="W74" s="154" t="n">
        <x:f>W73+W72</x:f>
        <x:v>8002015.37632082</x:v>
      </x:c>
      <x:c r="X74" s="154" t="n">
        <x:f>X73+X72</x:f>
        <x:v>8823514.39894711</x:v>
      </x:c>
      <x:c r="Y74" s="154" t="n">
        <x:f>Y73+Y72</x:f>
        <x:v>9689844.916667767</x:v>
      </x:c>
      <x:c r="Z74" s="154" t="n">
        <x:f>Z73+Z72</x:f>
        <x:v>10588356.82271783</x:v>
      </x:c>
      <x:c r="AA74" s="154" t="n">
        <x:f>AA73+AA72</x:f>
        <x:v>11490382.423355598</x:v>
      </x:c>
      <x:c r="AB74" s="154" t="n">
        <x:f>AB73+AB72</x:f>
        <x:v>12410648.42898352</x:v>
      </x:c>
      <x:c r="AC74" s="154" t="n">
        <x:f>AC73+AC72</x:f>
        <x:v>13349897.547344347</x:v>
      </x:c>
      <x:c r="AD74" s="154" t="n">
        <x:f>AD73+AD72</x:f>
        <x:v>14283354.053407636</x:v>
      </x:c>
      <x:c r="AE74" s="154" t="n">
        <x:f>AE73+AE72</x:f>
        <x:v>15227457.835366521</x:v>
      </x:c>
      <x:c r="AF74" s="154" t="n">
        <x:f>AF73+AF72</x:f>
        <x:v>16182261.18275584</x:v>
      </x:c>
      <x:c r="AG74" s="154" t="n">
        <x:f>AG73+AG72</x:f>
        <x:v>17128726.5873592</x:v>
      </x:c>
      <x:c r="AH74" s="154" t="n">
        <x:f>AH73+AH72</x:f>
        <x:v>18086060.129614286</x:v>
      </x:c>
      <x:c r="AI74" s="154" t="n">
        <x:f>AI73+AI72</x:f>
        <x:v>19054380.24727855</x:v>
      </x:c>
      <x:c r="AJ74" s="154" t="n">
        <x:f>AJ73+AJ72</x:f>
        <x:v>20013381.188690394</x:v>
      </x:c>
      <x:c r="AK74" s="154" t="n">
        <x:f>AK73+AK72</x:f>
        <x:v>20983679.930814628</x:v>
      </x:c>
      <x:c r="AL74" s="155" t="n">
        <x:f>AL73+AL72</x:f>
        <x:v>21965471.96837797</x:v>
      </x:c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9" t="str">
        <x:v>New validated cases</x:v>
      </x:c>
      <x:c r="B76" s="50" t="str">
        <x:v>cases</x:v>
      </x:c>
      <x:c r="C76" s="110" t="n">
        <x:f>SUM(C23,C27:C30)*Assumptions!$E$44</x:f>
        <x:v>2.062368</x:v>
      </x:c>
      <x:c r="D76" s="110" t="n">
        <x:f>SUM(D23,D27:D30)*Assumptions!$E$44</x:f>
        <x:v>3.191688073639296</x:v>
      </x:c>
      <x:c r="E76" s="110" t="n">
        <x:f>SUM(E23,E27:E30)*Assumptions!$E$44</x:f>
        <x:v>4.045345117820898</x:v>
      </x:c>
      <x:c r="F76" s="110" t="n">
        <x:f>SUM(F23,F27:F30)*Assumptions!$E$44</x:f>
        <x:v>4.5127470513757455</x:v>
      </x:c>
      <x:c r="G76" s="110" t="n">
        <x:f>SUM(G23,G27:G30)*Assumptions!$E$44</x:f>
        <x:v>5.342678668341225</x:v>
      </x:c>
      <x:c r="H76" s="110" t="n">
        <x:f>SUM(H23,H27:H30)*Assumptions!$E$44</x:f>
        <x:v>6.017828536898042</x:v>
      </x:c>
      <x:c r="I76" s="110" t="n">
        <x:f>SUM(I23,I27:I30)*Assumptions!$E$44</x:f>
        <x:v>6.802710904566005</x:v>
      </x:c>
      <x:c r="J76" s="110" t="n">
        <x:f>SUM(J23,J27:J30)*Assumptions!$E$44</x:f>
        <x:v>7.516050375670331</x:v>
      </x:c>
      <x:c r="K76" s="110" t="n">
        <x:f>SUM(K23,K27:K30)*Assumptions!$E$44</x:f>
        <x:v>8.120837617885766</x:v>
      </x:c>
      <x:c r="L76" s="110" t="n">
        <x:f>SUM(L23,L27:L30)*Assumptions!$E$44</x:f>
        <x:v>8.718798233253551</x:v>
      </x:c>
      <x:c r="M76" s="110" t="n">
        <x:f>SUM(M23,M27:M30)*Assumptions!$E$44</x:f>
        <x:v>9.364245048267568</x:v>
      </x:c>
      <x:c r="N76" s="110" t="n">
        <x:f>SUM(N23,N27:N30)*Assumptions!$E$44</x:f>
        <x:v>10.024931757348085</x:v>
      </x:c>
      <x:c r="O76" s="110" t="n">
        <x:f>SUM(O23,O27:O30)*Assumptions!$E$44</x:f>
        <x:v>10.733251015469357</x:v>
      </x:c>
      <x:c r="P76" s="110" t="n">
        <x:f>SUM(P23,P27:P30)*Assumptions!$E$44</x:f>
        <x:v>11.49227439267507</x:v>
      </x:c>
      <x:c r="Q76" s="110" t="n">
        <x:f>SUM(Q23,Q27:Q30)*Assumptions!$E$44</x:f>
        <x:v>12.296733600162325</x:v>
      </x:c>
      <x:c r="R76" s="110" t="n">
        <x:f>SUM(R23,R27:R30)*Assumptions!$E$44</x:f>
        <x:v>13.15750495217369</x:v>
      </x:c>
      <x:c r="S76" s="110" t="n">
        <x:f>SUM(S23,S27:S30)*Assumptions!$E$44</x:f>
        <x:v>14.078530298825848</x:v>
      </x:c>
      <x:c r="T76" s="110" t="n">
        <x:f>SUM(T23,T27:T30)*Assumptions!$E$44</x:f>
        <x:v>15.064027419743658</x:v>
      </x:c>
      <x:c r="U76" s="110" t="n">
        <x:f>SUM(U23,U27:U30)*Assumptions!$E$44</x:f>
        <x:v>16.118509339125715</x:v>
      </x:c>
      <x:c r="V76" s="110" t="n">
        <x:f>SUM(V23,V27:V30)*Assumptions!$E$44</x:f>
        <x:v>17.24680499286451</x:v>
      </x:c>
      <x:c r="W76" s="110" t="n">
        <x:f>SUM(W23,W27:W30)*Assumptions!$E$44</x:f>
        <x:v>18.454081342365033</x:v>
      </x:c>
      <x:c r="X76" s="110" t="n">
        <x:f>SUM(X23,X27:X30)*Assumptions!$E$44</x:f>
        <x:v>19.487258181190192</x:v>
      </x:c>
      <x:c r="Y76" s="110" t="n">
        <x:f>SUM(Y23,Y27:Y30)*Assumptions!$E$44</x:f>
        <x:v>20.312930086462565</x:v>
      </x:c>
      <x:c r="Z76" s="110" t="n">
        <x:f>SUM(Z23,Z27:Z30)*Assumptions!$E$44</x:f>
        <x:v>20.627767692514944</x:v>
      </x:c>
      <x:c r="AA76" s="110" t="n">
        <x:f>SUM(AA23,AA27:AA30)*Assumptions!$E$44</x:f>
        <x:v>20.886414752311023</x:v>
      </x:c>
      <x:c r="AB76" s="110" t="n">
        <x:f>SUM(AB23,AB27:AB30)*Assumptions!$E$44</x:f>
        <x:v>21.147061659972792</x:v>
      </x:c>
      <x:c r="AC76" s="110" t="n">
        <x:f>SUM(AC23,AC27:AC30)*Assumptions!$E$44</x:f>
        <x:v>21.42595385117089</x:v>
      </x:c>
      <x:c r="AD76" s="110" t="n">
        <x:f>SUM(AD23,AD27:AD30)*Assumptions!$E$44</x:f>
        <x:v>21.704811201082858</x:v>
      </x:c>
      <x:c r="AE76" s="110" t="n">
        <x:f>SUM(AE23,AE27:AE30)*Assumptions!$E$44</x:f>
        <x:v>21.999162203908657</x:v>
      </x:c>
      <x:c r="AF76" s="110" t="n">
        <x:f>SUM(AF23,AF27:AF30)*Assumptions!$E$44</x:f>
        <x:v>22.314117776932264</x:v>
      </x:c>
      <x:c r="AG76" s="110" t="n">
        <x:f>SUM(AG23,AG27:AG30)*Assumptions!$E$44</x:f>
        <x:v>22.651120240067524</x:v>
      </x:c>
      <x:c r="AH76" s="110" t="n">
        <x:f>SUM(AH23,AH27:AH30)*Assumptions!$E$44</x:f>
        <x:v>23.01171287562225</x:v>
      </x:c>
      <x:c r="AI76" s="110" t="n">
        <x:f>SUM(AI23,AI27:AI30)*Assumptions!$E$44</x:f>
        <x:v>23.39754699566581</x:v>
      </x:c>
      <x:c r="AJ76" s="110" t="n">
        <x:f>SUM(AJ23,AJ27:AJ30)*Assumptions!$E$44</x:f>
        <x:v>23.810389504112415</x:v>
      </x:c>
      <x:c r="AK76" s="110" t="n">
        <x:f>SUM(AK23,AK27:AK30)*Assumptions!$E$44</x:f>
        <x:v>24.252130988150284</x:v>
      </x:c>
      <x:c r="AL76" s="111" t="n">
        <x:f>SUM(AL23,AL27:AL30)*Assumptions!$E$44</x:f>
        <x:v>24.724794376070804</x:v>
      </x:c>
    </x:row>
    <x:row r="77">
      <x:c r="A77" s="142" t="str">
        <x:v>Cumulative validated cases</x:v>
      </x:c>
      <x:c r="B77" s="143" t="str">
        <x:v>cases</x:v>
      </x:c>
      <x:c r="C77" s="144" t="n">
        <x:f>C76</x:f>
        <x:v>2.062368</x:v>
      </x:c>
      <x:c r="D77" s="144" t="n">
        <x:f>C77+D76</x:f>
        <x:v>5.254056073639296</x:v>
      </x:c>
      <x:c r="E77" s="144" t="n">
        <x:f>D77+E76</x:f>
        <x:v>9.299401191460195</x:v>
      </x:c>
      <x:c r="F77" s="144" t="n">
        <x:f>E77+F76</x:f>
        <x:v>13.81214824283594</x:v>
      </x:c>
      <x:c r="G77" s="144" t="n">
        <x:f>F77+G76</x:f>
        <x:v>19.154826911177167</x:v>
      </x:c>
      <x:c r="H77" s="144" t="n">
        <x:f>G77+H76</x:f>
        <x:v>25.17265544807521</x:v>
      </x:c>
      <x:c r="I77" s="144" t="n">
        <x:f>H77+I76</x:f>
        <x:v>31.975366352641217</x:v>
      </x:c>
      <x:c r="J77" s="144" t="n">
        <x:f>I77+J76</x:f>
        <x:v>39.49141672831155</x:v>
      </x:c>
      <x:c r="K77" s="144" t="n">
        <x:f>J77+K76</x:f>
        <x:v>47.61225434619732</x:v>
      </x:c>
      <x:c r="L77" s="144" t="n">
        <x:f>K77+L76</x:f>
        <x:v>56.33105257945087</x:v>
      </x:c>
      <x:c r="M77" s="144" t="n">
        <x:f>L77+M76</x:f>
        <x:v>65.69529762771843</x:v>
      </x:c>
      <x:c r="N77" s="144" t="n">
        <x:f>M77+N76</x:f>
        <x:v>75.72022938506652</x:v>
      </x:c>
      <x:c r="O77" s="144" t="n">
        <x:f>N77+O76</x:f>
        <x:v>86.45348040053588</x:v>
      </x:c>
      <x:c r="P77" s="144" t="n">
        <x:f>O77+P76</x:f>
        <x:v>97.94575479321095</x:v>
      </x:c>
      <x:c r="Q77" s="144" t="n">
        <x:f>P77+Q76</x:f>
        <x:v>110.24248839337328</x:v>
      </x:c>
      <x:c r="R77" s="144" t="n">
        <x:f>Q77+R76</x:f>
        <x:v>123.39999334554697</x:v>
      </x:c>
      <x:c r="S77" s="144" t="n">
        <x:f>R77+S76</x:f>
        <x:v>137.4785236443728</x:v>
      </x:c>
      <x:c r="T77" s="144" t="n">
        <x:f>S77+T76</x:f>
        <x:v>152.54255106411648</x:v>
      </x:c>
      <x:c r="U77" s="144" t="n">
        <x:f>T77+U76</x:f>
        <x:v>168.6610604032422</x:v>
      </x:c>
      <x:c r="V77" s="144" t="n">
        <x:f>U77+V76</x:f>
        <x:v>185.90786539610673</x:v>
      </x:c>
      <x:c r="W77" s="144" t="n">
        <x:f>V77+W76</x:f>
        <x:v>204.36194673847177</x:v>
      </x:c>
      <x:c r="X77" s="144" t="n">
        <x:f>W77+X76</x:f>
        <x:v>223.84920491966196</x:v>
      </x:c>
      <x:c r="Y77" s="144" t="n">
        <x:f>X77+Y76</x:f>
        <x:v>244.16213500612452</x:v>
      </x:c>
      <x:c r="Z77" s="144" t="n">
        <x:f>Y77+Z76</x:f>
        <x:v>264.7899026986395</x:v>
      </x:c>
      <x:c r="AA77" s="144" t="n">
        <x:f>Z77+AA76</x:f>
        <x:v>285.6763174509505</x:v>
      </x:c>
      <x:c r="AB77" s="144" t="n">
        <x:f>AA77+AB76</x:f>
        <x:v>306.82337911092327</x:v>
      </x:c>
      <x:c r="AC77" s="144" t="n">
        <x:f>AB77+AC76</x:f>
        <x:v>328.2493329620942</x:v>
      </x:c>
      <x:c r="AD77" s="144" t="n">
        <x:f>AC77+AD76</x:f>
        <x:v>349.95414416317703</x:v>
      </x:c>
      <x:c r="AE77" s="144" t="n">
        <x:f>AD77+AE76</x:f>
        <x:v>371.9533063670857</x:v>
      </x:c>
      <x:c r="AF77" s="144" t="n">
        <x:f>AE77+AF76</x:f>
        <x:v>394.267424144018</x:v>
      </x:c>
      <x:c r="AG77" s="144" t="n">
        <x:f>AF77+AG76</x:f>
        <x:v>416.9185443840855</x:v>
      </x:c>
      <x:c r="AH77" s="144" t="n">
        <x:f>AG77+AH76</x:f>
        <x:v>439.9302572597078</x:v>
      </x:c>
      <x:c r="AI77" s="144" t="n">
        <x:f>AH77+AI76</x:f>
        <x:v>463.3278042553736</x:v>
      </x:c>
      <x:c r="AJ77" s="144" t="n">
        <x:f>AI77+AJ76</x:f>
        <x:v>487.13819375948606</x:v>
      </x:c>
      <x:c r="AK77" s="144" t="n">
        <x:f>AJ77+AK76</x:f>
        <x:v>511.3903247476363</x:v>
      </x:c>
      <x:c r="AL77" s="145" t="n">
        <x:f>AK77+AL76</x:f>
        <x:v>536.1151191237071</x:v>
      </x:c>
    </x:row>
    <x:row r="78">
      <x:c r="A78" s="49" t="str">
        <x:v>Capacity lift</x:v>
      </x:c>
      <x:c r="B78" s="50" t="str">
        <x:v>%</x:v>
      </x:c>
      <x:c r="C78" s="118" t="n">
        <x:f>C18-1</x:f>
        <x:v>0</x:v>
      </x:c>
      <x:c r="D78" s="118" t="n">
        <x:f>D18-1</x:f>
        <x:v>0.020623679999999922</x:v>
      </x:c>
      <x:c r="E78" s="118" t="n">
        <x:f>E18-1</x:f>
        <x:v>0.052540560736392905</x:v>
      </x:c>
      <x:c r="F78" s="118" t="n">
        <x:f>F18-1</x:f>
        <x:v>0.09299401191460199</x:v>
      </x:c>
      <x:c r="G78" s="118" t="n">
        <x:f>G18-1</x:f>
        <x:v>0.13812148242835942</x:v>
      </x:c>
      <x:c r="H78" s="118" t="n">
        <x:f>H18-1</x:f>
        <x:v>0.19154826911177159</x:v>
      </x:c>
      <x:c r="I78" s="118" t="n">
        <x:f>I18-1</x:f>
        <x:v>0.2517265544807521</x:v>
      </x:c>
      <x:c r="J78" s="118" t="n">
        <x:f>J18-1</x:f>
        <x:v>0.3197536635264122</x:v>
      </x:c>
      <x:c r="K78" s="118" t="n">
        <x:f>K18-1</x:f>
        <x:v>0.39491416728311557</x:v>
      </x:c>
      <x:c r="L78" s="118" t="n">
        <x:f>L18-1</x:f>
        <x:v>0.47612254346197314</x:v>
      </x:c>
      <x:c r="M78" s="118" t="n">
        <x:f>M18-1</x:f>
        <x:v>0.5633105257945088</x:v>
      </x:c>
      <x:c r="N78" s="118" t="n">
        <x:f>N18-1</x:f>
        <x:v>0.6499999999999999</x:v>
      </x:c>
      <x:c r="O78" s="118" t="n">
        <x:f>O18-1</x:f>
        <x:v>0.6499999999999999</x:v>
      </x:c>
      <x:c r="P78" s="118" t="n">
        <x:f>P18-1</x:f>
        <x:v>0.6499999999999999</x:v>
      </x:c>
      <x:c r="Q78" s="118" t="n">
        <x:f>Q18-1</x:f>
        <x:v>0.6499999999999999</x:v>
      </x:c>
      <x:c r="R78" s="118" t="n">
        <x:f>R18-1</x:f>
        <x:v>0.6499999999999999</x:v>
      </x:c>
      <x:c r="S78" s="118" t="n">
        <x:f>S18-1</x:f>
        <x:v>0.6499999999999999</x:v>
      </x:c>
      <x:c r="T78" s="118" t="n">
        <x:f>T18-1</x:f>
        <x:v>0.6499999999999999</x:v>
      </x:c>
      <x:c r="U78" s="118" t="n">
        <x:f>U18-1</x:f>
        <x:v>0.6499999999999999</x:v>
      </x:c>
      <x:c r="V78" s="118" t="n">
        <x:f>V18-1</x:f>
        <x:v>0.6499999999999999</x:v>
      </x:c>
      <x:c r="W78" s="118" t="n">
        <x:f>W18-1</x:f>
        <x:v>0.6499999999999999</x:v>
      </x:c>
      <x:c r="X78" s="118" t="n">
        <x:f>X18-1</x:f>
        <x:v>0.6499999999999999</x:v>
      </x:c>
      <x:c r="Y78" s="118" t="n">
        <x:f>Y18-1</x:f>
        <x:v>0.6499999999999999</x:v>
      </x:c>
      <x:c r="Z78" s="118" t="n">
        <x:f>Z18-1</x:f>
        <x:v>0.6499999999999999</x:v>
      </x:c>
      <x:c r="AA78" s="118" t="n">
        <x:f>AA18-1</x:f>
        <x:v>0.6499999999999999</x:v>
      </x:c>
      <x:c r="AB78" s="118" t="n">
        <x:f>AB18-1</x:f>
        <x:v>0.6499999999999999</x:v>
      </x:c>
      <x:c r="AC78" s="118" t="n">
        <x:f>AC18-1</x:f>
        <x:v>0.6499999999999999</x:v>
      </x:c>
      <x:c r="AD78" s="118" t="n">
        <x:f>AD18-1</x:f>
        <x:v>0.6499999999999999</x:v>
      </x:c>
      <x:c r="AE78" s="118" t="n">
        <x:f>AE18-1</x:f>
        <x:v>0.6499999999999999</x:v>
      </x:c>
      <x:c r="AF78" s="118" t="n">
        <x:f>AF18-1</x:f>
        <x:v>0.6499999999999999</x:v>
      </x:c>
      <x:c r="AG78" s="118" t="n">
        <x:f>AG18-1</x:f>
        <x:v>0.6499999999999999</x:v>
      </x:c>
      <x:c r="AH78" s="118" t="n">
        <x:f>AH18-1</x:f>
        <x:v>0.6499999999999999</x:v>
      </x:c>
      <x:c r="AI78" s="118" t="n">
        <x:f>AI18-1</x:f>
        <x:v>0.6499999999999999</x:v>
      </x:c>
      <x:c r="AJ78" s="118" t="n">
        <x:f>AJ18-1</x:f>
        <x:v>0.6499999999999999</x:v>
      </x:c>
      <x:c r="AK78" s="118" t="n">
        <x:f>AK18-1</x:f>
        <x:v>0.6499999999999999</x:v>
      </x:c>
      <x:c r="AL78" s="119" t="n">
        <x:f>AL18-1</x:f>
        <x:v>0.6499999999999999</x:v>
      </x:c>
    </x:row>
    <x:row r="79">
      <x:c r="A79" s="142" t="str">
        <x:v>Proof OS exit MRR</x:v>
      </x:c>
      <x:c r="B79" s="143" t="str">
        <x:v>$ / month</x:v>
      </x:c>
      <x:c r="C79" s="154" t="n">
        <x:f>C33*Assumptions!$E$21</x:f>
        <x:v>0</x:v>
      </x:c>
      <x:c r="D79" s="154" t="n">
        <x:f>D33*Assumptions!$E$21</x:f>
        <x:v>0</x:v>
      </x:c>
      <x:c r="E79" s="154" t="n">
        <x:f>E33*Assumptions!$E$21</x:f>
        <x:v>0</x:v>
      </x:c>
      <x:c r="F79" s="154" t="n">
        <x:f>F33*Assumptions!$E$21</x:f>
        <x:v>0</x:v>
      </x:c>
      <x:c r="G79" s="154" t="n">
        <x:f>G33*Assumptions!$E$21</x:f>
        <x:v>0</x:v>
      </x:c>
      <x:c r="H79" s="154" t="n">
        <x:f>H33*Assumptions!$E$21</x:f>
        <x:v>2807.3984400000004</x:v>
      </x:c>
      <x:c r="I79" s="154" t="n">
        <x:f>I33*Assumptions!$E$21</x:f>
        <x:v>5818.569571241493</x:v>
      </x:c>
      <x:c r="J79" s="154" t="n">
        <x:f>J33*Assumptions!$E$21</x:f>
        <x:v>10268.13936818548</x:v>
      </x:c>
      <x:c r="K79" s="154" t="n">
        <x:f>K33*Assumptions!$E$21</x:f>
        <x:v>15134.297437802334</x:v>
      </x:c>
      <x:c r="L79" s="154" t="n">
        <x:f>L33*Assumptions!$E$21</x:f>
        <x:v>20498.414787320446</x:v>
      </x:c>
      <x:c r="M79" s="154" t="n">
        <x:f>M33*Assumptions!$E$21</x:f>
        <x:v>26465.825745606457</x:v>
      </x:c>
      <x:c r="N79" s="154" t="n">
        <x:f>N33*Assumptions!$E$21</x:f>
        <x:v>33131.967262837235</x:v>
      </x:c>
      <x:c r="O79" s="154" t="n">
        <x:f>O33*Assumptions!$E$21</x:f>
        <x:v>40253.96759517994</x:v>
      </x:c>
      <x:c r="P79" s="154" t="n">
        <x:f>P33*Assumptions!$E$21</x:f>
        <x:v>47882.70232056901</x:v>
      </x:c>
      <x:c r="Q79" s="154" t="n">
        <x:f>Q33*Assumptions!$E$21</x:f>
        <x:v>55925.17455189215</x:v>
      </x:c>
      <x:c r="R79" s="154" t="n">
        <x:f>R33*Assumptions!$E$21</x:f>
        <x:v>64413.35276268582</x:v>
      </x:c>
      <x:c r="S79" s="154" t="n">
        <x:f>S33*Assumptions!$E$21</x:f>
        <x:v>73381.36804843102</x:v>
      </x:c>
      <x:c r="T79" s="154" t="n">
        <x:f>T33*Assumptions!$E$21</x:f>
        <x:v>82865.66738936947</x:v>
      </x:c>
      <x:c r="U79" s="154" t="n">
        <x:f>U33*Assumptions!$E$21</x:f>
        <x:v>92905.1775947349</x:v>
      </x:c>
      <x:c r="V79" s="154" t="n">
        <x:f>V33*Assumptions!$E$21</x:f>
        <x:v>103541.48067727317</x:v>
      </x:c>
      <x:c r="W79" s="154" t="n">
        <x:f>W33*Assumptions!$E$21</x:f>
        <x:v>114819.00145931645</x:v>
      </x:c>
      <x:c r="X79" s="154" t="n">
        <x:f>X33*Assumptions!$E$21</x:f>
        <x:v>126785.2082677369</x:v>
      </x:c>
      <x:c r="Y79" s="154" t="n">
        <x:f>Y33*Assumptions!$E$21</x:f>
        <x:v>139490.8276350901</x:v>
      </x:c>
      <x:c r="Z79" s="154" t="n">
        <x:f>Z33*Assumptions!$E$21</x:f>
        <x:v>152990.07398844272</x:v>
      </x:c>
      <x:c r="AA79" s="154" t="n">
        <x:f>AA33*Assumptions!$E$21</x:f>
        <x:v>167340.8953760576</x:v>
      </x:c>
      <x:c r="AB79" s="154" t="n">
        <x:f>AB33*Assumptions!$E$21</x:f>
        <x:v>181822.94456879527</x:v>
      </x:c>
      <x:c r="AC79" s="154" t="n">
        <x:f>AC33*Assumptions!$E$21</x:f>
        <x:v>196306.1862921142</x:v>
      </x:c>
      <x:c r="AD79" s="154" t="n">
        <x:f>AD33*Assumptions!$E$21</x:f>
        <x:v>210490.06288481134</x:v>
      </x:c>
      <x:c r="AE79" s="154" t="n">
        <x:f>AE33*Assumptions!$E$21</x:f>
        <x:v>224319.34256269108</x:v>
      </x:c>
      <x:c r="AF79" s="154" t="n">
        <x:f>AF33*Assumptions!$E$21</x:f>
        <x:v>237802.8902486238</x:v>
      </x:c>
      <x:c r="AG79" s="154" t="n">
        <x:f>AG33*Assumptions!$E$21</x:f>
        <x:v>250949.3492424082</x:v>
      </x:c>
      <x:c r="AH79" s="154" t="n">
        <x:f>AH33*Assumptions!$E$21</x:f>
        <x:v>263767.146761348</x:v>
      </x:c>
      <x:c r="AI79" s="154" t="n">
        <x:f>AI33*Assumptions!$E$21</x:f>
        <x:v>276264.4993423143</x:v>
      </x:c>
      <x:c r="AJ79" s="154" t="n">
        <x:f>AJ33*Assumptions!$E$21</x:f>
        <x:v>288449.4181087565</x:v>
      </x:c>
      <x:c r="AK79" s="154" t="n">
        <x:f>AK33*Assumptions!$E$21</x:f>
        <x:v>300329.71390603756</x:v>
      </x:c>
      <x:c r="AL79" s="155" t="n">
        <x:f>AL33*Assumptions!$E$21</x:f>
        <x:v>311913.00230838667</x:v>
      </x:c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9" t="str">
        <x:v>EBITDA-positive flag</x:v>
      </x:c>
      <x:c r="B81" s="50" t="str">
        <x:v>1 / 0</x:v>
      </x:c>
      <x:c r="C81" s="50" t="n">
        <x:f>IF(C66&gt;0,1,0)</x:f>
        <x:v>0</x:v>
      </x:c>
      <x:c r="D81" s="50" t="n">
        <x:f>IF(D66&gt;0,1,0)</x:f>
        <x:v>0</x:v>
      </x:c>
      <x:c r="E81" s="50" t="n">
        <x:f>IF(E66&gt;0,1,0)</x:f>
        <x:v>1</x:v>
      </x:c>
      <x:c r="F81" s="50" t="n">
        <x:f>IF(F66&gt;0,1,0)</x:f>
        <x:v>1</x:v>
      </x:c>
      <x:c r="G81" s="50" t="n">
        <x:f>IF(G66&gt;0,1,0)</x:f>
        <x:v>1</x:v>
      </x:c>
      <x:c r="H81" s="50" t="n">
        <x:f>IF(H66&gt;0,1,0)</x:f>
        <x:v>1</x:v>
      </x:c>
      <x:c r="I81" s="50" t="n">
        <x:f>IF(I66&gt;0,1,0)</x:f>
        <x:v>1</x:v>
      </x:c>
      <x:c r="J81" s="50" t="n">
        <x:f>IF(J66&gt;0,1,0)</x:f>
        <x:v>1</x:v>
      </x:c>
      <x:c r="K81" s="50" t="n">
        <x:f>IF(K66&gt;0,1,0)</x:f>
        <x:v>1</x:v>
      </x:c>
      <x:c r="L81" s="50" t="n">
        <x:f>IF(L66&gt;0,1,0)</x:f>
        <x:v>1</x:v>
      </x:c>
      <x:c r="M81" s="50" t="n">
        <x:f>IF(M66&gt;0,1,0)</x:f>
        <x:v>1</x:v>
      </x:c>
      <x:c r="N81" s="50" t="n">
        <x:f>IF(N66&gt;0,1,0)</x:f>
        <x:v>1</x:v>
      </x:c>
      <x:c r="O81" s="50" t="n">
        <x:f>IF(O66&gt;0,1,0)</x:f>
        <x:v>1</x:v>
      </x:c>
      <x:c r="P81" s="50" t="n">
        <x:f>IF(P66&gt;0,1,0)</x:f>
        <x:v>1</x:v>
      </x:c>
      <x:c r="Q81" s="50" t="n">
        <x:f>IF(Q66&gt;0,1,0)</x:f>
        <x:v>1</x:v>
      </x:c>
      <x:c r="R81" s="50" t="n">
        <x:f>IF(R66&gt;0,1,0)</x:f>
        <x:v>1</x:v>
      </x:c>
      <x:c r="S81" s="50" t="n">
        <x:f>IF(S66&gt;0,1,0)</x:f>
        <x:v>1</x:v>
      </x:c>
      <x:c r="T81" s="50" t="n">
        <x:f>IF(T66&gt;0,1,0)</x:f>
        <x:v>1</x:v>
      </x:c>
      <x:c r="U81" s="50" t="n">
        <x:f>IF(U66&gt;0,1,0)</x:f>
        <x:v>1</x:v>
      </x:c>
      <x:c r="V81" s="50" t="n">
        <x:f>IF(V66&gt;0,1,0)</x:f>
        <x:v>1</x:v>
      </x:c>
      <x:c r="W81" s="50" t="n">
        <x:f>IF(W66&gt;0,1,0)</x:f>
        <x:v>1</x:v>
      </x:c>
      <x:c r="X81" s="50" t="n">
        <x:f>IF(X66&gt;0,1,0)</x:f>
        <x:v>1</x:v>
      </x:c>
      <x:c r="Y81" s="50" t="n">
        <x:f>IF(Y66&gt;0,1,0)</x:f>
        <x:v>1</x:v>
      </x:c>
      <x:c r="Z81" s="50" t="n">
        <x:f>IF(Z66&gt;0,1,0)</x:f>
        <x:v>1</x:v>
      </x:c>
      <x:c r="AA81" s="50" t="n">
        <x:f>IF(AA66&gt;0,1,0)</x:f>
        <x:v>1</x:v>
      </x:c>
      <x:c r="AB81" s="50" t="n">
        <x:f>IF(AB66&gt;0,1,0)</x:f>
        <x:v>1</x:v>
      </x:c>
      <x:c r="AC81" s="50" t="n">
        <x:f>IF(AC66&gt;0,1,0)</x:f>
        <x:v>1</x:v>
      </x:c>
      <x:c r="AD81" s="50" t="n">
        <x:f>IF(AD66&gt;0,1,0)</x:f>
        <x:v>1</x:v>
      </x:c>
      <x:c r="AE81" s="50" t="n">
        <x:f>IF(AE66&gt;0,1,0)</x:f>
        <x:v>1</x:v>
      </x:c>
      <x:c r="AF81" s="50" t="n">
        <x:f>IF(AF66&gt;0,1,0)</x:f>
        <x:v>1</x:v>
      </x:c>
      <x:c r="AG81" s="50" t="n">
        <x:f>IF(AG66&gt;0,1,0)</x:f>
        <x:v>1</x:v>
      </x:c>
      <x:c r="AH81" s="50" t="n">
        <x:f>IF(AH66&gt;0,1,0)</x:f>
        <x:v>1</x:v>
      </x:c>
      <x:c r="AI81" s="50" t="n">
        <x:f>IF(AI66&gt;0,1,0)</x:f>
        <x:v>1</x:v>
      </x:c>
      <x:c r="AJ81" s="50" t="n">
        <x:f>IF(AJ66&gt;0,1,0)</x:f>
        <x:v>1</x:v>
      </x:c>
      <x:c r="AK81" s="50" t="n">
        <x:f>IF(AK66&gt;0,1,0)</x:f>
        <x:v>1</x:v>
      </x:c>
      <x:c r="AL81" s="51" t="n">
        <x:f>IF(AL66&gt;0,1,0)</x:f>
        <x:v>1</x:v>
      </x:c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AL1"/>
    <x:mergeCell ref="A2:AL2"/>
    <x:mergeCell ref="A8:AL8"/>
    <x:mergeCell ref="A20:AL20"/>
    <x:mergeCell ref="A26:AL26"/>
    <x:mergeCell ref="A35:AL35"/>
    <x:mergeCell ref="A46:AL46"/>
    <x:mergeCell ref="A58:AL58"/>
    <x:mergeCell ref="A69:AL69"/>
  </x:mergeCells>
  <x:conditionalFormatting sqref="C66:AL66">
    <x:cfRule type="expression" dxfId="7" priority="1">
      <x:formula>C66&lt;0</x:formula>
    </x:cfRule>
  </x:conditionalFormatting>
  <x:conditionalFormatting sqref="C72:AL72">
    <x:cfRule type="expression" dxfId="8" priority="2">
      <x:formula>C72&lt;0</x:formula>
    </x:cfRule>
  </x:conditionalFormatting>
  <x:conditionalFormatting sqref="C74:AL74">
    <x:cfRule type="expression" dxfId="9" priority="3">
      <x:formula>C74&lt;0</x:formula>
    </x:cfRule>
  </x:conditionalFormatting>
  <x:conditionalFormatting sqref="C55:AL55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{5E0ADA1B-9A3E-A94E-070D-78087690B2D8}</x14:id>
        </x:ext>
      </x:extLst>
    </x:cfRule>
  </x:conditionalFormatting>
  <x:conditionalFormatting sqref="C77:AL77">
    <x:cfRule type="dataBar" priority="5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{37D571AE-0E9B-8DBE-460F-7019E0D0FB8C}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E0ADA1B-9A3E-A94E-070D-78087690B2D8}">
            <x14:dataBar gradient="1">
              <x14:cfvo type="min"/>
              <x14:cfvo type="max"/>
              <x14:fillColor rgb="FFA02B93"/>
            </x14:dataBar>
          </x14:cfRule>
          <xm:sqref>C55:AL55</xm:sqref>
        </x14:conditionalFormatting>
        <x14:conditionalFormatting>
          <x14:cfRule type="dataBar" priority="5" id="{37D571AE-0E9B-8DBE-460F-7019E0D0FB8C}">
            <x14:dataBar gradient="1">
              <x14:cfvo type="min"/>
              <x14:cfvo type="max"/>
              <x14:fillColor rgb="FF4EA72E"/>
            </x14:dataBar>
          </x14:cfRule>
          <xm:sqref>C77:AL77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34" customHeight="1">
      <x:c r="A1" s="414" t="str">
        <x:v>GoalOS Financial Projection — Scenario Comparison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The model projects expected-value engagements through the offer ladder, recurring Proof OS revenue, direct delivery costs, operating expenses, reinvestment, and cash.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 ht="28" customHeight="1">
      <x:c r="A4" s="26" t="str">
        <x:v>Scenario</x:v>
      </x:c>
      <x:c r="B4" s="27" t="str">
        <x:v>Year 1 Revenue</x:v>
      </x:c>
      <x:c r="C4" s="27" t="str">
        <x:v>Year 2 Revenue</x:v>
      </x:c>
      <x:c r="D4" s="27" t="str">
        <x:v>Year 3 Revenue</x:v>
      </x:c>
      <x:c r="E4" s="27" t="str">
        <x:v>3-Year Revenue</x:v>
      </x:c>
      <x:c r="F4" s="27" t="str">
        <x:v>3-Year EBITDA</x:v>
      </x:c>
      <x:c r="G4" s="27" t="str">
        <x:v>3-Year FCF</x:v>
      </x:c>
      <x:c r="H4" s="27" t="str">
        <x:v>Ending Cash</x:v>
      </x:c>
      <x:c r="I4" s="27" t="str">
        <x:v>Minimum Cash</x:v>
      </x:c>
      <x:c r="J4" s="27" t="str">
        <x:v>Break-even Month</x:v>
      </x:c>
      <x:c r="K4" s="27" t="str">
        <x:v>Exit MRR</x:v>
      </x:c>
      <x:c r="L4" s="28" t="str">
        <x:v>Validated Cases</x:v>
      </x:c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>
      <x:c r="A5" s="232" t="str">
        <x:v>Conservative</x:v>
      </x:c>
      <x:c r="B5" s="220" t="n">
        <x:f>SUM(Conservative!$C$43:$N$43)</x:f>
        <x:v>642503.2737280721</x:v>
      </x:c>
      <x:c r="C5" s="220" t="n">
        <x:f>SUM(Conservative!$O$43:$Z$43)</x:f>
        <x:v>1297391.044725121</x:v>
      </x:c>
      <x:c r="D5" s="220" t="n">
        <x:f>SUM(Conservative!$AA$43:$AL$43)</x:f>
        <x:v>2161093.4798171357</x:v>
      </x:c>
      <x:c r="E5" s="220" t="n">
        <x:f>SUM(Conservative!$C$43:$AL$43)</x:f>
        <x:v>4100987.7982703284</x:v>
      </x:c>
      <x:c r="F5" s="220" t="n">
        <x:f>SUM(Conservative!$C$66:$AL$66)</x:f>
        <x:v>-708616.1685030826</x:v>
      </x:c>
      <x:c r="G5" s="220" t="n">
        <x:f>SUM(Conservative!$C$72:$AL$72)</x:f>
        <x:v>-768217.852626546</x:v>
      </x:c>
      <x:c r="H5" s="220" t="n">
        <x:f>Conservative!$AL$74</x:f>
        <x:v>731782.147373454</x:v>
      </x:c>
      <x:c r="I5" s="220" t="n">
        <x:f>MIN(Conservative!$C$74:$AL$74)</x:f>
        <x:v>641944.3254886947</x:v>
      </x:c>
      <x:c r="J5" s="186" t="n">
        <x:f>IFERROR(MATCH(1,Conservative!$C$81:$AL$81,0),"N/A")</x:f>
        <x:v>29</x:v>
      </x:c>
      <x:c r="K5" s="220" t="n">
        <x:f>Conservative!$AL$79</x:f>
        <x:v>5793.125170641158</x:v>
      </x:c>
      <x:c r="L5" s="226" t="n">
        <x:f>Conservative!$AL$77</x:f>
        <x:v>80.02634173068216</x:v>
      </x:c>
      <x:c r="M5" s="415"/>
      <x:c r="N5" s="415"/>
      <x:c r="O5" s="415"/>
      <x:c r="P5" s="415"/>
      <x:c r="Q5" s="415"/>
      <x:c r="R5" s="415"/>
      <x:c r="S5" s="415"/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>
      <x:c r="A6" s="233" t="str">
        <x:v>Base</x:v>
      </x:c>
      <x:c r="B6" s="221" t="n">
        <x:f>SUM(Base!$C$43:$N$43)</x:f>
        <x:v>1976950.075677437</x:v>
      </x:c>
      <x:c r="C6" s="221" t="n">
        <x:f>SUM(Base!$O$43:$Z$43)</x:f>
        <x:v>4876065.995799722</x:v>
      </x:c>
      <x:c r="D6" s="221" t="n">
        <x:f>SUM(Base!$AA$43:$AL$43)</x:f>
        <x:v>8932446.996582981</x:v>
      </x:c>
      <x:c r="E6" s="221" t="n">
        <x:f>SUM(Base!$C$43:$AL$43)</x:f>
        <x:v>15785463.068060137</x:v>
      </x:c>
      <x:c r="F6" s="221" t="n">
        <x:f>SUM(Base!$C$66:$AL$66)</x:f>
        <x:v>3388684.6799967564</x:v>
      </x:c>
      <x:c r="G6" s="221" t="n">
        <x:f>SUM(Base!$C$72:$AL$72)</x:f>
        <x:v>2386172.072331492</x:v>
      </x:c>
      <x:c r="H6" s="221" t="n">
        <x:f>Base!$AL$74</x:f>
        <x:v>3886172.0723314914</x:v>
      </x:c>
      <x:c r="I6" s="221" t="n">
        <x:f>MIN(Base!$C$74:$AL$74)</x:f>
        <x:v>1037670.441691335</x:v>
      </x:c>
      <x:c r="J6" s="189" t="n">
        <x:f>IFERROR(MATCH(1,Base!$C$81:$AL$81,0),"N/A")</x:f>
        <x:v>11</x:v>
      </x:c>
      <x:c r="K6" s="221" t="n">
        <x:f>Base!$AL$79</x:f>
        <x:v>43174.94312831549</x:v>
      </x:c>
      <x:c r="L6" s="227" t="n">
        <x:f>Base!$AL$77</x:f>
        <x:v>191.42301572990763</x:v>
      </x:c>
      <x:c r="M6" s="415"/>
      <x:c r="N6" s="415"/>
      <x:c r="O6" s="415"/>
      <x:c r="P6" s="415"/>
      <x:c r="Q6" s="415"/>
      <x:c r="R6" s="415"/>
      <x:c r="S6" s="415"/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>
      <x:c r="A7" s="234" t="str">
        <x:v>Upside</x:v>
      </x:c>
      <x:c r="B7" s="222" t="n">
        <x:f>SUM(Upside!$C$43:$N$43)</x:f>
        <x:v>8367889.216253094</x:v>
      </x:c>
      <x:c r="C7" s="222" t="n">
        <x:f>SUM(Upside!$O$43:$Z$43)</x:f>
        <x:v>24647847.650559496</x:v>
      </x:c>
      <x:c r="D7" s="222" t="n">
        <x:f>SUM(Upside!$AA$43:$AL$43)</x:f>
        <x:v>35405356.665497564</x:v>
      </x:c>
      <x:c r="E7" s="222" t="n">
        <x:f>SUM(Upside!$C$43:$AL$43)</x:f>
        <x:v>68421093.53231016</x:v>
      </x:c>
      <x:c r="F7" s="222" t="n">
        <x:f>SUM(Upside!$C$66:$AL$66)</x:f>
        <x:v>29181513.746261217</x:v>
      </x:c>
      <x:c r="G7" s="222" t="n">
        <x:f>SUM(Upside!$C$72:$AL$72)</x:f>
        <x:v>20465471.968377974</x:v>
      </x:c>
      <x:c r="H7" s="222" t="n">
        <x:f>Upside!$AL$74</x:f>
        <x:v>21965471.96837797</x:v>
      </x:c>
      <x:c r="I7" s="222" t="n">
        <x:f>MIN(Upside!$C$74:$AL$74)</x:f>
        <x:v>1285246.590849627</x:v>
      </x:c>
      <x:c r="J7" s="192" t="n">
        <x:f>IFERROR(MATCH(1,Upside!$C$81:$AL$81,0),"N/A")</x:f>
        <x:v>3</x:v>
      </x:c>
      <x:c r="K7" s="222" t="n">
        <x:f>Upside!$AL$79</x:f>
        <x:v>311913.00230838667</x:v>
      </x:c>
      <x:c r="L7" s="228" t="n">
        <x:f>Upside!$AL$77</x:f>
        <x:v>536.1151191237071</x:v>
      </x:c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>
      <x:c r="A8" s="415"/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15"/>
      <x:c r="B9" s="415"/>
      <x:c r="C9" s="415"/>
      <x:c r="D9" s="415"/>
      <x:c r="E9" s="415"/>
      <x:c r="F9" s="415"/>
      <x:c r="G9" s="415"/>
      <x:c r="H9" s="415"/>
      <x:c r="I9" s="415"/>
      <x:c r="J9" s="415"/>
      <x:c r="K9" s="415"/>
      <x:c r="L9" s="415"/>
      <x:c r="M9" s="415"/>
      <x:c r="N9" s="415"/>
      <x:c r="O9" s="415"/>
      <x:c r="P9" s="415"/>
      <x:c r="Q9" s="415"/>
      <x:c r="R9" s="415"/>
      <x:c r="S9" s="415"/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 ht="28" customHeight="1">
      <x:c r="A10" s="416" t="str">
        <x:v>Annual P&amp;L Summary</x:v>
      </x:c>
      <x:c r="B10" s="415"/>
      <x:c r="C10" s="415"/>
      <x:c r="D10" s="415"/>
      <x:c r="E10" s="415"/>
      <x:c r="F10" s="415"/>
      <x:c r="G10" s="415"/>
      <x:c r="H10" s="26" t="str">
        <x:v>Scenario</x:v>
      </x:c>
      <x:c r="I10" s="27" t="str">
        <x:v>Year 1</x:v>
      </x:c>
      <x:c r="J10" s="27" t="str">
        <x:v>Year 2</x:v>
      </x:c>
      <x:c r="K10" s="28" t="str">
        <x:v>Year 3</x:v>
      </x:c>
      <x:c r="L10" s="415"/>
      <x:c r="M10" s="415"/>
      <x:c r="N10" s="415"/>
      <x:c r="O10" s="415"/>
      <x:c r="P10" s="415"/>
      <x:c r="Q10" s="415"/>
      <x:c r="R10" s="415"/>
      <x:c r="S10" s="415"/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 ht="28" customHeight="1">
      <x:c r="A11" s="26" t="str">
        <x:v>Scenario / Year</x:v>
      </x:c>
      <x:c r="B11" s="27" t="str">
        <x:v>Revenue</x:v>
      </x:c>
      <x:c r="C11" s="27" t="str">
        <x:v>Gross Profit</x:v>
      </x:c>
      <x:c r="D11" s="27" t="str">
        <x:v>EBITDA</x:v>
      </x:c>
      <x:c r="E11" s="27" t="str">
        <x:v>Free Cash Flow</x:v>
      </x:c>
      <x:c r="F11" s="28" t="str">
        <x:v>Ending Cash</x:v>
      </x:c>
      <x:c r="G11" s="415"/>
      <x:c r="H11" s="255" t="str">
        <x:v>Conservative</x:v>
      </x:c>
      <x:c r="I11" s="290" t="n">
        <x:f>SUM(Conservative!$C$43:$N$43)</x:f>
        <x:v>642503.2737280721</x:v>
      </x:c>
      <x:c r="J11" s="290" t="n">
        <x:f>SUM(Conservative!$O$43:$Z$43)</x:f>
        <x:v>1297391.044725121</x:v>
      </x:c>
      <x:c r="K11" s="291" t="n">
        <x:f>SUM(Conservative!$AA$43:$AL$43)</x:f>
        <x:v>2161093.4798171357</x:v>
      </x:c>
      <x:c r="L11" s="415"/>
      <x:c r="M11" s="415"/>
      <x:c r="N11" s="415"/>
      <x:c r="O11" s="415"/>
      <x:c r="P11" s="415"/>
      <x:c r="Q11" s="415"/>
      <x:c r="R11" s="415"/>
      <x:c r="S11" s="415"/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>
      <x:c r="A12" s="255" t="str">
        <x:v>Conservative — Year 1</x:v>
      </x:c>
      <x:c r="B12" s="290" t="n">
        <x:f>SUM(Conservative!$C$43:$N$43)</x:f>
        <x:v>642503.2737280721</x:v>
      </x:c>
      <x:c r="C12" s="290" t="n">
        <x:f>SUM(Conservative!$C$55:$N$55)</x:f>
        <x:v>417878.90777182934</x:v>
      </x:c>
      <x:c r="D12" s="290" t="n">
        <x:f>SUM(Conservative!$C$66:$N$66)</x:f>
        <x:v>-543011.4499145743</x:v>
      </x:c>
      <x:c r="E12" s="290" t="n">
        <x:f>SUM(Conservative!$C$72:$N$72)</x:f>
        <x:v>-549436.482651855</x:v>
      </x:c>
      <x:c r="F12" s="291" t="n">
        <x:f>Conservative!$N$74</x:f>
        <x:v>950563.517348145</x:v>
      </x:c>
      <x:c r="G12" s="415"/>
      <x:c r="H12" s="258" t="str">
        <x:v>Base</x:v>
      </x:c>
      <x:c r="I12" s="292" t="n">
        <x:f>SUM(Base!$C$43:$N$43)</x:f>
        <x:v>1976950.075677437</x:v>
      </x:c>
      <x:c r="J12" s="292" t="n">
        <x:f>SUM(Base!$O$43:$Z$43)</x:f>
        <x:v>4876065.995799722</x:v>
      </x:c>
      <x:c r="K12" s="293" t="n">
        <x:f>SUM(Base!$AA$43:$AL$43)</x:f>
        <x:v>8932446.996582981</x:v>
      </x:c>
      <x:c r="L12" s="415"/>
      <x:c r="M12" s="415"/>
      <x:c r="N12" s="415"/>
      <x:c r="O12" s="415"/>
      <x:c r="P12" s="415"/>
      <x:c r="Q12" s="415"/>
      <x:c r="R12" s="415"/>
      <x:c r="S12" s="415"/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>
      <x:c r="A13" s="258" t="str">
        <x:v>Conservative — Year 2</x:v>
      </x:c>
      <x:c r="B13" s="292" t="n">
        <x:f>SUM(Conservative!$O$43:$Z$43)</x:f>
        <x:v>1297391.044725121</x:v>
      </x:c>
      <x:c r="C13" s="292" t="n">
        <x:f>SUM(Conservative!$O$55:$Z$55)</x:f>
        <x:v>836159.3641008562</x:v>
      </x:c>
      <x:c r="D13" s="292" t="n">
        <x:f>SUM(Conservative!$O$66:$Z$66)</x:f>
        <x:v>-274043.59640375886</x:v>
      </x:c>
      <x:c r="E13" s="292" t="n">
        <x:f>SUM(Conservative!$O$72:$Z$72)</x:f>
        <x:v>-287017.50685101</x:v>
      </x:c>
      <x:c r="F13" s="293" t="n">
        <x:f>Conservative!$Z$74</x:f>
        <x:v>663546.010497135</x:v>
      </x:c>
      <x:c r="G13" s="415"/>
      <x:c r="H13" s="261" t="str">
        <x:v>Upside</x:v>
      </x:c>
      <x:c r="I13" s="294" t="n">
        <x:f>SUM(Upside!$C$43:$N$43)</x:f>
        <x:v>8367889.216253094</x:v>
      </x:c>
      <x:c r="J13" s="294" t="n">
        <x:f>SUM(Upside!$O$43:$Z$43)</x:f>
        <x:v>24647847.650559496</x:v>
      </x:c>
      <x:c r="K13" s="295" t="n">
        <x:f>SUM(Upside!$AA$43:$AL$43)</x:f>
        <x:v>35405356.665497564</x:v>
      </x:c>
      <x:c r="L13" s="415"/>
      <x:c r="M13" s="415"/>
      <x:c r="N13" s="415"/>
      <x:c r="O13" s="415"/>
      <x:c r="P13" s="415"/>
      <x:c r="Q13" s="415"/>
      <x:c r="R13" s="415"/>
      <x:c r="S13" s="415"/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>
      <x:c r="A14" s="258" t="str">
        <x:v>Conservative — Year 3</x:v>
      </x:c>
      <x:c r="B14" s="292" t="n">
        <x:f>SUM(Conservative!$AA$43:$AL$43)</x:f>
        <x:v>2161093.4798171357</x:v>
      </x:c>
      <x:c r="C14" s="292" t="n">
        <x:f>SUM(Conservative!$AA$55:$AL$55)</x:f>
        <x:v>1393025.5121994722</x:v>
      </x:c>
      <x:c r="D14" s="292" t="n">
        <x:f>SUM(Conservative!$AA$66:$AL$66)</x:f>
        <x:v>108438.87781525054</x:v>
      </x:c>
      <x:c r="E14" s="292" t="n">
        <x:f>SUM(Conservative!$AA$72:$AL$72)</x:f>
        <x:v>68236.13687631876</x:v>
      </x:c>
      <x:c r="F14" s="293" t="n">
        <x:f>Conservative!$AL$74</x:f>
        <x:v>731782.147373454</x:v>
      </x:c>
      <x:c r="G14" s="415"/>
      <x:c r="H14" s="415"/>
      <x:c r="I14" s="415"/>
      <x:c r="J14" s="415"/>
      <x:c r="K14" s="415"/>
      <x:c r="L14" s="415"/>
      <x:c r="M14" s="415"/>
      <x:c r="N14" s="415"/>
      <x:c r="O14" s="415"/>
      <x:c r="P14" s="415"/>
      <x:c r="Q14" s="415"/>
      <x:c r="R14" s="415"/>
      <x:c r="S14" s="415"/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>
      <x:c r="A15" s="258" t="str">
        <x:v>Base — Year 1</x:v>
      </x:c>
      <x:c r="B15" s="292" t="n">
        <x:f>SUM(Base!$C$43:$N$43)</x:f>
        <x:v>1976950.075677437</x:v>
      </x:c>
      <x:c r="C15" s="292" t="n">
        <x:f>SUM(Base!$C$55:$N$55)</x:f>
        <x:v>1308577.1055029149</x:v>
      </x:c>
      <x:c r="D15" s="292" t="n">
        <x:f>SUM(Base!$C$66:$N$66)</x:f>
        <x:v>-420245.5247945061</x:v>
      </x:c>
      <x:c r="E15" s="292" t="n">
        <x:f>SUM(Base!$C$72:$N$72)</x:f>
        <x:v>-453844.3966157772</x:v>
      </x:c>
      <x:c r="F15" s="293" t="n">
        <x:f>Base!$N$74</x:f>
        <x:v>1046155.6033842226</x:v>
      </x:c>
      <x:c r="G15" s="415"/>
      <x:c r="H15" s="415"/>
      <x:c r="I15" s="415"/>
      <x:c r="J15" s="415"/>
      <x:c r="K15" s="415"/>
      <x:c r="L15" s="415"/>
      <x:c r="M15" s="415"/>
      <x:c r="N15" s="415"/>
      <x:c r="O15" s="415"/>
      <x:c r="P15" s="415"/>
      <x:c r="Q15" s="415"/>
      <x:c r="R15" s="415"/>
      <x:c r="S15" s="415"/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258" t="str">
        <x:v>Base — Year 2</x:v>
      </x:c>
      <x:c r="B16" s="292" t="n">
        <x:f>SUM(Base!$O$43:$Z$43)</x:f>
        <x:v>4876065.995799722</x:v>
      </x:c>
      <x:c r="C16" s="292" t="n">
        <x:f>SUM(Base!$O$55:$Z$55)</x:f>
        <x:v>3194876.609708738</x:v>
      </x:c>
      <x:c r="D16" s="292" t="n">
        <x:f>SUM(Base!$O$66:$Z$66)</x:f>
        <x:v>920366.9398394764</x:v>
      </x:c>
      <x:c r="E16" s="292" t="n">
        <x:f>SUM(Base!$O$72:$Z$72)</x:f>
        <x:v>663152.5619345853</x:v>
      </x:c>
      <x:c r="F16" s="293" t="n">
        <x:f>Base!$Z$74</x:f>
        <x:v>1709308.1653188078</x:v>
      </x:c>
      <x:c r="G16" s="415"/>
      <x:c r="H16" s="415"/>
      <x:c r="I16" s="415"/>
      <x:c r="J16" s="415"/>
      <x:c r="K16" s="415"/>
      <x:c r="L16" s="415"/>
      <x:c r="M16" s="415"/>
      <x:c r="N16" s="415"/>
      <x:c r="O16" s="415"/>
      <x:c r="P16" s="415"/>
      <x:c r="Q16" s="415"/>
      <x:c r="R16" s="415"/>
      <x:c r="S16" s="415"/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>
      <x:c r="A17" s="258" t="str">
        <x:v>Base — Year 3</x:v>
      </x:c>
      <x:c r="B17" s="292" t="n">
        <x:f>SUM(Base!$AA$43:$AL$43)</x:f>
        <x:v>8932446.996582981</x:v>
      </x:c>
      <x:c r="C17" s="292" t="n">
        <x:f>SUM(Base!$AA$55:$AL$55)</x:f>
        <x:v>5863633.065592626</x:v>
      </x:c>
      <x:c r="D17" s="292" t="n">
        <x:f>SUM(Base!$AA$66:$AL$66)</x:f>
        <x:v>2888563.2649517856</x:v>
      </x:c>
      <x:c r="E17" s="292" t="n">
        <x:f>SUM(Base!$AA$72:$AL$72)</x:f>
        <x:v>2176863.907012684</x:v>
      </x:c>
      <x:c r="F17" s="293" t="n">
        <x:f>Base!$AL$74</x:f>
        <x:v>3886172.0723314914</x:v>
      </x:c>
      <x:c r="G17" s="415"/>
      <x:c r="H17" s="415"/>
      <x:c r="I17" s="415"/>
      <x:c r="J17" s="415"/>
      <x:c r="K17" s="415"/>
      <x:c r="L17" s="415"/>
      <x:c r="M17" s="415"/>
      <x:c r="N17" s="415"/>
      <x:c r="O17" s="415"/>
      <x:c r="P17" s="415"/>
      <x:c r="Q17" s="415"/>
      <x:c r="R17" s="415"/>
      <x:c r="S17" s="415"/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>
      <x:c r="A18" s="258" t="str">
        <x:v>Upside — Year 1</x:v>
      </x:c>
      <x:c r="B18" s="292" t="n">
        <x:f>SUM(Upside!$C$43:$N$43)</x:f>
        <x:v>8367889.216253094</x:v>
      </x:c>
      <x:c r="C18" s="292" t="n">
        <x:f>SUM(Upside!$C$55:$N$55)</x:f>
        <x:v>5647954.700798176</x:v>
      </x:c>
      <x:c r="D18" s="292" t="n">
        <x:f>SUM(Upside!$C$66:$N$66)</x:f>
        <x:v>2257518.529335397</x:v>
      </x:c>
      <x:c r="E18" s="292" t="n">
        <x:f>SUM(Upside!$C$72:$N$72)</x:f>
        <x:v>1473539.6420047455</x:v>
      </x:c>
      <x:c r="F18" s="293" t="n">
        <x:f>Upside!$N$74</x:f>
        <x:v>2973539.6420047455</x:v>
      </x:c>
      <x:c r="G18" s="415"/>
      <x:c r="H18" s="415"/>
      <x:c r="I18" s="415"/>
      <x:c r="J18" s="415"/>
      <x:c r="K18" s="415"/>
      <x:c r="L18" s="415"/>
      <x:c r="M18" s="415"/>
      <x:c r="N18" s="415"/>
      <x:c r="O18" s="415"/>
      <x:c r="P18" s="415"/>
      <x:c r="Q18" s="415"/>
      <x:c r="R18" s="415"/>
      <x:c r="S18" s="415"/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258" t="str">
        <x:v>Upside — Year 2</x:v>
      </x:c>
      <x:c r="B19" s="292" t="n">
        <x:f>SUM(Upside!$O$43:$Z$43)</x:f>
        <x:v>24647847.650559496</x:v>
      </x:c>
      <x:c r="C19" s="292" t="n">
        <x:f>SUM(Upside!$O$55:$Z$55)</x:f>
        <x:v>16485668.384185014</x:v>
      </x:c>
      <x:c r="D19" s="292" t="n">
        <x:f>SUM(Upside!$O$66:$Z$66)</x:f>
        <x:v>10810365.511632368</x:v>
      </x:c>
      <x:c r="E19" s="292" t="n">
        <x:f>SUM(Upside!$O$72:$Z$72)</x:f>
        <x:v>7614817.180713085</x:v>
      </x:c>
      <x:c r="F19" s="293" t="n">
        <x:f>Upside!$Z$74</x:f>
        <x:v>10588356.82271783</x:v>
      </x:c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261" t="str">
        <x:v>Upside — Year 3</x:v>
      </x:c>
      <x:c r="B20" s="294" t="n">
        <x:f>SUM(Upside!$AA$43:$AL$43)</x:f>
        <x:v>35405356.665497564</x:v>
      </x:c>
      <x:c r="C20" s="294" t="n">
        <x:f>SUM(Upside!$AA$55:$AL$55)</x:f>
        <x:v>23831529.134082075</x:v>
      </x:c>
      <x:c r="D20" s="294" t="n">
        <x:f>SUM(Upside!$AA$66:$AL$66)</x:f>
        <x:v>16113629.705293458</x:v>
      </x:c>
      <x:c r="E20" s="294" t="n">
        <x:f>SUM(Upside!$AA$72:$AL$72)</x:f>
        <x:v>11377115.14566014</x:v>
      </x:c>
      <x:c r="F20" s="295" t="n">
        <x:f>Upside!$AL$74</x:f>
        <x:v>21965471.96837797</x:v>
      </x:c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15"/>
      <x:c r="B21" s="415"/>
      <x:c r="C21" s="415"/>
      <x:c r="D21" s="415"/>
      <x:c r="E21" s="415"/>
      <x:c r="F21" s="415"/>
      <x:c r="G21" s="415"/>
      <x:c r="H21" s="415"/>
      <x:c r="I21" s="415"/>
      <x:c r="J21" s="415"/>
      <x:c r="K21" s="415"/>
      <x:c r="L21" s="415"/>
      <x:c r="M21" s="415"/>
      <x:c r="N21" s="415"/>
      <x:c r="O21" s="415"/>
      <x:c r="P21" s="415"/>
      <x:c r="Q21" s="415"/>
      <x:c r="R21" s="415"/>
      <x:c r="S21" s="415"/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415"/>
      <x:c r="B22" s="415"/>
      <x:c r="C22" s="415"/>
      <x:c r="D22" s="415"/>
      <x:c r="E22" s="415"/>
      <x:c r="F22" s="415"/>
      <x:c r="G22" s="415"/>
      <x:c r="H22" s="415"/>
      <x:c r="I22" s="415"/>
      <x:c r="J22" s="415"/>
      <x:c r="K22" s="415"/>
      <x:c r="L22" s="415"/>
      <x:c r="M22" s="415"/>
      <x:c r="N22" s="415"/>
      <x:c r="O22" s="415"/>
      <x:c r="P22" s="415"/>
      <x:c r="Q22" s="415"/>
      <x:c r="R22" s="415"/>
      <x:c r="S22" s="415"/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>
      <x:c r="A23" s="415"/>
      <x:c r="B23" s="415"/>
      <x:c r="C23" s="415"/>
      <x:c r="D23" s="415"/>
      <x:c r="E23" s="415"/>
      <x:c r="F23" s="415"/>
      <x:c r="G23" s="415"/>
      <x:c r="H23" s="415"/>
      <x:c r="I23" s="415"/>
      <x:c r="J23" s="415"/>
      <x:c r="K23" s="415"/>
      <x:c r="L23" s="415"/>
      <x:c r="M23" s="415"/>
      <x:c r="N23" s="415"/>
      <x:c r="O23" s="415"/>
      <x:c r="P23" s="415"/>
      <x:c r="Q23" s="415"/>
      <x:c r="R23" s="415"/>
      <x:c r="S23" s="415"/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>
      <x:c r="A24" s="415"/>
      <x:c r="B24" s="415"/>
      <x:c r="C24" s="415"/>
      <x:c r="D24" s="415"/>
      <x:c r="E24" s="415"/>
      <x:c r="F24" s="415"/>
      <x:c r="G24" s="415"/>
      <x:c r="H24" s="415"/>
      <x:c r="I24" s="415"/>
      <x:c r="J24" s="415"/>
      <x:c r="K24" s="415"/>
      <x:c r="L24" s="415"/>
      <x:c r="M24" s="415"/>
      <x:c r="N24" s="415"/>
      <x:c r="O24" s="415"/>
      <x:c r="P24" s="415"/>
      <x:c r="Q24" s="415"/>
      <x:c r="R24" s="415"/>
      <x:c r="S24" s="415"/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15"/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15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/>
      <x:c r="Q27" s="415"/>
      <x:c r="R27" s="415"/>
      <x:c r="S27" s="415"/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>
      <x:c r="A28" s="415"/>
      <x:c r="B28" s="415"/>
      <x:c r="C28" s="415"/>
      <x:c r="D28" s="415"/>
      <x:c r="E28" s="415"/>
      <x:c r="F28" s="415"/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/>
      <x:c r="Q28" s="415"/>
      <x:c r="R28" s="415"/>
      <x:c r="S28" s="415"/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415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/>
      <x:c r="Q29" s="415"/>
      <x:c r="R29" s="415"/>
      <x:c r="S29" s="415"/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415"/>
      <x:c r="B30" s="415"/>
      <x:c r="C30" s="415"/>
      <x:c r="D30" s="415"/>
      <x:c r="E30" s="415"/>
      <x:c r="F30" s="415"/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/>
      <x:c r="Q30" s="415"/>
      <x:c r="R30" s="415"/>
      <x:c r="S30" s="415"/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415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/>
      <x:c r="Q31" s="415"/>
      <x:c r="R31" s="415"/>
      <x:c r="S31" s="415"/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415"/>
      <x:c r="B32" s="415"/>
      <x:c r="C32" s="415"/>
      <x:c r="D32" s="415"/>
      <x:c r="E32" s="415"/>
      <x:c r="F32" s="415"/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/>
      <x:c r="Q32" s="415"/>
      <x:c r="R32" s="415"/>
      <x:c r="S32" s="415"/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 ht="28" customHeight="1">
      <x:c r="A33" s="415"/>
      <x:c r="B33" s="415"/>
      <x:c r="C33" s="415"/>
      <x:c r="D33" s="415"/>
      <x:c r="E33" s="415"/>
      <x:c r="F33" s="415"/>
      <x:c r="G33" s="415"/>
      <x:c r="H33" s="26" t="str">
        <x:v>Date</x:v>
      </x:c>
      <x:c r="I33" s="27" t="str">
        <x:v>Revenue</x:v>
      </x:c>
      <x:c r="J33" s="27" t="str">
        <x:v>EBITDA</x:v>
      </x:c>
      <x:c r="K33" s="28" t="str">
        <x:v>Exit MRR</x:v>
      </x:c>
      <x:c r="L33" s="415"/>
      <x:c r="M33" s="415"/>
      <x:c r="N33" s="415"/>
      <x:c r="O33" s="415"/>
      <x:c r="P33" s="415"/>
      <x:c r="Q33" s="415"/>
      <x:c r="R33" s="415"/>
      <x:c r="S33" s="415"/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>
      <x:c r="A34" s="415"/>
      <x:c r="B34" s="415"/>
      <x:c r="C34" s="415"/>
      <x:c r="D34" s="415"/>
      <x:c r="E34" s="415"/>
      <x:c r="F34" s="415"/>
      <x:c r="G34" s="415"/>
      <x:c r="H34" s="302" t="n">
        <x:f>Base!$C$5</x:f>
        <x:v>46235</x:v>
      </x:c>
      <x:c r="I34" s="290" t="n">
        <x:f>Base!$C$43</x:f>
        <x:v>33909.119999999995</x:v>
      </x:c>
      <x:c r="J34" s="290" t="n">
        <x:f>Base!$C$66</x:f>
        <x:v>-100643.3664</x:v>
      </x:c>
      <x:c r="K34" s="291" t="n">
        <x:f>Base!$C$79</x:f>
        <x:v>0</x:v>
      </x:c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415"/>
      <x:c r="B35" s="415"/>
      <x:c r="C35" s="415"/>
      <x:c r="D35" s="415"/>
      <x:c r="E35" s="415"/>
      <x:c r="F35" s="415"/>
      <x:c r="G35" s="415"/>
      <x:c r="H35" s="303" t="n">
        <x:f>Base!$D$5</x:f>
        <x:v>46266</x:v>
      </x:c>
      <x:c r="I35" s="292" t="n">
        <x:f>Base!$D$43</x:f>
        <x:v>69308.2020089088</x:v>
      </x:c>
      <x:c r="J35" s="292" t="n">
        <x:f>Base!$D$66</x:f>
        <x:v>-78947.62703412634</x:v>
      </x:c>
      <x:c r="K35" s="293" t="n">
        <x:f>Base!$D$79</x:f>
        <x:v>0</x:v>
      </x:c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15"/>
      <x:c r="B36" s="415"/>
      <x:c r="C36" s="415"/>
      <x:c r="D36" s="415"/>
      <x:c r="E36" s="415"/>
      <x:c r="F36" s="415"/>
      <x:c r="G36" s="415"/>
      <x:c r="H36" s="303" t="n">
        <x:f>Base!$E$5</x:f>
        <x:v>46296</x:v>
      </x:c>
      <x:c r="I36" s="292" t="n">
        <x:f>Base!$E$43</x:f>
        <x:v>105711.4609391327</x:v>
      </x:c>
      <x:c r="J36" s="292" t="n">
        <x:f>Base!$E$66</x:f>
        <x:v>-58544.119378700096</x:v>
      </x:c>
      <x:c r="K36" s="293" t="n">
        <x:f>Base!$E$79</x:f>
        <x:v>0</x:v>
      </x:c>
      <x:c r="L36" s="415"/>
      <x:c r="M36" s="415"/>
      <x:c r="N36" s="415"/>
      <x:c r="O36" s="415"/>
      <x:c r="P36" s="415"/>
      <x:c r="Q36" s="415"/>
      <x:c r="R36" s="415"/>
      <x:c r="S36" s="415"/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>
      <x:c r="A37" s="415"/>
      <x:c r="B37" s="415"/>
      <x:c r="C37" s="415"/>
      <x:c r="D37" s="415"/>
      <x:c r="E37" s="415"/>
      <x:c r="F37" s="415"/>
      <x:c r="G37" s="415"/>
      <x:c r="H37" s="303" t="n">
        <x:f>Base!$F$5</x:f>
        <x:v>46327</x:v>
      </x:c>
      <x:c r="I37" s="292" t="n">
        <x:f>Base!$F$43</x:f>
        <x:v>112636.22634693145</x:v>
      </x:c>
      <x:c r="J37" s="292" t="n">
        <x:f>Base!$F$66</x:f>
        <x:v>-60457.4931739014</x:v>
      </x:c>
      <x:c r="K37" s="293" t="n">
        <x:f>Base!$F$79</x:f>
        <x:v>0</x:v>
      </x:c>
      <x:c r="L37" s="415"/>
      <x:c r="M37" s="415"/>
      <x:c r="N37" s="415"/>
      <x:c r="O37" s="415"/>
      <x:c r="P37" s="415"/>
      <x:c r="Q37" s="415"/>
      <x:c r="R37" s="415"/>
      <x:c r="S37" s="415"/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>
      <x:c r="A38" s="415"/>
      <x:c r="B38" s="415"/>
      <x:c r="C38" s="415"/>
      <x:c r="D38" s="415"/>
      <x:c r="E38" s="415"/>
      <x:c r="F38" s="415"/>
      <x:c r="G38" s="415"/>
      <x:c r="H38" s="303" t="n">
        <x:f>Base!$G$5</x:f>
        <x:v>46357</x:v>
      </x:c>
      <x:c r="I38" s="292" t="n">
        <x:f>Base!$G$43</x:f>
        <x:v>151030.64411247594</x:v>
      </x:c>
      <x:c r="J38" s="292" t="n">
        <x:f>Base!$G$66</x:f>
        <x:v>-40101.683937379465</x:v>
      </x:c>
      <x:c r="K38" s="293" t="n">
        <x:f>Base!$G$79</x:f>
        <x:v>0</x:v>
      </x:c>
      <x:c r="L38" s="415"/>
      <x:c r="M38" s="415"/>
      <x:c r="N38" s="415"/>
      <x:c r="O38" s="415"/>
      <x:c r="P38" s="415"/>
      <x:c r="Q38" s="415"/>
      <x:c r="R38" s="415"/>
      <x:c r="S38" s="415"/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15"/>
      <x:c r="B39" s="415"/>
      <x:c r="C39" s="415"/>
      <x:c r="D39" s="415"/>
      <x:c r="E39" s="415"/>
      <x:c r="F39" s="415"/>
      <x:c r="G39" s="415"/>
      <x:c r="H39" s="303" t="n">
        <x:f>Base!$H$5</x:f>
        <x:v>46388</x:v>
      </x:c>
      <x:c r="I39" s="292" t="n">
        <x:f>Base!$H$43</x:f>
        <x:v>161847.87617021322</x:v>
      </x:c>
      <x:c r="J39" s="292" t="n">
        <x:f>Base!$H$66</x:f>
        <x:v>-33624.22882431069</x:v>
      </x:c>
      <x:c r="K39" s="293" t="n">
        <x:f>Base!$H$79</x:f>
        <x:v>511.86401279999995</x:v>
      </x:c>
      <x:c r="L39" s="415"/>
      <x:c r="M39" s="415"/>
      <x:c r="N39" s="415"/>
      <x:c r="O39" s="415"/>
      <x:c r="P39" s="415"/>
      <x:c r="Q39" s="415"/>
      <x:c r="R39" s="415"/>
      <x:c r="S39" s="415"/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15"/>
      <x:c r="B40" s="415"/>
      <x:c r="C40" s="415"/>
      <x:c r="D40" s="415"/>
      <x:c r="E40" s="415"/>
      <x:c r="F40" s="415"/>
      <x:c r="G40" s="415"/>
      <x:c r="H40" s="303" t="n">
        <x:f>Base!$I$5</x:f>
        <x:v>46419</x:v>
      </x:c>
      <x:c r="I40" s="292" t="n">
        <x:f>Base!$I$43</x:f>
        <x:v>173707.51752957815</x:v>
      </x:c>
      <x:c r="J40" s="292" t="n">
        <x:f>Base!$I$66</x:f>
        <x:v>-32992.37685582448</x:v>
      </x:c>
      <x:c r="K40" s="293" t="n">
        <x:f>Base!$I$79</x:f>
        <x:v>1039.6885802304798</x:v>
      </x:c>
      <x:c r="L40" s="415"/>
      <x:c r="M40" s="415"/>
      <x:c r="N40" s="415"/>
      <x:c r="O40" s="415"/>
      <x:c r="P40" s="415"/>
      <x:c r="Q40" s="415"/>
      <x:c r="R40" s="415"/>
      <x:c r="S40" s="415"/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15"/>
      <x:c r="B41" s="415"/>
      <x:c r="C41" s="415"/>
      <x:c r="D41" s="415"/>
      <x:c r="E41" s="415"/>
      <x:c r="F41" s="415"/>
      <x:c r="G41" s="415"/>
      <x:c r="H41" s="303" t="n">
        <x:f>Base!$J$5</x:f>
        <x:v>46447</x:v>
      </x:c>
      <x:c r="I41" s="292" t="n">
        <x:f>Base!$J$43</x:f>
        <x:v>200648.8722457132</x:v>
      </x:c>
      <x:c r="J41" s="292" t="n">
        <x:f>Base!$J$66</x:f>
        <x:v>-18502.283633171784</x:v>
      </x:c>
      <x:c r="K41" s="293" t="n">
        <x:f>Base!$J$79</x:f>
        <x:v>1753.3420646188363</x:v>
      </x:c>
      <x:c r="L41" s="415"/>
      <x:c r="M41" s="415"/>
      <x:c r="N41" s="415"/>
      <x:c r="O41" s="415"/>
      <x:c r="P41" s="415"/>
      <x:c r="Q41" s="415"/>
      <x:c r="R41" s="415"/>
      <x:c r="S41" s="415"/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15"/>
      <x:c r="D42" s="415"/>
      <x:c r="E42" s="415"/>
      <x:c r="F42" s="415"/>
      <x:c r="G42" s="415"/>
      <x:c r="H42" s="303" t="n">
        <x:f>Base!$K$5</x:f>
        <x:v>46478</x:v>
      </x:c>
      <x:c r="I42" s="292" t="n">
        <x:f>Base!$K$43</x:f>
        <x:v>215742.952633264</x:v>
      </x:c>
      <x:c r="J42" s="292" t="n">
        <x:f>Base!$K$66</x:f>
        <x:v>-9567.130286915519</x:v>
      </x:c>
      <x:c r="K42" s="293" t="n">
        <x:f>Base!$K$79</x:f>
        <x:v>2495.51540321694</x:v>
      </x:c>
      <x:c r="L42" s="415"/>
      <x:c r="M42" s="415"/>
      <x:c r="N42" s="415"/>
      <x:c r="O42" s="415"/>
      <x:c r="P42" s="415"/>
      <x:c r="Q42" s="415"/>
      <x:c r="R42" s="415"/>
      <x:c r="S42" s="415"/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>
      <x:c r="A43" s="415"/>
      <x:c r="B43" s="415"/>
      <x:c r="C43" s="415"/>
      <x:c r="D43" s="415"/>
      <x:c r="E43" s="415"/>
      <x:c r="F43" s="415"/>
      <x:c r="G43" s="415"/>
      <x:c r="H43" s="303" t="n">
        <x:f>Base!$L$5</x:f>
        <x:v>46508</x:v>
      </x:c>
      <x:c r="I43" s="292" t="n">
        <x:f>Base!$L$43</x:f>
        <x:v>232247.0129013283</x:v>
      </x:c>
      <x:c r="J43" s="292" t="n">
        <x:f>Base!$L$66</x:f>
        <x:v>-6588.3187007240485</x:v>
      </x:c>
      <x:c r="K43" s="293" t="n">
        <x:f>Base!$L$79</x:f>
        <x:v>3270.107897632697</x:v>
      </x:c>
      <x:c r="L43" s="415"/>
      <x:c r="M43" s="415"/>
      <x:c r="N43" s="415"/>
      <x:c r="O43" s="415"/>
      <x:c r="P43" s="415"/>
      <x:c r="Q43" s="415"/>
      <x:c r="R43" s="415"/>
      <x:c r="S43" s="415"/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15"/>
      <x:c r="B44" s="415"/>
      <x:c r="C44" s="415"/>
      <x:c r="D44" s="415"/>
      <x:c r="E44" s="415"/>
      <x:c r="F44" s="415"/>
      <x:c r="G44" s="415"/>
      <x:c r="H44" s="303" t="n">
        <x:f>Base!$M$5</x:f>
        <x:v>46539</x:v>
      </x:c>
      <x:c r="I44" s="292" t="n">
        <x:f>Base!$M$43</x:f>
        <x:v>250256.36210241058</x:v>
      </x:c>
      <x:c r="J44" s="292" t="n">
        <x:f>Base!$M$66</x:f>
        <x:v>4055.9545265480992</x:v>
      </x:c>
      <x:c r="K44" s="293" t="n">
        <x:f>Base!$M$79</x:f>
        <x:v>4081.680776234454</x:v>
      </x:c>
      <x:c r="L44" s="415"/>
      <x:c r="M44" s="415"/>
      <x:c r="N44" s="415"/>
      <x:c r="O44" s="415"/>
      <x:c r="P44" s="415"/>
      <x:c r="Q44" s="415"/>
      <x:c r="R44" s="415"/>
      <x:c r="S44" s="415"/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15"/>
      <x:c r="B45" s="415"/>
      <x:c r="C45" s="415"/>
      <x:c r="D45" s="415"/>
      <x:c r="E45" s="415"/>
      <x:c r="F45" s="415"/>
      <x:c r="G45" s="415"/>
      <x:c r="H45" s="303" t="n">
        <x:f>Base!$N$5</x:f>
        <x:v>46569</x:v>
      </x:c>
      <x:c r="I45" s="292" t="n">
        <x:f>Base!$N$43</x:f>
        <x:v>269903.8286874807</x:v>
      </x:c>
      <x:c r="J45" s="292" t="n">
        <x:f>Base!$N$66</x:f>
        <x:v>15667.148903999652</x:v>
      </x:c>
      <x:c r="K45" s="293" t="n">
        <x:f>Base!$N$79</x:f>
        <x:v>4934.322358179505</x:v>
      </x:c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15"/>
      <x:c r="B46" s="415"/>
      <x:c r="C46" s="415"/>
      <x:c r="D46" s="415"/>
      <x:c r="E46" s="415"/>
      <x:c r="F46" s="415"/>
      <x:c r="G46" s="415"/>
      <x:c r="H46" s="303" t="n">
        <x:f>Base!$O$5</x:f>
        <x:v>46600</x:v>
      </x:c>
      <x:c r="I46" s="292" t="n">
        <x:f>Base!$O$43</x:f>
        <x:v>291090.79677174665</x:v>
      </x:c>
      <x:c r="J46" s="292" t="n">
        <x:f>Base!$O$66</x:f>
        <x:v>21044.127239886497</x:v>
      </x:c>
      <x:c r="K46" s="293" t="n">
        <x:f>Base!$O$79</x:f>
        <x:v>5832.755614061436</x:v>
      </x:c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15"/>
      <x:c r="B47" s="415"/>
      <x:c r="C47" s="415"/>
      <x:c r="D47" s="415"/>
      <x:c r="E47" s="415"/>
      <x:c r="F47" s="415"/>
      <x:c r="G47" s="415"/>
      <x:c r="H47" s="303" t="n">
        <x:f>Base!$P$5</x:f>
        <x:v>46631</x:v>
      </x:c>
      <x:c r="I47" s="292" t="n">
        <x:f>Base!$P$43</x:f>
        <x:v>311813.48163360835</x:v>
      </x:c>
      <x:c r="J47" s="292" t="n">
        <x:f>Base!$P$66</x:f>
        <x:v>33108.7088948148</x:v>
      </x:c>
      <x:c r="K47" s="293" t="n">
        <x:f>Base!$P$79</x:f>
        <x:v>6782.153711135324</x:v>
      </x:c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15"/>
      <x:c r="B48" s="415"/>
      <x:c r="C48" s="415"/>
      <x:c r="D48" s="415"/>
      <x:c r="E48" s="415"/>
      <x:c r="F48" s="415"/>
      <x:c r="G48" s="415"/>
      <x:c r="H48" s="303" t="n">
        <x:f>Base!$Q$5</x:f>
        <x:v>46661</x:v>
      </x:c>
      <x:c r="I48" s="292" t="n">
        <x:f>Base!$Q$43</x:f>
        <x:v>331902.81368341215</x:v>
      </x:c>
      <x:c r="J48" s="292" t="n">
        <x:f>Base!$Q$66</x:f>
        <x:v>44737.392481468036</x:v>
      </x:c>
      <x:c r="K48" s="293" t="n">
        <x:f>Base!$Q$79</x:f>
        <x:v>7788.142879007556</x:v>
      </x:c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15"/>
      <x:c r="B49" s="415"/>
      <x:c r="C49" s="415"/>
      <x:c r="D49" s="415"/>
      <x:c r="E49" s="415"/>
      <x:c r="F49" s="415"/>
      <x:c r="G49" s="415"/>
      <x:c r="H49" s="303" t="n">
        <x:f>Base!$R$5</x:f>
        <x:v>46692</x:v>
      </x:c>
      <x:c r="I49" s="292" t="n">
        <x:f>Base!$R$43</x:f>
        <x:v>351491.8629902434</x:v>
      </x:c>
      <x:c r="J49" s="292" t="n">
        <x:f>Base!$R$66</x:f>
        <x:v>48634.10886633425</x:v>
      </x:c>
      <x:c r="K49" s="293" t="n">
        <x:f>Base!$R$79</x:f>
        <x:v>8857.033323597216</x:v>
      </x:c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15"/>
      <x:c r="B50" s="415"/>
      <x:c r="C50" s="415"/>
      <x:c r="D50" s="415"/>
      <x:c r="E50" s="415"/>
      <x:c r="F50" s="415"/>
      <x:c r="G50" s="415"/>
      <x:c r="H50" s="303" t="n">
        <x:f>Base!$S$5</x:f>
        <x:v>46722</x:v>
      </x:c>
      <x:c r="I50" s="292" t="n">
        <x:f>Base!$S$43</x:f>
        <x:v>372098.48422377364</x:v>
      </x:c>
      <x:c r="J50" s="292" t="n">
        <x:f>Base!$S$66</x:f>
        <x:v>60595.74168511445</x:v>
      </x:c>
      <x:c r="K50" s="293" t="n">
        <x:f>Base!$S$79</x:f>
        <x:v>9995.831262035746</x:v>
      </x:c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15"/>
      <x:c r="B51" s="415"/>
      <x:c r="C51" s="415"/>
      <x:c r="D51" s="415"/>
      <x:c r="E51" s="415"/>
      <x:c r="F51" s="415"/>
      <x:c r="G51" s="415"/>
      <x:c r="H51" s="303" t="n">
        <x:f>Base!$T$5</x:f>
        <x:v>46753</x:v>
      </x:c>
      <x:c r="I51" s="292" t="n">
        <x:f>Base!$T$43</x:f>
        <x:v>392117.34121897275</x:v>
      </x:c>
      <x:c r="J51" s="292" t="n">
        <x:f>Base!$T$66</x:f>
        <x:v>72331.36453706093</x:v>
      </x:c>
      <x:c r="K51" s="293" t="n">
        <x:f>Base!$T$79</x:f>
        <x:v>11207.68851310053</x:v>
      </x:c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15"/>
      <x:c r="B52" s="415"/>
      <x:c r="C52" s="415"/>
      <x:c r="D52" s="415"/>
      <x:c r="E52" s="415"/>
      <x:c r="F52" s="415"/>
      <x:c r="G52" s="415"/>
      <x:c r="H52" s="303" t="n">
        <x:f>Base!$U$5</x:f>
        <x:v>46784</x:v>
      </x:c>
      <x:c r="I52" s="292" t="n">
        <x:f>Base!$U$43</x:f>
        <x:v>413216.9309120002</x:v>
      </x:c>
      <x:c r="J52" s="292" t="n">
        <x:f>Base!$U$66</x:f>
        <x:v>76839.97604749684</x:v>
      </x:c>
      <x:c r="K52" s="293" t="n">
        <x:f>Base!$U$79</x:f>
        <x:v>12468.298619495727</x:v>
      </x:c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15"/>
      <x:c r="D53" s="415"/>
      <x:c r="E53" s="415"/>
      <x:c r="F53" s="415"/>
      <x:c r="G53" s="415"/>
      <x:c r="H53" s="303" t="n">
        <x:f>Base!$V$5</x:f>
        <x:v>46813</x:v>
      </x:c>
      <x:c r="I53" s="292" t="n">
        <x:f>Base!$V$43</x:f>
        <x:v>435337.7905625302</x:v>
      </x:c>
      <x:c r="J53" s="292" t="n">
        <x:f>Base!$V$66</x:f>
        <x:v>89796.48866495764</x:v>
      </x:c>
      <x:c r="K53" s="293" t="n">
        <x:f>Base!$V$79</x:f>
        <x:v>13780.1908899736</x:v>
      </x:c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>
      <x:c r="A54" s="415"/>
      <x:c r="B54" s="415"/>
      <x:c r="C54" s="415"/>
      <x:c r="D54" s="415"/>
      <x:c r="E54" s="415"/>
      <x:c r="F54" s="415"/>
      <x:c r="G54" s="415"/>
      <x:c r="H54" s="303" t="n">
        <x:f>Base!$W$5</x:f>
        <x:v>46844</x:v>
      </x:c>
      <x:c r="I54" s="292" t="n">
        <x:f>Base!$W$43</x:f>
        <x:v>457772.5031099747</x:v>
      </x:c>
      <x:c r="J54" s="292" t="n">
        <x:f>Base!$W$66</x:f>
        <x:v>103015.41209215135</x:v>
      </x:c>
      <x:c r="K54" s="293" t="n">
        <x:f>Base!$W$79</x:f>
        <x:v>15137.023453790274</x:v>
      </x:c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15"/>
      <x:c r="B55" s="415"/>
      <x:c r="C55" s="415"/>
      <x:c r="D55" s="415"/>
      <x:c r="E55" s="415"/>
      <x:c r="F55" s="415"/>
      <x:c r="G55" s="415"/>
      <x:c r="H55" s="303" t="n">
        <x:f>Base!$X$5</x:f>
        <x:v>46874</x:v>
      </x:c>
      <x:c r="I55" s="292" t="n">
        <x:f>Base!$X$43</x:f>
        <x:v>481308.9165942118</x:v>
      </x:c>
      <x:c r="J55" s="292" t="n">
        <x:f>Base!$X$66</x:f>
        <x:v>108639.06817673784</x:v>
      </x:c>
      <x:c r="K55" s="293" t="n">
        <x:f>Base!$X$79</x:f>
        <x:v>16541.662955218242</x:v>
      </x:c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15"/>
      <x:c r="B56" s="415"/>
      <x:c r="C56" s="415"/>
      <x:c r="D56" s="415"/>
      <x:c r="E56" s="415"/>
      <x:c r="F56" s="415"/>
      <x:c r="G56" s="415"/>
      <x:c r="H56" s="303" t="n">
        <x:f>Base!$Y$5</x:f>
        <x:v>46905</x:v>
      </x:c>
      <x:c r="I56" s="292" t="n">
        <x:f>Base!$Y$43</x:f>
        <x:v>506002.7171027988</x:v>
      </x:c>
      <x:c r="J56" s="292" t="n">
        <x:f>Base!$Y$66</x:f>
        <x:v>123183.38810049047</x:v>
      </x:c>
      <x:c r="K56" s="293" t="n">
        <x:f>Base!$Y$79</x:f>
        <x:v>17997.100781855454</x:v>
      </x:c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15"/>
      <x:c r="B57" s="415"/>
      <x:c r="C57" s="415"/>
      <x:c r="D57" s="415"/>
      <x:c r="E57" s="415"/>
      <x:c r="F57" s="415"/>
      <x:c r="G57" s="415"/>
      <x:c r="H57" s="303" t="n">
        <x:f>Base!$Z$5</x:f>
        <x:v>46935</x:v>
      </x:c>
      <x:c r="I57" s="292" t="n">
        <x:f>Base!$Z$43</x:f>
        <x:v>531912.3569964488</x:v>
      </x:c>
      <x:c r="J57" s="292" t="n">
        <x:f>Base!$Z$66</x:f>
        <x:v>138441.1630529633</x:v>
      </x:c>
      <x:c r="K57" s="293" t="n">
        <x:f>Base!$Z$79</x:f>
        <x:v>19506.459859458242</x:v>
      </x:c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15"/>
      <x:c r="B58" s="415"/>
      <x:c r="C58" s="415"/>
      <x:c r="D58" s="415"/>
      <x:c r="E58" s="415"/>
      <x:c r="F58" s="415"/>
      <x:c r="G58" s="415"/>
      <x:c r="H58" s="303" t="n">
        <x:f>Base!$AA$5</x:f>
        <x:v>46966</x:v>
      </x:c>
      <x:c r="I58" s="292" t="n">
        <x:f>Base!$AA$43</x:f>
        <x:v>559099.1937636262</x:v>
      </x:c>
      <x:c r="J58" s="292" t="n">
        <x:f>Base!$AA$66</x:f>
        <x:v>145794.81101528063</x:v>
      </x:c>
      <x:c r="K58" s="293" t="n">
        <x:f>Base!$AA$79</x:f>
        <x:v>21073.001769785864</x:v>
      </x:c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15"/>
      <x:c r="B59" s="415"/>
      <x:c r="C59" s="415"/>
      <x:c r="D59" s="415"/>
      <x:c r="E59" s="415"/>
      <x:c r="F59" s="415"/>
      <x:c r="G59" s="415"/>
      <x:c r="H59" s="303" t="n">
        <x:f>Base!$AB$5</x:f>
        <x:v>46997</x:v>
      </x:c>
      <x:c r="I59" s="292" t="n">
        <x:f>Base!$AB$43</x:f>
        <x:v>587627.6358016414</x:v>
      </x:c>
      <x:c r="J59" s="292" t="n">
        <x:f>Base!$AB$66</x:f>
        <x:v>162589.54466072613</x:v>
      </x:c>
      <x:c r="K59" s="293" t="n">
        <x:f>Base!$AB$79</x:f>
        <x:v>22700.134208109226</x:v>
      </x:c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15"/>
      <x:c r="B60" s="415"/>
      <x:c r="C60" s="415"/>
      <x:c r="D60" s="415"/>
      <x:c r="E60" s="415"/>
      <x:c r="F60" s="415"/>
      <x:c r="G60" s="415"/>
      <x:c r="H60" s="303" t="n">
        <x:f>Base!$AC$5</x:f>
        <x:v>47027</x:v>
      </x:c>
      <x:c r="I60" s="292" t="n">
        <x:f>Base!$AC$43</x:f>
        <x:v>617565.2954710627</x:v>
      </x:c>
      <x:c r="J60" s="292" t="n">
        <x:f>Base!$AC$66</x:f>
        <x:v>180211.45572498275</x:v>
      </x:c>
      <x:c r="K60" s="293" t="n">
        <x:f>Base!$AC$79</x:f>
        <x:v>24391.418797853737</x:v>
      </x:c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15"/>
      <x:c r="B61" s="415"/>
      <x:c r="C61" s="415"/>
      <x:c r="D61" s="415"/>
      <x:c r="E61" s="415"/>
      <x:c r="F61" s="415"/>
      <x:c r="G61" s="415"/>
      <x:c r="H61" s="303" t="n">
        <x:f>Base!$AD$5</x:f>
        <x:v>47058</x:v>
      </x:c>
      <x:c r="I61" s="292" t="n">
        <x:f>Base!$AD$43</x:f>
        <x:v>648983.1497875745</x:v>
      </x:c>
      <x:c r="J61" s="292" t="n">
        <x:f>Base!$AD$66</x:f>
        <x:v>189615.92887759177</x:v>
      </x:c>
      <x:c r="K61" s="293" t="n">
        <x:f>Base!$AD$79</x:f>
        <x:v>26150.5792807053</x:v>
      </x:c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15"/>
      <x:c r="B62" s="415"/>
      <x:c r="C62" s="415"/>
      <x:c r="D62" s="415"/>
      <x:c r="E62" s="415"/>
      <x:c r="F62" s="415"/>
      <x:c r="G62" s="415"/>
      <x:c r="H62" s="303" t="n">
        <x:f>Base!$AE$5</x:f>
        <x:v>47088</x:v>
      </x:c>
      <x:c r="I62" s="292" t="n">
        <x:f>Base!$AE$43</x:f>
        <x:v>681955.7091336235</x:v>
      </x:c>
      <x:c r="J62" s="292" t="n">
        <x:f>Base!$AE$66</x:f>
        <x:v>209019.47720510853</x:v>
      </x:c>
      <x:c r="K62" s="293" t="n">
        <x:f>Base!$AE$79</x:f>
        <x:v>27981.510101410673</x:v>
      </x:c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15"/>
      <x:c r="B63" s="415"/>
      <x:c r="C63" s="415"/>
      <x:c r="D63" s="415"/>
      <x:c r="E63" s="415"/>
      <x:c r="F63" s="415"/>
      <x:c r="G63" s="415"/>
      <x:c r="H63" s="303" t="n">
        <x:f>Base!$AF$5</x:f>
        <x:v>47119</x:v>
      </x:c>
      <x:c r="I63" s="292" t="n">
        <x:f>Base!$AF$43</x:f>
        <x:v>716561.1943912746</x:v>
      </x:c>
      <x:c r="J63" s="292" t="n">
        <x:f>Base!$AF$66</x:f>
        <x:v>229381.7404483398</x:v>
      </x:c>
      <x:c r="K63" s="293" t="n">
        <x:f>Base!$AF$79</x:f>
        <x:v>29888.285407451218</x:v>
      </x:c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15"/>
      <x:c r="B64" s="415"/>
      <x:c r="C64" s="415"/>
      <x:c r="D64" s="415"/>
      <x:c r="E64" s="415"/>
      <x:c r="F64" s="415"/>
      <x:c r="G64" s="415"/>
      <x:c r="H64" s="303" t="n">
        <x:f>Base!$AG$5</x:f>
        <x:v>47150</x:v>
      </x:c>
      <x:c r="I64" s="292" t="n">
        <x:f>Base!$AG$43</x:f>
        <x:v>752881.7229177793</x:v>
      </x:c>
      <x:c r="J64" s="292" t="n">
        <x:f>Base!$AG$66</x:f>
        <x:v>241210.32969982378</x:v>
      </x:c>
      <x:c r="K64" s="293" t="n">
        <x:f>Base!$AG$79</x:f>
        <x:v>31875.16848476469</x:v>
      </x:c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15"/>
      <x:c r="B65" s="415"/>
      <x:c r="C65" s="415"/>
      <x:c r="D65" s="415"/>
      <x:c r="E65" s="415"/>
      <x:c r="F65" s="415"/>
      <x:c r="G65" s="415"/>
      <x:c r="H65" s="303" t="n">
        <x:f>Base!$AH$5</x:f>
        <x:v>47178</x:v>
      </x:c>
      <x:c r="I65" s="292" t="n">
        <x:f>Base!$AH$43</x:f>
        <x:v>791003.503806401</x:v>
      </x:c>
      <x:c r="J65" s="292" t="n">
        <x:f>Base!$AH$66</x:f>
        <x:v>263637.2653016911</x:v>
      </x:c>
      <x:c r="K65" s="293" t="n">
        <x:f>Base!$AH$79</x:f>
        <x:v>33946.62165173561</x:v>
      </x:c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15"/>
      <x:c r="B66" s="415"/>
      <x:c r="C66" s="415"/>
      <x:c r="D66" s="415"/>
      <x:c r="E66" s="415"/>
      <x:c r="F66" s="415"/>
      <x:c r="G66" s="415"/>
      <x:c r="H66" s="303" t="n">
        <x:f>Base!$AI$5</x:f>
        <x:v>47209</x:v>
      </x:c>
      <x:c r="I66" s="292" t="n">
        <x:f>Base!$AI$43</x:f>
        <x:v>831017.0428971718</x:v>
      </x:c>
      <x:c r="J66" s="292" t="n">
        <x:f>Base!$AI$66</x:f>
        <x:v>287175.0861687858</x:v>
      </x:c>
      <x:c r="K66" s="293" t="n">
        <x:f>Base!$AI$79</x:f>
        <x:v>36107.31663477308</x:v>
      </x:c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15"/>
      <x:c r="B67" s="415"/>
      <x:c r="C67" s="415"/>
      <x:c r="D67" s="415"/>
      <x:c r="E67" s="415"/>
      <x:c r="F67" s="415"/>
      <x:c r="G67" s="415"/>
      <x:c r="H67" s="303" t="n">
        <x:f>Base!$AJ$5</x:f>
        <x:v>47239</x:v>
      </x:c>
      <x:c r="I67" s="292" t="n">
        <x:f>Base!$AJ$43</x:f>
        <x:v>873017.3580254676</x:v>
      </x:c>
      <x:c r="J67" s="292" t="n">
        <x:f>Base!$AJ$66</x:f>
        <x:v>301861.9484551344</x:v>
      </x:c>
      <x:c r="K67" s="293" t="n">
        <x:f>Base!$AJ$79</x:f>
        <x:v>38362.14544994891</x:v>
      </x:c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15"/>
      <x:c r="B68" s="415"/>
      <x:c r="C68" s="415"/>
      <x:c r="D68" s="415"/>
      <x:c r="E68" s="415"/>
      <x:c r="F68" s="415"/>
      <x:c r="G68" s="415"/>
      <x:c r="H68" s="303" t="n">
        <x:f>Base!$AK$5</x:f>
        <x:v>47270</x:v>
      </x:c>
      <x:c r="I68" s="292" t="n">
        <x:f>Base!$AK$43</x:f>
        <x:v>917104.2050206749</x:v>
      </x:c>
      <x:c r="J68" s="292" t="n">
        <x:f>Base!$AK$66</x:f>
        <x:v>327791.8976688781</x:v>
      </x:c>
      <x:c r="K68" s="293" t="n">
        <x:f>Base!$AK$79</x:f>
        <x:v>40716.23181638042</x:v>
      </x:c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15"/>
      <x:c r="B69" s="415"/>
      <x:c r="C69" s="415"/>
      <x:c r="D69" s="415"/>
      <x:c r="E69" s="415"/>
      <x:c r="F69" s="415"/>
      <x:c r="G69" s="415"/>
      <x:c r="H69" s="304" t="n">
        <x:f>Base!$AL$5</x:f>
        <x:v>47300</x:v>
      </x:c>
      <x:c r="I69" s="294" t="n">
        <x:f>Base!$AL$43</x:f>
        <x:v>955630.985566683</x:v>
      </x:c>
      <x:c r="J69" s="294" t="n">
        <x:f>Base!$AL$66</x:f>
        <x:v>350273.7797254426</x:v>
      </x:c>
      <x:c r="K69" s="295" t="n">
        <x:f>Base!$AL$79</x:f>
        <x:v>43174.94312831549</x:v>
      </x:c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15"/>
      <x:c r="B70" s="415"/>
      <x:c r="C70" s="415"/>
      <x:c r="D70" s="415"/>
      <x:c r="E70" s="415"/>
      <x:c r="F70" s="415"/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L1"/>
    <x:mergeCell ref="A2:L2"/>
    <x:mergeCell ref="A10:F10"/>
  </x:mergeCells>
  <x:pageMargins left="0.7" right="0.7" top="0.75" bottom="0.75" header="0.3" footer="0.3"/>
  <x:drawing xmlns:r="http://schemas.openxmlformats.org/officeDocument/2006/relationships" r:id="Rae1d887a04e74404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3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14" t="str">
        <x:v>GoalOS Financial Projections — Executive Summary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Illustrative 36-month management model starting August 2026. The model is designed for decision-making: it shows the commercial ladder, unit economics, cash, proof-driven conversion lift, and capacity compounding.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 t="str">
        <x:v>Scenario</x:v>
      </x:c>
      <x:c r="Q3" s="415" t="str">
        <x:v>Year 1</x:v>
      </x:c>
      <x:c r="R3" s="415" t="str">
        <x:v>Year 2</x:v>
      </x:c>
      <x:c r="S3" s="415" t="str">
        <x:v>Year 3</x:v>
      </x:c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 ht="28" customHeight="1">
      <x:c r="A4" s="26" t="str">
        <x:v>Scenario</x:v>
      </x:c>
      <x:c r="B4" s="27" t="str">
        <x:v>Y1 Revenue</x:v>
      </x:c>
      <x:c r="C4" s="27" t="str">
        <x:v>Y2 Revenue</x:v>
      </x:c>
      <x:c r="D4" s="27" t="str">
        <x:v>Y3 Revenue</x:v>
      </x:c>
      <x:c r="E4" s="27" t="str">
        <x:v>3Y EBITDA</x:v>
      </x:c>
      <x:c r="F4" s="27" t="str">
        <x:v>3Y FCF</x:v>
      </x:c>
      <x:c r="G4" s="27" t="str">
        <x:v>Ending Cash</x:v>
      </x:c>
      <x:c r="H4" s="27" t="str">
        <x:v>Break-even</x:v>
      </x:c>
      <x:c r="I4" s="27" t="str">
        <x:v>Exit MRR</x:v>
      </x:c>
      <x:c r="J4" s="28" t="str">
        <x:v>Validated Cases</x:v>
      </x:c>
      <x:c r="K4" s="415"/>
      <x:c r="L4" s="415"/>
      <x:c r="M4" s="415"/>
      <x:c r="N4" s="415"/>
      <x:c r="O4" s="415"/>
      <x:c r="P4" s="415" t="str">
        <x:v>Conservative</x:v>
      </x:c>
      <x:c r="Q4" s="415" t="n">
        <x:f>'Annual Summary'!B5</x:f>
        <x:v>642503.2737280721</x:v>
      </x:c>
      <x:c r="R4" s="415" t="n">
        <x:f>'Annual Summary'!C5</x:f>
        <x:v>1297391.044725121</x:v>
      </x:c>
      <x:c r="S4" s="415" t="n">
        <x:f>'Annual Summary'!D5</x:f>
        <x:v>2161093.4798171357</x:v>
      </x:c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 ht="26" customHeight="1">
      <x:c r="A5" s="232" t="str">
        <x:v>Conservative</x:v>
      </x:c>
      <x:c r="B5" s="426" t="n">
        <x:f>'Annual Summary'!B5</x:f>
        <x:v>642503.2737280721</x:v>
      </x:c>
      <x:c r="C5" s="426" t="n">
        <x:f>'Annual Summary'!C5</x:f>
        <x:v>1297391.044725121</x:v>
      </x:c>
      <x:c r="D5" s="426" t="n">
        <x:f>'Annual Summary'!D5</x:f>
        <x:v>2161093.4798171357</x:v>
      </x:c>
      <x:c r="E5" s="426" t="n">
        <x:f>'Annual Summary'!F5</x:f>
        <x:v>-708616.1685030826</x:v>
      </x:c>
      <x:c r="F5" s="426" t="n">
        <x:f>'Annual Summary'!G5</x:f>
        <x:v>-768217.852626546</x:v>
      </x:c>
      <x:c r="G5" s="426" t="n">
        <x:f>'Annual Summary'!H5</x:f>
        <x:v>731782.147373454</x:v>
      </x:c>
      <x:c r="H5" s="186" t="n">
        <x:f>'Annual Summary'!J5</x:f>
        <x:v>29</x:v>
      </x:c>
      <x:c r="I5" s="220" t="n">
        <x:f>'Annual Summary'!K5</x:f>
        <x:v>5793.125170641158</x:v>
      </x:c>
      <x:c r="J5" s="226" t="n">
        <x:f>'Annual Summary'!L5</x:f>
        <x:v>80.02634173068216</x:v>
      </x:c>
      <x:c r="K5" s="415"/>
      <x:c r="L5" s="415"/>
      <x:c r="M5" s="415"/>
      <x:c r="N5" s="415"/>
      <x:c r="O5" s="415"/>
      <x:c r="P5" s="415" t="str">
        <x:v>Base</x:v>
      </x:c>
      <x:c r="Q5" s="415" t="n">
        <x:f>'Annual Summary'!B6</x:f>
        <x:v>1976950.075677437</x:v>
      </x:c>
      <x:c r="R5" s="415" t="n">
        <x:f>'Annual Summary'!C6</x:f>
        <x:v>4876065.995799722</x:v>
      </x:c>
      <x:c r="S5" s="415" t="n">
        <x:f>'Annual Summary'!D6</x:f>
        <x:v>8932446.996582981</x:v>
      </x:c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 ht="26" customHeight="1">
      <x:c r="A6" s="432" t="str">
        <x:v>Base</x:v>
      </x:c>
      <x:c r="B6" s="442" t="n">
        <x:f>'Annual Summary'!B6</x:f>
        <x:v>1976950.075677437</x:v>
      </x:c>
      <x:c r="C6" s="442" t="n">
        <x:f>'Annual Summary'!C6</x:f>
        <x:v>4876065.995799722</x:v>
      </x:c>
      <x:c r="D6" s="442" t="n">
        <x:f>'Annual Summary'!D6</x:f>
        <x:v>8932446.996582981</x:v>
      </x:c>
      <x:c r="E6" s="442" t="n">
        <x:f>'Annual Summary'!F6</x:f>
        <x:v>3388684.6799967564</x:v>
      </x:c>
      <x:c r="F6" s="442" t="n">
        <x:f>'Annual Summary'!G6</x:f>
        <x:v>2386172.072331492</x:v>
      </x:c>
      <x:c r="G6" s="442" t="n">
        <x:f>'Annual Summary'!H6</x:f>
        <x:v>3886172.0723314914</x:v>
      </x:c>
      <x:c r="H6" s="443" t="n">
        <x:f>'Annual Summary'!J6</x:f>
        <x:v>11</x:v>
      </x:c>
      <x:c r="I6" s="444" t="n">
        <x:f>'Annual Summary'!K6</x:f>
        <x:v>43174.94312831549</x:v>
      </x:c>
      <x:c r="J6" s="445" t="n">
        <x:f>'Annual Summary'!L6</x:f>
        <x:v>191.42301572990763</x:v>
      </x:c>
      <x:c r="K6" s="415"/>
      <x:c r="L6" s="415"/>
      <x:c r="M6" s="415"/>
      <x:c r="N6" s="415"/>
      <x:c r="O6" s="415"/>
      <x:c r="P6" s="415" t="str">
        <x:v>Upside</x:v>
      </x:c>
      <x:c r="Q6" s="415" t="n">
        <x:f>'Annual Summary'!B7</x:f>
        <x:v>8367889.216253094</x:v>
      </x:c>
      <x:c r="R6" s="415" t="n">
        <x:f>'Annual Summary'!C7</x:f>
        <x:v>24647847.650559496</x:v>
      </x:c>
      <x:c r="S6" s="415" t="n">
        <x:f>'Annual Summary'!D7</x:f>
        <x:v>35405356.665497564</x:v>
      </x:c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 ht="26" customHeight="1">
      <x:c r="A7" s="234" t="str">
        <x:v>Upside</x:v>
      </x:c>
      <x:c r="B7" s="428" t="n">
        <x:f>'Annual Summary'!B7</x:f>
        <x:v>8367889.216253094</x:v>
      </x:c>
      <x:c r="C7" s="428" t="n">
        <x:f>'Annual Summary'!C7</x:f>
        <x:v>24647847.650559496</x:v>
      </x:c>
      <x:c r="D7" s="428" t="n">
        <x:f>'Annual Summary'!D7</x:f>
        <x:v>35405356.665497564</x:v>
      </x:c>
      <x:c r="E7" s="428" t="n">
        <x:f>'Annual Summary'!F7</x:f>
        <x:v>29181513.746261217</x:v>
      </x:c>
      <x:c r="F7" s="428" t="n">
        <x:f>'Annual Summary'!G7</x:f>
        <x:v>20465471.968377974</x:v>
      </x:c>
      <x:c r="G7" s="428" t="n">
        <x:f>'Annual Summary'!H7</x:f>
        <x:v>21965471.96837797</x:v>
      </x:c>
      <x:c r="H7" s="192" t="n">
        <x:f>'Annual Summary'!J7</x:f>
        <x:v>3</x:v>
      </x:c>
      <x:c r="I7" s="222" t="n">
        <x:f>'Annual Summary'!K7</x:f>
        <x:v>311913.00230838667</x:v>
      </x:c>
      <x:c r="J7" s="228" t="n">
        <x:f>'Annual Summary'!L7</x:f>
        <x:v>536.1151191237071</x:v>
      </x:c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>
      <x:c r="A8" s="415"/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15"/>
      <x:c r="B9" s="415"/>
      <x:c r="C9" s="415"/>
      <x:c r="D9" s="415"/>
      <x:c r="E9" s="415"/>
      <x:c r="F9" s="415"/>
      <x:c r="G9" s="415"/>
      <x:c r="H9" s="415"/>
      <x:c r="I9" s="415"/>
      <x:c r="J9" s="415"/>
      <x:c r="K9" s="415"/>
      <x:c r="L9" s="415"/>
      <x:c r="M9" s="415"/>
      <x:c r="N9" s="415"/>
      <x:c r="O9" s="415"/>
      <x:c r="P9" s="415" t="str">
        <x:v>Month</x:v>
      </x:c>
      <x:c r="Q9" s="415" t="str">
        <x:v>Revenue</x:v>
      </x:c>
      <x:c r="R9" s="415" t="str">
        <x:v>EBITDA</x:v>
      </x:c>
      <x:c r="S9" s="415" t="str">
        <x:v>Exit MRR</x:v>
      </x:c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 ht="23" customHeight="1">
      <x:c r="A10" s="416" t="str">
        <x:v>Base-Case Interpretation</x:v>
      </x:c>
      <x:c r="B10" s="415"/>
      <x:c r="C10" s="415"/>
      <x:c r="D10" s="415"/>
      <x:c r="E10" s="415"/>
      <x:c r="F10" s="415"/>
      <x:c r="G10" s="415"/>
      <x:c r="H10" s="26"/>
      <x:c r="I10" s="27"/>
      <x:c r="J10" s="27"/>
      <x:c r="K10" s="28"/>
      <x:c r="L10" s="415"/>
      <x:c r="M10" s="415"/>
      <x:c r="N10" s="415"/>
      <x:c r="O10" s="415"/>
      <x:c r="P10" s="415" t="str">
        <x:v>Aug-26</x:v>
      </x:c>
      <x:c r="Q10" s="415" t="n">
        <x:f>Base!$C$43</x:f>
        <x:v>33909.119999999995</x:v>
      </x:c>
      <x:c r="R10" s="415" t="n">
        <x:f>Base!$C$66</x:f>
        <x:v>-100643.3664</x:v>
      </x:c>
      <x:c r="S10" s="415" t="n">
        <x:f>Base!$C$79</x:f>
        <x:v>0</x:v>
      </x:c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 ht="28" customHeight="1">
      <x:c r="A11" s="26" t="str">
        <x:v>Period</x:v>
      </x:c>
      <x:c r="B11" s="27" t="str"/>
      <x:c r="C11" s="28" t="str">
        <x:v>Role in the model</x:v>
      </x:c>
      <x:c r="D11" s="27" t="str"/>
      <x:c r="E11" s="27" t="str">
        <x:v>Interpretation</x:v>
      </x:c>
      <x:c r="F11" s="27" t="str"/>
      <x:c r="G11" s="28" t="str"/>
      <x:c r="H11" s="26" t="str"/>
      <x:c r="I11" s="461" t="str"/>
      <x:c r="J11" s="461" t="str"/>
      <x:c r="K11" s="462" t="str"/>
      <x:c r="L11" s="27" t="str"/>
      <x:c r="M11" s="27" t="str"/>
      <x:c r="N11" s="28" t="str"/>
      <x:c r="O11" s="415"/>
      <x:c r="P11" s="415" t="str">
        <x:v>Sep-26</x:v>
      </x:c>
      <x:c r="Q11" s="415" t="n">
        <x:f>Base!$D$43</x:f>
        <x:v>69308.2020089088</x:v>
      </x:c>
      <x:c r="R11" s="415" t="n">
        <x:f>Base!$D$66</x:f>
        <x:v>-78947.62703412634</x:v>
      </x:c>
      <x:c r="S11" s="415" t="n">
        <x:f>Base!$D$79</x:f>
        <x:v>0</x:v>
      </x:c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 ht="42" customHeight="1">
      <x:c r="A12" s="478" t="str">
        <x:v>Year 1</x:v>
      </x:c>
      <x:c r="B12" s="95"/>
      <x:c r="C12" s="96" t="str">
        <x:v>Commercial validation year</x:v>
      </x:c>
      <x:c r="D12" s="95"/>
      <x:c r="E12" s="95" t="str">
        <x:v>Revenue is driven primarily by paid MasterClasses, Design Labs, Sprints, and the first Proof Runs.</x:v>
      </x:c>
      <x:c r="F12" s="95"/>
      <x:c r="G12" s="96"/>
      <x:c r="H12" s="94"/>
      <x:c r="I12" s="130"/>
      <x:c r="J12" s="130"/>
      <x:c r="K12" s="131"/>
      <x:c r="L12" s="95"/>
      <x:c r="M12" s="95"/>
      <x:c r="N12" s="96"/>
      <x:c r="O12" s="415"/>
      <x:c r="P12" s="415" t="str">
        <x:v>Oct-26</x:v>
      </x:c>
      <x:c r="Q12" s="415" t="n">
        <x:f>Base!$E$43</x:f>
        <x:v>105711.4609391327</x:v>
      </x:c>
      <x:c r="R12" s="415" t="n">
        <x:f>Base!$E$66</x:f>
        <x:v>-58544.119378700096</x:v>
      </x:c>
      <x:c r="S12" s="415" t="n">
        <x:f>Base!$E$79</x:f>
        <x:v>0</x:v>
      </x:c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 ht="42" customHeight="1">
      <x:c r="A13" s="478" t="str">
        <x:v>Year 2</x:v>
      </x:c>
      <x:c r="B13" s="95"/>
      <x:c r="C13" s="96" t="str">
        <x:v>Operating leverage appears</x:v>
      </x:c>
      <x:c r="D13" s="95"/>
      <x:c r="E13" s="95" t="str">
        <x:v>Proof assets improve close rates and capacity; recurring Proof OS revenue becomes meaningful.</x:v>
      </x:c>
      <x:c r="F13" s="95"/>
      <x:c r="G13" s="96"/>
      <x:c r="H13" s="94"/>
      <x:c r="I13" s="130"/>
      <x:c r="J13" s="130"/>
      <x:c r="K13" s="131"/>
      <x:c r="L13" s="95"/>
      <x:c r="M13" s="95"/>
      <x:c r="N13" s="96"/>
      <x:c r="O13" s="415"/>
      <x:c r="P13" s="415" t="str">
        <x:v>Nov-26</x:v>
      </x:c>
      <x:c r="Q13" s="415" t="n">
        <x:f>Base!$F$43</x:f>
        <x:v>112636.22634693145</x:v>
      </x:c>
      <x:c r="R13" s="415" t="n">
        <x:f>Base!$F$66</x:f>
        <x:v>-60457.4931739014</x:v>
      </x:c>
      <x:c r="S13" s="415" t="n">
        <x:f>Base!$F$79</x:f>
        <x:v>0</x:v>
      </x:c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 ht="42" customHeight="1">
      <x:c r="A14" s="478" t="str">
        <x:v>Year 3</x:v>
      </x:c>
      <x:c r="B14" s="95"/>
      <x:c r="C14" s="96" t="str">
        <x:v>Institutional scale phase</x:v>
      </x:c>
      <x:c r="D14" s="95"/>
      <x:c r="E14" s="95" t="str">
        <x:v>The model assumes repeatable Proof Runs, enterprise conversions, recurring support, and stronger delivery leverage.</x:v>
      </x:c>
      <x:c r="F14" s="95"/>
      <x:c r="G14" s="96"/>
      <x:c r="H14" s="95"/>
      <x:c r="I14" s="95"/>
      <x:c r="J14" s="95"/>
      <x:c r="K14" s="95"/>
      <x:c r="L14" s="95"/>
      <x:c r="M14" s="95"/>
      <x:c r="N14" s="96"/>
      <x:c r="O14" s="415"/>
      <x:c r="P14" s="415" t="str">
        <x:v>Dec-26</x:v>
      </x:c>
      <x:c r="Q14" s="415" t="n">
        <x:f>Base!$G$43</x:f>
        <x:v>151030.64411247594</x:v>
      </x:c>
      <x:c r="R14" s="415" t="n">
        <x:f>Base!$G$66</x:f>
        <x:v>-40101.683937379465</x:v>
      </x:c>
      <x:c r="S14" s="415" t="n">
        <x:f>Base!$G$79</x:f>
        <x:v>0</x:v>
      </x:c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>
      <x:c r="A15" s="415"/>
      <x:c r="B15" s="415"/>
      <x:c r="C15" s="415"/>
      <x:c r="D15" s="415"/>
      <x:c r="E15" s="415"/>
      <x:c r="F15" s="415"/>
      <x:c r="G15" s="415"/>
      <x:c r="H15" s="415"/>
      <x:c r="I15" s="415"/>
      <x:c r="J15" s="415"/>
      <x:c r="K15" s="415"/>
      <x:c r="L15" s="415"/>
      <x:c r="M15" s="415"/>
      <x:c r="N15" s="415"/>
      <x:c r="O15" s="415"/>
      <x:c r="P15" s="415" t="str">
        <x:v>Jan-27</x:v>
      </x:c>
      <x:c r="Q15" s="415" t="n">
        <x:f>Base!$H$43</x:f>
        <x:v>161847.87617021322</x:v>
      </x:c>
      <x:c r="R15" s="415" t="n">
        <x:f>Base!$H$66</x:f>
        <x:v>-33624.22882431069</x:v>
      </x:c>
      <x:c r="S15" s="415" t="n">
        <x:f>Base!$H$79</x:f>
        <x:v>511.86401279999995</x:v>
      </x:c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415"/>
      <x:c r="B16" s="415"/>
      <x:c r="C16" s="415"/>
      <x:c r="D16" s="415"/>
      <x:c r="E16" s="415"/>
      <x:c r="F16" s="415"/>
      <x:c r="G16" s="415"/>
      <x:c r="H16" s="415"/>
      <x:c r="I16" s="415"/>
      <x:c r="J16" s="415"/>
      <x:c r="K16" s="415"/>
      <x:c r="L16" s="415"/>
      <x:c r="M16" s="415"/>
      <x:c r="N16" s="415"/>
      <x:c r="O16" s="415"/>
      <x:c r="P16" s="415" t="str">
        <x:v>Feb-27</x:v>
      </x:c>
      <x:c r="Q16" s="415" t="n">
        <x:f>Base!$I$43</x:f>
        <x:v>173707.51752957815</x:v>
      </x:c>
      <x:c r="R16" s="415" t="n">
        <x:f>Base!$I$66</x:f>
        <x:v>-32992.37685582448</x:v>
      </x:c>
      <x:c r="S16" s="415" t="n">
        <x:f>Base!$I$79</x:f>
        <x:v>1039.6885802304798</x:v>
      </x:c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 ht="23" customHeight="1">
      <x:c r="A17" s="416" t="str">
        <x:v>Scale and Valuation Reality Check</x:v>
      </x:c>
      <x:c r="B17" s="415"/>
      <x:c r="C17" s="415"/>
      <x:c r="D17" s="415"/>
      <x:c r="E17" s="415"/>
      <x:c r="F17" s="415"/>
      <x:c r="G17" s="415"/>
      <x:c r="H17" s="415"/>
      <x:c r="I17" s="415"/>
      <x:c r="J17" s="415"/>
      <x:c r="K17" s="415"/>
      <x:c r="L17" s="415"/>
      <x:c r="M17" s="415"/>
      <x:c r="N17" s="415"/>
      <x:c r="O17" s="415"/>
      <x:c r="P17" s="415" t="str">
        <x:v>Mar-27</x:v>
      </x:c>
      <x:c r="Q17" s="415" t="n">
        <x:f>Base!$J$43</x:f>
        <x:v>200648.8722457132</x:v>
      </x:c>
      <x:c r="R17" s="415" t="n">
        <x:f>Base!$J$66</x:f>
        <x:v>-18502.283633171784</x:v>
      </x:c>
      <x:c r="S17" s="415" t="n">
        <x:f>Base!$J$79</x:f>
        <x:v>1753.3420646188363</x:v>
      </x:c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 ht="28" customHeight="1">
      <x:c r="A18" s="26" t="str">
        <x:v>Target Enterprise Value ($m)</x:v>
      </x:c>
      <x:c r="B18" s="27" t="str">
        <x:v>Revenue at 5.0x ($m)</x:v>
      </x:c>
      <x:c r="C18" s="27" t="str">
        <x:v>Revenue at 10.0x ($m)</x:v>
      </x:c>
      <x:c r="D18" s="27" t="str">
        <x:v>Revenue at 15.0x ($m)</x:v>
      </x:c>
      <x:c r="E18" s="27" t="str">
        <x:v>Base Y3 Revenue ($m)</x:v>
      </x:c>
      <x:c r="F18" s="28" t="str">
        <x:v>Upside Y3 Revenue ($m)</x:v>
      </x:c>
      <x:c r="G18" s="415"/>
      <x:c r="H18" s="415"/>
      <x:c r="I18" s="415"/>
      <x:c r="J18" s="415"/>
      <x:c r="K18" s="415"/>
      <x:c r="L18" s="415"/>
      <x:c r="M18" s="415"/>
      <x:c r="N18" s="415"/>
      <x:c r="O18" s="415"/>
      <x:c r="P18" s="415" t="str">
        <x:v>Apr-27</x:v>
      </x:c>
      <x:c r="Q18" s="415" t="n">
        <x:f>Base!$K$43</x:f>
        <x:v>215742.952633264</x:v>
      </x:c>
      <x:c r="R18" s="415" t="n">
        <x:f>Base!$K$66</x:f>
        <x:v>-9567.130286915519</x:v>
      </x:c>
      <x:c r="S18" s="415" t="n">
        <x:f>Base!$K$79</x:f>
        <x:v>2495.51540321694</x:v>
      </x:c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480" t="n">
        <x:v>1000</x:v>
      </x:c>
      <x:c r="B19" s="481" t="n">
        <x:f>A19/5</x:f>
        <x:v>200</x:v>
      </x:c>
      <x:c r="C19" s="481" t="n">
        <x:f>A19/10</x:f>
        <x:v>100</x:v>
      </x:c>
      <x:c r="D19" s="481" t="n">
        <x:f>A19/15</x:f>
        <x:v>66.66666666666667</x:v>
      </x:c>
      <x:c r="E19" s="481" t="n">
        <x:f>'Annual Summary'!D6/1000000</x:f>
        <x:v>8.932446996582982</x:v>
      </x:c>
      <x:c r="F19" s="482" t="n">
        <x:f>'Annual Summary'!D7/1000000</x:f>
        <x:v>35.405356665497564</x:v>
      </x:c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 t="str">
        <x:v>May-27</x:v>
      </x:c>
      <x:c r="Q19" s="415" t="n">
        <x:f>Base!$L$43</x:f>
        <x:v>232247.0129013283</x:v>
      </x:c>
      <x:c r="R19" s="415" t="n">
        <x:f>Base!$L$66</x:f>
        <x:v>-6588.3187007240485</x:v>
      </x:c>
      <x:c r="S19" s="415" t="n">
        <x:f>Base!$L$79</x:f>
        <x:v>3270.107897632697</x:v>
      </x:c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483" t="n">
        <x:v>10000</x:v>
      </x:c>
      <x:c r="B20" s="484" t="n">
        <x:f>A20/5</x:f>
        <x:v>2000</x:v>
      </x:c>
      <x:c r="C20" s="484" t="n">
        <x:f>A20/10</x:f>
        <x:v>1000</x:v>
      </x:c>
      <x:c r="D20" s="484" t="n">
        <x:f>A20/15</x:f>
        <x:v>666.6666666666666</x:v>
      </x:c>
      <x:c r="E20" s="484" t="n">
        <x:f>'Annual Summary'!D6/1000000</x:f>
        <x:v>8.932446996582982</x:v>
      </x:c>
      <x:c r="F20" s="485" t="n">
        <x:f>'Annual Summary'!D7/1000000</x:f>
        <x:v>35.405356665497564</x:v>
      </x:c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 t="str">
        <x:v>Jun-27</x:v>
      </x:c>
      <x:c r="Q20" s="415" t="n">
        <x:f>Base!$M$43</x:f>
        <x:v>250256.36210241058</x:v>
      </x:c>
      <x:c r="R20" s="415" t="n">
        <x:f>Base!$M$66</x:f>
        <x:v>4055.9545265480992</x:v>
      </x:c>
      <x:c r="S20" s="415" t="n">
        <x:f>Base!$M$79</x:f>
        <x:v>4081.680776234454</x:v>
      </x:c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86" t="n">
        <x:v>100000</x:v>
      </x:c>
      <x:c r="B21" s="487" t="n">
        <x:f>A21/5</x:f>
        <x:v>20000</x:v>
      </x:c>
      <x:c r="C21" s="487" t="n">
        <x:f>A21/10</x:f>
        <x:v>10000</x:v>
      </x:c>
      <x:c r="D21" s="487" t="n">
        <x:f>A21/15</x:f>
        <x:v>6666.666666666667</x:v>
      </x:c>
      <x:c r="E21" s="487" t="n">
        <x:f>'Annual Summary'!D6/1000000</x:f>
        <x:v>8.932446996582982</x:v>
      </x:c>
      <x:c r="F21" s="488" t="n">
        <x:f>'Annual Summary'!D7/1000000</x:f>
        <x:v>35.405356665497564</x:v>
      </x:c>
      <x:c r="G21" s="415"/>
      <x:c r="H21" s="415"/>
      <x:c r="I21" s="415"/>
      <x:c r="J21" s="415"/>
      <x:c r="K21" s="415"/>
      <x:c r="L21" s="415"/>
      <x:c r="M21" s="415"/>
      <x:c r="N21" s="415"/>
      <x:c r="O21" s="415"/>
      <x:c r="P21" s="415" t="str">
        <x:v>Jul-27</x:v>
      </x:c>
      <x:c r="Q21" s="415" t="n">
        <x:f>Base!$N$43</x:f>
        <x:v>269903.8286874807</x:v>
      </x:c>
      <x:c r="R21" s="415" t="n">
        <x:f>Base!$N$66</x:f>
        <x:v>15667.148903999652</x:v>
      </x:c>
      <x:c r="S21" s="415" t="n">
        <x:f>Base!$N$79</x:f>
        <x:v>4934.322358179505</x:v>
      </x:c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415"/>
      <x:c r="B22" s="415"/>
      <x:c r="C22" s="415"/>
      <x:c r="D22" s="415"/>
      <x:c r="E22" s="415"/>
      <x:c r="F22" s="415"/>
      <x:c r="G22" s="415"/>
      <x:c r="H22" s="415"/>
      <x:c r="I22" s="415"/>
      <x:c r="J22" s="415"/>
      <x:c r="K22" s="415"/>
      <x:c r="L22" s="415"/>
      <x:c r="M22" s="415"/>
      <x:c r="N22" s="415"/>
      <x:c r="O22" s="415"/>
      <x:c r="P22" s="415" t="str">
        <x:v>Aug-27</x:v>
      </x:c>
      <x:c r="Q22" s="415" t="n">
        <x:f>Base!$O$43</x:f>
        <x:v>291090.79677174665</x:v>
      </x:c>
      <x:c r="R22" s="415" t="n">
        <x:f>Base!$O$66</x:f>
        <x:v>21044.127239886497</x:v>
      </x:c>
      <x:c r="S22" s="415" t="n">
        <x:f>Base!$O$79</x:f>
        <x:v>5832.755614061436</x:v>
      </x:c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 ht="42" customHeight="1">
      <x:c r="A23" s="500" t="str">
        <x:v>Interpretation</x:v>
      </x:c>
      <x:c r="B23" s="334"/>
      <x:c r="C23" s="334" t="str">
        <x:v>At a 10.0x forward-revenue multiple, a $1B valuation requires approximately $100M of forward revenue. The 36-month scenarios are operating plans—not claims of unicorn status.</x:v>
      </x:c>
      <x:c r="D23" s="334"/>
      <x:c r="E23" s="334"/>
      <x:c r="F23" s="335"/>
      <x:c r="G23" s="335"/>
      <x:c r="H23" s="334"/>
      <x:c r="I23" s="334"/>
      <x:c r="J23" s="334"/>
      <x:c r="K23" s="334"/>
      <x:c r="L23" s="334"/>
      <x:c r="M23" s="334"/>
      <x:c r="N23" s="335"/>
      <x:c r="O23" s="415"/>
      <x:c r="P23" s="415" t="str">
        <x:v>Sep-27</x:v>
      </x:c>
      <x:c r="Q23" s="415" t="n">
        <x:f>Base!$P$43</x:f>
        <x:v>311813.48163360835</x:v>
      </x:c>
      <x:c r="R23" s="415" t="n">
        <x:f>Base!$P$66</x:f>
        <x:v>33108.7088948148</x:v>
      </x:c>
      <x:c r="S23" s="415" t="n">
        <x:f>Base!$P$79</x:f>
        <x:v>6782.153711135324</x:v>
      </x:c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 ht="42" customHeight="1">
      <x:c r="A24" s="501" t="str">
        <x:v>Decision</x:v>
      </x:c>
      <x:c r="B24" s="337"/>
      <x:c r="C24" s="337" t="str">
        <x:v>Use Base as the planning case, Conservative as the survival test, and Upside as the execution stress test.</x:v>
      </x:c>
      <x:c r="D24" s="337"/>
      <x:c r="E24" s="337"/>
      <x:c r="F24" s="338"/>
      <x:c r="G24" s="338"/>
      <x:c r="H24" s="337"/>
      <x:c r="I24" s="337"/>
      <x:c r="J24" s="337"/>
      <x:c r="K24" s="337"/>
      <x:c r="L24" s="337"/>
      <x:c r="M24" s="337"/>
      <x:c r="N24" s="338"/>
      <x:c r="O24" s="415"/>
      <x:c r="P24" s="415" t="str">
        <x:v>Oct-27</x:v>
      </x:c>
      <x:c r="Q24" s="415" t="n">
        <x:f>Base!$Q$43</x:f>
        <x:v>331902.81368341215</x:v>
      </x:c>
      <x:c r="R24" s="415" t="n">
        <x:f>Base!$Q$66</x:f>
        <x:v>44737.392481468036</x:v>
      </x:c>
      <x:c r="S24" s="415" t="n">
        <x:f>Base!$Q$79</x:f>
        <x:v>7788.142879007556</x:v>
      </x:c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 t="str">
        <x:v>Nov-27</x:v>
      </x:c>
      <x:c r="Q25" s="415" t="n">
        <x:f>Base!$R$43</x:f>
        <x:v>351491.8629902434</x:v>
      </x:c>
      <x:c r="R25" s="415" t="n">
        <x:f>Base!$R$66</x:f>
        <x:v>48634.10886633425</x:v>
      </x:c>
      <x:c r="S25" s="415" t="n">
        <x:f>Base!$R$79</x:f>
        <x:v>8857.033323597216</x:v>
      </x:c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15"/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 t="str">
        <x:v>Dec-27</x:v>
      </x:c>
      <x:c r="Q26" s="415" t="n">
        <x:f>Base!$S$43</x:f>
        <x:v>372098.48422377364</x:v>
      </x:c>
      <x:c r="R26" s="415" t="n">
        <x:f>Base!$S$66</x:f>
        <x:v>60595.74168511445</x:v>
      </x:c>
      <x:c r="S26" s="415" t="n">
        <x:f>Base!$S$79</x:f>
        <x:v>9995.831262035746</x:v>
      </x:c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 ht="23" customHeight="1">
      <x:c r="A27" s="416" t="str">
        <x:v>Base-Case Annual P&amp;L and Operating Milestones</x:v>
      </x:c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 t="str">
        <x:v>Jan-28</x:v>
      </x:c>
      <x:c r="Q27" s="415" t="n">
        <x:f>Base!$T$43</x:f>
        <x:v>392117.34121897275</x:v>
      </x:c>
      <x:c r="R27" s="415" t="n">
        <x:f>Base!$T$66</x:f>
        <x:v>72331.36453706093</x:v>
      </x:c>
      <x:c r="S27" s="415" t="n">
        <x:f>Base!$T$79</x:f>
        <x:v>11207.68851310053</x:v>
      </x:c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 ht="28" customHeight="1">
      <x:c r="A28" s="26" t="str">
        <x:v>Metric</x:v>
      </x:c>
      <x:c r="B28" s="27" t="str">
        <x:v>Year 1</x:v>
      </x:c>
      <x:c r="C28" s="27" t="str">
        <x:v>Year 2</x:v>
      </x:c>
      <x:c r="D28" s="27" t="str">
        <x:v>Year 3</x:v>
      </x:c>
      <x:c r="E28" s="28" t="str">
        <x:v>3-Year / Exit</x:v>
      </x:c>
      <x:c r="F28" s="415"/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 t="str">
        <x:v>Feb-28</x:v>
      </x:c>
      <x:c r="Q28" s="415" t="n">
        <x:f>Base!$U$43</x:f>
        <x:v>413216.9309120002</x:v>
      </x:c>
      <x:c r="R28" s="415" t="n">
        <x:f>Base!$U$66</x:f>
        <x:v>76839.97604749684</x:v>
      </x:c>
      <x:c r="S28" s="415" t="n">
        <x:f>Base!$U$79</x:f>
        <x:v>12468.298619495727</x:v>
      </x:c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232" t="str">
        <x:v>Revenue</x:v>
      </x:c>
      <x:c r="B29" s="220" t="n">
        <x:f>'Annual Summary'!B15</x:f>
        <x:v>1976950.075677437</x:v>
      </x:c>
      <x:c r="C29" s="220" t="n">
        <x:f>'Annual Summary'!B16</x:f>
        <x:v>4876065.995799722</x:v>
      </x:c>
      <x:c r="D29" s="220" t="n">
        <x:f>'Annual Summary'!B17</x:f>
        <x:v>8932446.996582981</x:v>
      </x:c>
      <x:c r="E29" s="309" t="n">
        <x:f>'Annual Summary'!E6</x:f>
        <x:v>15785463.068060137</x:v>
      </x:c>
      <x:c r="F29" s="415"/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 t="str">
        <x:v>Mar-28</x:v>
      </x:c>
      <x:c r="Q29" s="415" t="n">
        <x:f>Base!$V$43</x:f>
        <x:v>435337.7905625302</x:v>
      </x:c>
      <x:c r="R29" s="415" t="n">
        <x:f>Base!$V$66</x:f>
        <x:v>89796.48866495764</x:v>
      </x:c>
      <x:c r="S29" s="415" t="n">
        <x:f>Base!$V$79</x:f>
        <x:v>13780.1908899736</x:v>
      </x:c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233" t="str">
        <x:v>Gross profit</x:v>
      </x:c>
      <x:c r="B30" s="221" t="n">
        <x:f>'Annual Summary'!C15</x:f>
        <x:v>1308577.1055029149</x:v>
      </x:c>
      <x:c r="C30" s="221" t="n">
        <x:f>'Annual Summary'!C16</x:f>
        <x:v>3194876.609708738</x:v>
      </x:c>
      <x:c r="D30" s="221" t="n">
        <x:f>'Annual Summary'!C17</x:f>
        <x:v>5863633.065592626</x:v>
      </x:c>
      <x:c r="E30" s="311"/>
      <x:c r="F30" s="415"/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 t="str">
        <x:v>Apr-28</x:v>
      </x:c>
      <x:c r="Q30" s="415" t="n">
        <x:f>Base!$W$43</x:f>
        <x:v>457772.5031099747</x:v>
      </x:c>
      <x:c r="R30" s="415" t="n">
        <x:f>Base!$W$66</x:f>
        <x:v>103015.41209215135</x:v>
      </x:c>
      <x:c r="S30" s="415" t="n">
        <x:f>Base!$W$79</x:f>
        <x:v>15137.023453790274</x:v>
      </x:c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233" t="str">
        <x:v>EBITDA</x:v>
      </x:c>
      <x:c r="B31" s="221" t="n">
        <x:f>'Annual Summary'!D15</x:f>
        <x:v>-420245.5247945061</x:v>
      </x:c>
      <x:c r="C31" s="221" t="n">
        <x:f>'Annual Summary'!D16</x:f>
        <x:v>920366.9398394764</x:v>
      </x:c>
      <x:c r="D31" s="221" t="n">
        <x:f>'Annual Summary'!D17</x:f>
        <x:v>2888563.2649517856</x:v>
      </x:c>
      <x:c r="E31" s="311" t="n">
        <x:f>'Annual Summary'!F6</x:f>
        <x:v>3388684.6799967564</x:v>
      </x:c>
      <x:c r="F31" s="415"/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 t="str">
        <x:v>May-28</x:v>
      </x:c>
      <x:c r="Q31" s="415" t="n">
        <x:f>Base!$X$43</x:f>
        <x:v>481308.9165942118</x:v>
      </x:c>
      <x:c r="R31" s="415" t="n">
        <x:f>Base!$X$66</x:f>
        <x:v>108639.06817673784</x:v>
      </x:c>
      <x:c r="S31" s="415" t="n">
        <x:f>Base!$X$79</x:f>
        <x:v>16541.662955218242</x:v>
      </x:c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233" t="str">
        <x:v>Free cash flow</x:v>
      </x:c>
      <x:c r="B32" s="221" t="n">
        <x:f>'Annual Summary'!E15</x:f>
        <x:v>-453844.3966157772</x:v>
      </x:c>
      <x:c r="C32" s="221" t="n">
        <x:f>'Annual Summary'!E16</x:f>
        <x:v>663152.5619345853</x:v>
      </x:c>
      <x:c r="D32" s="221" t="n">
        <x:f>'Annual Summary'!E17</x:f>
        <x:v>2176863.907012684</x:v>
      </x:c>
      <x:c r="E32" s="311" t="n">
        <x:f>'Annual Summary'!G6</x:f>
        <x:v>2386172.072331492</x:v>
      </x:c>
      <x:c r="F32" s="415"/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 t="str">
        <x:v>Jun-28</x:v>
      </x:c>
      <x:c r="Q32" s="415" t="n">
        <x:f>Base!$Y$43</x:f>
        <x:v>506002.7171027988</x:v>
      </x:c>
      <x:c r="R32" s="415" t="n">
        <x:f>Base!$Y$66</x:f>
        <x:v>123183.38810049047</x:v>
      </x:c>
      <x:c r="S32" s="415" t="n">
        <x:f>Base!$Y$79</x:f>
        <x:v>17997.100781855454</x:v>
      </x:c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 ht="28" customHeight="1">
      <x:c r="A33" s="233" t="str">
        <x:v>Ending cash</x:v>
      </x:c>
      <x:c r="B33" s="221" t="n">
        <x:f>'Annual Summary'!F15</x:f>
        <x:v>1046155.6033842226</x:v>
      </x:c>
      <x:c r="C33" s="221" t="n">
        <x:f>'Annual Summary'!F16</x:f>
        <x:v>1709308.1653188078</x:v>
      </x:c>
      <x:c r="D33" s="221" t="n">
        <x:f>'Annual Summary'!F17</x:f>
        <x:v>3886172.0723314914</x:v>
      </x:c>
      <x:c r="E33" s="311" t="n">
        <x:f>'Annual Summary'!H6</x:f>
        <x:v>3886172.0723314914</x:v>
      </x:c>
      <x:c r="F33" s="415"/>
      <x:c r="G33" s="415"/>
      <x:c r="H33" s="26"/>
      <x:c r="I33" s="27"/>
      <x:c r="J33" s="27"/>
      <x:c r="K33" s="28"/>
      <x:c r="L33" s="415"/>
      <x:c r="M33" s="415"/>
      <x:c r="N33" s="415"/>
      <x:c r="O33" s="415"/>
      <x:c r="P33" s="415" t="str">
        <x:v>Jul-28</x:v>
      </x:c>
      <x:c r="Q33" s="415" t="n">
        <x:f>Base!$Z$43</x:f>
        <x:v>531912.3569964488</x:v>
      </x:c>
      <x:c r="R33" s="415" t="n">
        <x:f>Base!$Z$66</x:f>
        <x:v>138441.1630529633</x:v>
      </x:c>
      <x:c r="S33" s="415" t="n">
        <x:f>Base!$Z$79</x:f>
        <x:v>19506.459859458242</x:v>
      </x:c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>
      <x:c r="A34" s="233" t="str">
        <x:v>Exit MRR</x:v>
      </x:c>
      <x:c r="B34" s="189"/>
      <x:c r="C34" s="189"/>
      <x:c r="D34" s="189"/>
      <x:c r="E34" s="311" t="n">
        <x:f>'Annual Summary'!K6</x:f>
        <x:v>43174.94312831549</x:v>
      </x:c>
      <x:c r="F34" s="415"/>
      <x:c r="G34" s="415"/>
      <x:c r="H34" s="302"/>
      <x:c r="I34" s="290"/>
      <x:c r="J34" s="290"/>
      <x:c r="K34" s="291"/>
      <x:c r="L34" s="415"/>
      <x:c r="M34" s="415"/>
      <x:c r="N34" s="415"/>
      <x:c r="O34" s="415"/>
      <x:c r="P34" s="415" t="str">
        <x:v>Aug-28</x:v>
      </x:c>
      <x:c r="Q34" s="415" t="n">
        <x:f>Base!$AA$43</x:f>
        <x:v>559099.1937636262</x:v>
      </x:c>
      <x:c r="R34" s="415" t="n">
        <x:f>Base!$AA$66</x:f>
        <x:v>145794.81101528063</x:v>
      </x:c>
      <x:c r="S34" s="415" t="n">
        <x:f>Base!$AA$79</x:f>
        <x:v>21073.001769785864</x:v>
      </x:c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234" t="str">
        <x:v>Validated cases</x:v>
      </x:c>
      <x:c r="B35" s="192"/>
      <x:c r="C35" s="192"/>
      <x:c r="D35" s="192"/>
      <x:c r="E35" s="228" t="n">
        <x:f>'Annual Summary'!L6</x:f>
        <x:v>191.42301572990763</x:v>
      </x:c>
      <x:c r="F35" s="415"/>
      <x:c r="G35" s="415"/>
      <x:c r="H35" s="303"/>
      <x:c r="I35" s="292"/>
      <x:c r="J35" s="292"/>
      <x:c r="K35" s="293"/>
      <x:c r="L35" s="415"/>
      <x:c r="M35" s="415"/>
      <x:c r="N35" s="415"/>
      <x:c r="O35" s="415"/>
      <x:c r="P35" s="415" t="str">
        <x:v>Sep-28</x:v>
      </x:c>
      <x:c r="Q35" s="415" t="n">
        <x:f>Base!$AB$43</x:f>
        <x:v>587627.6358016414</x:v>
      </x:c>
      <x:c r="R35" s="415" t="n">
        <x:f>Base!$AB$66</x:f>
        <x:v>162589.54466072613</x:v>
      </x:c>
      <x:c r="S35" s="415" t="n">
        <x:f>Base!$AB$79</x:f>
        <x:v>22700.134208109226</x:v>
      </x:c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15"/>
      <x:c r="B36" s="415"/>
      <x:c r="C36" s="415"/>
      <x:c r="D36" s="415"/>
      <x:c r="E36" s="415"/>
      <x:c r="F36" s="415"/>
      <x:c r="G36" s="415"/>
      <x:c r="H36" s="303"/>
      <x:c r="I36" s="292"/>
      <x:c r="J36" s="292"/>
      <x:c r="K36" s="293"/>
      <x:c r="L36" s="415"/>
      <x:c r="M36" s="415"/>
      <x:c r="N36" s="415"/>
      <x:c r="O36" s="415"/>
      <x:c r="P36" s="415" t="str">
        <x:v>Oct-28</x:v>
      </x:c>
      <x:c r="Q36" s="415" t="n">
        <x:f>Base!$AC$43</x:f>
        <x:v>617565.2954710627</x:v>
      </x:c>
      <x:c r="R36" s="415" t="n">
        <x:f>Base!$AC$66</x:f>
        <x:v>180211.45572498275</x:v>
      </x:c>
      <x:c r="S36" s="415" t="n">
        <x:f>Base!$AC$79</x:f>
        <x:v>24391.418797853737</x:v>
      </x:c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 ht="38" customHeight="1">
      <x:c r="A37" s="500" t="str">
        <x:v>Base-case cash profile</x:v>
      </x:c>
      <x:c r="B37" s="334" t="str">
        <x:v>The model starts with $1.5M of cash, reaches its minimum balance near $1.0M, becomes EBITDA-positive in Month 11, and ends Month 36 near $3.9M—before taxes and financing.</x:v>
      </x:c>
      <x:c r="C37" s="334" t="str"/>
      <x:c r="D37" s="334" t="str"/>
      <x:c r="E37" s="334" t="str"/>
      <x:c r="F37" s="334" t="str"/>
      <x:c r="G37" s="335" t="str"/>
      <x:c r="H37" s="303"/>
      <x:c r="I37" s="292"/>
      <x:c r="J37" s="292"/>
      <x:c r="K37" s="293"/>
      <x:c r="L37" s="415"/>
      <x:c r="M37" s="415"/>
      <x:c r="N37" s="415"/>
      <x:c r="O37" s="415"/>
      <x:c r="P37" s="415" t="str">
        <x:v>Nov-28</x:v>
      </x:c>
      <x:c r="Q37" s="415" t="n">
        <x:f>Base!$AD$43</x:f>
        <x:v>648983.1497875745</x:v>
      </x:c>
      <x:c r="R37" s="415" t="n">
        <x:f>Base!$AD$66</x:f>
        <x:v>189615.92887759177</x:v>
      </x:c>
      <x:c r="S37" s="415" t="n">
        <x:f>Base!$AD$79</x:f>
        <x:v>26150.5792807053</x:v>
      </x:c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 ht="38" customHeight="1">
      <x:c r="A38" s="501" t="str">
        <x:v>Commercial interpretation</x:v>
      </x:c>
      <x:c r="B38" s="337" t="str">
        <x:v>Year 1 proves willingness to pay. Year 2 proves repeatability. Year 3 tests whether proof assets, recurring revenue, and enterprise expansion create operating leverage.</x:v>
      </x:c>
      <x:c r="C38" s="337" t="str"/>
      <x:c r="D38" s="337" t="str"/>
      <x:c r="E38" s="337" t="str"/>
      <x:c r="F38" s="337" t="str"/>
      <x:c r="G38" s="338" t="str"/>
      <x:c r="H38" s="303"/>
      <x:c r="I38" s="292"/>
      <x:c r="J38" s="292"/>
      <x:c r="K38" s="293"/>
      <x:c r="L38" s="415"/>
      <x:c r="M38" s="415"/>
      <x:c r="N38" s="415"/>
      <x:c r="O38" s="415"/>
      <x:c r="P38" s="415" t="str">
        <x:v>Dec-28</x:v>
      </x:c>
      <x:c r="Q38" s="415" t="n">
        <x:f>Base!$AE$43</x:f>
        <x:v>681955.7091336235</x:v>
      </x:c>
      <x:c r="R38" s="415" t="n">
        <x:f>Base!$AE$66</x:f>
        <x:v>209019.47720510853</x:v>
      </x:c>
      <x:c r="S38" s="415" t="n">
        <x:f>Base!$AE$79</x:f>
        <x:v>27981.510101410673</x:v>
      </x:c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15"/>
      <x:c r="B39" s="415"/>
      <x:c r="C39" s="415"/>
      <x:c r="D39" s="415"/>
      <x:c r="E39" s="415"/>
      <x:c r="F39" s="415"/>
      <x:c r="G39" s="415"/>
      <x:c r="H39" s="303"/>
      <x:c r="I39" s="292"/>
      <x:c r="J39" s="292"/>
      <x:c r="K39" s="293"/>
      <x:c r="L39" s="415"/>
      <x:c r="M39" s="415"/>
      <x:c r="N39" s="415"/>
      <x:c r="O39" s="415"/>
      <x:c r="P39" s="415" t="str">
        <x:v>Jan-29</x:v>
      </x:c>
      <x:c r="Q39" s="415" t="n">
        <x:f>Base!$AF$43</x:f>
        <x:v>716561.1943912746</x:v>
      </x:c>
      <x:c r="R39" s="415" t="n">
        <x:f>Base!$AF$66</x:f>
        <x:v>229381.7404483398</x:v>
      </x:c>
      <x:c r="S39" s="415" t="n">
        <x:f>Base!$AF$79</x:f>
        <x:v>29888.285407451218</x:v>
      </x:c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15"/>
      <x:c r="B40" s="415"/>
      <x:c r="C40" s="415"/>
      <x:c r="D40" s="415"/>
      <x:c r="E40" s="415"/>
      <x:c r="F40" s="415"/>
      <x:c r="G40" s="415"/>
      <x:c r="H40" s="303"/>
      <x:c r="I40" s="292"/>
      <x:c r="J40" s="292"/>
      <x:c r="K40" s="293"/>
      <x:c r="L40" s="415"/>
      <x:c r="M40" s="415"/>
      <x:c r="N40" s="415"/>
      <x:c r="O40" s="415"/>
      <x:c r="P40" s="415" t="str">
        <x:v>Feb-29</x:v>
      </x:c>
      <x:c r="Q40" s="415" t="n">
        <x:f>Base!$AG$43</x:f>
        <x:v>752881.7229177793</x:v>
      </x:c>
      <x:c r="R40" s="415" t="n">
        <x:f>Base!$AG$66</x:f>
        <x:v>241210.32969982378</x:v>
      </x:c>
      <x:c r="S40" s="415" t="n">
        <x:f>Base!$AG$79</x:f>
        <x:v>31875.16848476469</x:v>
      </x:c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15"/>
      <x:c r="B41" s="415"/>
      <x:c r="C41" s="415"/>
      <x:c r="D41" s="415"/>
      <x:c r="E41" s="415"/>
      <x:c r="F41" s="415"/>
      <x:c r="G41" s="415"/>
      <x:c r="H41" s="303"/>
      <x:c r="I41" s="292"/>
      <x:c r="J41" s="292"/>
      <x:c r="K41" s="293"/>
      <x:c r="L41" s="415"/>
      <x:c r="M41" s="415"/>
      <x:c r="N41" s="415"/>
      <x:c r="O41" s="415"/>
      <x:c r="P41" s="415" t="str">
        <x:v>Mar-29</x:v>
      </x:c>
      <x:c r="Q41" s="415" t="n">
        <x:f>Base!$AH$43</x:f>
        <x:v>791003.503806401</x:v>
      </x:c>
      <x:c r="R41" s="415" t="n">
        <x:f>Base!$AH$66</x:f>
        <x:v>263637.2653016911</x:v>
      </x:c>
      <x:c r="S41" s="415" t="n">
        <x:f>Base!$AH$79</x:f>
        <x:v>33946.62165173561</x:v>
      </x:c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15"/>
      <x:c r="D42" s="415"/>
      <x:c r="E42" s="415"/>
      <x:c r="F42" s="415"/>
      <x:c r="G42" s="415"/>
      <x:c r="H42" s="303"/>
      <x:c r="I42" s="292"/>
      <x:c r="J42" s="292"/>
      <x:c r="K42" s="293"/>
      <x:c r="L42" s="415"/>
      <x:c r="M42" s="415"/>
      <x:c r="N42" s="415"/>
      <x:c r="O42" s="415"/>
      <x:c r="P42" s="415" t="str">
        <x:v>Apr-29</x:v>
      </x:c>
      <x:c r="Q42" s="415" t="n">
        <x:f>Base!$AI$43</x:f>
        <x:v>831017.0428971718</x:v>
      </x:c>
      <x:c r="R42" s="415" t="n">
        <x:f>Base!$AI$66</x:f>
        <x:v>287175.0861687858</x:v>
      </x:c>
      <x:c r="S42" s="415" t="n">
        <x:f>Base!$AI$79</x:f>
        <x:v>36107.31663477308</x:v>
      </x:c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>
      <x:c r="A43" s="415"/>
      <x:c r="B43" s="415"/>
      <x:c r="C43" s="415"/>
      <x:c r="D43" s="415"/>
      <x:c r="E43" s="415"/>
      <x:c r="F43" s="415"/>
      <x:c r="G43" s="415"/>
      <x:c r="H43" s="303"/>
      <x:c r="I43" s="292"/>
      <x:c r="J43" s="292"/>
      <x:c r="K43" s="293"/>
      <x:c r="L43" s="415"/>
      <x:c r="M43" s="415"/>
      <x:c r="N43" s="415"/>
      <x:c r="O43" s="415"/>
      <x:c r="P43" s="415" t="str">
        <x:v>May-29</x:v>
      </x:c>
      <x:c r="Q43" s="415" t="n">
        <x:f>Base!$AJ$43</x:f>
        <x:v>873017.3580254676</x:v>
      </x:c>
      <x:c r="R43" s="415" t="n">
        <x:f>Base!$AJ$66</x:f>
        <x:v>301861.9484551344</x:v>
      </x:c>
      <x:c r="S43" s="415" t="n">
        <x:f>Base!$AJ$79</x:f>
        <x:v>38362.14544994891</x:v>
      </x:c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15"/>
      <x:c r="B44" s="415"/>
      <x:c r="C44" s="415"/>
      <x:c r="D44" s="415"/>
      <x:c r="E44" s="415"/>
      <x:c r="F44" s="415"/>
      <x:c r="G44" s="415"/>
      <x:c r="H44" s="303"/>
      <x:c r="I44" s="292"/>
      <x:c r="J44" s="292"/>
      <x:c r="K44" s="293"/>
      <x:c r="L44" s="415"/>
      <x:c r="M44" s="415"/>
      <x:c r="N44" s="415"/>
      <x:c r="O44" s="415"/>
      <x:c r="P44" s="415" t="str">
        <x:v>Jun-29</x:v>
      </x:c>
      <x:c r="Q44" s="415" t="n">
        <x:f>Base!$AK$43</x:f>
        <x:v>917104.2050206749</x:v>
      </x:c>
      <x:c r="R44" s="415" t="n">
        <x:f>Base!$AK$66</x:f>
        <x:v>327791.8976688781</x:v>
      </x:c>
      <x:c r="S44" s="415" t="n">
        <x:f>Base!$AK$79</x:f>
        <x:v>40716.23181638042</x:v>
      </x:c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15"/>
      <x:c r="B45" s="415"/>
      <x:c r="C45" s="415"/>
      <x:c r="D45" s="415"/>
      <x:c r="E45" s="415"/>
      <x:c r="F45" s="415"/>
      <x:c r="G45" s="415"/>
      <x:c r="H45" s="303"/>
      <x:c r="I45" s="292"/>
      <x:c r="J45" s="292"/>
      <x:c r="K45" s="293"/>
      <x:c r="L45" s="415"/>
      <x:c r="M45" s="415"/>
      <x:c r="N45" s="415"/>
      <x:c r="O45" s="415"/>
      <x:c r="P45" s="415" t="str">
        <x:v>Jul-29</x:v>
      </x:c>
      <x:c r="Q45" s="415" t="n">
        <x:f>Base!$AL$43</x:f>
        <x:v>955630.985566683</x:v>
      </x:c>
      <x:c r="R45" s="415" t="n">
        <x:f>Base!$AL$66</x:f>
        <x:v>350273.7797254426</x:v>
      </x:c>
      <x:c r="S45" s="415" t="n">
        <x:f>Base!$AL$79</x:f>
        <x:v>43174.94312831549</x:v>
      </x:c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15"/>
      <x:c r="B46" s="415"/>
      <x:c r="C46" s="415"/>
      <x:c r="D46" s="415"/>
      <x:c r="E46" s="415"/>
      <x:c r="F46" s="415"/>
      <x:c r="G46" s="415"/>
      <x:c r="H46" s="303"/>
      <x:c r="I46" s="292"/>
      <x:c r="J46" s="292"/>
      <x:c r="K46" s="293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15"/>
      <x:c r="B47" s="415"/>
      <x:c r="C47" s="415"/>
      <x:c r="D47" s="415"/>
      <x:c r="E47" s="415"/>
      <x:c r="F47" s="415"/>
      <x:c r="G47" s="415"/>
      <x:c r="H47" s="303"/>
      <x:c r="I47" s="292"/>
      <x:c r="J47" s="292"/>
      <x:c r="K47" s="293"/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15"/>
      <x:c r="B48" s="415"/>
      <x:c r="C48" s="415"/>
      <x:c r="D48" s="415"/>
      <x:c r="E48" s="415"/>
      <x:c r="F48" s="415"/>
      <x:c r="G48" s="415"/>
      <x:c r="H48" s="303"/>
      <x:c r="I48" s="292"/>
      <x:c r="J48" s="292"/>
      <x:c r="K48" s="293"/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15"/>
      <x:c r="B49" s="415"/>
      <x:c r="C49" s="415"/>
      <x:c r="D49" s="415"/>
      <x:c r="E49" s="415"/>
      <x:c r="F49" s="415"/>
      <x:c r="G49" s="415"/>
      <x:c r="H49" s="303"/>
      <x:c r="I49" s="292"/>
      <x:c r="J49" s="292"/>
      <x:c r="K49" s="293"/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15"/>
      <x:c r="B50" s="415"/>
      <x:c r="C50" s="415"/>
      <x:c r="D50" s="415"/>
      <x:c r="E50" s="415"/>
      <x:c r="F50" s="415"/>
      <x:c r="G50" s="415"/>
      <x:c r="H50" s="303"/>
      <x:c r="I50" s="292"/>
      <x:c r="J50" s="292"/>
      <x:c r="K50" s="293"/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15"/>
      <x:c r="B51" s="415"/>
      <x:c r="C51" s="415"/>
      <x:c r="D51" s="415"/>
      <x:c r="E51" s="415"/>
      <x:c r="F51" s="415"/>
      <x:c r="G51" s="415"/>
      <x:c r="H51" s="303"/>
      <x:c r="I51" s="292"/>
      <x:c r="J51" s="292"/>
      <x:c r="K51" s="293"/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15"/>
      <x:c r="B52" s="415"/>
      <x:c r="C52" s="415"/>
      <x:c r="D52" s="415"/>
      <x:c r="E52" s="415"/>
      <x:c r="F52" s="415"/>
      <x:c r="G52" s="415"/>
      <x:c r="H52" s="303"/>
      <x:c r="I52" s="292"/>
      <x:c r="J52" s="292"/>
      <x:c r="K52" s="293"/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15"/>
      <x:c r="D53" s="415"/>
      <x:c r="E53" s="415"/>
      <x:c r="F53" s="415"/>
      <x:c r="G53" s="415"/>
      <x:c r="H53" s="303"/>
      <x:c r="I53" s="292"/>
      <x:c r="J53" s="292"/>
      <x:c r="K53" s="293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>
      <x:c r="A54" s="415"/>
      <x:c r="B54" s="415"/>
      <x:c r="C54" s="415"/>
      <x:c r="D54" s="415"/>
      <x:c r="E54" s="415"/>
      <x:c r="F54" s="415"/>
      <x:c r="G54" s="415"/>
      <x:c r="H54" s="303"/>
      <x:c r="I54" s="292"/>
      <x:c r="J54" s="292"/>
      <x:c r="K54" s="293"/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15"/>
      <x:c r="B55" s="415"/>
      <x:c r="C55" s="415"/>
      <x:c r="D55" s="415"/>
      <x:c r="E55" s="415"/>
      <x:c r="F55" s="415"/>
      <x:c r="G55" s="415"/>
      <x:c r="H55" s="303"/>
      <x:c r="I55" s="292"/>
      <x:c r="J55" s="292"/>
      <x:c r="K55" s="293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15"/>
      <x:c r="B56" s="415"/>
      <x:c r="C56" s="415"/>
      <x:c r="D56" s="415"/>
      <x:c r="E56" s="415"/>
      <x:c r="F56" s="415"/>
      <x:c r="G56" s="415"/>
      <x:c r="H56" s="303"/>
      <x:c r="I56" s="292"/>
      <x:c r="J56" s="292"/>
      <x:c r="K56" s="293"/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15"/>
      <x:c r="B57" s="415"/>
      <x:c r="C57" s="415"/>
      <x:c r="D57" s="415"/>
      <x:c r="E57" s="415"/>
      <x:c r="F57" s="415"/>
      <x:c r="G57" s="415"/>
      <x:c r="H57" s="303"/>
      <x:c r="I57" s="292"/>
      <x:c r="J57" s="292"/>
      <x:c r="K57" s="293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15"/>
      <x:c r="B58" s="415"/>
      <x:c r="C58" s="415"/>
      <x:c r="D58" s="415"/>
      <x:c r="E58" s="415"/>
      <x:c r="F58" s="415"/>
      <x:c r="G58" s="415"/>
      <x:c r="H58" s="303"/>
      <x:c r="I58" s="292"/>
      <x:c r="J58" s="292"/>
      <x:c r="K58" s="293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15"/>
      <x:c r="B59" s="415"/>
      <x:c r="C59" s="415"/>
      <x:c r="D59" s="415"/>
      <x:c r="E59" s="415"/>
      <x:c r="F59" s="415"/>
      <x:c r="G59" s="415"/>
      <x:c r="H59" s="303"/>
      <x:c r="I59" s="292"/>
      <x:c r="J59" s="292"/>
      <x:c r="K59" s="293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15"/>
      <x:c r="B60" s="415"/>
      <x:c r="C60" s="415"/>
      <x:c r="D60" s="415"/>
      <x:c r="E60" s="415"/>
      <x:c r="F60" s="415"/>
      <x:c r="G60" s="415"/>
      <x:c r="H60" s="303"/>
      <x:c r="I60" s="292"/>
      <x:c r="J60" s="292"/>
      <x:c r="K60" s="293"/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15"/>
      <x:c r="B61" s="415"/>
      <x:c r="C61" s="415"/>
      <x:c r="D61" s="415"/>
      <x:c r="E61" s="415"/>
      <x:c r="F61" s="415"/>
      <x:c r="G61" s="415"/>
      <x:c r="H61" s="303"/>
      <x:c r="I61" s="292"/>
      <x:c r="J61" s="292"/>
      <x:c r="K61" s="293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15"/>
      <x:c r="B62" s="415"/>
      <x:c r="C62" s="415"/>
      <x:c r="D62" s="415"/>
      <x:c r="E62" s="415"/>
      <x:c r="F62" s="415"/>
      <x:c r="G62" s="415"/>
      <x:c r="H62" s="303"/>
      <x:c r="I62" s="292"/>
      <x:c r="J62" s="292"/>
      <x:c r="K62" s="293"/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15"/>
      <x:c r="B63" s="415"/>
      <x:c r="C63" s="415"/>
      <x:c r="D63" s="415"/>
      <x:c r="E63" s="415"/>
      <x:c r="F63" s="415"/>
      <x:c r="G63" s="415"/>
      <x:c r="H63" s="303"/>
      <x:c r="I63" s="292"/>
      <x:c r="J63" s="292"/>
      <x:c r="K63" s="293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15"/>
      <x:c r="B64" s="415"/>
      <x:c r="C64" s="415"/>
      <x:c r="D64" s="415"/>
      <x:c r="E64" s="415"/>
      <x:c r="F64" s="415"/>
      <x:c r="G64" s="415"/>
      <x:c r="H64" s="303"/>
      <x:c r="I64" s="292"/>
      <x:c r="J64" s="292"/>
      <x:c r="K64" s="293"/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15"/>
      <x:c r="B65" s="415"/>
      <x:c r="C65" s="415"/>
      <x:c r="D65" s="415"/>
      <x:c r="E65" s="415"/>
      <x:c r="F65" s="415"/>
      <x:c r="G65" s="415"/>
      <x:c r="H65" s="303"/>
      <x:c r="I65" s="292"/>
      <x:c r="J65" s="292"/>
      <x:c r="K65" s="293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15"/>
      <x:c r="B66" s="415"/>
      <x:c r="C66" s="415"/>
      <x:c r="D66" s="415"/>
      <x:c r="E66" s="415"/>
      <x:c r="F66" s="415"/>
      <x:c r="G66" s="415"/>
      <x:c r="H66" s="303"/>
      <x:c r="I66" s="292"/>
      <x:c r="J66" s="292"/>
      <x:c r="K66" s="293"/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15"/>
      <x:c r="B67" s="415"/>
      <x:c r="C67" s="415"/>
      <x:c r="D67" s="415"/>
      <x:c r="E67" s="415"/>
      <x:c r="F67" s="415"/>
      <x:c r="G67" s="415"/>
      <x:c r="H67" s="303"/>
      <x:c r="I67" s="292"/>
      <x:c r="J67" s="292"/>
      <x:c r="K67" s="293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15"/>
      <x:c r="B68" s="415"/>
      <x:c r="C68" s="415"/>
      <x:c r="D68" s="415"/>
      <x:c r="E68" s="415"/>
      <x:c r="F68" s="415"/>
      <x:c r="G68" s="415"/>
      <x:c r="H68" s="303"/>
      <x:c r="I68" s="292"/>
      <x:c r="J68" s="292"/>
      <x:c r="K68" s="293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15"/>
      <x:c r="B69" s="415"/>
      <x:c r="C69" s="415"/>
      <x:c r="D69" s="415"/>
      <x:c r="E69" s="415"/>
      <x:c r="F69" s="415"/>
      <x:c r="G69" s="415"/>
      <x:c r="H69" s="304"/>
      <x:c r="I69" s="294"/>
      <x:c r="J69" s="294"/>
      <x:c r="K69" s="29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15"/>
      <x:c r="B70" s="415"/>
      <x:c r="C70" s="415"/>
      <x:c r="D70" s="415"/>
      <x:c r="E70" s="415"/>
      <x:c r="F70" s="415"/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N1"/>
    <x:mergeCell ref="A2:N2"/>
    <x:mergeCell ref="A10:E10"/>
    <x:mergeCell ref="A17:F17"/>
    <x:mergeCell ref="A10:N10"/>
    <x:mergeCell ref="A17:N17"/>
    <x:mergeCell ref="A10:G10"/>
    <x:mergeCell ref="A17:G17"/>
    <x:mergeCell ref="A27:G27"/>
    <x:mergeCell ref="B37:G37"/>
    <x:mergeCell ref="B38:G38"/>
    <x:mergeCell ref="A11:B11"/>
    <x:mergeCell ref="C11:D11"/>
    <x:mergeCell ref="E11:G11"/>
    <x:mergeCell ref="A12:B12"/>
    <x:mergeCell ref="C12:D12"/>
    <x:mergeCell ref="E12:G12"/>
    <x:mergeCell ref="A13:B13"/>
    <x:mergeCell ref="C13:D13"/>
    <x:mergeCell ref="E13:G13"/>
    <x:mergeCell ref="A14:B14"/>
    <x:mergeCell ref="C14:D14"/>
    <x:mergeCell ref="E14:G14"/>
    <x:mergeCell ref="A23:B23"/>
    <x:mergeCell ref="C23:G23"/>
    <x:mergeCell ref="A24:B24"/>
    <x:mergeCell ref="C24:G24"/>
  </x:mergeCells>
  <x:pageMargins left="0.7" right="0.7" top="0.75" bottom="0.75" header="0.3" footer="0.3"/>
  <x:drawing xmlns:r="http://schemas.openxmlformats.org/officeDocument/2006/relationships" r:id="R6074807c76834c14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4" hidden="0" customWidth="1"/>
    <x:col min="4" max="4" width="18" hidden="0" customWidth="1"/>
    <x:col min="5" max="5" width="16" hidden="0" customWidth="1"/>
    <x:col min="6" max="6" width="15" hidden="0" customWidth="1"/>
    <x:col min="7" max="7" width="20" hidden="0" customWidth="1"/>
    <x:col min="8" max="8" width="28" hidden="0" customWidth="1"/>
  </x:cols>
  <x:sheetData>
    <x:row r="1" ht="34" customHeight="1">
      <x:c r="A1" s="414" t="str">
        <x:v>GoalOS Unit Economics — Base Case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Contribution margins are based on the Base scenario. Delivery days are planning assumptions and should be replaced with observed mission data after the first paid engagements.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 ht="28" customHeight="1">
      <x:c r="A4" s="26" t="str">
        <x:v>Offer</x:v>
      </x:c>
      <x:c r="B4" s="27" t="str">
        <x:v>Price</x:v>
      </x:c>
      <x:c r="C4" s="27" t="str">
        <x:v>Gross Margin</x:v>
      </x:c>
      <x:c r="D4" s="27" t="str">
        <x:v>Direct Cost</x:v>
      </x:c>
      <x:c r="E4" s="27" t="str">
        <x:v>Contribution</x:v>
      </x:c>
      <x:c r="F4" s="27" t="str">
        <x:v>Delivery Days</x:v>
      </x:c>
      <x:c r="G4" s="27" t="str">
        <x:v>Contribution / Day</x:v>
      </x:c>
      <x:c r="H4" s="28" t="str">
        <x:v>Revenue Mix Role</x:v>
      </x:c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>
      <x:c r="A5" s="185" t="str">
        <x:v>Frontier Executive Briefing</x:v>
      </x:c>
      <x:c r="B5" s="370" t="n">
        <x:f>Assumptions!$D$9</x:f>
        <x:v>15000</x:v>
      </x:c>
      <x:c r="C5" s="371" t="n">
        <x:f>Assumptions!$D$10</x:f>
        <x:v>0.78</x:v>
      </x:c>
      <x:c r="D5" s="220" t="n">
        <x:f>B5*(1-C5)</x:f>
        <x:v>3299.9999999999995</x:v>
      </x:c>
      <x:c r="E5" s="220" t="n">
        <x:f>B5-D5</x:f>
        <x:v>11700</x:v>
      </x:c>
      <x:c r="F5" s="382" t="n">
        <x:f>Assumptions!$D$64</x:f>
        <x:v>1</x:v>
      </x:c>
      <x:c r="G5" s="220" t="n">
        <x:f>IFERROR(E5/F5,0)</x:f>
        <x:v>11700</x:v>
      </x:c>
      <x:c r="H5" s="187" t="str">
        <x:v>Paid qualification</x:v>
      </x:c>
      <x:c r="I5" s="415"/>
      <x:c r="J5" s="415"/>
      <x:c r="K5" s="415"/>
      <x:c r="L5" s="415"/>
      <x:c r="M5" s="415"/>
      <x:c r="N5" s="415"/>
      <x:c r="O5" s="415"/>
      <x:c r="P5" s="415"/>
      <x:c r="Q5" s="415"/>
      <x:c r="R5" s="415"/>
      <x:c r="S5" s="415"/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>
      <x:c r="A6" s="188" t="str">
        <x:v>Private Flagship MasterClass</x:v>
      </x:c>
      <x:c r="B6" s="372" t="n">
        <x:f>Assumptions!$D$11</x:f>
        <x:v>35000</x:v>
      </x:c>
      <x:c r="C6" s="373" t="n">
        <x:f>Assumptions!$D$12</x:f>
        <x:v>0.72</x:v>
      </x:c>
      <x:c r="D6" s="221" t="n">
        <x:f>B6*(1-C6)</x:f>
        <x:v>9800.000000000002</x:v>
      </x:c>
      <x:c r="E6" s="221" t="n">
        <x:f>B6-D6</x:f>
        <x:v>25200</x:v>
      </x:c>
      <x:c r="F6" s="383" t="n">
        <x:f>Assumptions!$D$65</x:f>
        <x:v>2</x:v>
      </x:c>
      <x:c r="G6" s="221" t="n">
        <x:f>IFERROR(E6/F6,0)</x:f>
        <x:v>12600</x:v>
      </x:c>
      <x:c r="H6" s="190" t="str">
        <x:v>Executive entry point</x:v>
      </x:c>
      <x:c r="I6" s="415"/>
      <x:c r="J6" s="415"/>
      <x:c r="K6" s="415"/>
      <x:c r="L6" s="415"/>
      <x:c r="M6" s="415"/>
      <x:c r="N6" s="415"/>
      <x:c r="O6" s="415"/>
      <x:c r="P6" s="415"/>
      <x:c r="Q6" s="415"/>
      <x:c r="R6" s="415"/>
      <x:c r="S6" s="415"/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>
      <x:c r="A7" s="188" t="str">
        <x:v>Money Machine Design Lab</x:v>
      </x:c>
      <x:c r="B7" s="372" t="n">
        <x:f>Assumptions!$D$13</x:f>
        <x:v>75000</x:v>
      </x:c>
      <x:c r="C7" s="373" t="n">
        <x:f>Assumptions!$D$14</x:f>
        <x:v>0.68</x:v>
      </x:c>
      <x:c r="D7" s="221" t="n">
        <x:f>B7*(1-C7)</x:f>
        <x:v>23999.999999999996</x:v>
      </x:c>
      <x:c r="E7" s="221" t="n">
        <x:f>B7-D7</x:f>
        <x:v>51000</x:v>
      </x:c>
      <x:c r="F7" s="383" t="n">
        <x:f>Assumptions!$D$66</x:f>
        <x:v>4</x:v>
      </x:c>
      <x:c r="G7" s="221" t="n">
        <x:f>IFERROR(E7/F7,0)</x:f>
        <x:v>12750</x:v>
      </x:c>
      <x:c r="H7" s="190" t="str">
        <x:v>Mission architecture</x:v>
      </x:c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>
      <x:c r="A8" s="188" t="str">
        <x:v>Revenue Institution Sprint</x:v>
      </x:c>
      <x:c r="B8" s="372" t="n">
        <x:f>Assumptions!$D$15</x:f>
        <x:v>150000</x:v>
      </x:c>
      <x:c r="C8" s="373" t="n">
        <x:f>Assumptions!$D$16</x:f>
        <x:v>0.62</x:v>
      </x:c>
      <x:c r="D8" s="221" t="n">
        <x:f>B8*(1-C8)</x:f>
        <x:v>57000</x:v>
      </x:c>
      <x:c r="E8" s="221" t="n">
        <x:f>B8-D8</x:f>
        <x:v>93000</x:v>
      </x:c>
      <x:c r="F8" s="383" t="n">
        <x:f>Assumptions!$D$67</x:f>
        <x:v>10</x:v>
      </x:c>
      <x:c r="G8" s="221" t="n">
        <x:f>IFERROR(E8/F8,0)</x:f>
        <x:v>9300</x:v>
      </x:c>
      <x:c r="H8" s="190" t="str">
        <x:v>Commercial implementation</x:v>
      </x:c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188" t="str">
        <x:v>Proof-to-Revenue Run</x:v>
      </x:c>
      <x:c r="B9" s="372" t="n">
        <x:f>Assumptions!$D$17</x:f>
        <x:v>300000</x:v>
      </x:c>
      <x:c r="C9" s="373" t="n">
        <x:f>Assumptions!$D$18</x:f>
        <x:v>0.58</x:v>
      </x:c>
      <x:c r="D9" s="221" t="n">
        <x:f>B9*(1-C9)</x:f>
        <x:v>126000.00000000001</x:v>
      </x:c>
      <x:c r="E9" s="221" t="n">
        <x:f>B9-D9</x:f>
        <x:v>174000</x:v>
      </x:c>
      <x:c r="F9" s="383" t="n">
        <x:f>Assumptions!$D$68</x:f>
        <x:v>30</x:v>
      </x:c>
      <x:c r="G9" s="221" t="n">
        <x:f>IFERROR(E9/F9,0)</x:f>
        <x:v>5800</x:v>
      </x:c>
      <x:c r="H9" s="190" t="str">
        <x:v>Flagship proof engagement</x:v>
      </x:c>
      <x:c r="I9" s="415"/>
      <x:c r="J9" s="415"/>
      <x:c r="K9" s="415"/>
      <x:c r="L9" s="415"/>
      <x:c r="M9" s="415"/>
      <x:c r="N9" s="415"/>
      <x:c r="O9" s="415"/>
      <x:c r="P9" s="415"/>
      <x:c r="Q9" s="415"/>
      <x:c r="R9" s="415"/>
      <x:c r="S9" s="415"/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>
      <x:c r="A10" s="188" t="str">
        <x:v>Enterprise Proof Institution</x:v>
      </x:c>
      <x:c r="B10" s="372" t="n">
        <x:f>Assumptions!$D$19</x:f>
        <x:v>750000</x:v>
      </x:c>
      <x:c r="C10" s="373" t="n">
        <x:f>Assumptions!$D$20</x:f>
        <x:v>0.55</x:v>
      </x:c>
      <x:c r="D10" s="221" t="n">
        <x:f>B10*(1-C10)</x:f>
        <x:v>337499.99999999994</x:v>
      </x:c>
      <x:c r="E10" s="221" t="n">
        <x:f>B10-D10</x:f>
        <x:v>412500.00000000006</x:v>
      </x:c>
      <x:c r="F10" s="383" t="n">
        <x:f>Assumptions!$D$69</x:f>
        <x:v>90</x:v>
      </x:c>
      <x:c r="G10" s="221" t="n">
        <x:f>IFERROR(E10/F10,0)</x:f>
        <x:v>4583.333333333334</x:v>
      </x:c>
      <x:c r="H10" s="190" t="str">
        <x:v>Institutional expansion</x:v>
      </x:c>
      <x:c r="I10" s="415"/>
      <x:c r="J10" s="415"/>
      <x:c r="K10" s="415"/>
      <x:c r="L10" s="415"/>
      <x:c r="M10" s="415"/>
      <x:c r="N10" s="415"/>
      <x:c r="O10" s="415"/>
      <x:c r="P10" s="415"/>
      <x:c r="Q10" s="415"/>
      <x:c r="R10" s="415"/>
      <x:c r="S10" s="415"/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>
      <x:c r="A11" s="191" t="str">
        <x:v>GoalOS Proof OS</x:v>
      </x:c>
      <x:c r="B11" s="374" t="n">
        <x:f>Assumptions!$D$21</x:f>
        <x:v>10000</x:v>
      </x:c>
      <x:c r="C11" s="375" t="n">
        <x:f>Assumptions!$D$22</x:f>
        <x:v>0.8</x:v>
      </x:c>
      <x:c r="D11" s="222" t="n">
        <x:f>B11*(1-C11)</x:f>
        <x:v>1999.9999999999995</x:v>
      </x:c>
      <x:c r="E11" s="222" t="n">
        <x:f>B11-D11</x:f>
        <x:v>8000</x:v>
      </x:c>
      <x:c r="F11" s="384" t="n">
        <x:f>Assumptions!$D$70</x:f>
        <x:v>3</x:v>
      </x:c>
      <x:c r="G11" s="222" t="n">
        <x:f>IFERROR(E11/F11,0)</x:f>
        <x:v>2666.6666666666665</x:v>
      </x:c>
      <x:c r="H11" s="193" t="str">
        <x:v>Recurring revenue</x:v>
      </x:c>
      <x:c r="I11" s="415"/>
      <x:c r="J11" s="415"/>
      <x:c r="K11" s="415"/>
      <x:c r="L11" s="415"/>
      <x:c r="M11" s="415"/>
      <x:c r="N11" s="415"/>
      <x:c r="O11" s="415"/>
      <x:c r="P11" s="415"/>
      <x:c r="Q11" s="415"/>
      <x:c r="R11" s="415"/>
      <x:c r="S11" s="415"/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>
      <x:c r="A12" s="415"/>
      <x:c r="B12" s="415"/>
      <x:c r="C12" s="415"/>
      <x:c r="D12" s="415"/>
      <x:c r="E12" s="415"/>
      <x:c r="F12" s="415"/>
      <x:c r="G12" s="415"/>
      <x:c r="H12" s="415"/>
      <x:c r="I12" s="415"/>
      <x:c r="J12" s="415"/>
      <x:c r="K12" s="415"/>
      <x:c r="L12" s="415"/>
      <x:c r="M12" s="415"/>
      <x:c r="N12" s="415"/>
      <x:c r="O12" s="415"/>
      <x:c r="P12" s="415"/>
      <x:c r="Q12" s="415"/>
      <x:c r="R12" s="415"/>
      <x:c r="S12" s="415"/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>
      <x:c r="A13" s="415"/>
      <x:c r="B13" s="415"/>
      <x:c r="C13" s="415"/>
      <x:c r="D13" s="415"/>
      <x:c r="E13" s="415"/>
      <x:c r="F13" s="415"/>
      <x:c r="G13" s="415"/>
      <x:c r="H13" s="415"/>
      <x:c r="I13" s="415"/>
      <x:c r="J13" s="415"/>
      <x:c r="K13" s="415"/>
      <x:c r="L13" s="415"/>
      <x:c r="M13" s="415"/>
      <x:c r="N13" s="415"/>
      <x:c r="O13" s="415"/>
      <x:c r="P13" s="415"/>
      <x:c r="Q13" s="415"/>
      <x:c r="R13" s="415"/>
      <x:c r="S13" s="415"/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 ht="23" customHeight="1">
      <x:c r="A14" s="416" t="str">
        <x:v>Recurring Economics</x:v>
      </x:c>
      <x:c r="B14" s="415"/>
      <x:c r="C14" s="415"/>
      <x:c r="D14" s="416" t="str">
        <x:v>Base-Case Year 1 Offer Mix</x:v>
      </x:c>
      <x:c r="E14" s="415"/>
      <x:c r="F14" s="415"/>
      <x:c r="G14" s="415"/>
      <x:c r="H14" s="415"/>
      <x:c r="I14" s="415"/>
      <x:c r="J14" s="415"/>
      <x:c r="K14" s="415"/>
      <x:c r="L14" s="415"/>
      <x:c r="M14" s="415"/>
      <x:c r="N14" s="415"/>
      <x:c r="O14" s="415"/>
      <x:c r="P14" s="415"/>
      <x:c r="Q14" s="415"/>
      <x:c r="R14" s="415"/>
      <x:c r="S14" s="415"/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 ht="28" customHeight="1">
      <x:c r="A15" s="26" t="str">
        <x:v>Metric</x:v>
      </x:c>
      <x:c r="B15" s="28" t="str">
        <x:v>Base Case</x:v>
      </x:c>
      <x:c r="C15" s="415"/>
      <x:c r="D15" s="26" t="str">
        <x:v>Offer</x:v>
      </x:c>
      <x:c r="E15" s="27" t="str">
        <x:v>Units</x:v>
      </x:c>
      <x:c r="F15" s="27" t="str">
        <x:v>Revenue</x:v>
      </x:c>
      <x:c r="G15" s="27" t="str">
        <x:v>Gross Profit</x:v>
      </x:c>
      <x:c r="H15" s="28" t="str">
        <x:v>Share of Revenue</x:v>
      </x:c>
      <x:c r="I15" s="415"/>
      <x:c r="J15" s="415"/>
      <x:c r="K15" s="415"/>
      <x:c r="L15" s="415"/>
      <x:c r="M15" s="415"/>
      <x:c r="N15" s="415"/>
      <x:c r="O15" s="415"/>
      <x:c r="P15" s="415"/>
      <x:c r="Q15" s="415"/>
      <x:c r="R15" s="415"/>
      <x:c r="S15" s="415"/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185" t="str">
        <x:v>Proof OS MRR</x:v>
      </x:c>
      <x:c r="B16" s="309" t="n">
        <x:f>Assumptions!$D$21</x:f>
        <x:v>10000</x:v>
      </x:c>
      <x:c r="C16" s="415"/>
      <x:c r="D16" s="185" t="str">
        <x:v>Briefing</x:v>
      </x:c>
      <x:c r="E16" s="364" t="n">
        <x:f>SUM(Base!$C$21:$N$21)</x:f>
        <x:v>6.264018582086998</x:v>
      </x:c>
      <x:c r="F16" s="220" t="n">
        <x:f>SUM(Base!$C$36:$N$36)</x:f>
        <x:v>93960.27873130496</x:v>
      </x:c>
      <x:c r="G16" s="220" t="n">
        <x:f>F16*Assumptions!$D$10</x:f>
        <x:v>73289.01741041787</x:v>
      </x:c>
      <x:c r="H16" s="406" t="n">
        <x:f>IFERROR(F16/SUM(Base!$C$43:$N$43),0)</x:f>
        <x:v>0.04752789657528798</x:v>
      </x:c>
      <x:c r="I16" s="415"/>
      <x:c r="J16" s="415"/>
      <x:c r="K16" s="415"/>
      <x:c r="L16" s="415"/>
      <x:c r="M16" s="415"/>
      <x:c r="N16" s="415"/>
      <x:c r="O16" s="415"/>
      <x:c r="P16" s="415"/>
      <x:c r="Q16" s="415"/>
      <x:c r="R16" s="415"/>
      <x:c r="S16" s="415"/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>
      <x:c r="A17" s="188" t="str">
        <x:v>Proof OS gross margin</x:v>
      </x:c>
      <x:c r="B17" s="388" t="n">
        <x:f>Assumptions!$D$22</x:f>
        <x:v>0.8</x:v>
      </x:c>
      <x:c r="C17" s="415"/>
      <x:c r="D17" s="188" t="str">
        <x:v>MasterClass</x:v>
      </x:c>
      <x:c r="E17" s="365" t="n">
        <x:f>SUM(Base!$C$22:$N$22)</x:f>
        <x:v>14.616043358202994</x:v>
      </x:c>
      <x:c r="F17" s="221" t="n">
        <x:f>SUM(Base!$C$37:$N$37)</x:f>
        <x:v>511561.5175371048</x:v>
      </x:c>
      <x:c r="G17" s="221" t="n">
        <x:f>F17*Assumptions!$D$12</x:f>
        <x:v>368324.29262671544</x:v>
      </x:c>
      <x:c r="H17" s="388" t="n">
        <x:f>IFERROR(F17/SUM(Base!$C$43:$N$43),0)</x:f>
        <x:v>0.25876299246545675</x:v>
      </x:c>
      <x:c r="I17" s="415"/>
      <x:c r="J17" s="415"/>
      <x:c r="K17" s="415"/>
      <x:c r="L17" s="415"/>
      <x:c r="M17" s="415"/>
      <x:c r="N17" s="415"/>
      <x:c r="O17" s="415"/>
      <x:c r="P17" s="415"/>
      <x:c r="Q17" s="415"/>
      <x:c r="R17" s="415"/>
      <x:c r="S17" s="415"/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>
      <x:c r="A18" s="188" t="str">
        <x:v>Monthly churn</x:v>
      </x:c>
      <x:c r="B18" s="388" t="n">
        <x:f>Assumptions!$D$41</x:f>
        <x:v>0.03</x:v>
      </x:c>
      <x:c r="C18" s="415"/>
      <x:c r="D18" s="188" t="str">
        <x:v>Design Lab</x:v>
      </x:c>
      <x:c r="E18" s="365" t="n">
        <x:f>SUM(Base!$C$27:$N$27)</x:f>
        <x:v>6.980970183425445</x:v>
      </x:c>
      <x:c r="F18" s="221" t="n">
        <x:f>SUM(Base!$C$38:$N$38)</x:f>
        <x:v>523572.7637569084</x:v>
      </x:c>
      <x:c r="G18" s="221" t="n">
        <x:f>F18*Assumptions!$D$14</x:f>
        <x:v>356029.47935469775</x:v>
      </x:c>
      <x:c r="H18" s="388" t="n">
        <x:f>IFERROR(F18/SUM(Base!$C$43:$N$43),0)</x:f>
        <x:v>0.2648386371504586</x:v>
      </x:c>
      <x:c r="I18" s="415"/>
      <x:c r="J18" s="415"/>
      <x:c r="K18" s="415"/>
      <x:c r="L18" s="415"/>
      <x:c r="M18" s="415"/>
      <x:c r="N18" s="415"/>
      <x:c r="O18" s="415"/>
      <x:c r="P18" s="415"/>
      <x:c r="Q18" s="415"/>
      <x:c r="R18" s="415"/>
      <x:c r="S18" s="415"/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188" t="str">
        <x:v>Gross-profit LTV</x:v>
      </x:c>
      <x:c r="B19" s="311" t="n">
        <x:f>IFERROR(B16*B17/B18,0)</x:f>
        <x:v>266666.6666666667</x:v>
      </x:c>
      <x:c r="C19" s="415"/>
      <x:c r="D19" s="188" t="str">
        <x:v>Sprint</x:v>
      </x:c>
      <x:c r="E19" s="365" t="n">
        <x:f>SUM(Base!$C$28:$N$28)</x:f>
        <x:v>2.9266635103855916</x:v>
      </x:c>
      <x:c r="F19" s="221" t="n">
        <x:f>SUM(Base!$C$39:$N$39)</x:f>
        <x:v>438999.52655783866</x:v>
      </x:c>
      <x:c r="G19" s="221" t="n">
        <x:f>F19*Assumptions!$D$16</x:f>
        <x:v>272179.70646585996</x:v>
      </x:c>
      <x:c r="H19" s="388" t="n">
        <x:f>IFERROR(F19/SUM(Base!$C$43:$N$43),0)</x:f>
        <x:v>0.22205898467486979</x:v>
      </x:c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191" t="str">
        <x:v>Marketing-only CAC — Year 1</x:v>
      </x:c>
      <x:c r="B20" s="313" t="n">
        <x:f>IFERROR(SUM(Base!$C$63:$N$64)/SUM(Base!$C$23:$N$23),0)</x:f>
        <x:v>12820.37649423289</x:v>
      </x:c>
      <x:c r="C20" s="415"/>
      <x:c r="D20" s="188" t="str">
        <x:v>Proof Run</x:v>
      </x:c>
      <x:c r="E20" s="365" t="n">
        <x:f>SUM(Base!$C$29:$N$29)</x:f>
        <x:v>1.0402428189045851</x:v>
      </x:c>
      <x:c r="F20" s="221" t="n">
        <x:f>SUM(Base!$C$40:$N$40)</x:f>
        <x:v>312072.8456713755</x:v>
      </x:c>
      <x:c r="G20" s="221" t="n">
        <x:f>F20*Assumptions!$D$18</x:f>
        <x:v>181002.2504893978</x:v>
      </x:c>
      <x:c r="H20" s="388" t="n">
        <x:f>IFERROR(F20/SUM(Base!$C$43:$N$43),0)</x:f>
        <x:v>0.15785570384949565</x:v>
      </x:c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15"/>
      <x:c r="B21" s="415"/>
      <x:c r="C21" s="415"/>
      <x:c r="D21" s="188" t="str">
        <x:v>Enterprise</x:v>
      </x:c>
      <x:c r="E21" s="365" t="n">
        <x:f>SUM(Base!$C$30:$N$30)</x:f>
        <x:v>0.10492882977332224</x:v>
      </x:c>
      <x:c r="F21" s="221" t="n">
        <x:f>SUM(Base!$C$41:$N$41)</x:f>
        <x:v>78696.62232999169</x:v>
      </x:c>
      <x:c r="G21" s="221" t="n">
        <x:f>F21*Assumptions!$D$20</x:f>
        <x:v>43283.142281495435</x:v>
      </x:c>
      <x:c r="H21" s="388" t="n">
        <x:f>IFERROR(F21/SUM(Base!$C$43:$N$43),0)</x:f>
        <x:v>0.0398070863286848</x:v>
      </x:c>
      <x:c r="I21" s="415"/>
      <x:c r="J21" s="415"/>
      <x:c r="K21" s="415"/>
      <x:c r="L21" s="415"/>
      <x:c r="M21" s="415"/>
      <x:c r="N21" s="415"/>
      <x:c r="O21" s="415"/>
      <x:c r="P21" s="415"/>
      <x:c r="Q21" s="415"/>
      <x:c r="R21" s="415"/>
      <x:c r="S21" s="415"/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333" t="str">
        <x:v>LTV / marketing-only CAC</x:v>
      </x:c>
      <x:c r="B22" s="402" t="n">
        <x:f>IFERROR(B19/B20,0)</x:f>
        <x:v>20.800221178108448</x:v>
      </x:c>
      <x:c r="C22" s="415"/>
      <x:c r="D22" s="191" t="str">
        <x:v>Proof OS</x:v>
      </x:c>
      <x:c r="E22" s="366" t="n">
        <x:f>SUM(Base!$C$33:$N$33)</x:f>
        <x:v>1.808652109291291</x:v>
      </x:c>
      <x:c r="F22" s="222" t="n">
        <x:f>SUM(Base!$C$42:$N$42)</x:f>
        <x:v>18086.52109291291</x:v>
      </x:c>
      <x:c r="G22" s="222" t="n">
        <x:f>F22*Assumptions!$D$22</x:f>
        <x:v>14469.216874330328</x:v>
      </x:c>
      <x:c r="H22" s="407" t="n">
        <x:f>IFERROR(F22/SUM(Base!$C$43:$N$43),0)</x:f>
        <x:v>0.009148698955746387</x:v>
      </x:c>
      <x:c r="I22" s="415"/>
      <x:c r="J22" s="415"/>
      <x:c r="K22" s="415"/>
      <x:c r="L22" s="415"/>
      <x:c r="M22" s="415"/>
      <x:c r="N22" s="415"/>
      <x:c r="O22" s="415"/>
      <x:c r="P22" s="415"/>
      <x:c r="Q22" s="415"/>
      <x:c r="R22" s="415"/>
      <x:c r="S22" s="415"/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>
      <x:c r="A23" s="394" t="str">
        <x:v>MRR gross-profit payback</x:v>
      </x:c>
      <x:c r="B23" s="404" t="n">
        <x:f>IFERROR(B20/(B16*B17),0)</x:f>
        <x:v>1.6025470617791113</x:v>
      </x:c>
      <x:c r="C23" s="415"/>
      <x:c r="D23" s="415"/>
      <x:c r="E23" s="415"/>
      <x:c r="F23" s="415"/>
      <x:c r="G23" s="415"/>
      <x:c r="H23" s="415"/>
      <x:c r="I23" s="415"/>
      <x:c r="J23" s="415"/>
      <x:c r="K23" s="415"/>
      <x:c r="L23" s="415"/>
      <x:c r="M23" s="415"/>
      <x:c r="N23" s="415"/>
      <x:c r="O23" s="415"/>
      <x:c r="P23" s="415"/>
      <x:c r="Q23" s="415"/>
      <x:c r="R23" s="415"/>
      <x:c r="S23" s="415"/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>
      <x:c r="A24" s="336" t="str">
        <x:v>Note</x:v>
      </x:c>
      <x:c r="B24" s="338" t="str">
        <x:v>CAC excludes founder and sales payroll; use as a directional metric only.</x:v>
      </x:c>
      <x:c r="C24" s="415"/>
      <x:c r="D24" s="415"/>
      <x:c r="E24" s="415"/>
      <x:c r="F24" s="415"/>
      <x:c r="G24" s="415"/>
      <x:c r="H24" s="415"/>
      <x:c r="I24" s="415"/>
      <x:c r="J24" s="415"/>
      <x:c r="K24" s="415"/>
      <x:c r="L24" s="415"/>
      <x:c r="M24" s="415"/>
      <x:c r="N24" s="415"/>
      <x:c r="O24" s="415"/>
      <x:c r="P24" s="415"/>
      <x:c r="Q24" s="415"/>
      <x:c r="R24" s="415"/>
      <x:c r="S24" s="415"/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15"/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15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/>
      <x:c r="Q27" s="415"/>
      <x:c r="R27" s="415"/>
      <x:c r="S27" s="415"/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>
      <x:c r="A28" s="415"/>
      <x:c r="B28" s="415"/>
      <x:c r="C28" s="415"/>
      <x:c r="D28" s="415"/>
      <x:c r="E28" s="415"/>
      <x:c r="F28" s="415"/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/>
      <x:c r="Q28" s="415"/>
      <x:c r="R28" s="415"/>
      <x:c r="S28" s="415"/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415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/>
      <x:c r="Q29" s="415"/>
      <x:c r="R29" s="415"/>
      <x:c r="S29" s="415"/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415"/>
      <x:c r="B30" s="415"/>
      <x:c r="C30" s="415"/>
      <x:c r="D30" s="415"/>
      <x:c r="E30" s="415"/>
      <x:c r="F30" s="415"/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/>
      <x:c r="Q30" s="415"/>
      <x:c r="R30" s="415"/>
      <x:c r="S30" s="415"/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415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/>
      <x:c r="Q31" s="415"/>
      <x:c r="R31" s="415"/>
      <x:c r="S31" s="415"/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415"/>
      <x:c r="B32" s="415"/>
      <x:c r="C32" s="415"/>
      <x:c r="D32" s="415"/>
      <x:c r="E32" s="415"/>
      <x:c r="F32" s="415"/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/>
      <x:c r="Q32" s="415"/>
      <x:c r="R32" s="415"/>
      <x:c r="S32" s="415"/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>
      <x:c r="A33" s="415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/>
      <x:c r="O33" s="415"/>
      <x:c r="P33" s="415"/>
      <x:c r="Q33" s="415"/>
      <x:c r="R33" s="415"/>
      <x:c r="S33" s="415"/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415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15"/>
      <x:c r="B36" s="415"/>
      <x:c r="C36" s="415"/>
      <x:c r="D36" s="415"/>
      <x:c r="E36" s="415"/>
      <x:c r="F36" s="415"/>
      <x:c r="G36" s="415"/>
      <x:c r="H36" s="415"/>
      <x:c r="I36" s="415"/>
      <x:c r="J36" s="415"/>
      <x:c r="K36" s="415"/>
      <x:c r="L36" s="415"/>
      <x:c r="M36" s="415"/>
      <x:c r="N36" s="415"/>
      <x:c r="O36" s="415"/>
      <x:c r="P36" s="415"/>
      <x:c r="Q36" s="415"/>
      <x:c r="R36" s="415"/>
      <x:c r="S36" s="415"/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>
      <x:c r="A37" s="415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/>
      <x:c r="O37" s="415"/>
      <x:c r="P37" s="415"/>
      <x:c r="Q37" s="415"/>
      <x:c r="R37" s="415"/>
      <x:c r="S37" s="415"/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>
      <x:c r="A38" s="415"/>
      <x:c r="B38" s="415"/>
      <x:c r="C38" s="415"/>
      <x:c r="D38" s="415"/>
      <x:c r="E38" s="415"/>
      <x:c r="F38" s="415"/>
      <x:c r="G38" s="415"/>
      <x:c r="H38" s="415"/>
      <x:c r="I38" s="415"/>
      <x:c r="J38" s="415"/>
      <x:c r="K38" s="415"/>
      <x:c r="L38" s="415"/>
      <x:c r="M38" s="415"/>
      <x:c r="N38" s="415"/>
      <x:c r="O38" s="415"/>
      <x:c r="P38" s="415"/>
      <x:c r="Q38" s="415"/>
      <x:c r="R38" s="415"/>
      <x:c r="S38" s="415"/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15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/>
      <x:c r="O39" s="415"/>
      <x:c r="P39" s="415"/>
      <x:c r="Q39" s="415"/>
      <x:c r="R39" s="415"/>
      <x:c r="S39" s="415"/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15"/>
      <x:c r="B40" s="415"/>
      <x:c r="C40" s="415"/>
      <x:c r="D40" s="415"/>
      <x:c r="E40" s="415"/>
      <x:c r="F40" s="415"/>
      <x:c r="G40" s="415"/>
      <x:c r="H40" s="415"/>
      <x:c r="I40" s="415"/>
      <x:c r="J40" s="415"/>
      <x:c r="K40" s="415"/>
      <x:c r="L40" s="415"/>
      <x:c r="M40" s="415"/>
      <x:c r="N40" s="415"/>
      <x:c r="O40" s="415"/>
      <x:c r="P40" s="415"/>
      <x:c r="Q40" s="415"/>
      <x:c r="R40" s="415"/>
      <x:c r="S40" s="415"/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15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/>
      <x:c r="O41" s="415"/>
      <x:c r="P41" s="415"/>
      <x:c r="Q41" s="415"/>
      <x:c r="R41" s="415"/>
      <x:c r="S41" s="415"/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15"/>
      <x:c r="D42" s="415"/>
      <x:c r="E42" s="415"/>
      <x:c r="F42" s="415"/>
      <x:c r="G42" s="415"/>
      <x:c r="H42" s="415"/>
      <x:c r="I42" s="415"/>
      <x:c r="J42" s="415"/>
      <x:c r="K42" s="415"/>
      <x:c r="L42" s="415"/>
      <x:c r="M42" s="415"/>
      <x:c r="N42" s="415"/>
      <x:c r="O42" s="415"/>
      <x:c r="P42" s="415"/>
      <x:c r="Q42" s="415"/>
      <x:c r="R42" s="415"/>
      <x:c r="S42" s="415"/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>
      <x:c r="A43" s="415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/>
      <x:c r="O43" s="415"/>
      <x:c r="P43" s="415"/>
      <x:c r="Q43" s="415"/>
      <x:c r="R43" s="415"/>
      <x:c r="S43" s="415"/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15"/>
      <x:c r="B44" s="415"/>
      <x:c r="C44" s="415"/>
      <x:c r="D44" s="415"/>
      <x:c r="E44" s="415"/>
      <x:c r="F44" s="415"/>
      <x:c r="G44" s="415"/>
      <x:c r="H44" s="415"/>
      <x:c r="I44" s="415"/>
      <x:c r="J44" s="415"/>
      <x:c r="K44" s="415"/>
      <x:c r="L44" s="415"/>
      <x:c r="M44" s="415"/>
      <x:c r="N44" s="415"/>
      <x:c r="O44" s="415"/>
      <x:c r="P44" s="415"/>
      <x:c r="Q44" s="415"/>
      <x:c r="R44" s="415"/>
      <x:c r="S44" s="415"/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15"/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15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15"/>
      <x:c r="B48" s="415"/>
      <x:c r="C48" s="415"/>
      <x:c r="D48" s="415"/>
      <x:c r="E48" s="415"/>
      <x:c r="F48" s="415"/>
      <x:c r="G48" s="415"/>
      <x:c r="H48" s="415"/>
      <x:c r="I48" s="415"/>
      <x:c r="J48" s="415"/>
      <x:c r="K48" s="415"/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15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15"/>
      <x:c r="B50" s="415"/>
      <x:c r="C50" s="415"/>
      <x:c r="D50" s="415"/>
      <x:c r="E50" s="415"/>
      <x:c r="F50" s="415"/>
      <x:c r="G50" s="415"/>
      <x:c r="H50" s="415"/>
      <x:c r="I50" s="415"/>
      <x:c r="J50" s="415"/>
      <x:c r="K50" s="415"/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15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15"/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>
      <x:c r="A54" s="415"/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15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15"/>
      <x:c r="B56" s="415"/>
      <x:c r="C56" s="415"/>
      <x:c r="D56" s="415"/>
      <x:c r="E56" s="415"/>
      <x:c r="F56" s="415"/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15"/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15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15"/>
      <x:c r="B60" s="415"/>
      <x:c r="C60" s="415"/>
      <x:c r="D60" s="415"/>
      <x:c r="E60" s="415"/>
      <x:c r="F60" s="415"/>
      <x:c r="G60" s="415"/>
      <x:c r="H60" s="415"/>
      <x:c r="I60" s="415"/>
      <x:c r="J60" s="415"/>
      <x:c r="K60" s="415"/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15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15"/>
      <x:c r="B62" s="415"/>
      <x:c r="C62" s="415"/>
      <x:c r="D62" s="415"/>
      <x:c r="E62" s="415"/>
      <x:c r="F62" s="415"/>
      <x:c r="G62" s="415"/>
      <x:c r="H62" s="415"/>
      <x:c r="I62" s="415"/>
      <x:c r="J62" s="415"/>
      <x:c r="K62" s="415"/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15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15"/>
      <x:c r="B64" s="415"/>
      <x:c r="C64" s="415"/>
      <x:c r="D64" s="415"/>
      <x:c r="E64" s="415"/>
      <x:c r="F64" s="415"/>
      <x:c r="G64" s="415"/>
      <x:c r="H64" s="415"/>
      <x:c r="I64" s="415"/>
      <x:c r="J64" s="415"/>
      <x:c r="K64" s="415"/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15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15"/>
      <x:c r="B66" s="415"/>
      <x:c r="C66" s="415"/>
      <x:c r="D66" s="415"/>
      <x:c r="E66" s="415"/>
      <x:c r="F66" s="415"/>
      <x:c r="G66" s="415"/>
      <x:c r="H66" s="415"/>
      <x:c r="I66" s="415"/>
      <x:c r="J66" s="415"/>
      <x:c r="K66" s="415"/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15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15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15"/>
      <x:c r="B70" s="415"/>
      <x:c r="C70" s="415"/>
      <x:c r="D70" s="415"/>
      <x:c r="E70" s="415"/>
      <x:c r="F70" s="415"/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H1"/>
    <x:mergeCell ref="A2:H2"/>
    <x:mergeCell ref="A14:D14"/>
    <x:mergeCell ref="D14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34" customHeight="1">
      <x:c r="A1" s="414" t="str">
        <x:v>GoalOS Base-Case Sensitivity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12" t="str">
        <x:v>Directional Year 1 sensitivity. The matrix scales Base-case Year 1 revenue by qualified-lead volume and proposal-to-paid-entry close rate; it does not re-run every capacity and lag constraint.</x:v>
      </x:c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>
      <x:c r="A3" s="415"/>
      <x:c r="B3" s="415"/>
      <x:c r="C3" s="415"/>
      <x:c r="D3" s="415"/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 ht="23" customHeight="1">
      <x:c r="A4" s="416" t="str">
        <x:v>Year 1 Revenue Sensitivity</x:v>
      </x:c>
      <x:c r="B4" s="415"/>
      <x:c r="C4" s="415"/>
      <x:c r="D4" s="415"/>
      <x:c r="E4" s="415"/>
      <x:c r="F4" s="415"/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 ht="28" customHeight="1">
      <x:c r="A5" s="26" t="str">
        <x:v>Qualified Leads / Month</x:v>
      </x:c>
      <x:c r="B5" s="27" t="str">
        <x:v>20% Close</x:v>
      </x:c>
      <x:c r="C5" s="27" t="str">
        <x:v>24% Close</x:v>
      </x:c>
      <x:c r="D5" s="27" t="str">
        <x:v>28% Close</x:v>
      </x:c>
      <x:c r="E5" s="27" t="str">
        <x:v>32% Close</x:v>
      </x:c>
      <x:c r="F5" s="27" t="str">
        <x:v>36% Close</x:v>
      </x:c>
      <x:c r="G5" s="28" t="str">
        <x:v>Interpretation</x:v>
      </x:c>
      <x:c r="H5" s="415"/>
      <x:c r="I5" s="415"/>
      <x:c r="J5" s="415"/>
      <x:c r="K5" s="415"/>
      <x:c r="L5" s="415"/>
      <x:c r="M5" s="415"/>
      <x:c r="N5" s="415"/>
      <x:c r="O5" s="415"/>
      <x:c r="P5" s="415"/>
      <x:c r="Q5" s="415"/>
      <x:c r="R5" s="415"/>
      <x:c r="S5" s="415"/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>
      <x:c r="A6" s="185" t="n">
        <x:v>16</x:v>
      </x:c>
      <x:c r="B6" s="220" t="n">
        <x:f>SUM(Base!$C$43:$N$43)*(A6/Assumptions!$D$25)*(0.2/Assumptions!$D$29)</x:f>
        <x:v>941404.7979416365</x:v>
      </x:c>
      <x:c r="C6" s="220" t="n">
        <x:f>SUM(Base!$C$43:$N$43)*(A6/Assumptions!$D$25)*(0.24/Assumptions!$D$29)</x:f>
        <x:v>1129685.7575299637</x:v>
      </x:c>
      <x:c r="D6" s="220" t="n">
        <x:f>SUM(Base!$C$43:$N$43)*(A6/Assumptions!$D$25)*(0.28/Assumptions!$D$29)</x:f>
        <x:v>1317966.7171182912</x:v>
      </x:c>
      <x:c r="E6" s="220" t="n">
        <x:f>SUM(Base!$C$43:$N$43)*(A6/Assumptions!$D$25)*(0.32/Assumptions!$D$29)</x:f>
        <x:v>1506247.6767066184</x:v>
      </x:c>
      <x:c r="F6" s="220" t="n">
        <x:f>SUM(Base!$C$43:$N$43)*(A6/Assumptions!$D$25)*(0.36/Assumptions!$D$29)</x:f>
        <x:v>1694528.6362949456</x:v>
      </x:c>
      <x:c r="G6" s="187" t="str">
        <x:v>Lower-left = validation case; center = planning case; upper-right = execution stress test.</x:v>
      </x:c>
      <x:c r="H6" s="415"/>
      <x:c r="I6" s="415"/>
      <x:c r="J6" s="415"/>
      <x:c r="K6" s="415"/>
      <x:c r="L6" s="415"/>
      <x:c r="M6" s="415"/>
      <x:c r="N6" s="415"/>
      <x:c r="O6" s="415"/>
      <x:c r="P6" s="415"/>
      <x:c r="Q6" s="415"/>
      <x:c r="R6" s="415"/>
      <x:c r="S6" s="415"/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>
      <x:c r="A7" s="188" t="n">
        <x:v>20</x:v>
      </x:c>
      <x:c r="B7" s="221" t="n">
        <x:f>SUM(Base!$C$43:$N$43)*(A7/Assumptions!$D$25)*(0.2/Assumptions!$D$29)</x:f>
        <x:v>1176755.9974270458</x:v>
      </x:c>
      <x:c r="C7" s="221" t="n">
        <x:f>SUM(Base!$C$43:$N$43)*(A7/Assumptions!$D$25)*(0.24/Assumptions!$D$29)</x:f>
        <x:v>1412107.1969124547</x:v>
      </x:c>
      <x:c r="D7" s="221" t="n">
        <x:f>SUM(Base!$C$43:$N$43)*(A7/Assumptions!$D$25)*(0.28/Assumptions!$D$29)</x:f>
        <x:v>1647458.3963978642</x:v>
      </x:c>
      <x:c r="E7" s="221" t="n">
        <x:f>SUM(Base!$C$43:$N$43)*(A7/Assumptions!$D$25)*(0.32/Assumptions!$D$29)</x:f>
        <x:v>1882809.5958832733</x:v>
      </x:c>
      <x:c r="F7" s="221" t="n">
        <x:f>SUM(Base!$C$43:$N$43)*(A7/Assumptions!$D$25)*(0.36/Assumptions!$D$29)</x:f>
        <x:v>2118160.795368682</x:v>
      </x:c>
      <x:c r="G7" s="190" t="str">
        <x:v>Lower-left = validation case; center = planning case; upper-right = execution stress test.</x:v>
      </x:c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>
      <x:c r="A8" s="188" t="n">
        <x:v>24</x:v>
      </x:c>
      <x:c r="B8" s="221" t="n">
        <x:f>SUM(Base!$C$43:$N$43)*(A8/Assumptions!$D$25)*(0.2/Assumptions!$D$29)</x:f>
        <x:v>1412107.1969124551</x:v>
      </x:c>
      <x:c r="C8" s="221" t="n">
        <x:f>SUM(Base!$C$43:$N$43)*(A8/Assumptions!$D$25)*(0.24/Assumptions!$D$29)</x:f>
        <x:v>1694528.6362949456</x:v>
      </x:c>
      <x:c r="D8" s="221" t="n">
        <x:f>SUM(Base!$C$43:$N$43)*(A8/Assumptions!$D$25)*(0.28/Assumptions!$D$29)</x:f>
        <x:v>1976950.075677437</x:v>
      </x:c>
      <x:c r="E8" s="221" t="n">
        <x:f>SUM(Base!$C$43:$N$43)*(A8/Assumptions!$D$25)*(0.32/Assumptions!$D$29)</x:f>
        <x:v>2259371.515059928</x:v>
      </x:c>
      <x:c r="F8" s="221" t="n">
        <x:f>SUM(Base!$C$43:$N$43)*(A8/Assumptions!$D$25)*(0.36/Assumptions!$D$29)</x:f>
        <x:v>2541792.9544424186</x:v>
      </x:c>
      <x:c r="G8" s="190" t="str">
        <x:v>Lower-left = validation case; center = planning case; upper-right = execution stress test.</x:v>
      </x:c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188" t="n">
        <x:v>28</x:v>
      </x:c>
      <x:c r="B9" s="221" t="n">
        <x:f>SUM(Base!$C$43:$N$43)*(A9/Assumptions!$D$25)*(0.2/Assumptions!$D$29)</x:f>
        <x:v>1647458.3963978644</x:v>
      </x:c>
      <x:c r="C9" s="221" t="n">
        <x:f>SUM(Base!$C$43:$N$43)*(A9/Assumptions!$D$25)*(0.24/Assumptions!$D$29)</x:f>
        <x:v>1976950.0756774368</x:v>
      </x:c>
      <x:c r="D9" s="221" t="n">
        <x:f>SUM(Base!$C$43:$N$43)*(A9/Assumptions!$D$25)*(0.28/Assumptions!$D$29)</x:f>
        <x:v>2306441.75495701</x:v>
      </x:c>
      <x:c r="E9" s="221" t="n">
        <x:f>SUM(Base!$C$43:$N$43)*(A9/Assumptions!$D$25)*(0.32/Assumptions!$D$29)</x:f>
        <x:v>2635933.434236583</x:v>
      </x:c>
      <x:c r="F9" s="221" t="n">
        <x:f>SUM(Base!$C$43:$N$43)*(A9/Assumptions!$D$25)*(0.36/Assumptions!$D$29)</x:f>
        <x:v>2965425.1135161556</x:v>
      </x:c>
      <x:c r="G9" s="190" t="str">
        <x:v>Lower-left = validation case; center = planning case; upper-right = execution stress test.</x:v>
      </x:c>
      <x:c r="H9" s="415"/>
      <x:c r="I9" s="415"/>
      <x:c r="J9" s="415"/>
      <x:c r="K9" s="415"/>
      <x:c r="L9" s="415"/>
      <x:c r="M9" s="415"/>
      <x:c r="N9" s="415"/>
      <x:c r="O9" s="415"/>
      <x:c r="P9" s="415"/>
      <x:c r="Q9" s="415"/>
      <x:c r="R9" s="415"/>
      <x:c r="S9" s="415"/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>
      <x:c r="A10" s="191" t="n">
        <x:v>32</x:v>
      </x:c>
      <x:c r="B10" s="222" t="n">
        <x:f>SUM(Base!$C$43:$N$43)*(A10/Assumptions!$D$25)*(0.2/Assumptions!$D$29)</x:f>
        <x:v>1882809.595883273</x:v>
      </x:c>
      <x:c r="C10" s="222" t="n">
        <x:f>SUM(Base!$C$43:$N$43)*(A10/Assumptions!$D$25)*(0.24/Assumptions!$D$29)</x:f>
        <x:v>2259371.5150599275</x:v>
      </x:c>
      <x:c r="D10" s="222" t="n">
        <x:f>SUM(Base!$C$43:$N$43)*(A10/Assumptions!$D$25)*(0.28/Assumptions!$D$29)</x:f>
        <x:v>2635933.4342365824</x:v>
      </x:c>
      <x:c r="E10" s="222" t="n">
        <x:f>SUM(Base!$C$43:$N$43)*(A10/Assumptions!$D$25)*(0.32/Assumptions!$D$29)</x:f>
        <x:v>3012495.353413237</x:v>
      </x:c>
      <x:c r="F10" s="222" t="n">
        <x:f>SUM(Base!$C$43:$N$43)*(A10/Assumptions!$D$25)*(0.36/Assumptions!$D$29)</x:f>
        <x:v>3389057.272589891</x:v>
      </x:c>
      <x:c r="G10" s="193" t="str">
        <x:v>Lower-left = validation case; center = planning case; upper-right = execution stress test.</x:v>
      </x:c>
      <x:c r="H10" s="415"/>
      <x:c r="I10" s="415"/>
      <x:c r="J10" s="415"/>
      <x:c r="K10" s="415"/>
      <x:c r="L10" s="415"/>
      <x:c r="M10" s="415"/>
      <x:c r="N10" s="415"/>
      <x:c r="O10" s="415"/>
      <x:c r="P10" s="415"/>
      <x:c r="Q10" s="415"/>
      <x:c r="R10" s="415"/>
      <x:c r="S10" s="415"/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>
      <x:c r="A11" s="415"/>
      <x:c r="B11" s="415"/>
      <x:c r="C11" s="415"/>
      <x:c r="D11" s="415"/>
      <x:c r="E11" s="415"/>
      <x:c r="F11" s="415"/>
      <x:c r="G11" s="415"/>
      <x:c r="H11" s="415"/>
      <x:c r="I11" s="415"/>
      <x:c r="J11" s="415"/>
      <x:c r="K11" s="415"/>
      <x:c r="L11" s="415"/>
      <x:c r="M11" s="415"/>
      <x:c r="N11" s="415"/>
      <x:c r="O11" s="415"/>
      <x:c r="P11" s="415"/>
      <x:c r="Q11" s="415"/>
      <x:c r="R11" s="415"/>
      <x:c r="S11" s="415"/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>
      <x:c r="A12" s="415"/>
      <x:c r="B12" s="415"/>
      <x:c r="C12" s="415"/>
      <x:c r="D12" s="415"/>
      <x:c r="E12" s="415"/>
      <x:c r="F12" s="415"/>
      <x:c r="G12" s="415"/>
      <x:c r="H12" s="415"/>
      <x:c r="I12" s="415"/>
      <x:c r="J12" s="415"/>
      <x:c r="K12" s="415"/>
      <x:c r="L12" s="415"/>
      <x:c r="M12" s="415"/>
      <x:c r="N12" s="415"/>
      <x:c r="O12" s="415"/>
      <x:c r="P12" s="415"/>
      <x:c r="Q12" s="415"/>
      <x:c r="R12" s="415"/>
      <x:c r="S12" s="415"/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 ht="23" customHeight="1">
      <x:c r="A13" s="416" t="str">
        <x:v>Unicorn Revenue Thresholds</x:v>
      </x:c>
      <x:c r="B13" s="415"/>
      <x:c r="C13" s="415"/>
      <x:c r="D13" s="415"/>
      <x:c r="E13" s="415"/>
      <x:c r="F13" s="415"/>
      <x:c r="G13" s="415"/>
      <x:c r="H13" s="415"/>
      <x:c r="I13" s="415"/>
      <x:c r="J13" s="415"/>
      <x:c r="K13" s="415"/>
      <x:c r="L13" s="415"/>
      <x:c r="M13" s="415"/>
      <x:c r="N13" s="415"/>
      <x:c r="O13" s="415"/>
      <x:c r="P13" s="415"/>
      <x:c r="Q13" s="415"/>
      <x:c r="R13" s="415"/>
      <x:c r="S13" s="415"/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 ht="28" customHeight="1">
      <x:c r="A14" s="26" t="str">
        <x:v>Enterprise Value</x:v>
      </x:c>
      <x:c r="B14" s="27" t="str">
        <x:v>5.0x Revenue</x:v>
      </x:c>
      <x:c r="C14" s="27" t="str">
        <x:v>10.0x Revenue</x:v>
      </x:c>
      <x:c r="D14" s="27" t="str">
        <x:v>15.0x Revenue</x:v>
      </x:c>
      <x:c r="E14" s="27" t="str">
        <x:v>Base Y3</x:v>
      </x:c>
      <x:c r="F14" s="28" t="str">
        <x:v>Upside Y3</x:v>
      </x:c>
      <x:c r="G14" s="415"/>
      <x:c r="H14" s="415"/>
      <x:c r="I14" s="415"/>
      <x:c r="J14" s="415"/>
      <x:c r="K14" s="415"/>
      <x:c r="L14" s="415"/>
      <x:c r="M14" s="415"/>
      <x:c r="N14" s="415"/>
      <x:c r="O14" s="415"/>
      <x:c r="P14" s="415"/>
      <x:c r="Q14" s="415"/>
      <x:c r="R14" s="415"/>
      <x:c r="S14" s="415"/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>
      <x:c r="A15" s="308" t="n">
        <x:v>1000000000</x:v>
      </x:c>
      <x:c r="B15" s="220" t="n">
        <x:f>A15/5</x:f>
        <x:v>200000000</x:v>
      </x:c>
      <x:c r="C15" s="220" t="n">
        <x:f>A15/10</x:f>
        <x:v>100000000</x:v>
      </x:c>
      <x:c r="D15" s="220" t="n">
        <x:f>A15/15</x:f>
        <x:v>66666666.666666664</x:v>
      </x:c>
      <x:c r="E15" s="220" t="n">
        <x:f>'Annual Summary'!D6</x:f>
        <x:v>8932446.996582981</x:v>
      </x:c>
      <x:c r="F15" s="309" t="n">
        <x:f>'Annual Summary'!D7</x:f>
        <x:v>35405356.665497564</x:v>
      </x:c>
      <x:c r="G15" s="415"/>
      <x:c r="H15" s="415"/>
      <x:c r="I15" s="415"/>
      <x:c r="J15" s="415"/>
      <x:c r="K15" s="415"/>
      <x:c r="L15" s="415"/>
      <x:c r="M15" s="415"/>
      <x:c r="N15" s="415"/>
      <x:c r="O15" s="415"/>
      <x:c r="P15" s="415"/>
      <x:c r="Q15" s="415"/>
      <x:c r="R15" s="415"/>
      <x:c r="S15" s="415"/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310" t="n">
        <x:v>10000000000</x:v>
      </x:c>
      <x:c r="B16" s="221" t="n">
        <x:f>A16/5</x:f>
        <x:v>2000000000</x:v>
      </x:c>
      <x:c r="C16" s="221" t="n">
        <x:f>A16/10</x:f>
        <x:v>1000000000</x:v>
      </x:c>
      <x:c r="D16" s="221" t="n">
        <x:f>A16/15</x:f>
        <x:v>666666666.6666666</x:v>
      </x:c>
      <x:c r="E16" s="221" t="n">
        <x:f>'Annual Summary'!D6</x:f>
        <x:v>8932446.996582981</x:v>
      </x:c>
      <x:c r="F16" s="311" t="n">
        <x:f>'Annual Summary'!D7</x:f>
        <x:v>35405356.665497564</x:v>
      </x:c>
      <x:c r="G16" s="415"/>
      <x:c r="H16" s="415"/>
      <x:c r="I16" s="415"/>
      <x:c r="J16" s="415"/>
      <x:c r="K16" s="415"/>
      <x:c r="L16" s="415"/>
      <x:c r="M16" s="415"/>
      <x:c r="N16" s="415"/>
      <x:c r="O16" s="415"/>
      <x:c r="P16" s="415"/>
      <x:c r="Q16" s="415"/>
      <x:c r="R16" s="415"/>
      <x:c r="S16" s="415"/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>
      <x:c r="A17" s="312" t="n">
        <x:v>100000000000</x:v>
      </x:c>
      <x:c r="B17" s="222" t="n">
        <x:f>A17/5</x:f>
        <x:v>20000000000</x:v>
      </x:c>
      <x:c r="C17" s="222" t="n">
        <x:f>A17/10</x:f>
        <x:v>10000000000</x:v>
      </x:c>
      <x:c r="D17" s="222" t="n">
        <x:f>A17/15</x:f>
        <x:v>6666666666.666667</x:v>
      </x:c>
      <x:c r="E17" s="222" t="n">
        <x:f>'Annual Summary'!D6</x:f>
        <x:v>8932446.996582981</x:v>
      </x:c>
      <x:c r="F17" s="313" t="n">
        <x:f>'Annual Summary'!D7</x:f>
        <x:v>35405356.665497564</x:v>
      </x:c>
      <x:c r="G17" s="415"/>
      <x:c r="H17" s="415"/>
      <x:c r="I17" s="415"/>
      <x:c r="J17" s="415"/>
      <x:c r="K17" s="415"/>
      <x:c r="L17" s="415"/>
      <x:c r="M17" s="415"/>
      <x:c r="N17" s="415"/>
      <x:c r="O17" s="415"/>
      <x:c r="P17" s="415"/>
      <x:c r="Q17" s="415"/>
      <x:c r="R17" s="415"/>
      <x:c r="S17" s="415"/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>
      <x:c r="A18" s="415"/>
      <x:c r="B18" s="415"/>
      <x:c r="C18" s="415"/>
      <x:c r="D18" s="415"/>
      <x:c r="E18" s="415"/>
      <x:c r="F18" s="415"/>
      <x:c r="G18" s="415"/>
      <x:c r="H18" s="415"/>
      <x:c r="I18" s="415"/>
      <x:c r="J18" s="415"/>
      <x:c r="K18" s="415"/>
      <x:c r="L18" s="415"/>
      <x:c r="M18" s="415"/>
      <x:c r="N18" s="415"/>
      <x:c r="O18" s="415"/>
      <x:c r="P18" s="415"/>
      <x:c r="Q18" s="415"/>
      <x:c r="R18" s="415"/>
      <x:c r="S18" s="415"/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333" t="str">
        <x:v>Important</x:v>
      </x:c>
      <x:c r="B19" s="334" t="str">
        <x:v>Revenue multiples are not valuation conclusions. GoalOS is currently a mixed high-value service, education, product, and platform thesis; the applicable multiple depends on recurring revenue, growth, margins, retention, defensibility, and external proof.</x:v>
      </x:c>
      <x:c r="C19" s="334" t="str"/>
      <x:c r="D19" s="334" t="str"/>
      <x:c r="E19" s="334" t="str"/>
      <x:c r="F19" s="335" t="str"/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336" t="str">
        <x:v>Strategic implication</x:v>
      </x:c>
      <x:c r="B20" s="337" t="str">
        <x:v>A unicorn outcome requires a larger recurring software/network layer than the 36-month Base case. The model therefore treats the MasterClass and Proof Mission motion as the beachhead—not the terminal business model.</x:v>
      </x:c>
      <x:c r="C20" s="337" t="str"/>
      <x:c r="D20" s="337" t="str"/>
      <x:c r="E20" s="337" t="str"/>
      <x:c r="F20" s="338" t="str"/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15"/>
      <x:c r="B21" s="415"/>
      <x:c r="C21" s="415"/>
      <x:c r="D21" s="415"/>
      <x:c r="E21" s="415"/>
      <x:c r="F21" s="415"/>
      <x:c r="G21" s="415"/>
      <x:c r="H21" s="415"/>
      <x:c r="I21" s="415"/>
      <x:c r="J21" s="415"/>
      <x:c r="K21" s="415"/>
      <x:c r="L21" s="415"/>
      <x:c r="M21" s="415"/>
      <x:c r="N21" s="415"/>
      <x:c r="O21" s="415"/>
      <x:c r="P21" s="415"/>
      <x:c r="Q21" s="415"/>
      <x:c r="R21" s="415"/>
      <x:c r="S21" s="415"/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415"/>
      <x:c r="B22" s="415"/>
      <x:c r="C22" s="415"/>
      <x:c r="D22" s="415"/>
      <x:c r="E22" s="415"/>
      <x:c r="F22" s="415"/>
      <x:c r="G22" s="415"/>
      <x:c r="H22" s="415"/>
      <x:c r="I22" s="415"/>
      <x:c r="J22" s="415"/>
      <x:c r="K22" s="415"/>
      <x:c r="L22" s="415"/>
      <x:c r="M22" s="415"/>
      <x:c r="N22" s="415"/>
      <x:c r="O22" s="415"/>
      <x:c r="P22" s="415"/>
      <x:c r="Q22" s="415"/>
      <x:c r="R22" s="415"/>
      <x:c r="S22" s="415"/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>
      <x:c r="A23" s="415"/>
      <x:c r="B23" s="415"/>
      <x:c r="C23" s="415"/>
      <x:c r="D23" s="415"/>
      <x:c r="E23" s="415"/>
      <x:c r="F23" s="415"/>
      <x:c r="G23" s="415"/>
      <x:c r="H23" s="415"/>
      <x:c r="I23" s="415"/>
      <x:c r="J23" s="415"/>
      <x:c r="K23" s="415"/>
      <x:c r="L23" s="415"/>
      <x:c r="M23" s="415"/>
      <x:c r="N23" s="415"/>
      <x:c r="O23" s="415"/>
      <x:c r="P23" s="415"/>
      <x:c r="Q23" s="415"/>
      <x:c r="R23" s="415"/>
      <x:c r="S23" s="415"/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>
      <x:c r="A24" s="415"/>
      <x:c r="B24" s="415"/>
      <x:c r="C24" s="415"/>
      <x:c r="D24" s="415"/>
      <x:c r="E24" s="415"/>
      <x:c r="F24" s="415"/>
      <x:c r="G24" s="415"/>
      <x:c r="H24" s="415"/>
      <x:c r="I24" s="415"/>
      <x:c r="J24" s="415"/>
      <x:c r="K24" s="415"/>
      <x:c r="L24" s="415"/>
      <x:c r="M24" s="415"/>
      <x:c r="N24" s="415"/>
      <x:c r="O24" s="415"/>
      <x:c r="P24" s="415"/>
      <x:c r="Q24" s="415"/>
      <x:c r="R24" s="415"/>
      <x:c r="S24" s="415"/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15"/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15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/>
      <x:c r="Q27" s="415"/>
      <x:c r="R27" s="415"/>
      <x:c r="S27" s="415"/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>
      <x:c r="A28" s="415"/>
      <x:c r="B28" s="415"/>
      <x:c r="C28" s="415"/>
      <x:c r="D28" s="415"/>
      <x:c r="E28" s="415"/>
      <x:c r="F28" s="415"/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/>
      <x:c r="Q28" s="415"/>
      <x:c r="R28" s="415"/>
      <x:c r="S28" s="415"/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415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/>
      <x:c r="Q29" s="415"/>
      <x:c r="R29" s="415"/>
      <x:c r="S29" s="415"/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415"/>
      <x:c r="B30" s="415"/>
      <x:c r="C30" s="415"/>
      <x:c r="D30" s="415"/>
      <x:c r="E30" s="415"/>
      <x:c r="F30" s="415"/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/>
      <x:c r="Q30" s="415"/>
      <x:c r="R30" s="415"/>
      <x:c r="S30" s="415"/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415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/>
      <x:c r="Q31" s="415"/>
      <x:c r="R31" s="415"/>
      <x:c r="S31" s="415"/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415"/>
      <x:c r="B32" s="415"/>
      <x:c r="C32" s="415"/>
      <x:c r="D32" s="415"/>
      <x:c r="E32" s="415"/>
      <x:c r="F32" s="415"/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/>
      <x:c r="Q32" s="415"/>
      <x:c r="R32" s="415"/>
      <x:c r="S32" s="415"/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>
      <x:c r="A33" s="415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/>
      <x:c r="O33" s="415"/>
      <x:c r="P33" s="415"/>
      <x:c r="Q33" s="415"/>
      <x:c r="R33" s="415"/>
      <x:c r="S33" s="415"/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415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15"/>
      <x:c r="B36" s="415"/>
      <x:c r="C36" s="415"/>
      <x:c r="D36" s="415"/>
      <x:c r="E36" s="415"/>
      <x:c r="F36" s="415"/>
      <x:c r="G36" s="415"/>
      <x:c r="H36" s="415"/>
      <x:c r="I36" s="415"/>
      <x:c r="J36" s="415"/>
      <x:c r="K36" s="415"/>
      <x:c r="L36" s="415"/>
      <x:c r="M36" s="415"/>
      <x:c r="N36" s="415"/>
      <x:c r="O36" s="415"/>
      <x:c r="P36" s="415"/>
      <x:c r="Q36" s="415"/>
      <x:c r="R36" s="415"/>
      <x:c r="S36" s="415"/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>
      <x:c r="A37" s="415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/>
      <x:c r="O37" s="415"/>
      <x:c r="P37" s="415"/>
      <x:c r="Q37" s="415"/>
      <x:c r="R37" s="415"/>
      <x:c r="S37" s="415"/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>
      <x:c r="A38" s="415"/>
      <x:c r="B38" s="415"/>
      <x:c r="C38" s="415"/>
      <x:c r="D38" s="415"/>
      <x:c r="E38" s="415"/>
      <x:c r="F38" s="415"/>
      <x:c r="G38" s="415"/>
      <x:c r="H38" s="415"/>
      <x:c r="I38" s="415"/>
      <x:c r="J38" s="415"/>
      <x:c r="K38" s="415"/>
      <x:c r="L38" s="415"/>
      <x:c r="M38" s="415"/>
      <x:c r="N38" s="415"/>
      <x:c r="O38" s="415"/>
      <x:c r="P38" s="415"/>
      <x:c r="Q38" s="415"/>
      <x:c r="R38" s="415"/>
      <x:c r="S38" s="415"/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15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/>
      <x:c r="O39" s="415"/>
      <x:c r="P39" s="415"/>
      <x:c r="Q39" s="415"/>
      <x:c r="R39" s="415"/>
      <x:c r="S39" s="415"/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15"/>
      <x:c r="B40" s="415"/>
      <x:c r="C40" s="415"/>
      <x:c r="D40" s="415"/>
      <x:c r="E40" s="415"/>
      <x:c r="F40" s="415"/>
      <x:c r="G40" s="415"/>
      <x:c r="H40" s="415"/>
      <x:c r="I40" s="415"/>
      <x:c r="J40" s="415"/>
      <x:c r="K40" s="415"/>
      <x:c r="L40" s="415"/>
      <x:c r="M40" s="415"/>
      <x:c r="N40" s="415"/>
      <x:c r="O40" s="415"/>
      <x:c r="P40" s="415"/>
      <x:c r="Q40" s="415"/>
      <x:c r="R40" s="415"/>
      <x:c r="S40" s="415"/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15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/>
      <x:c r="O41" s="415"/>
      <x:c r="P41" s="415"/>
      <x:c r="Q41" s="415"/>
      <x:c r="R41" s="415"/>
      <x:c r="S41" s="415"/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15"/>
      <x:c r="D42" s="415"/>
      <x:c r="E42" s="415"/>
      <x:c r="F42" s="415"/>
      <x:c r="G42" s="415"/>
      <x:c r="H42" s="415"/>
      <x:c r="I42" s="415"/>
      <x:c r="J42" s="415"/>
      <x:c r="K42" s="415"/>
      <x:c r="L42" s="415"/>
      <x:c r="M42" s="415"/>
      <x:c r="N42" s="415"/>
      <x:c r="O42" s="415"/>
      <x:c r="P42" s="415"/>
      <x:c r="Q42" s="415"/>
      <x:c r="R42" s="415"/>
      <x:c r="S42" s="415"/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>
      <x:c r="A43" s="415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/>
      <x:c r="O43" s="415"/>
      <x:c r="P43" s="415"/>
      <x:c r="Q43" s="415"/>
      <x:c r="R43" s="415"/>
      <x:c r="S43" s="415"/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15"/>
      <x:c r="B44" s="415"/>
      <x:c r="C44" s="415"/>
      <x:c r="D44" s="415"/>
      <x:c r="E44" s="415"/>
      <x:c r="F44" s="415"/>
      <x:c r="G44" s="415"/>
      <x:c r="H44" s="415"/>
      <x:c r="I44" s="415"/>
      <x:c r="J44" s="415"/>
      <x:c r="K44" s="415"/>
      <x:c r="L44" s="415"/>
      <x:c r="M44" s="415"/>
      <x:c r="N44" s="415"/>
      <x:c r="O44" s="415"/>
      <x:c r="P44" s="415"/>
      <x:c r="Q44" s="415"/>
      <x:c r="R44" s="415"/>
      <x:c r="S44" s="415"/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15"/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15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15"/>
      <x:c r="B48" s="415"/>
      <x:c r="C48" s="415"/>
      <x:c r="D48" s="415"/>
      <x:c r="E48" s="415"/>
      <x:c r="F48" s="415"/>
      <x:c r="G48" s="415"/>
      <x:c r="H48" s="415"/>
      <x:c r="I48" s="415"/>
      <x:c r="J48" s="415"/>
      <x:c r="K48" s="415"/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15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15"/>
      <x:c r="B50" s="415"/>
      <x:c r="C50" s="415"/>
      <x:c r="D50" s="415"/>
      <x:c r="E50" s="415"/>
      <x:c r="F50" s="415"/>
      <x:c r="G50" s="415"/>
      <x:c r="H50" s="415"/>
      <x:c r="I50" s="415"/>
      <x:c r="J50" s="415"/>
      <x:c r="K50" s="415"/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15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15"/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>
      <x:c r="A54" s="415"/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15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15"/>
      <x:c r="B56" s="415"/>
      <x:c r="C56" s="415"/>
      <x:c r="D56" s="415"/>
      <x:c r="E56" s="415"/>
      <x:c r="F56" s="415"/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15"/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15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15"/>
      <x:c r="B60" s="415"/>
      <x:c r="C60" s="415"/>
      <x:c r="D60" s="415"/>
      <x:c r="E60" s="415"/>
      <x:c r="F60" s="415"/>
      <x:c r="G60" s="415"/>
      <x:c r="H60" s="415"/>
      <x:c r="I60" s="415"/>
      <x:c r="J60" s="415"/>
      <x:c r="K60" s="415"/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15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15"/>
      <x:c r="B62" s="415"/>
      <x:c r="C62" s="415"/>
      <x:c r="D62" s="415"/>
      <x:c r="E62" s="415"/>
      <x:c r="F62" s="415"/>
      <x:c r="G62" s="415"/>
      <x:c r="H62" s="415"/>
      <x:c r="I62" s="415"/>
      <x:c r="J62" s="415"/>
      <x:c r="K62" s="415"/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15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15"/>
      <x:c r="B64" s="415"/>
      <x:c r="C64" s="415"/>
      <x:c r="D64" s="415"/>
      <x:c r="E64" s="415"/>
      <x:c r="F64" s="415"/>
      <x:c r="G64" s="415"/>
      <x:c r="H64" s="415"/>
      <x:c r="I64" s="415"/>
      <x:c r="J64" s="415"/>
      <x:c r="K64" s="415"/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15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15"/>
      <x:c r="B66" s="415"/>
      <x:c r="C66" s="415"/>
      <x:c r="D66" s="415"/>
      <x:c r="E66" s="415"/>
      <x:c r="F66" s="415"/>
      <x:c r="G66" s="415"/>
      <x:c r="H66" s="415"/>
      <x:c r="I66" s="415"/>
      <x:c r="J66" s="415"/>
      <x:c r="K66" s="415"/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15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15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15"/>
      <x:c r="B70" s="415"/>
      <x:c r="C70" s="415"/>
      <x:c r="D70" s="415"/>
      <x:c r="E70" s="415"/>
      <x:c r="F70" s="415"/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H1"/>
    <x:mergeCell ref="A2:H2"/>
    <x:mergeCell ref="A4:G4"/>
    <x:mergeCell ref="A13:F13"/>
    <x:mergeCell ref="B19:F19"/>
    <x:mergeCell ref="B20:F20"/>
  </x:mergeCells>
  <x:conditionalFormatting sqref="B6:F10">
    <x:cfRule type="colorScale" priority="1">
      <x:colorScale>
        <x:cfvo type="min"/>
        <x:cfvo type="percentile" val="50"/>
        <x:cfvo type="max"/>
        <x:color rgb="FFFBE9E8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8" hidden="0" customWidth="1"/>
    <x:col min="3" max="3" width="58" hidden="0" customWidth="1"/>
    <x:col min="4" max="4" width="58" hidden="0" customWidth="1"/>
  </x:cols>
  <x:sheetData>
    <x:row r="1" ht="34" customHeight="1">
      <x:c r="A1" s="414" t="str">
        <x:v>Sources, Model Boundaries, and Use</x:v>
      </x:c>
      <x:c r="B1" s="415"/>
      <x:c r="C1" s="415"/>
      <x:c r="D1" s="415"/>
      <x:c r="E1" s="415"/>
      <x:c r="F1" s="415"/>
      <x:c r="G1" s="415"/>
      <x:c r="H1" s="415"/>
      <x:c r="I1" s="415"/>
      <x:c r="J1" s="415"/>
      <x:c r="K1" s="415"/>
      <x:c r="L1" s="415"/>
      <x:c r="M1" s="415"/>
      <x:c r="N1" s="415"/>
      <x:c r="O1" s="415"/>
      <x:c r="P1" s="415"/>
      <x:c r="Q1" s="415"/>
      <x:c r="R1" s="415"/>
      <x:c r="S1" s="415"/>
      <x:c r="T1" s="415"/>
      <x:c r="U1" s="415"/>
      <x:c r="V1" s="415"/>
      <x:c r="W1" s="415"/>
      <x:c r="X1" s="415"/>
      <x:c r="Y1" s="415"/>
      <x:c r="Z1" s="415"/>
      <x:c r="AA1" s="415"/>
      <x:c r="AB1" s="415"/>
      <x:c r="AC1" s="415"/>
      <x:c r="AD1" s="415"/>
      <x:c r="AE1" s="415"/>
      <x:c r="AF1" s="415"/>
      <x:c r="AG1" s="415"/>
      <x:c r="AH1" s="415"/>
      <x:c r="AI1" s="415"/>
      <x:c r="AJ1" s="415"/>
      <x:c r="AK1" s="415"/>
      <x:c r="AL1" s="415"/>
    </x:row>
    <x:row r="2">
      <x:c r="A2" s="415"/>
      <x:c r="B2" s="415"/>
      <x:c r="C2" s="415"/>
      <x:c r="D2" s="415"/>
      <x:c r="E2" s="415"/>
      <x:c r="F2" s="415"/>
      <x:c r="G2" s="415"/>
      <x:c r="H2" s="415"/>
      <x:c r="I2" s="415"/>
      <x:c r="J2" s="415"/>
      <x:c r="K2" s="415"/>
      <x:c r="L2" s="415"/>
      <x:c r="M2" s="415"/>
      <x:c r="N2" s="415"/>
      <x:c r="O2" s="415"/>
      <x:c r="P2" s="415"/>
      <x:c r="Q2" s="415"/>
      <x:c r="R2" s="415"/>
      <x:c r="S2" s="415"/>
      <x:c r="T2" s="415"/>
      <x:c r="U2" s="415"/>
      <x:c r="V2" s="415"/>
      <x:c r="W2" s="415"/>
      <x:c r="X2" s="415"/>
      <x:c r="Y2" s="415"/>
      <x:c r="Z2" s="415"/>
      <x:c r="AA2" s="415"/>
      <x:c r="AB2" s="415"/>
      <x:c r="AC2" s="415"/>
      <x:c r="AD2" s="415"/>
      <x:c r="AE2" s="415"/>
      <x:c r="AF2" s="415"/>
      <x:c r="AG2" s="415"/>
      <x:c r="AH2" s="415"/>
      <x:c r="AI2" s="415"/>
      <x:c r="AJ2" s="415"/>
      <x:c r="AK2" s="415"/>
      <x:c r="AL2" s="415"/>
    </x:row>
    <x:row r="3" ht="28" customHeight="1">
      <x:c r="A3" s="26" t="str">
        <x:v>Source</x:v>
      </x:c>
      <x:c r="B3" s="27" t="str">
        <x:v>URL / file</x:v>
      </x:c>
      <x:c r="C3" s="27" t="str">
        <x:v>How used</x:v>
      </x:c>
      <x:c r="D3" s="28" t="str">
        <x:v>Boundary</x:v>
      </x:c>
      <x:c r="E3" s="415"/>
      <x:c r="F3" s="415"/>
      <x:c r="G3" s="415"/>
      <x:c r="H3" s="415"/>
      <x:c r="I3" s="415"/>
      <x:c r="J3" s="415"/>
      <x:c r="K3" s="415"/>
      <x:c r="L3" s="415"/>
      <x:c r="M3" s="415"/>
      <x:c r="N3" s="415"/>
      <x:c r="O3" s="415"/>
      <x:c r="P3" s="415"/>
      <x:c r="Q3" s="415"/>
      <x:c r="R3" s="415"/>
      <x:c r="S3" s="415"/>
      <x:c r="T3" s="415"/>
      <x:c r="U3" s="415"/>
      <x:c r="V3" s="415"/>
      <x:c r="W3" s="415"/>
      <x:c r="X3" s="415"/>
      <x:c r="Y3" s="415"/>
      <x:c r="Z3" s="415"/>
      <x:c r="AA3" s="415"/>
      <x:c r="AB3" s="415"/>
      <x:c r="AC3" s="415"/>
      <x:c r="AD3" s="415"/>
      <x:c r="AE3" s="415"/>
      <x:c r="AF3" s="415"/>
      <x:c r="AG3" s="415"/>
      <x:c r="AH3" s="415"/>
      <x:c r="AI3" s="415"/>
      <x:c r="AJ3" s="415"/>
      <x:c r="AK3" s="415"/>
      <x:c r="AL3" s="415"/>
    </x:row>
    <x:row r="4">
      <x:c r="A4" s="185" t="str">
        <x:v>GoalOS Autonomous Money Machine Ω</x:v>
      </x:c>
      <x:c r="B4" s="186" t="str">
        <x:v>Uploaded package / GoalOS_Autonomous_Money_Machine_OMEGA.html</x:v>
      </x:c>
      <x:c r="C4" s="186" t="str">
        <x:v>Forecast architecture: qualified leads, conversion, pricing, capacity, recurring attach, churn, gross margin, proof-driven lift, and reinvestment.</x:v>
      </x:c>
      <x:c r="D4" s="187" t="str">
        <x:v>The application explicitly treats all forecasts as synthetic scenarios—not guaranteed returns.</x:v>
      </x:c>
      <x:c r="E4" s="415"/>
      <x:c r="F4" s="415"/>
      <x:c r="G4" s="415"/>
      <x:c r="H4" s="415"/>
      <x:c r="I4" s="415"/>
      <x:c r="J4" s="415"/>
      <x:c r="K4" s="415"/>
      <x:c r="L4" s="415"/>
      <x:c r="M4" s="415"/>
      <x:c r="N4" s="415"/>
      <x:c r="O4" s="415"/>
      <x:c r="P4" s="415"/>
      <x:c r="Q4" s="415"/>
      <x:c r="R4" s="415"/>
      <x:c r="S4" s="415"/>
      <x:c r="T4" s="415"/>
      <x:c r="U4" s="415"/>
      <x:c r="V4" s="415"/>
      <x:c r="W4" s="415"/>
      <x:c r="X4" s="415"/>
      <x:c r="Y4" s="415"/>
      <x:c r="Z4" s="415"/>
      <x:c r="AA4" s="415"/>
      <x:c r="AB4" s="415"/>
      <x:c r="AC4" s="415"/>
      <x:c r="AD4" s="415"/>
      <x:c r="AE4" s="415"/>
      <x:c r="AF4" s="415"/>
      <x:c r="AG4" s="415"/>
      <x:c r="AH4" s="415"/>
      <x:c r="AI4" s="415"/>
      <x:c r="AJ4" s="415"/>
      <x:c r="AK4" s="415"/>
      <x:c r="AL4" s="415"/>
    </x:row>
    <x:row r="5">
      <x:c r="A5" s="188" t="str">
        <x:v>GoalOS Mission OS</x:v>
      </x:c>
      <x:c r="B5" s="189" t="str">
        <x:v>https://montrealai.github.io/goalos-agialpha-ascension/downloads/mission-os/GoalOS_Mission_OS_Paper.pdf</x:v>
      </x:c>
      <x:c r="C5" s="189" t="str">
        <x:v>Proof Mission product, Governed Decision State, Evidence Docket, Action Graph, Chronicle, and reusable capability.</x:v>
      </x:c>
      <x:c r="D5" s="190" t="str">
        <x:v>Architecture becomes empirical only through real tasks, baselines, replay, cost/risk ledgers, verifier reports, delayed outcomes, and independent review.</x:v>
      </x:c>
      <x:c r="E5" s="415"/>
      <x:c r="F5" s="415"/>
      <x:c r="G5" s="415"/>
      <x:c r="H5" s="415"/>
      <x:c r="I5" s="415"/>
      <x:c r="J5" s="415"/>
      <x:c r="K5" s="415"/>
      <x:c r="L5" s="415"/>
      <x:c r="M5" s="415"/>
      <x:c r="N5" s="415"/>
      <x:c r="O5" s="415"/>
      <x:c r="P5" s="415"/>
      <x:c r="Q5" s="415"/>
      <x:c r="R5" s="415"/>
      <x:c r="S5" s="415"/>
      <x:c r="T5" s="415"/>
      <x:c r="U5" s="415"/>
      <x:c r="V5" s="415"/>
      <x:c r="W5" s="415"/>
      <x:c r="X5" s="415"/>
      <x:c r="Y5" s="415"/>
      <x:c r="Z5" s="415"/>
      <x:c r="AA5" s="415"/>
      <x:c r="AB5" s="415"/>
      <x:c r="AC5" s="415"/>
      <x:c r="AD5" s="415"/>
      <x:c r="AE5" s="415"/>
      <x:c r="AF5" s="415"/>
      <x:c r="AG5" s="415"/>
      <x:c r="AH5" s="415"/>
      <x:c r="AI5" s="415"/>
      <x:c r="AJ5" s="415"/>
      <x:c r="AK5" s="415"/>
      <x:c r="AL5" s="415"/>
    </x:row>
    <x:row r="6">
      <x:c r="A6" s="188" t="str">
        <x:v>AGI ALPHA</x:v>
      </x:c>
      <x:c r="B6" s="189" t="str">
        <x:v>https://github.com/MontrealAI/agialpha-first-real-loop/blob/main/docs/manuscript/AGI_ALPHA_Unified_Publication_Final.pdf</x:v>
      </x:c>
      <x:c r="C6" s="189" t="str">
        <x:v>Value capture, capability monetization, capacity allocation, and operator-institution compounding.</x:v>
      </x:c>
      <x:c r="D6" s="190" t="str">
        <x:v>Does not imply achieved AGI/ASI, guaranteed return, or current civilization-scale capability.</x:v>
      </x:c>
      <x:c r="E6" s="415"/>
      <x:c r="F6" s="415"/>
      <x:c r="G6" s="415"/>
      <x:c r="H6" s="415"/>
      <x:c r="I6" s="415"/>
      <x:c r="J6" s="415"/>
      <x:c r="K6" s="415"/>
      <x:c r="L6" s="415"/>
      <x:c r="M6" s="415"/>
      <x:c r="N6" s="415"/>
      <x:c r="O6" s="415"/>
      <x:c r="P6" s="415"/>
      <x:c r="Q6" s="415"/>
      <x:c r="R6" s="415"/>
      <x:c r="S6" s="415"/>
      <x:c r="T6" s="415"/>
      <x:c r="U6" s="415"/>
      <x:c r="V6" s="415"/>
      <x:c r="W6" s="415"/>
      <x:c r="X6" s="415"/>
      <x:c r="Y6" s="415"/>
      <x:c r="Z6" s="415"/>
      <x:c r="AA6" s="415"/>
      <x:c r="AB6" s="415"/>
      <x:c r="AC6" s="415"/>
      <x:c r="AD6" s="415"/>
      <x:c r="AE6" s="415"/>
      <x:c r="AF6" s="415"/>
      <x:c r="AG6" s="415"/>
      <x:c r="AH6" s="415"/>
      <x:c r="AI6" s="415"/>
      <x:c r="AJ6" s="415"/>
      <x:c r="AK6" s="415"/>
      <x:c r="AL6" s="415"/>
    </x:row>
    <x:row r="7">
      <x:c r="A7" s="191" t="str">
        <x:v>Management planning assumptions</x:v>
      </x:c>
      <x:c r="B7" s="192" t="str">
        <x:v>This workbook — Assumptions sheet</x:v>
      </x:c>
      <x:c r="C7" s="192" t="str">
        <x:v>Prices, conversion rates, capacities, costs, and timing used to create Conservative, Base, and Upside cases.</x:v>
      </x:c>
      <x:c r="D7" s="193" t="str">
        <x:v>Replace with observed data after paid engagements. Fractional deals are expected values, not literal partial contracts.</x:v>
      </x:c>
      <x:c r="E7" s="415"/>
      <x:c r="F7" s="415"/>
      <x:c r="G7" s="415"/>
      <x:c r="H7" s="415"/>
      <x:c r="I7" s="415"/>
      <x:c r="J7" s="415"/>
      <x:c r="K7" s="415"/>
      <x:c r="L7" s="415"/>
      <x:c r="M7" s="415"/>
      <x:c r="N7" s="415"/>
      <x:c r="O7" s="415"/>
      <x:c r="P7" s="415"/>
      <x:c r="Q7" s="415"/>
      <x:c r="R7" s="415"/>
      <x:c r="S7" s="415"/>
      <x:c r="T7" s="415"/>
      <x:c r="U7" s="415"/>
      <x:c r="V7" s="415"/>
      <x:c r="W7" s="415"/>
      <x:c r="X7" s="415"/>
      <x:c r="Y7" s="415"/>
      <x:c r="Z7" s="415"/>
      <x:c r="AA7" s="415"/>
      <x:c r="AB7" s="415"/>
      <x:c r="AC7" s="415"/>
      <x:c r="AD7" s="415"/>
      <x:c r="AE7" s="415"/>
      <x:c r="AF7" s="415"/>
      <x:c r="AG7" s="415"/>
      <x:c r="AH7" s="415"/>
      <x:c r="AI7" s="415"/>
      <x:c r="AJ7" s="415"/>
      <x:c r="AK7" s="415"/>
      <x:c r="AL7" s="415"/>
    </x:row>
    <x:row r="8">
      <x:c r="A8" s="415"/>
      <x:c r="B8" s="415"/>
      <x:c r="C8" s="415"/>
      <x:c r="D8" s="415"/>
      <x:c r="E8" s="415"/>
      <x:c r="F8" s="415"/>
      <x:c r="G8" s="415"/>
      <x:c r="H8" s="415"/>
      <x:c r="I8" s="415"/>
      <x:c r="J8" s="415"/>
      <x:c r="K8" s="415"/>
      <x:c r="L8" s="415"/>
      <x:c r="M8" s="415"/>
      <x:c r="N8" s="415"/>
      <x:c r="O8" s="415"/>
      <x:c r="P8" s="415"/>
      <x:c r="Q8" s="415"/>
      <x:c r="R8" s="415"/>
      <x:c r="S8" s="415"/>
      <x:c r="T8" s="415"/>
      <x:c r="U8" s="415"/>
      <x:c r="V8" s="415"/>
      <x:c r="W8" s="415"/>
      <x:c r="X8" s="415"/>
      <x:c r="Y8" s="415"/>
      <x:c r="Z8" s="415"/>
      <x:c r="AA8" s="415"/>
      <x:c r="AB8" s="415"/>
      <x:c r="AC8" s="415"/>
      <x:c r="AD8" s="415"/>
      <x:c r="AE8" s="415"/>
      <x:c r="AF8" s="415"/>
      <x:c r="AG8" s="415"/>
      <x:c r="AH8" s="415"/>
      <x:c r="AI8" s="415"/>
      <x:c r="AJ8" s="415"/>
      <x:c r="AK8" s="415"/>
      <x:c r="AL8" s="415"/>
    </x:row>
    <x:row r="9">
      <x:c r="A9" s="415"/>
      <x:c r="B9" s="415"/>
      <x:c r="C9" s="415"/>
      <x:c r="D9" s="415"/>
      <x:c r="E9" s="415"/>
      <x:c r="F9" s="415"/>
      <x:c r="G9" s="415"/>
      <x:c r="H9" s="415"/>
      <x:c r="I9" s="415"/>
      <x:c r="J9" s="415"/>
      <x:c r="K9" s="415"/>
      <x:c r="L9" s="415"/>
      <x:c r="M9" s="415"/>
      <x:c r="N9" s="415"/>
      <x:c r="O9" s="415"/>
      <x:c r="P9" s="415"/>
      <x:c r="Q9" s="415"/>
      <x:c r="R9" s="415"/>
      <x:c r="S9" s="415"/>
      <x:c r="T9" s="415"/>
      <x:c r="U9" s="415"/>
      <x:c r="V9" s="415"/>
      <x:c r="W9" s="415"/>
      <x:c r="X9" s="415"/>
      <x:c r="Y9" s="415"/>
      <x:c r="Z9" s="415"/>
      <x:c r="AA9" s="415"/>
      <x:c r="AB9" s="415"/>
      <x:c r="AC9" s="415"/>
      <x:c r="AD9" s="415"/>
      <x:c r="AE9" s="415"/>
      <x:c r="AF9" s="415"/>
      <x:c r="AG9" s="415"/>
      <x:c r="AH9" s="415"/>
      <x:c r="AI9" s="415"/>
      <x:c r="AJ9" s="415"/>
      <x:c r="AK9" s="415"/>
      <x:c r="AL9" s="415"/>
    </x:row>
    <x:row r="10" ht="28" customHeight="1">
      <x:c r="A10" s="26" t="str">
        <x:v>Model boundary</x:v>
      </x:c>
      <x:c r="B10" s="27" t="str">
        <x:v>Treatment</x:v>
      </x:c>
      <x:c r="C10" s="27" t="str"/>
      <x:c r="D10" s="28" t="str"/>
      <x:c r="E10" s="415"/>
      <x:c r="F10" s="415"/>
      <x:c r="G10" s="415"/>
      <x:c r="H10" s="415"/>
      <x:c r="I10" s="415"/>
      <x:c r="J10" s="415"/>
      <x:c r="K10" s="415"/>
      <x:c r="L10" s="415"/>
      <x:c r="M10" s="415"/>
      <x:c r="N10" s="415"/>
      <x:c r="O10" s="415"/>
      <x:c r="P10" s="415"/>
      <x:c r="Q10" s="415"/>
      <x:c r="R10" s="415"/>
      <x:c r="S10" s="415"/>
      <x:c r="T10" s="415"/>
      <x:c r="U10" s="415"/>
      <x:c r="V10" s="415"/>
      <x:c r="W10" s="415"/>
      <x:c r="X10" s="415"/>
      <x:c r="Y10" s="415"/>
      <x:c r="Z10" s="415"/>
      <x:c r="AA10" s="415"/>
      <x:c r="AB10" s="415"/>
      <x:c r="AC10" s="415"/>
      <x:c r="AD10" s="415"/>
      <x:c r="AE10" s="415"/>
      <x:c r="AF10" s="415"/>
      <x:c r="AG10" s="415"/>
      <x:c r="AH10" s="415"/>
      <x:c r="AI10" s="415"/>
      <x:c r="AJ10" s="415"/>
      <x:c r="AK10" s="415"/>
      <x:c r="AL10" s="415"/>
    </x:row>
    <x:row r="11">
      <x:c r="A11" s="333" t="str">
        <x:v>Taxes</x:v>
      </x:c>
      <x:c r="B11" s="334" t="str">
        <x:v>Excluded from the operating model; EBITDA and FCF are pre-tax planning measures.</x:v>
      </x:c>
      <x:c r="C11" s="334" t="str"/>
      <x:c r="D11" s="335" t="str"/>
      <x:c r="E11" s="415"/>
      <x:c r="F11" s="415"/>
      <x:c r="G11" s="415"/>
      <x:c r="H11" s="415"/>
      <x:c r="I11" s="415"/>
      <x:c r="J11" s="415"/>
      <x:c r="K11" s="415"/>
      <x:c r="L11" s="415"/>
      <x:c r="M11" s="415"/>
      <x:c r="N11" s="415"/>
      <x:c r="O11" s="415"/>
      <x:c r="P11" s="415"/>
      <x:c r="Q11" s="415"/>
      <x:c r="R11" s="415"/>
      <x:c r="S11" s="415"/>
      <x:c r="T11" s="415"/>
      <x:c r="U11" s="415"/>
      <x:c r="V11" s="415"/>
      <x:c r="W11" s="415"/>
      <x:c r="X11" s="415"/>
      <x:c r="Y11" s="415"/>
      <x:c r="Z11" s="415"/>
      <x:c r="AA11" s="415"/>
      <x:c r="AB11" s="415"/>
      <x:c r="AC11" s="415"/>
      <x:c r="AD11" s="415"/>
      <x:c r="AE11" s="415"/>
      <x:c r="AF11" s="415"/>
      <x:c r="AG11" s="415"/>
      <x:c r="AH11" s="415"/>
      <x:c r="AI11" s="415"/>
      <x:c r="AJ11" s="415"/>
      <x:c r="AK11" s="415"/>
      <x:c r="AL11" s="415"/>
    </x:row>
    <x:row r="12">
      <x:c r="A12" s="394" t="str">
        <x:v>Financing</x:v>
      </x:c>
      <x:c r="B12" s="411" t="str">
        <x:v>No debt or equity financing is assumed. Initial cash is editable.</x:v>
      </x:c>
      <x:c r="C12" s="411" t="str"/>
      <x:c r="D12" s="395" t="str"/>
      <x:c r="E12" s="415"/>
      <x:c r="F12" s="415"/>
      <x:c r="G12" s="415"/>
      <x:c r="H12" s="415"/>
      <x:c r="I12" s="415"/>
      <x:c r="J12" s="415"/>
      <x:c r="K12" s="415"/>
      <x:c r="L12" s="415"/>
      <x:c r="M12" s="415"/>
      <x:c r="N12" s="415"/>
      <x:c r="O12" s="415"/>
      <x:c r="P12" s="415"/>
      <x:c r="Q12" s="415"/>
      <x:c r="R12" s="415"/>
      <x:c r="S12" s="415"/>
      <x:c r="T12" s="415"/>
      <x:c r="U12" s="415"/>
      <x:c r="V12" s="415"/>
      <x:c r="W12" s="415"/>
      <x:c r="X12" s="415"/>
      <x:c r="Y12" s="415"/>
      <x:c r="Z12" s="415"/>
      <x:c r="AA12" s="415"/>
      <x:c r="AB12" s="415"/>
      <x:c r="AC12" s="415"/>
      <x:c r="AD12" s="415"/>
      <x:c r="AE12" s="415"/>
      <x:c r="AF12" s="415"/>
      <x:c r="AG12" s="415"/>
      <x:c r="AH12" s="415"/>
      <x:c r="AI12" s="415"/>
      <x:c r="AJ12" s="415"/>
      <x:c r="AK12" s="415"/>
      <x:c r="AL12" s="415"/>
    </x:row>
    <x:row r="13">
      <x:c r="A13" s="394" t="str">
        <x:v>Working capital</x:v>
      </x:c>
      <x:c r="B13" s="411" t="str">
        <x:v>Cash receipts are assumed to occur within the month; adjust if enterprise payment terms create material receivables.</x:v>
      </x:c>
      <x:c r="C13" s="411" t="str"/>
      <x:c r="D13" s="395" t="str"/>
      <x:c r="E13" s="415"/>
      <x:c r="F13" s="415"/>
      <x:c r="G13" s="415"/>
      <x:c r="H13" s="415"/>
      <x:c r="I13" s="415"/>
      <x:c r="J13" s="415"/>
      <x:c r="K13" s="415"/>
      <x:c r="L13" s="415"/>
      <x:c r="M13" s="415"/>
      <x:c r="N13" s="415"/>
      <x:c r="O13" s="415"/>
      <x:c r="P13" s="415"/>
      <x:c r="Q13" s="415"/>
      <x:c r="R13" s="415"/>
      <x:c r="S13" s="415"/>
      <x:c r="T13" s="415"/>
      <x:c r="U13" s="415"/>
      <x:c r="V13" s="415"/>
      <x:c r="W13" s="415"/>
      <x:c r="X13" s="415"/>
      <x:c r="Y13" s="415"/>
      <x:c r="Z13" s="415"/>
      <x:c r="AA13" s="415"/>
      <x:c r="AB13" s="415"/>
      <x:c r="AC13" s="415"/>
      <x:c r="AD13" s="415"/>
      <x:c r="AE13" s="415"/>
      <x:c r="AF13" s="415"/>
      <x:c r="AG13" s="415"/>
      <x:c r="AH13" s="415"/>
      <x:c r="AI13" s="415"/>
      <x:c r="AJ13" s="415"/>
      <x:c r="AK13" s="415"/>
      <x:c r="AL13" s="415"/>
    </x:row>
    <x:row r="14">
      <x:c r="A14" s="394" t="str">
        <x:v>Valuation</x:v>
      </x:c>
      <x:c r="B14" s="411" t="str">
        <x:v>Only directional revenue-multiple sensitivity is shown; no valuation conclusion is made.</x:v>
      </x:c>
      <x:c r="C14" s="411" t="str"/>
      <x:c r="D14" s="395" t="str"/>
      <x:c r="E14" s="415"/>
      <x:c r="F14" s="415"/>
      <x:c r="G14" s="415"/>
      <x:c r="H14" s="415"/>
      <x:c r="I14" s="415"/>
      <x:c r="J14" s="415"/>
      <x:c r="K14" s="415"/>
      <x:c r="L14" s="415"/>
      <x:c r="M14" s="415"/>
      <x:c r="N14" s="415"/>
      <x:c r="O14" s="415"/>
      <x:c r="P14" s="415"/>
      <x:c r="Q14" s="415"/>
      <x:c r="R14" s="415"/>
      <x:c r="S14" s="415"/>
      <x:c r="T14" s="415"/>
      <x:c r="U14" s="415"/>
      <x:c r="V14" s="415"/>
      <x:c r="W14" s="415"/>
      <x:c r="X14" s="415"/>
      <x:c r="Y14" s="415"/>
      <x:c r="Z14" s="415"/>
      <x:c r="AA14" s="415"/>
      <x:c r="AB14" s="415"/>
      <x:c r="AC14" s="415"/>
      <x:c r="AD14" s="415"/>
      <x:c r="AE14" s="415"/>
      <x:c r="AF14" s="415"/>
      <x:c r="AG14" s="415"/>
      <x:c r="AH14" s="415"/>
      <x:c r="AI14" s="415"/>
      <x:c r="AJ14" s="415"/>
      <x:c r="AK14" s="415"/>
      <x:c r="AL14" s="415"/>
    </x:row>
    <x:row r="15">
      <x:c r="A15" s="394" t="str">
        <x:v>Proof compounding</x:v>
      </x:c>
      <x:c r="B15" s="411" t="str">
        <x:v>Only validated cases lift close rates and capacity, and both effects are capped.</x:v>
      </x:c>
      <x:c r="C15" s="411" t="str"/>
      <x:c r="D15" s="395" t="str"/>
      <x:c r="E15" s="415"/>
      <x:c r="F15" s="415"/>
      <x:c r="G15" s="415"/>
      <x:c r="H15" s="415"/>
      <x:c r="I15" s="415"/>
      <x:c r="J15" s="415"/>
      <x:c r="K15" s="415"/>
      <x:c r="L15" s="415"/>
      <x:c r="M15" s="415"/>
      <x:c r="N15" s="415"/>
      <x:c r="O15" s="415"/>
      <x:c r="P15" s="415"/>
      <x:c r="Q15" s="415"/>
      <x:c r="R15" s="415"/>
      <x:c r="S15" s="415"/>
      <x:c r="T15" s="415"/>
      <x:c r="U15" s="415"/>
      <x:c r="V15" s="415"/>
      <x:c r="W15" s="415"/>
      <x:c r="X15" s="415"/>
      <x:c r="Y15" s="415"/>
      <x:c r="Z15" s="415"/>
      <x:c r="AA15" s="415"/>
      <x:c r="AB15" s="415"/>
      <x:c r="AC15" s="415"/>
      <x:c r="AD15" s="415"/>
      <x:c r="AE15" s="415"/>
      <x:c r="AF15" s="415"/>
      <x:c r="AG15" s="415"/>
      <x:c r="AH15" s="415"/>
      <x:c r="AI15" s="415"/>
      <x:c r="AJ15" s="415"/>
      <x:c r="AK15" s="415"/>
      <x:c r="AL15" s="415"/>
    </x:row>
    <x:row r="16">
      <x:c r="A16" s="336" t="str">
        <x:v>Failure path</x:v>
      </x:c>
      <x:c r="B16" s="337" t="str">
        <x:v>Failed proof does not create validated cases, recurring revenue, or reusable-capability lift.</x:v>
      </x:c>
      <x:c r="C16" s="337" t="str"/>
      <x:c r="D16" s="338" t="str"/>
      <x:c r="E16" s="415"/>
      <x:c r="F16" s="415"/>
      <x:c r="G16" s="415"/>
      <x:c r="H16" s="415"/>
      <x:c r="I16" s="415"/>
      <x:c r="J16" s="415"/>
      <x:c r="K16" s="415"/>
      <x:c r="L16" s="415"/>
      <x:c r="M16" s="415"/>
      <x:c r="N16" s="415"/>
      <x:c r="O16" s="415"/>
      <x:c r="P16" s="415"/>
      <x:c r="Q16" s="415"/>
      <x:c r="R16" s="415"/>
      <x:c r="S16" s="415"/>
      <x:c r="T16" s="415"/>
      <x:c r="U16" s="415"/>
      <x:c r="V16" s="415"/>
      <x:c r="W16" s="415"/>
      <x:c r="X16" s="415"/>
      <x:c r="Y16" s="415"/>
      <x:c r="Z16" s="415"/>
      <x:c r="AA16" s="415"/>
      <x:c r="AB16" s="415"/>
      <x:c r="AC16" s="415"/>
      <x:c r="AD16" s="415"/>
      <x:c r="AE16" s="415"/>
      <x:c r="AF16" s="415"/>
      <x:c r="AG16" s="415"/>
      <x:c r="AH16" s="415"/>
      <x:c r="AI16" s="415"/>
      <x:c r="AJ16" s="415"/>
      <x:c r="AK16" s="415"/>
      <x:c r="AL16" s="415"/>
    </x:row>
    <x:row r="17">
      <x:c r="A17" s="415"/>
      <x:c r="B17" s="415"/>
      <x:c r="C17" s="415"/>
      <x:c r="D17" s="415"/>
      <x:c r="E17" s="415"/>
      <x:c r="F17" s="415"/>
      <x:c r="G17" s="415"/>
      <x:c r="H17" s="415"/>
      <x:c r="I17" s="415"/>
      <x:c r="J17" s="415"/>
      <x:c r="K17" s="415"/>
      <x:c r="L17" s="415"/>
      <x:c r="M17" s="415"/>
      <x:c r="N17" s="415"/>
      <x:c r="O17" s="415"/>
      <x:c r="P17" s="415"/>
      <x:c r="Q17" s="415"/>
      <x:c r="R17" s="415"/>
      <x:c r="S17" s="415"/>
      <x:c r="T17" s="415"/>
      <x:c r="U17" s="415"/>
      <x:c r="V17" s="415"/>
      <x:c r="W17" s="415"/>
      <x:c r="X17" s="415"/>
      <x:c r="Y17" s="415"/>
      <x:c r="Z17" s="415"/>
      <x:c r="AA17" s="415"/>
      <x:c r="AB17" s="415"/>
      <x:c r="AC17" s="415"/>
      <x:c r="AD17" s="415"/>
      <x:c r="AE17" s="415"/>
      <x:c r="AF17" s="415"/>
      <x:c r="AG17" s="415"/>
      <x:c r="AH17" s="415"/>
      <x:c r="AI17" s="415"/>
      <x:c r="AJ17" s="415"/>
      <x:c r="AK17" s="415"/>
      <x:c r="AL17" s="415"/>
    </x:row>
    <x:row r="18">
      <x:c r="A18" s="415"/>
      <x:c r="B18" s="415"/>
      <x:c r="C18" s="415"/>
      <x:c r="D18" s="415"/>
      <x:c r="E18" s="415"/>
      <x:c r="F18" s="415"/>
      <x:c r="G18" s="415"/>
      <x:c r="H18" s="415"/>
      <x:c r="I18" s="415"/>
      <x:c r="J18" s="415"/>
      <x:c r="K18" s="415"/>
      <x:c r="L18" s="415"/>
      <x:c r="M18" s="415"/>
      <x:c r="N18" s="415"/>
      <x:c r="O18" s="415"/>
      <x:c r="P18" s="415"/>
      <x:c r="Q18" s="415"/>
      <x:c r="R18" s="415"/>
      <x:c r="S18" s="415"/>
      <x:c r="T18" s="415"/>
      <x:c r="U18" s="415"/>
      <x:c r="V18" s="415"/>
      <x:c r="W18" s="415"/>
      <x:c r="X18" s="415"/>
      <x:c r="Y18" s="415"/>
      <x:c r="Z18" s="415"/>
      <x:c r="AA18" s="415"/>
      <x:c r="AB18" s="415"/>
      <x:c r="AC18" s="415"/>
      <x:c r="AD18" s="415"/>
      <x:c r="AE18" s="415"/>
      <x:c r="AF18" s="415"/>
      <x:c r="AG18" s="415"/>
      <x:c r="AH18" s="415"/>
      <x:c r="AI18" s="415"/>
      <x:c r="AJ18" s="415"/>
      <x:c r="AK18" s="415"/>
      <x:c r="AL18" s="415"/>
    </x:row>
    <x:row r="19">
      <x:c r="A19" s="415"/>
      <x:c r="B19" s="415"/>
      <x:c r="C19" s="415"/>
      <x:c r="D19" s="415"/>
      <x:c r="E19" s="415"/>
      <x:c r="F19" s="415"/>
      <x:c r="G19" s="415"/>
      <x:c r="H19" s="415"/>
      <x:c r="I19" s="415"/>
      <x:c r="J19" s="415"/>
      <x:c r="K19" s="415"/>
      <x:c r="L19" s="415"/>
      <x:c r="M19" s="415"/>
      <x:c r="N19" s="415"/>
      <x:c r="O19" s="415"/>
      <x:c r="P19" s="415"/>
      <x:c r="Q19" s="415"/>
      <x:c r="R19" s="415"/>
      <x:c r="S19" s="415"/>
      <x:c r="T19" s="415"/>
      <x:c r="U19" s="415"/>
      <x:c r="V19" s="415"/>
      <x:c r="W19" s="415"/>
      <x:c r="X19" s="415"/>
      <x:c r="Y19" s="415"/>
      <x:c r="Z19" s="415"/>
      <x:c r="AA19" s="415"/>
      <x:c r="AB19" s="415"/>
      <x:c r="AC19" s="415"/>
      <x:c r="AD19" s="415"/>
      <x:c r="AE19" s="415"/>
      <x:c r="AF19" s="415"/>
      <x:c r="AG19" s="415"/>
      <x:c r="AH19" s="415"/>
      <x:c r="AI19" s="415"/>
      <x:c r="AJ19" s="415"/>
      <x:c r="AK19" s="415"/>
      <x:c r="AL19" s="415"/>
    </x:row>
    <x:row r="20">
      <x:c r="A20" s="415"/>
      <x:c r="B20" s="415"/>
      <x:c r="C20" s="415"/>
      <x:c r="D20" s="415"/>
      <x:c r="E20" s="415"/>
      <x:c r="F20" s="415"/>
      <x:c r="G20" s="415"/>
      <x:c r="H20" s="415"/>
      <x:c r="I20" s="415"/>
      <x:c r="J20" s="415"/>
      <x:c r="K20" s="415"/>
      <x:c r="L20" s="415"/>
      <x:c r="M20" s="415"/>
      <x:c r="N20" s="415"/>
      <x:c r="O20" s="415"/>
      <x:c r="P20" s="415"/>
      <x:c r="Q20" s="415"/>
      <x:c r="R20" s="415"/>
      <x:c r="S20" s="415"/>
      <x:c r="T20" s="415"/>
      <x:c r="U20" s="415"/>
      <x:c r="V20" s="415"/>
      <x:c r="W20" s="415"/>
      <x:c r="X20" s="415"/>
      <x:c r="Y20" s="415"/>
      <x:c r="Z20" s="415"/>
      <x:c r="AA20" s="415"/>
      <x:c r="AB20" s="415"/>
      <x:c r="AC20" s="415"/>
      <x:c r="AD20" s="415"/>
      <x:c r="AE20" s="415"/>
      <x:c r="AF20" s="415"/>
      <x:c r="AG20" s="415"/>
      <x:c r="AH20" s="415"/>
      <x:c r="AI20" s="415"/>
      <x:c r="AJ20" s="415"/>
      <x:c r="AK20" s="415"/>
      <x:c r="AL20" s="415"/>
    </x:row>
    <x:row r="21">
      <x:c r="A21" s="415"/>
      <x:c r="B21" s="415"/>
      <x:c r="C21" s="415"/>
      <x:c r="D21" s="415"/>
      <x:c r="E21" s="415"/>
      <x:c r="F21" s="415"/>
      <x:c r="G21" s="415"/>
      <x:c r="H21" s="415"/>
      <x:c r="I21" s="415"/>
      <x:c r="J21" s="415"/>
      <x:c r="K21" s="415"/>
      <x:c r="L21" s="415"/>
      <x:c r="M21" s="415"/>
      <x:c r="N21" s="415"/>
      <x:c r="O21" s="415"/>
      <x:c r="P21" s="415"/>
      <x:c r="Q21" s="415"/>
      <x:c r="R21" s="415"/>
      <x:c r="S21" s="415"/>
      <x:c r="T21" s="415"/>
      <x:c r="U21" s="415"/>
      <x:c r="V21" s="415"/>
      <x:c r="W21" s="415"/>
      <x:c r="X21" s="415"/>
      <x:c r="Y21" s="415"/>
      <x:c r="Z21" s="415"/>
      <x:c r="AA21" s="415"/>
      <x:c r="AB21" s="415"/>
      <x:c r="AC21" s="415"/>
      <x:c r="AD21" s="415"/>
      <x:c r="AE21" s="415"/>
      <x:c r="AF21" s="415"/>
      <x:c r="AG21" s="415"/>
      <x:c r="AH21" s="415"/>
      <x:c r="AI21" s="415"/>
      <x:c r="AJ21" s="415"/>
      <x:c r="AK21" s="415"/>
      <x:c r="AL21" s="415"/>
    </x:row>
    <x:row r="22">
      <x:c r="A22" s="415"/>
      <x:c r="B22" s="415"/>
      <x:c r="C22" s="415"/>
      <x:c r="D22" s="415"/>
      <x:c r="E22" s="415"/>
      <x:c r="F22" s="415"/>
      <x:c r="G22" s="415"/>
      <x:c r="H22" s="415"/>
      <x:c r="I22" s="415"/>
      <x:c r="J22" s="415"/>
      <x:c r="K22" s="415"/>
      <x:c r="L22" s="415"/>
      <x:c r="M22" s="415"/>
      <x:c r="N22" s="415"/>
      <x:c r="O22" s="415"/>
      <x:c r="P22" s="415"/>
      <x:c r="Q22" s="415"/>
      <x:c r="R22" s="415"/>
      <x:c r="S22" s="415"/>
      <x:c r="T22" s="415"/>
      <x:c r="U22" s="415"/>
      <x:c r="V22" s="415"/>
      <x:c r="W22" s="415"/>
      <x:c r="X22" s="415"/>
      <x:c r="Y22" s="415"/>
      <x:c r="Z22" s="415"/>
      <x:c r="AA22" s="415"/>
      <x:c r="AB22" s="415"/>
      <x:c r="AC22" s="415"/>
      <x:c r="AD22" s="415"/>
      <x:c r="AE22" s="415"/>
      <x:c r="AF22" s="415"/>
      <x:c r="AG22" s="415"/>
      <x:c r="AH22" s="415"/>
      <x:c r="AI22" s="415"/>
      <x:c r="AJ22" s="415"/>
      <x:c r="AK22" s="415"/>
      <x:c r="AL22" s="415"/>
    </x:row>
    <x:row r="23">
      <x:c r="A23" s="415"/>
      <x:c r="B23" s="415"/>
      <x:c r="C23" s="415"/>
      <x:c r="D23" s="415"/>
      <x:c r="E23" s="415"/>
      <x:c r="F23" s="415"/>
      <x:c r="G23" s="415"/>
      <x:c r="H23" s="415"/>
      <x:c r="I23" s="415"/>
      <x:c r="J23" s="415"/>
      <x:c r="K23" s="415"/>
      <x:c r="L23" s="415"/>
      <x:c r="M23" s="415"/>
      <x:c r="N23" s="415"/>
      <x:c r="O23" s="415"/>
      <x:c r="P23" s="415"/>
      <x:c r="Q23" s="415"/>
      <x:c r="R23" s="415"/>
      <x:c r="S23" s="415"/>
      <x:c r="T23" s="415"/>
      <x:c r="U23" s="415"/>
      <x:c r="V23" s="415"/>
      <x:c r="W23" s="415"/>
      <x:c r="X23" s="415"/>
      <x:c r="Y23" s="415"/>
      <x:c r="Z23" s="415"/>
      <x:c r="AA23" s="415"/>
      <x:c r="AB23" s="415"/>
      <x:c r="AC23" s="415"/>
      <x:c r="AD23" s="415"/>
      <x:c r="AE23" s="415"/>
      <x:c r="AF23" s="415"/>
      <x:c r="AG23" s="415"/>
      <x:c r="AH23" s="415"/>
      <x:c r="AI23" s="415"/>
      <x:c r="AJ23" s="415"/>
      <x:c r="AK23" s="415"/>
      <x:c r="AL23" s="415"/>
    </x:row>
    <x:row r="24">
      <x:c r="A24" s="415"/>
      <x:c r="B24" s="415"/>
      <x:c r="C24" s="415"/>
      <x:c r="D24" s="415"/>
      <x:c r="E24" s="415"/>
      <x:c r="F24" s="415"/>
      <x:c r="G24" s="415"/>
      <x:c r="H24" s="415"/>
      <x:c r="I24" s="415"/>
      <x:c r="J24" s="415"/>
      <x:c r="K24" s="415"/>
      <x:c r="L24" s="415"/>
      <x:c r="M24" s="415"/>
      <x:c r="N24" s="415"/>
      <x:c r="O24" s="415"/>
      <x:c r="P24" s="415"/>
      <x:c r="Q24" s="415"/>
      <x:c r="R24" s="415"/>
      <x:c r="S24" s="415"/>
      <x:c r="T24" s="415"/>
      <x:c r="U24" s="415"/>
      <x:c r="V24" s="415"/>
      <x:c r="W24" s="415"/>
      <x:c r="X24" s="415"/>
      <x:c r="Y24" s="415"/>
      <x:c r="Z24" s="415"/>
      <x:c r="AA24" s="415"/>
      <x:c r="AB24" s="415"/>
      <x:c r="AC24" s="415"/>
      <x:c r="AD24" s="415"/>
      <x:c r="AE24" s="415"/>
      <x:c r="AF24" s="415"/>
      <x:c r="AG24" s="415"/>
      <x:c r="AH24" s="415"/>
      <x:c r="AI24" s="415"/>
      <x:c r="AJ24" s="415"/>
      <x:c r="AK24" s="415"/>
      <x:c r="AL24" s="415"/>
    </x:row>
    <x:row r="25">
      <x:c r="A25" s="415"/>
      <x:c r="B25" s="415"/>
      <x:c r="C25" s="415"/>
      <x:c r="D25" s="415"/>
      <x:c r="E25" s="415"/>
      <x:c r="F25" s="415"/>
      <x:c r="G25" s="415"/>
      <x:c r="H25" s="415"/>
      <x:c r="I25" s="415"/>
      <x:c r="J25" s="415"/>
      <x:c r="K25" s="415"/>
      <x:c r="L25" s="415"/>
      <x:c r="M25" s="415"/>
      <x:c r="N25" s="415"/>
      <x:c r="O25" s="415"/>
      <x:c r="P25" s="415"/>
      <x:c r="Q25" s="415"/>
      <x:c r="R25" s="415"/>
      <x:c r="S25" s="415"/>
      <x:c r="T25" s="415"/>
      <x:c r="U25" s="415"/>
      <x:c r="V25" s="415"/>
      <x:c r="W25" s="415"/>
      <x:c r="X25" s="415"/>
      <x:c r="Y25" s="415"/>
      <x:c r="Z25" s="415"/>
      <x:c r="AA25" s="415"/>
      <x:c r="AB25" s="415"/>
      <x:c r="AC25" s="415"/>
      <x:c r="AD25" s="415"/>
      <x:c r="AE25" s="415"/>
      <x:c r="AF25" s="415"/>
      <x:c r="AG25" s="415"/>
      <x:c r="AH25" s="415"/>
      <x:c r="AI25" s="415"/>
      <x:c r="AJ25" s="415"/>
      <x:c r="AK25" s="415"/>
      <x:c r="AL25" s="415"/>
    </x:row>
    <x:row r="26">
      <x:c r="A26" s="415"/>
      <x:c r="B26" s="415"/>
      <x:c r="C26" s="415"/>
      <x:c r="D26" s="415"/>
      <x:c r="E26" s="415"/>
      <x:c r="F26" s="415"/>
      <x:c r="G26" s="415"/>
      <x:c r="H26" s="415"/>
      <x:c r="I26" s="415"/>
      <x:c r="J26" s="415"/>
      <x:c r="K26" s="415"/>
      <x:c r="L26" s="415"/>
      <x:c r="M26" s="415"/>
      <x:c r="N26" s="415"/>
      <x:c r="O26" s="415"/>
      <x:c r="P26" s="415"/>
      <x:c r="Q26" s="415"/>
      <x:c r="R26" s="415"/>
      <x:c r="S26" s="415"/>
      <x:c r="T26" s="415"/>
      <x:c r="U26" s="415"/>
      <x:c r="V26" s="415"/>
      <x:c r="W26" s="415"/>
      <x:c r="X26" s="415"/>
      <x:c r="Y26" s="415"/>
      <x:c r="Z26" s="415"/>
      <x:c r="AA26" s="415"/>
      <x:c r="AB26" s="415"/>
      <x:c r="AC26" s="415"/>
      <x:c r="AD26" s="415"/>
      <x:c r="AE26" s="415"/>
      <x:c r="AF26" s="415"/>
      <x:c r="AG26" s="415"/>
      <x:c r="AH26" s="415"/>
      <x:c r="AI26" s="415"/>
      <x:c r="AJ26" s="415"/>
      <x:c r="AK26" s="415"/>
      <x:c r="AL26" s="415"/>
    </x:row>
    <x:row r="27">
      <x:c r="A27" s="415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/>
      <x:c r="O27" s="415"/>
      <x:c r="P27" s="415"/>
      <x:c r="Q27" s="415"/>
      <x:c r="R27" s="415"/>
      <x:c r="S27" s="415"/>
      <x:c r="T27" s="415"/>
      <x:c r="U27" s="415"/>
      <x:c r="V27" s="415"/>
      <x:c r="W27" s="415"/>
      <x:c r="X27" s="415"/>
      <x:c r="Y27" s="415"/>
      <x:c r="Z27" s="415"/>
      <x:c r="AA27" s="415"/>
      <x:c r="AB27" s="415"/>
      <x:c r="AC27" s="415"/>
      <x:c r="AD27" s="415"/>
      <x:c r="AE27" s="415"/>
      <x:c r="AF27" s="415"/>
      <x:c r="AG27" s="415"/>
      <x:c r="AH27" s="415"/>
      <x:c r="AI27" s="415"/>
      <x:c r="AJ27" s="415"/>
      <x:c r="AK27" s="415"/>
      <x:c r="AL27" s="415"/>
    </x:row>
    <x:row r="28">
      <x:c r="A28" s="415"/>
      <x:c r="B28" s="415"/>
      <x:c r="C28" s="415"/>
      <x:c r="D28" s="415"/>
      <x:c r="E28" s="415"/>
      <x:c r="F28" s="415"/>
      <x:c r="G28" s="415"/>
      <x:c r="H28" s="415"/>
      <x:c r="I28" s="415"/>
      <x:c r="J28" s="415"/>
      <x:c r="K28" s="415"/>
      <x:c r="L28" s="415"/>
      <x:c r="M28" s="415"/>
      <x:c r="N28" s="415"/>
      <x:c r="O28" s="415"/>
      <x:c r="P28" s="415"/>
      <x:c r="Q28" s="415"/>
      <x:c r="R28" s="415"/>
      <x:c r="S28" s="415"/>
      <x:c r="T28" s="415"/>
      <x:c r="U28" s="415"/>
      <x:c r="V28" s="415"/>
      <x:c r="W28" s="415"/>
      <x:c r="X28" s="415"/>
      <x:c r="Y28" s="415"/>
      <x:c r="Z28" s="415"/>
      <x:c r="AA28" s="415"/>
      <x:c r="AB28" s="415"/>
      <x:c r="AC28" s="415"/>
      <x:c r="AD28" s="415"/>
      <x:c r="AE28" s="415"/>
      <x:c r="AF28" s="415"/>
      <x:c r="AG28" s="415"/>
      <x:c r="AH28" s="415"/>
      <x:c r="AI28" s="415"/>
      <x:c r="AJ28" s="415"/>
      <x:c r="AK28" s="415"/>
      <x:c r="AL28" s="415"/>
    </x:row>
    <x:row r="29">
      <x:c r="A29" s="415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/>
      <x:c r="O29" s="415"/>
      <x:c r="P29" s="415"/>
      <x:c r="Q29" s="415"/>
      <x:c r="R29" s="415"/>
      <x:c r="S29" s="415"/>
      <x:c r="T29" s="415"/>
      <x:c r="U29" s="415"/>
      <x:c r="V29" s="415"/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</x:row>
    <x:row r="30">
      <x:c r="A30" s="415"/>
      <x:c r="B30" s="415"/>
      <x:c r="C30" s="415"/>
      <x:c r="D30" s="415"/>
      <x:c r="E30" s="415"/>
      <x:c r="F30" s="415"/>
      <x:c r="G30" s="415"/>
      <x:c r="H30" s="415"/>
      <x:c r="I30" s="415"/>
      <x:c r="J30" s="415"/>
      <x:c r="K30" s="415"/>
      <x:c r="L30" s="415"/>
      <x:c r="M30" s="415"/>
      <x:c r="N30" s="415"/>
      <x:c r="O30" s="415"/>
      <x:c r="P30" s="415"/>
      <x:c r="Q30" s="415"/>
      <x:c r="R30" s="415"/>
      <x:c r="S30" s="415"/>
      <x:c r="T30" s="415"/>
      <x:c r="U30" s="415"/>
      <x:c r="V30" s="415"/>
      <x:c r="W30" s="415"/>
      <x:c r="X30" s="415"/>
      <x:c r="Y30" s="415"/>
      <x:c r="Z30" s="415"/>
      <x:c r="AA30" s="415"/>
      <x:c r="AB30" s="415"/>
      <x:c r="AC30" s="415"/>
      <x:c r="AD30" s="415"/>
      <x:c r="AE30" s="415"/>
      <x:c r="AF30" s="415"/>
      <x:c r="AG30" s="415"/>
      <x:c r="AH30" s="415"/>
      <x:c r="AI30" s="415"/>
      <x:c r="AJ30" s="415"/>
      <x:c r="AK30" s="415"/>
      <x:c r="AL30" s="415"/>
    </x:row>
    <x:row r="31">
      <x:c r="A31" s="415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/>
      <x:c r="O31" s="415"/>
      <x:c r="P31" s="415"/>
      <x:c r="Q31" s="415"/>
      <x:c r="R31" s="415"/>
      <x:c r="S31" s="415"/>
      <x:c r="T31" s="415"/>
      <x:c r="U31" s="415"/>
      <x:c r="V31" s="415"/>
      <x:c r="W31" s="415"/>
      <x:c r="X31" s="415"/>
      <x:c r="Y31" s="415"/>
      <x:c r="Z31" s="415"/>
      <x:c r="AA31" s="415"/>
      <x:c r="AB31" s="415"/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</x:row>
    <x:row r="32">
      <x:c r="A32" s="415"/>
      <x:c r="B32" s="415"/>
      <x:c r="C32" s="415"/>
      <x:c r="D32" s="415"/>
      <x:c r="E32" s="415"/>
      <x:c r="F32" s="415"/>
      <x:c r="G32" s="415"/>
      <x:c r="H32" s="415"/>
      <x:c r="I32" s="415"/>
      <x:c r="J32" s="415"/>
      <x:c r="K32" s="415"/>
      <x:c r="L32" s="415"/>
      <x:c r="M32" s="415"/>
      <x:c r="N32" s="415"/>
      <x:c r="O32" s="415"/>
      <x:c r="P32" s="415"/>
      <x:c r="Q32" s="415"/>
      <x:c r="R32" s="415"/>
      <x:c r="S32" s="415"/>
      <x:c r="T32" s="415"/>
      <x:c r="U32" s="415"/>
      <x:c r="V32" s="415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</x:row>
    <x:row r="33">
      <x:c r="A33" s="415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/>
      <x:c r="O33" s="415"/>
      <x:c r="P33" s="415"/>
      <x:c r="Q33" s="415"/>
      <x:c r="R33" s="415"/>
      <x:c r="S33" s="415"/>
      <x:c r="T33" s="415"/>
      <x:c r="U33" s="415"/>
      <x:c r="V33" s="415"/>
      <x:c r="W33" s="415"/>
      <x:c r="X33" s="415"/>
      <x:c r="Y33" s="415"/>
      <x:c r="Z33" s="415"/>
      <x:c r="AA33" s="415"/>
      <x:c r="AB33" s="415"/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</x:row>
    <x:row r="34">
      <x:c r="A34" s="415"/>
      <x:c r="B34" s="415"/>
      <x:c r="C34" s="415"/>
      <x:c r="D34" s="415"/>
      <x:c r="E34" s="415"/>
      <x:c r="F34" s="415"/>
      <x:c r="G34" s="415"/>
      <x:c r="H34" s="415"/>
      <x:c r="I34" s="415"/>
      <x:c r="J34" s="415"/>
      <x:c r="K34" s="415"/>
      <x:c r="L34" s="415"/>
      <x:c r="M34" s="415"/>
      <x:c r="N34" s="415"/>
      <x:c r="O34" s="415"/>
      <x:c r="P34" s="415"/>
      <x:c r="Q34" s="415"/>
      <x:c r="R34" s="415"/>
      <x:c r="S34" s="415"/>
      <x:c r="T34" s="415"/>
      <x:c r="U34" s="415"/>
      <x:c r="V34" s="415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</x:row>
    <x:row r="35">
      <x:c r="A35" s="415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/>
      <x:c r="O35" s="415"/>
      <x:c r="P35" s="415"/>
      <x:c r="Q35" s="415"/>
      <x:c r="R35" s="415"/>
      <x:c r="S35" s="415"/>
      <x:c r="T35" s="415"/>
      <x:c r="U35" s="415"/>
      <x:c r="V35" s="415"/>
      <x:c r="W35" s="415"/>
      <x:c r="X35" s="415"/>
      <x:c r="Y35" s="415"/>
      <x:c r="Z35" s="415"/>
      <x:c r="AA35" s="415"/>
      <x:c r="AB35" s="415"/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</x:row>
    <x:row r="36">
      <x:c r="A36" s="415"/>
      <x:c r="B36" s="415"/>
      <x:c r="C36" s="415"/>
      <x:c r="D36" s="415"/>
      <x:c r="E36" s="415"/>
      <x:c r="F36" s="415"/>
      <x:c r="G36" s="415"/>
      <x:c r="H36" s="415"/>
      <x:c r="I36" s="415"/>
      <x:c r="J36" s="415"/>
      <x:c r="K36" s="415"/>
      <x:c r="L36" s="415"/>
      <x:c r="M36" s="415"/>
      <x:c r="N36" s="415"/>
      <x:c r="O36" s="415"/>
      <x:c r="P36" s="415"/>
      <x:c r="Q36" s="415"/>
      <x:c r="R36" s="415"/>
      <x:c r="S36" s="415"/>
      <x:c r="T36" s="415"/>
      <x:c r="U36" s="415"/>
      <x:c r="V36" s="415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</x:row>
    <x:row r="37">
      <x:c r="A37" s="415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/>
      <x:c r="O37" s="415"/>
      <x:c r="P37" s="415"/>
      <x:c r="Q37" s="415"/>
      <x:c r="R37" s="415"/>
      <x:c r="S37" s="415"/>
      <x:c r="T37" s="415"/>
      <x:c r="U37" s="415"/>
      <x:c r="V37" s="415"/>
      <x:c r="W37" s="415"/>
      <x:c r="X37" s="415"/>
      <x:c r="Y37" s="415"/>
      <x:c r="Z37" s="415"/>
      <x:c r="AA37" s="415"/>
      <x:c r="AB37" s="415"/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</x:row>
    <x:row r="38">
      <x:c r="A38" s="415"/>
      <x:c r="B38" s="415"/>
      <x:c r="C38" s="415"/>
      <x:c r="D38" s="415"/>
      <x:c r="E38" s="415"/>
      <x:c r="F38" s="415"/>
      <x:c r="G38" s="415"/>
      <x:c r="H38" s="415"/>
      <x:c r="I38" s="415"/>
      <x:c r="J38" s="415"/>
      <x:c r="K38" s="415"/>
      <x:c r="L38" s="415"/>
      <x:c r="M38" s="415"/>
      <x:c r="N38" s="415"/>
      <x:c r="O38" s="415"/>
      <x:c r="P38" s="415"/>
      <x:c r="Q38" s="415"/>
      <x:c r="R38" s="415"/>
      <x:c r="S38" s="415"/>
      <x:c r="T38" s="415"/>
      <x:c r="U38" s="415"/>
      <x:c r="V38" s="415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</x:row>
    <x:row r="39">
      <x:c r="A39" s="415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/>
      <x:c r="O39" s="415"/>
      <x:c r="P39" s="415"/>
      <x:c r="Q39" s="415"/>
      <x:c r="R39" s="415"/>
      <x:c r="S39" s="415"/>
      <x:c r="T39" s="415"/>
      <x:c r="U39" s="415"/>
      <x:c r="V39" s="415"/>
      <x:c r="W39" s="415"/>
      <x:c r="X39" s="415"/>
      <x:c r="Y39" s="415"/>
      <x:c r="Z39" s="415"/>
      <x:c r="AA39" s="415"/>
      <x:c r="AB39" s="415"/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</x:row>
    <x:row r="40">
      <x:c r="A40" s="415"/>
      <x:c r="B40" s="415"/>
      <x:c r="C40" s="415"/>
      <x:c r="D40" s="415"/>
      <x:c r="E40" s="415"/>
      <x:c r="F40" s="415"/>
      <x:c r="G40" s="415"/>
      <x:c r="H40" s="415"/>
      <x:c r="I40" s="415"/>
      <x:c r="J40" s="415"/>
      <x:c r="K40" s="415"/>
      <x:c r="L40" s="415"/>
      <x:c r="M40" s="415"/>
      <x:c r="N40" s="415"/>
      <x:c r="O40" s="415"/>
      <x:c r="P40" s="415"/>
      <x:c r="Q40" s="415"/>
      <x:c r="R40" s="415"/>
      <x:c r="S40" s="415"/>
      <x:c r="T40" s="415"/>
      <x:c r="U40" s="415"/>
      <x:c r="V40" s="415"/>
      <x:c r="W40" s="415"/>
      <x:c r="X40" s="415"/>
      <x:c r="Y40" s="415"/>
      <x:c r="Z40" s="415"/>
      <x:c r="AA40" s="415"/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</x:row>
    <x:row r="41">
      <x:c r="A41" s="415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/>
      <x:c r="O41" s="415"/>
      <x:c r="P41" s="415"/>
      <x:c r="Q41" s="415"/>
      <x:c r="R41" s="415"/>
      <x:c r="S41" s="415"/>
      <x:c r="T41" s="415"/>
      <x:c r="U41" s="415"/>
      <x:c r="V41" s="415"/>
      <x:c r="W41" s="415"/>
      <x:c r="X41" s="415"/>
      <x:c r="Y41" s="415"/>
      <x:c r="Z41" s="415"/>
      <x:c r="AA41" s="415"/>
      <x:c r="AB41" s="415"/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</x:row>
    <x:row r="42">
      <x:c r="A42" s="415"/>
      <x:c r="B42" s="415"/>
      <x:c r="C42" s="415"/>
      <x:c r="D42" s="415"/>
      <x:c r="E42" s="415"/>
      <x:c r="F42" s="415"/>
      <x:c r="G42" s="415"/>
      <x:c r="H42" s="415"/>
      <x:c r="I42" s="415"/>
      <x:c r="J42" s="415"/>
      <x:c r="K42" s="415"/>
      <x:c r="L42" s="415"/>
      <x:c r="M42" s="415"/>
      <x:c r="N42" s="415"/>
      <x:c r="O42" s="415"/>
      <x:c r="P42" s="415"/>
      <x:c r="Q42" s="415"/>
      <x:c r="R42" s="415"/>
      <x:c r="S42" s="415"/>
      <x:c r="T42" s="415"/>
      <x:c r="U42" s="415"/>
      <x:c r="V42" s="415"/>
      <x:c r="W42" s="415"/>
      <x:c r="X42" s="415"/>
      <x:c r="Y42" s="415"/>
      <x:c r="Z42" s="415"/>
      <x:c r="AA42" s="415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</x:row>
    <x:row r="43">
      <x:c r="A43" s="415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/>
      <x:c r="O43" s="415"/>
      <x:c r="P43" s="415"/>
      <x:c r="Q43" s="415"/>
      <x:c r="R43" s="415"/>
      <x:c r="S43" s="415"/>
      <x:c r="T43" s="415"/>
      <x:c r="U43" s="415"/>
      <x:c r="V43" s="415"/>
      <x:c r="W43" s="415"/>
      <x:c r="X43" s="415"/>
      <x:c r="Y43" s="415"/>
      <x:c r="Z43" s="415"/>
      <x:c r="AA43" s="415"/>
      <x:c r="AB43" s="415"/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</x:row>
    <x:row r="44">
      <x:c r="A44" s="415"/>
      <x:c r="B44" s="415"/>
      <x:c r="C44" s="415"/>
      <x:c r="D44" s="415"/>
      <x:c r="E44" s="415"/>
      <x:c r="F44" s="415"/>
      <x:c r="G44" s="415"/>
      <x:c r="H44" s="415"/>
      <x:c r="I44" s="415"/>
      <x:c r="J44" s="415"/>
      <x:c r="K44" s="415"/>
      <x:c r="L44" s="415"/>
      <x:c r="M44" s="415"/>
      <x:c r="N44" s="415"/>
      <x:c r="O44" s="415"/>
      <x:c r="P44" s="415"/>
      <x:c r="Q44" s="415"/>
      <x:c r="R44" s="415"/>
      <x:c r="S44" s="415"/>
      <x:c r="T44" s="415"/>
      <x:c r="U44" s="415"/>
      <x:c r="V44" s="415"/>
      <x:c r="W44" s="415"/>
      <x:c r="X44" s="415"/>
      <x:c r="Y44" s="415"/>
      <x:c r="Z44" s="415"/>
      <x:c r="AA44" s="415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</x:row>
    <x:row r="45">
      <x:c r="A45" s="415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/>
      <x:c r="O45" s="415"/>
      <x:c r="P45" s="415"/>
      <x:c r="Q45" s="415"/>
      <x:c r="R45" s="415"/>
      <x:c r="S45" s="415"/>
      <x:c r="T45" s="415"/>
      <x:c r="U45" s="415"/>
      <x:c r="V45" s="415"/>
      <x:c r="W45" s="415"/>
      <x:c r="X45" s="415"/>
      <x:c r="Y45" s="415"/>
      <x:c r="Z45" s="415"/>
      <x:c r="AA45" s="415"/>
      <x:c r="AB45" s="415"/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</x:row>
    <x:row r="46">
      <x:c r="A46" s="415"/>
      <x:c r="B46" s="415"/>
      <x:c r="C46" s="415"/>
      <x:c r="D46" s="415"/>
      <x:c r="E46" s="415"/>
      <x:c r="F46" s="415"/>
      <x:c r="G46" s="415"/>
      <x:c r="H46" s="415"/>
      <x:c r="I46" s="415"/>
      <x:c r="J46" s="415"/>
      <x:c r="K46" s="415"/>
      <x:c r="L46" s="415"/>
      <x:c r="M46" s="415"/>
      <x:c r="N46" s="415"/>
      <x:c r="O46" s="415"/>
      <x:c r="P46" s="415"/>
      <x:c r="Q46" s="415"/>
      <x:c r="R46" s="415"/>
      <x:c r="S46" s="415"/>
      <x:c r="T46" s="415"/>
      <x:c r="U46" s="415"/>
      <x:c r="V46" s="415"/>
      <x:c r="W46" s="415"/>
      <x:c r="X46" s="415"/>
      <x:c r="Y46" s="415"/>
      <x:c r="Z46" s="415"/>
      <x:c r="AA46" s="415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</x:row>
    <x:row r="47">
      <x:c r="A47" s="415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/>
      <x:c r="O47" s="415"/>
      <x:c r="P47" s="415"/>
      <x:c r="Q47" s="415"/>
      <x:c r="R47" s="415"/>
      <x:c r="S47" s="415"/>
      <x:c r="T47" s="415"/>
      <x:c r="U47" s="415"/>
      <x:c r="V47" s="415"/>
      <x:c r="W47" s="415"/>
      <x:c r="X47" s="415"/>
      <x:c r="Y47" s="415"/>
      <x:c r="Z47" s="415"/>
      <x:c r="AA47" s="415"/>
      <x:c r="AB47" s="415"/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</x:row>
    <x:row r="48">
      <x:c r="A48" s="415"/>
      <x:c r="B48" s="415"/>
      <x:c r="C48" s="415"/>
      <x:c r="D48" s="415"/>
      <x:c r="E48" s="415"/>
      <x:c r="F48" s="415"/>
      <x:c r="G48" s="415"/>
      <x:c r="H48" s="415"/>
      <x:c r="I48" s="415"/>
      <x:c r="J48" s="415"/>
      <x:c r="K48" s="415"/>
      <x:c r="L48" s="415"/>
      <x:c r="M48" s="415"/>
      <x:c r="N48" s="415"/>
      <x:c r="O48" s="415"/>
      <x:c r="P48" s="415"/>
      <x:c r="Q48" s="415"/>
      <x:c r="R48" s="415"/>
      <x:c r="S48" s="415"/>
      <x:c r="T48" s="415"/>
      <x:c r="U48" s="415"/>
      <x:c r="V48" s="415"/>
      <x:c r="W48" s="415"/>
      <x:c r="X48" s="415"/>
      <x:c r="Y48" s="415"/>
      <x:c r="Z48" s="415"/>
      <x:c r="AA48" s="415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</x:row>
    <x:row r="49">
      <x:c r="A49" s="415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/>
      <x:c r="O49" s="415"/>
      <x:c r="P49" s="415"/>
      <x:c r="Q49" s="415"/>
      <x:c r="R49" s="415"/>
      <x:c r="S49" s="415"/>
      <x:c r="T49" s="415"/>
      <x:c r="U49" s="415"/>
      <x:c r="V49" s="415"/>
      <x:c r="W49" s="415"/>
      <x:c r="X49" s="415"/>
      <x:c r="Y49" s="415"/>
      <x:c r="Z49" s="415"/>
      <x:c r="AA49" s="415"/>
      <x:c r="AB49" s="415"/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</x:row>
    <x:row r="50">
      <x:c r="A50" s="415"/>
      <x:c r="B50" s="415"/>
      <x:c r="C50" s="415"/>
      <x:c r="D50" s="415"/>
      <x:c r="E50" s="415"/>
      <x:c r="F50" s="415"/>
      <x:c r="G50" s="415"/>
      <x:c r="H50" s="415"/>
      <x:c r="I50" s="415"/>
      <x:c r="J50" s="415"/>
      <x:c r="K50" s="415"/>
      <x:c r="L50" s="415"/>
      <x:c r="M50" s="415"/>
      <x:c r="N50" s="415"/>
      <x:c r="O50" s="415"/>
      <x:c r="P50" s="415"/>
      <x:c r="Q50" s="415"/>
      <x:c r="R50" s="415"/>
      <x:c r="S50" s="415"/>
      <x:c r="T50" s="415"/>
      <x:c r="U50" s="415"/>
      <x:c r="V50" s="415"/>
      <x:c r="W50" s="415"/>
      <x:c r="X50" s="415"/>
      <x:c r="Y50" s="415"/>
      <x:c r="Z50" s="415"/>
      <x:c r="AA50" s="415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</x:row>
    <x:row r="51">
      <x:c r="A51" s="415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/>
      <x:c r="O51" s="415"/>
      <x:c r="P51" s="415"/>
      <x:c r="Q51" s="415"/>
      <x:c r="R51" s="415"/>
      <x:c r="S51" s="415"/>
      <x:c r="T51" s="415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</x:row>
    <x:row r="52">
      <x:c r="A52" s="415"/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  <x:c r="S52" s="415"/>
      <x:c r="T52" s="415"/>
      <x:c r="U52" s="415"/>
      <x:c r="V52" s="415"/>
      <x:c r="W52" s="415"/>
      <x:c r="X52" s="415"/>
      <x:c r="Y52" s="415"/>
      <x:c r="Z52" s="415"/>
      <x:c r="AA52" s="415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</x:row>
    <x:row r="53">
      <x:c r="A53" s="415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</x:row>
    <x:row r="54">
      <x:c r="A54" s="415"/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  <x:c r="S54" s="415"/>
      <x:c r="T54" s="415"/>
      <x:c r="U54" s="415"/>
      <x:c r="V54" s="415"/>
      <x:c r="W54" s="415"/>
      <x:c r="X54" s="415"/>
      <x:c r="Y54" s="415"/>
      <x:c r="Z54" s="415"/>
      <x:c r="AA54" s="415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</x:row>
    <x:row r="55">
      <x:c r="A55" s="415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</x:row>
    <x:row r="56">
      <x:c r="A56" s="415"/>
      <x:c r="B56" s="415"/>
      <x:c r="C56" s="415"/>
      <x:c r="D56" s="415"/>
      <x:c r="E56" s="415"/>
      <x:c r="F56" s="415"/>
      <x:c r="G56" s="415"/>
      <x:c r="H56" s="415"/>
      <x:c r="I56" s="415"/>
      <x:c r="J56" s="415"/>
      <x:c r="K56" s="415"/>
      <x:c r="L56" s="415"/>
      <x:c r="M56" s="415"/>
      <x:c r="N56" s="415"/>
      <x:c r="O56" s="415"/>
      <x:c r="P56" s="415"/>
      <x:c r="Q56" s="415"/>
      <x:c r="R56" s="415"/>
      <x:c r="S56" s="415"/>
      <x:c r="T56" s="415"/>
      <x:c r="U56" s="415"/>
      <x:c r="V56" s="415"/>
      <x:c r="W56" s="415"/>
      <x:c r="X56" s="415"/>
      <x:c r="Y56" s="415"/>
      <x:c r="Z56" s="415"/>
      <x:c r="AA56" s="415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</x:row>
    <x:row r="57">
      <x:c r="A57" s="415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</x:row>
    <x:row r="58">
      <x:c r="A58" s="415"/>
      <x:c r="B58" s="415"/>
      <x:c r="C58" s="415"/>
      <x:c r="D58" s="415"/>
      <x:c r="E58" s="415"/>
      <x:c r="F58" s="415"/>
      <x:c r="G58" s="415"/>
      <x:c r="H58" s="415"/>
      <x:c r="I58" s="415"/>
      <x:c r="J58" s="415"/>
      <x:c r="K58" s="415"/>
      <x:c r="L58" s="415"/>
      <x:c r="M58" s="415"/>
      <x:c r="N58" s="415"/>
      <x:c r="O58" s="415"/>
      <x:c r="P58" s="415"/>
      <x:c r="Q58" s="415"/>
      <x:c r="R58" s="415"/>
      <x:c r="S58" s="415"/>
      <x:c r="T58" s="415"/>
      <x:c r="U58" s="415"/>
      <x:c r="V58" s="415"/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</x:row>
    <x:row r="59">
      <x:c r="A59" s="415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</x:row>
    <x:row r="60">
      <x:c r="A60" s="415"/>
      <x:c r="B60" s="415"/>
      <x:c r="C60" s="415"/>
      <x:c r="D60" s="415"/>
      <x:c r="E60" s="415"/>
      <x:c r="F60" s="415"/>
      <x:c r="G60" s="415"/>
      <x:c r="H60" s="415"/>
      <x:c r="I60" s="415"/>
      <x:c r="J60" s="415"/>
      <x:c r="K60" s="415"/>
      <x:c r="L60" s="415"/>
      <x:c r="M60" s="415"/>
      <x:c r="N60" s="415"/>
      <x:c r="O60" s="415"/>
      <x:c r="P60" s="415"/>
      <x:c r="Q60" s="415"/>
      <x:c r="R60" s="415"/>
      <x:c r="S60" s="415"/>
      <x:c r="T60" s="415"/>
      <x:c r="U60" s="415"/>
      <x:c r="V60" s="415"/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</x:row>
    <x:row r="61">
      <x:c r="A61" s="415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</x:row>
    <x:row r="62">
      <x:c r="A62" s="415"/>
      <x:c r="B62" s="415"/>
      <x:c r="C62" s="415"/>
      <x:c r="D62" s="415"/>
      <x:c r="E62" s="415"/>
      <x:c r="F62" s="415"/>
      <x:c r="G62" s="415"/>
      <x:c r="H62" s="415"/>
      <x:c r="I62" s="415"/>
      <x:c r="J62" s="415"/>
      <x:c r="K62" s="415"/>
      <x:c r="L62" s="415"/>
      <x:c r="M62" s="415"/>
      <x:c r="N62" s="415"/>
      <x:c r="O62" s="415"/>
      <x:c r="P62" s="415"/>
      <x:c r="Q62" s="415"/>
      <x:c r="R62" s="415"/>
      <x:c r="S62" s="415"/>
      <x:c r="T62" s="415"/>
      <x:c r="U62" s="415"/>
      <x:c r="V62" s="415"/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</x:row>
    <x:row r="63">
      <x:c r="A63" s="415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</x:row>
    <x:row r="64">
      <x:c r="A64" s="415"/>
      <x:c r="B64" s="415"/>
      <x:c r="C64" s="415"/>
      <x:c r="D64" s="415"/>
      <x:c r="E64" s="415"/>
      <x:c r="F64" s="415"/>
      <x:c r="G64" s="415"/>
      <x:c r="H64" s="415"/>
      <x:c r="I64" s="415"/>
      <x:c r="J64" s="415"/>
      <x:c r="K64" s="415"/>
      <x:c r="L64" s="415"/>
      <x:c r="M64" s="415"/>
      <x:c r="N64" s="415"/>
      <x:c r="O64" s="415"/>
      <x:c r="P64" s="415"/>
      <x:c r="Q64" s="415"/>
      <x:c r="R64" s="415"/>
      <x:c r="S64" s="415"/>
      <x:c r="T64" s="415"/>
      <x:c r="U64" s="415"/>
      <x:c r="V64" s="415"/>
      <x:c r="W64" s="415"/>
      <x:c r="X64" s="415"/>
      <x:c r="Y64" s="415"/>
      <x:c r="Z64" s="415"/>
      <x:c r="AA64" s="415"/>
      <x:c r="AB64" s="415"/>
      <x:c r="AC64" s="415"/>
      <x:c r="AD64" s="415"/>
      <x:c r="AE64" s="415"/>
      <x:c r="AF64" s="415"/>
      <x:c r="AG64" s="415"/>
      <x:c r="AH64" s="415"/>
      <x:c r="AI64" s="415"/>
      <x:c r="AJ64" s="415"/>
      <x:c r="AK64" s="415"/>
      <x:c r="AL64" s="415"/>
    </x:row>
    <x:row r="65">
      <x:c r="A65" s="415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</x:row>
    <x:row r="66">
      <x:c r="A66" s="415"/>
      <x:c r="B66" s="415"/>
      <x:c r="C66" s="415"/>
      <x:c r="D66" s="415"/>
      <x:c r="E66" s="415"/>
      <x:c r="F66" s="415"/>
      <x:c r="G66" s="415"/>
      <x:c r="H66" s="415"/>
      <x:c r="I66" s="415"/>
      <x:c r="J66" s="415"/>
      <x:c r="K66" s="415"/>
      <x:c r="L66" s="415"/>
      <x:c r="M66" s="415"/>
      <x:c r="N66" s="415"/>
      <x:c r="O66" s="415"/>
      <x:c r="P66" s="415"/>
      <x:c r="Q66" s="415"/>
      <x:c r="R66" s="415"/>
      <x:c r="S66" s="415"/>
      <x:c r="T66" s="415"/>
      <x:c r="U66" s="415"/>
      <x:c r="V66" s="415"/>
      <x:c r="W66" s="415"/>
      <x:c r="X66" s="415"/>
      <x:c r="Y66" s="415"/>
      <x:c r="Z66" s="415"/>
      <x:c r="AA66" s="415"/>
      <x:c r="AB66" s="415"/>
      <x:c r="AC66" s="415"/>
      <x:c r="AD66" s="415"/>
      <x:c r="AE66" s="415"/>
      <x:c r="AF66" s="415"/>
      <x:c r="AG66" s="415"/>
      <x:c r="AH66" s="415"/>
      <x:c r="AI66" s="415"/>
      <x:c r="AJ66" s="415"/>
      <x:c r="AK66" s="415"/>
      <x:c r="AL66" s="415"/>
    </x:row>
    <x:row r="67">
      <x:c r="A67" s="415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</x:row>
    <x:row r="68">
      <x:c r="A68" s="415"/>
      <x:c r="B68" s="415"/>
      <x:c r="C68" s="415"/>
      <x:c r="D68" s="415"/>
      <x:c r="E68" s="415"/>
      <x:c r="F68" s="415"/>
      <x:c r="G68" s="415"/>
      <x:c r="H68" s="415"/>
      <x:c r="I68" s="415"/>
      <x:c r="J68" s="415"/>
      <x:c r="K68" s="415"/>
      <x:c r="L68" s="415"/>
      <x:c r="M68" s="415"/>
      <x:c r="N68" s="415"/>
      <x:c r="O68" s="415"/>
      <x:c r="P68" s="415"/>
      <x:c r="Q68" s="415"/>
      <x:c r="R68" s="415"/>
      <x:c r="S68" s="415"/>
      <x:c r="T68" s="415"/>
      <x:c r="U68" s="415"/>
      <x:c r="V68" s="415"/>
      <x:c r="W68" s="415"/>
      <x:c r="X68" s="415"/>
      <x:c r="Y68" s="415"/>
      <x:c r="Z68" s="415"/>
      <x:c r="AA68" s="415"/>
      <x:c r="AB68" s="415"/>
      <x:c r="AC68" s="415"/>
      <x:c r="AD68" s="415"/>
      <x:c r="AE68" s="415"/>
      <x:c r="AF68" s="415"/>
      <x:c r="AG68" s="415"/>
      <x:c r="AH68" s="415"/>
      <x:c r="AI68" s="415"/>
      <x:c r="AJ68" s="415"/>
      <x:c r="AK68" s="415"/>
      <x:c r="AL68" s="415"/>
    </x:row>
    <x:row r="69">
      <x:c r="A69" s="415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</x:row>
    <x:row r="70">
      <x:c r="A70" s="415"/>
      <x:c r="B70" s="415"/>
      <x:c r="C70" s="415"/>
      <x:c r="D70" s="415"/>
      <x:c r="E70" s="415"/>
      <x:c r="F70" s="415"/>
      <x:c r="G70" s="415"/>
      <x:c r="H70" s="415"/>
      <x:c r="I70" s="415"/>
      <x:c r="J70" s="415"/>
      <x:c r="K70" s="415"/>
      <x:c r="L70" s="415"/>
      <x:c r="M70" s="415"/>
      <x:c r="N70" s="415"/>
      <x:c r="O70" s="415"/>
      <x:c r="P70" s="415"/>
      <x:c r="Q70" s="415"/>
      <x:c r="R70" s="415"/>
      <x:c r="S70" s="415"/>
      <x:c r="T70" s="415"/>
      <x:c r="U70" s="415"/>
      <x:c r="V70" s="415"/>
      <x:c r="W70" s="415"/>
      <x:c r="X70" s="415"/>
      <x:c r="Y70" s="415"/>
      <x:c r="Z70" s="415"/>
      <x:c r="AA70" s="415"/>
      <x:c r="AB70" s="415"/>
      <x:c r="AC70" s="415"/>
      <x:c r="AD70" s="415"/>
      <x:c r="AE70" s="415"/>
      <x:c r="AF70" s="415"/>
      <x:c r="AG70" s="415"/>
      <x:c r="AH70" s="415"/>
      <x:c r="AI70" s="415"/>
      <x:c r="AJ70" s="415"/>
      <x:c r="AK70" s="415"/>
      <x:c r="AL70" s="415"/>
    </x:row>
    <x:row r="71">
      <x:c r="A71" s="415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</x:row>
    <x:row r="72">
      <x:c r="A72" s="415"/>
      <x:c r="B72" s="415"/>
      <x:c r="C72" s="415"/>
      <x:c r="D72" s="415"/>
      <x:c r="E72" s="415"/>
      <x:c r="F72" s="415"/>
      <x:c r="G72" s="415"/>
      <x:c r="H72" s="415"/>
      <x:c r="I72" s="415"/>
      <x:c r="J72" s="415"/>
      <x:c r="K72" s="415"/>
      <x:c r="L72" s="415"/>
      <x:c r="M72" s="415"/>
      <x:c r="N72" s="415"/>
      <x:c r="O72" s="415"/>
      <x:c r="P72" s="415"/>
      <x:c r="Q72" s="415"/>
      <x:c r="R72" s="415"/>
      <x:c r="S72" s="415"/>
      <x:c r="T72" s="415"/>
      <x:c r="U72" s="415"/>
      <x:c r="V72" s="415"/>
      <x:c r="W72" s="415"/>
      <x:c r="X72" s="415"/>
      <x:c r="Y72" s="415"/>
      <x:c r="Z72" s="415"/>
      <x:c r="AA72" s="415"/>
      <x:c r="AB72" s="415"/>
      <x:c r="AC72" s="415"/>
      <x:c r="AD72" s="415"/>
      <x:c r="AE72" s="415"/>
      <x:c r="AF72" s="415"/>
      <x:c r="AG72" s="415"/>
      <x:c r="AH72" s="415"/>
      <x:c r="AI72" s="415"/>
      <x:c r="AJ72" s="415"/>
      <x:c r="AK72" s="415"/>
      <x:c r="AL72" s="415"/>
    </x:row>
    <x:row r="73">
      <x:c r="A73" s="415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</x:row>
    <x:row r="74">
      <x:c r="A74" s="415"/>
      <x:c r="B74" s="415"/>
      <x:c r="C74" s="415"/>
      <x:c r="D74" s="415"/>
      <x:c r="E74" s="415"/>
      <x:c r="F74" s="415"/>
      <x:c r="G74" s="415"/>
      <x:c r="H74" s="415"/>
      <x:c r="I74" s="415"/>
      <x:c r="J74" s="415"/>
      <x:c r="K74" s="415"/>
      <x:c r="L74" s="415"/>
      <x:c r="M74" s="415"/>
      <x:c r="N74" s="415"/>
      <x:c r="O74" s="415"/>
      <x:c r="P74" s="415"/>
      <x:c r="Q74" s="415"/>
      <x:c r="R74" s="415"/>
      <x:c r="S74" s="415"/>
      <x:c r="T74" s="415"/>
      <x:c r="U74" s="415"/>
      <x:c r="V74" s="415"/>
      <x:c r="W74" s="415"/>
      <x:c r="X74" s="415"/>
      <x:c r="Y74" s="415"/>
      <x:c r="Z74" s="415"/>
      <x:c r="AA74" s="415"/>
      <x:c r="AB74" s="415"/>
      <x:c r="AC74" s="415"/>
      <x:c r="AD74" s="415"/>
      <x:c r="AE74" s="415"/>
      <x:c r="AF74" s="415"/>
      <x:c r="AG74" s="415"/>
      <x:c r="AH74" s="415"/>
      <x:c r="AI74" s="415"/>
      <x:c r="AJ74" s="415"/>
      <x:c r="AK74" s="415"/>
      <x:c r="AL74" s="415"/>
    </x:row>
    <x:row r="75">
      <x:c r="A75" s="415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</x:row>
    <x:row r="76">
      <x:c r="A76" s="415"/>
      <x:c r="B76" s="415"/>
      <x:c r="C76" s="415"/>
      <x:c r="D76" s="415"/>
      <x:c r="E76" s="415"/>
      <x:c r="F76" s="415"/>
      <x:c r="G76" s="415"/>
      <x:c r="H76" s="415"/>
      <x:c r="I76" s="415"/>
      <x:c r="J76" s="415"/>
      <x:c r="K76" s="415"/>
      <x:c r="L76" s="415"/>
      <x:c r="M76" s="415"/>
      <x:c r="N76" s="415"/>
      <x:c r="O76" s="415"/>
      <x:c r="P76" s="415"/>
      <x:c r="Q76" s="415"/>
      <x:c r="R76" s="415"/>
      <x:c r="S76" s="415"/>
      <x:c r="T76" s="415"/>
      <x:c r="U76" s="415"/>
      <x:c r="V76" s="415"/>
      <x:c r="W76" s="415"/>
      <x:c r="X76" s="415"/>
      <x:c r="Y76" s="415"/>
      <x:c r="Z76" s="415"/>
      <x:c r="AA76" s="415"/>
      <x:c r="AB76" s="415"/>
      <x:c r="AC76" s="415"/>
      <x:c r="AD76" s="415"/>
      <x:c r="AE76" s="415"/>
      <x:c r="AF76" s="415"/>
      <x:c r="AG76" s="415"/>
      <x:c r="AH76" s="415"/>
      <x:c r="AI76" s="415"/>
      <x:c r="AJ76" s="415"/>
      <x:c r="AK76" s="415"/>
      <x:c r="AL76" s="415"/>
    </x:row>
    <x:row r="77">
      <x:c r="A77" s="415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</x:row>
    <x:row r="78">
      <x:c r="A78" s="415"/>
      <x:c r="B78" s="415"/>
      <x:c r="C78" s="415"/>
      <x:c r="D78" s="415"/>
      <x:c r="E78" s="415"/>
      <x:c r="F78" s="415"/>
      <x:c r="G78" s="415"/>
      <x:c r="H78" s="415"/>
      <x:c r="I78" s="415"/>
      <x:c r="J78" s="415"/>
      <x:c r="K78" s="415"/>
      <x:c r="L78" s="415"/>
      <x:c r="M78" s="415"/>
      <x:c r="N78" s="415"/>
      <x:c r="O78" s="415"/>
      <x:c r="P78" s="415"/>
      <x:c r="Q78" s="415"/>
      <x:c r="R78" s="415"/>
      <x:c r="S78" s="415"/>
      <x:c r="T78" s="415"/>
      <x:c r="U78" s="415"/>
      <x:c r="V78" s="415"/>
      <x:c r="W78" s="415"/>
      <x:c r="X78" s="415"/>
      <x:c r="Y78" s="415"/>
      <x:c r="Z78" s="415"/>
      <x:c r="AA78" s="415"/>
      <x:c r="AB78" s="415"/>
      <x:c r="AC78" s="415"/>
      <x:c r="AD78" s="415"/>
      <x:c r="AE78" s="415"/>
      <x:c r="AF78" s="415"/>
      <x:c r="AG78" s="415"/>
      <x:c r="AH78" s="415"/>
      <x:c r="AI78" s="415"/>
      <x:c r="AJ78" s="415"/>
      <x:c r="AK78" s="415"/>
      <x:c r="AL78" s="415"/>
    </x:row>
    <x:row r="79">
      <x:c r="A79" s="415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</x:row>
    <x:row r="80">
      <x:c r="A80" s="415"/>
      <x:c r="B80" s="415"/>
      <x:c r="C80" s="415"/>
      <x:c r="D80" s="415"/>
      <x:c r="E80" s="415"/>
      <x:c r="F80" s="415"/>
      <x:c r="G80" s="415"/>
      <x:c r="H80" s="415"/>
      <x:c r="I80" s="415"/>
      <x:c r="J80" s="415"/>
      <x:c r="K80" s="415"/>
      <x:c r="L80" s="415"/>
      <x:c r="M80" s="415"/>
      <x:c r="N80" s="415"/>
      <x:c r="O80" s="415"/>
      <x:c r="P80" s="415"/>
      <x:c r="Q80" s="415"/>
      <x:c r="R80" s="415"/>
      <x:c r="S80" s="415"/>
      <x:c r="T80" s="415"/>
      <x:c r="U80" s="415"/>
      <x:c r="V80" s="415"/>
      <x:c r="W80" s="415"/>
      <x:c r="X80" s="415"/>
      <x:c r="Y80" s="415"/>
      <x:c r="Z80" s="415"/>
      <x:c r="AA80" s="415"/>
      <x:c r="AB80" s="415"/>
      <x:c r="AC80" s="415"/>
      <x:c r="AD80" s="415"/>
      <x:c r="AE80" s="415"/>
      <x:c r="AF80" s="415"/>
      <x:c r="AG80" s="415"/>
      <x:c r="AH80" s="415"/>
      <x:c r="AI80" s="415"/>
      <x:c r="AJ80" s="415"/>
      <x:c r="AK80" s="415"/>
      <x:c r="AL80" s="415"/>
    </x:row>
    <x:row r="81">
      <x:c r="A81" s="415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</x:row>
    <x:row r="82">
      <x:c r="A82" s="415"/>
      <x:c r="B82" s="415"/>
      <x:c r="C82" s="415"/>
      <x:c r="D82" s="415"/>
      <x:c r="E82" s="415"/>
      <x:c r="F82" s="415"/>
      <x:c r="G82" s="415"/>
      <x:c r="H82" s="415"/>
      <x:c r="I82" s="415"/>
      <x:c r="J82" s="415"/>
      <x:c r="K82" s="415"/>
      <x:c r="L82" s="415"/>
      <x:c r="M82" s="415"/>
      <x:c r="N82" s="415"/>
      <x:c r="O82" s="415"/>
      <x:c r="P82" s="415"/>
      <x:c r="Q82" s="415"/>
      <x:c r="R82" s="415"/>
      <x:c r="S82" s="415"/>
      <x:c r="T82" s="415"/>
      <x:c r="U82" s="415"/>
      <x:c r="V82" s="415"/>
      <x:c r="W82" s="415"/>
      <x:c r="X82" s="415"/>
      <x:c r="Y82" s="415"/>
      <x:c r="Z82" s="415"/>
      <x:c r="AA82" s="415"/>
      <x:c r="AB82" s="415"/>
      <x:c r="AC82" s="415"/>
      <x:c r="AD82" s="415"/>
      <x:c r="AE82" s="415"/>
      <x:c r="AF82" s="415"/>
      <x:c r="AG82" s="415"/>
      <x:c r="AH82" s="415"/>
      <x:c r="AI82" s="415"/>
      <x:c r="AJ82" s="415"/>
      <x:c r="AK82" s="415"/>
      <x:c r="AL82" s="415"/>
    </x:row>
    <x:row r="83">
      <x:c r="A83" s="415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</x:row>
    <x:row r="84">
      <x:c r="A84" s="415"/>
      <x:c r="B84" s="415"/>
      <x:c r="C84" s="415"/>
      <x:c r="D84" s="415"/>
      <x:c r="E84" s="415"/>
      <x:c r="F84" s="415"/>
      <x:c r="G84" s="415"/>
      <x:c r="H84" s="415"/>
      <x:c r="I84" s="415"/>
      <x:c r="J84" s="415"/>
      <x:c r="K84" s="415"/>
      <x:c r="L84" s="415"/>
      <x:c r="M84" s="415"/>
      <x:c r="N84" s="415"/>
      <x:c r="O84" s="415"/>
      <x:c r="P84" s="415"/>
      <x:c r="Q84" s="415"/>
      <x:c r="R84" s="415"/>
      <x:c r="S84" s="415"/>
      <x:c r="T84" s="415"/>
      <x:c r="U84" s="415"/>
      <x:c r="V84" s="415"/>
      <x:c r="W84" s="415"/>
      <x:c r="X84" s="415"/>
      <x:c r="Y84" s="415"/>
      <x:c r="Z84" s="415"/>
      <x:c r="AA84" s="415"/>
      <x:c r="AB84" s="415"/>
      <x:c r="AC84" s="415"/>
      <x:c r="AD84" s="415"/>
      <x:c r="AE84" s="415"/>
      <x:c r="AF84" s="415"/>
      <x:c r="AG84" s="415"/>
      <x:c r="AH84" s="415"/>
      <x:c r="AI84" s="415"/>
      <x:c r="AJ84" s="415"/>
      <x:c r="AK84" s="415"/>
      <x:c r="AL84" s="415"/>
    </x:row>
    <x:row r="85">
      <x:c r="A85" s="415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</x:row>
    <x:row r="86">
      <x:c r="A86" s="415"/>
      <x:c r="B86" s="415"/>
      <x:c r="C86" s="415"/>
      <x:c r="D86" s="415"/>
      <x:c r="E86" s="415"/>
      <x:c r="F86" s="415"/>
      <x:c r="G86" s="415"/>
      <x:c r="H86" s="415"/>
      <x:c r="I86" s="415"/>
      <x:c r="J86" s="415"/>
      <x:c r="K86" s="415"/>
      <x:c r="L86" s="415"/>
      <x:c r="M86" s="415"/>
      <x:c r="N86" s="415"/>
      <x:c r="O86" s="415"/>
      <x:c r="P86" s="415"/>
      <x:c r="Q86" s="415"/>
      <x:c r="R86" s="415"/>
      <x:c r="S86" s="415"/>
      <x:c r="T86" s="415"/>
      <x:c r="U86" s="415"/>
      <x:c r="V86" s="415"/>
      <x:c r="W86" s="415"/>
      <x:c r="X86" s="415"/>
      <x:c r="Y86" s="415"/>
      <x:c r="Z86" s="415"/>
      <x:c r="AA86" s="415"/>
      <x:c r="AB86" s="415"/>
      <x:c r="AC86" s="415"/>
      <x:c r="AD86" s="415"/>
      <x:c r="AE86" s="415"/>
      <x:c r="AF86" s="415"/>
      <x:c r="AG86" s="415"/>
      <x:c r="AH86" s="415"/>
      <x:c r="AI86" s="415"/>
      <x:c r="AJ86" s="415"/>
      <x:c r="AK86" s="415"/>
      <x:c r="AL86" s="415"/>
    </x:row>
    <x:row r="87">
      <x:c r="A87" s="415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</x:row>
    <x:row r="88">
      <x:c r="A88" s="415"/>
      <x:c r="B88" s="415"/>
      <x:c r="C88" s="415"/>
      <x:c r="D88" s="415"/>
      <x:c r="E88" s="415"/>
      <x:c r="F88" s="415"/>
      <x:c r="G88" s="415"/>
      <x:c r="H88" s="415"/>
      <x:c r="I88" s="415"/>
      <x:c r="J88" s="415"/>
      <x:c r="K88" s="415"/>
      <x:c r="L88" s="415"/>
      <x:c r="M88" s="415"/>
      <x:c r="N88" s="415"/>
      <x:c r="O88" s="415"/>
      <x:c r="P88" s="415"/>
      <x:c r="Q88" s="415"/>
      <x:c r="R88" s="415"/>
      <x:c r="S88" s="415"/>
      <x:c r="T88" s="415"/>
      <x:c r="U88" s="415"/>
      <x:c r="V88" s="415"/>
      <x:c r="W88" s="415"/>
      <x:c r="X88" s="415"/>
      <x:c r="Y88" s="415"/>
      <x:c r="Z88" s="415"/>
      <x:c r="AA88" s="415"/>
      <x:c r="AB88" s="415"/>
      <x:c r="AC88" s="415"/>
      <x:c r="AD88" s="415"/>
      <x:c r="AE88" s="415"/>
      <x:c r="AF88" s="415"/>
      <x:c r="AG88" s="415"/>
      <x:c r="AH88" s="415"/>
      <x:c r="AI88" s="415"/>
      <x:c r="AJ88" s="415"/>
      <x:c r="AK88" s="415"/>
      <x:c r="AL88" s="415"/>
    </x:row>
    <x:row r="89">
      <x:c r="A89" s="415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</x:row>
    <x:row r="90">
      <x:c r="A90" s="415"/>
      <x:c r="B90" s="415"/>
      <x:c r="C90" s="415"/>
      <x:c r="D90" s="415"/>
      <x:c r="E90" s="415"/>
      <x:c r="F90" s="415"/>
      <x:c r="G90" s="415"/>
      <x:c r="H90" s="415"/>
      <x:c r="I90" s="415"/>
      <x:c r="J90" s="415"/>
      <x:c r="K90" s="415"/>
      <x:c r="L90" s="415"/>
      <x:c r="M90" s="415"/>
      <x:c r="N90" s="415"/>
      <x:c r="O90" s="415"/>
      <x:c r="P90" s="415"/>
      <x:c r="Q90" s="415"/>
      <x:c r="R90" s="415"/>
      <x:c r="S90" s="415"/>
      <x:c r="T90" s="415"/>
      <x:c r="U90" s="415"/>
      <x:c r="V90" s="415"/>
      <x:c r="W90" s="415"/>
      <x:c r="X90" s="415"/>
      <x:c r="Y90" s="415"/>
      <x:c r="Z90" s="415"/>
      <x:c r="AA90" s="415"/>
      <x:c r="AB90" s="415"/>
      <x:c r="AC90" s="415"/>
      <x:c r="AD90" s="415"/>
      <x:c r="AE90" s="415"/>
      <x:c r="AF90" s="415"/>
      <x:c r="AG90" s="415"/>
      <x:c r="AH90" s="415"/>
      <x:c r="AI90" s="415"/>
      <x:c r="AJ90" s="415"/>
      <x:c r="AK90" s="415"/>
      <x:c r="AL90" s="415"/>
    </x:row>
    <x:row r="91">
      <x:c r="A91" s="415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</x:row>
    <x:row r="92">
      <x:c r="A92" s="415"/>
      <x:c r="B92" s="415"/>
      <x:c r="C92" s="415"/>
      <x:c r="D92" s="415"/>
      <x:c r="E92" s="415"/>
      <x:c r="F92" s="415"/>
      <x:c r="G92" s="415"/>
      <x:c r="H92" s="415"/>
      <x:c r="I92" s="415"/>
      <x:c r="J92" s="415"/>
      <x:c r="K92" s="415"/>
      <x:c r="L92" s="415"/>
      <x:c r="M92" s="415"/>
      <x:c r="N92" s="415"/>
      <x:c r="O92" s="415"/>
      <x:c r="P92" s="415"/>
      <x:c r="Q92" s="415"/>
      <x:c r="R92" s="415"/>
      <x:c r="S92" s="415"/>
      <x:c r="T92" s="415"/>
      <x:c r="U92" s="415"/>
      <x:c r="V92" s="415"/>
      <x:c r="W92" s="415"/>
      <x:c r="X92" s="415"/>
      <x:c r="Y92" s="415"/>
      <x:c r="Z92" s="415"/>
      <x:c r="AA92" s="415"/>
      <x:c r="AB92" s="415"/>
      <x:c r="AC92" s="415"/>
      <x:c r="AD92" s="415"/>
      <x:c r="AE92" s="415"/>
      <x:c r="AF92" s="415"/>
      <x:c r="AG92" s="415"/>
      <x:c r="AH92" s="415"/>
      <x:c r="AI92" s="415"/>
      <x:c r="AJ92" s="415"/>
      <x:c r="AK92" s="415"/>
      <x:c r="AL92" s="415"/>
    </x:row>
    <x:row r="93">
      <x:c r="A93" s="415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</x:row>
    <x:row r="94">
      <x:c r="A94" s="415"/>
      <x:c r="B94" s="415"/>
      <x:c r="C94" s="415"/>
      <x:c r="D94" s="415"/>
      <x:c r="E94" s="415"/>
      <x:c r="F94" s="415"/>
      <x:c r="G94" s="415"/>
      <x:c r="H94" s="415"/>
      <x:c r="I94" s="415"/>
      <x:c r="J94" s="415"/>
      <x:c r="K94" s="415"/>
      <x:c r="L94" s="415"/>
      <x:c r="M94" s="415"/>
      <x:c r="N94" s="415"/>
      <x:c r="O94" s="415"/>
      <x:c r="P94" s="415"/>
      <x:c r="Q94" s="415"/>
      <x:c r="R94" s="415"/>
      <x:c r="S94" s="415"/>
      <x:c r="T94" s="415"/>
      <x:c r="U94" s="415"/>
      <x:c r="V94" s="415"/>
      <x:c r="W94" s="415"/>
      <x:c r="X94" s="415"/>
      <x:c r="Y94" s="415"/>
      <x:c r="Z94" s="415"/>
      <x:c r="AA94" s="415"/>
      <x:c r="AB94" s="415"/>
      <x:c r="AC94" s="415"/>
      <x:c r="AD94" s="415"/>
      <x:c r="AE94" s="415"/>
      <x:c r="AF94" s="415"/>
      <x:c r="AG94" s="415"/>
      <x:c r="AH94" s="415"/>
      <x:c r="AI94" s="415"/>
      <x:c r="AJ94" s="415"/>
      <x:c r="AK94" s="415"/>
      <x:c r="AL94" s="415"/>
    </x:row>
    <x:row r="95">
      <x:c r="A95" s="415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</x:row>
    <x:row r="96">
      <x:c r="A96" s="415"/>
      <x:c r="B96" s="415"/>
      <x:c r="C96" s="415"/>
      <x:c r="D96" s="415"/>
      <x:c r="E96" s="415"/>
      <x:c r="F96" s="415"/>
      <x:c r="G96" s="415"/>
      <x:c r="H96" s="415"/>
      <x:c r="I96" s="415"/>
      <x:c r="J96" s="415"/>
      <x:c r="K96" s="415"/>
      <x:c r="L96" s="415"/>
      <x:c r="M96" s="415"/>
      <x:c r="N96" s="415"/>
      <x:c r="O96" s="415"/>
      <x:c r="P96" s="415"/>
      <x:c r="Q96" s="415"/>
      <x:c r="R96" s="415"/>
      <x:c r="S96" s="415"/>
      <x:c r="T96" s="415"/>
      <x:c r="U96" s="415"/>
      <x:c r="V96" s="415"/>
      <x:c r="W96" s="415"/>
      <x:c r="X96" s="415"/>
      <x:c r="Y96" s="415"/>
      <x:c r="Z96" s="415"/>
      <x:c r="AA96" s="415"/>
      <x:c r="AB96" s="415"/>
      <x:c r="AC96" s="415"/>
      <x:c r="AD96" s="415"/>
      <x:c r="AE96" s="415"/>
      <x:c r="AF96" s="415"/>
      <x:c r="AG96" s="415"/>
      <x:c r="AH96" s="415"/>
      <x:c r="AI96" s="415"/>
      <x:c r="AJ96" s="415"/>
      <x:c r="AK96" s="415"/>
      <x:c r="AL96" s="415"/>
    </x:row>
    <x:row r="97">
      <x:c r="A97" s="415"/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</x:row>
    <x:row r="98">
      <x:c r="A98" s="415"/>
      <x:c r="B98" s="415"/>
      <x:c r="C98" s="415"/>
      <x:c r="D98" s="415"/>
      <x:c r="E98" s="415"/>
      <x:c r="F98" s="415"/>
      <x:c r="G98" s="415"/>
      <x:c r="H98" s="415"/>
      <x:c r="I98" s="415"/>
      <x:c r="J98" s="415"/>
      <x:c r="K98" s="415"/>
      <x:c r="L98" s="415"/>
      <x:c r="M98" s="415"/>
      <x:c r="N98" s="415"/>
      <x:c r="O98" s="415"/>
      <x:c r="P98" s="415"/>
      <x:c r="Q98" s="415"/>
      <x:c r="R98" s="415"/>
      <x:c r="S98" s="415"/>
      <x:c r="T98" s="415"/>
      <x:c r="U98" s="415"/>
      <x:c r="V98" s="415"/>
      <x:c r="W98" s="415"/>
      <x:c r="X98" s="415"/>
      <x:c r="Y98" s="415"/>
      <x:c r="Z98" s="415"/>
      <x:c r="AA98" s="415"/>
      <x:c r="AB98" s="415"/>
      <x:c r="AC98" s="415"/>
      <x:c r="AD98" s="415"/>
      <x:c r="AE98" s="415"/>
      <x:c r="AF98" s="415"/>
      <x:c r="AG98" s="415"/>
      <x:c r="AH98" s="415"/>
      <x:c r="AI98" s="415"/>
      <x:c r="AJ98" s="415"/>
      <x:c r="AK98" s="415"/>
      <x:c r="AL98" s="415"/>
    </x:row>
    <x:row r="99">
      <x:c r="A99" s="415"/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</x:row>
    <x:row r="100">
      <x:c r="A100" s="415"/>
      <x:c r="B100" s="415"/>
      <x:c r="C100" s="415"/>
      <x:c r="D100" s="415"/>
      <x:c r="E100" s="415"/>
      <x:c r="F100" s="415"/>
      <x:c r="G100" s="415"/>
      <x:c r="H100" s="415"/>
      <x:c r="I100" s="415"/>
      <x:c r="J100" s="415"/>
      <x:c r="K100" s="415"/>
      <x:c r="L100" s="415"/>
      <x:c r="M100" s="415"/>
      <x:c r="N100" s="415"/>
      <x:c r="O100" s="415"/>
      <x:c r="P100" s="415"/>
      <x:c r="Q100" s="415"/>
      <x:c r="R100" s="415"/>
      <x:c r="S100" s="415"/>
      <x:c r="T100" s="415"/>
      <x:c r="U100" s="415"/>
      <x:c r="V100" s="415"/>
      <x:c r="W100" s="415"/>
      <x:c r="X100" s="415"/>
      <x:c r="Y100" s="415"/>
      <x:c r="Z100" s="415"/>
      <x:c r="AA100" s="415"/>
      <x:c r="AB100" s="415"/>
      <x:c r="AC100" s="415"/>
      <x:c r="AD100" s="415"/>
      <x:c r="AE100" s="415"/>
      <x:c r="AF100" s="415"/>
      <x:c r="AG100" s="415"/>
      <x:c r="AH100" s="415"/>
      <x:c r="AI100" s="415"/>
      <x:c r="AJ100" s="415"/>
      <x:c r="AK100" s="415"/>
      <x:c r="AL100" s="415"/>
    </x:row>
  </x:sheetData>
  <x:mergeCells>
    <x:mergeCell ref="A1:D1"/>
    <x:mergeCell ref="B11:D11"/>
    <x:mergeCell ref="B12:D12"/>
    <x:mergeCell ref="B13:D13"/>
    <x:mergeCell ref="B14:D14"/>
    <x:mergeCell ref="B15:D15"/>
    <x:mergeCell ref="B16:D16"/>
  </x:mergeCells>
  <x:pageMargins left="0.7" right="0.7" top="0.75" bottom="0.75" header="0.3" footer="0.3"/>
</x:worksheet>
</file>