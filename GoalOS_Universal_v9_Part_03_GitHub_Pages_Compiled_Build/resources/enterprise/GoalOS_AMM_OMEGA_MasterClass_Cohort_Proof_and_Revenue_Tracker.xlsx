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3f328cda944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f53dfa864204784"/>
    <x:sheet xmlns:r="http://schemas.openxmlformats.org/officeDocument/2006/relationships" name="Program Setup" sheetId="2" r:id="R104bb1b58fb44b38"/>
    <x:sheet xmlns:r="http://schemas.openxmlformats.org/officeDocument/2006/relationships" name="Run of Show" sheetId="3" r:id="R2baf96f85b6447c9"/>
    <x:sheet xmlns:r="http://schemas.openxmlformats.org/officeDocument/2006/relationships" name="Participants" sheetId="4" r:id="Rb910f1f2bd3c4648"/>
    <x:sheet xmlns:r="http://schemas.openxmlformats.org/officeDocument/2006/relationships" name="Commercial Objective" sheetId="5" r:id="R4c4e23fa75b442cc"/>
    <x:sheet xmlns:r="http://schemas.openxmlformats.org/officeDocument/2006/relationships" name="Offer Ladder" sheetId="6" r:id="Rf410f2e077f148c6"/>
    <x:sheet xmlns:r="http://schemas.openxmlformats.org/officeDocument/2006/relationships" name="Pipeline Math" sheetId="7" r:id="R411e77cb01d44f07"/>
    <x:sheet xmlns:r="http://schemas.openxmlformats.org/officeDocument/2006/relationships" name="Sales Assets" sheetId="8" r:id="Rca33c225e05d44c1"/>
    <x:sheet xmlns:r="http://schemas.openxmlformats.org/officeDocument/2006/relationships" name="Day One" sheetId="9" r:id="R6b02020a22d54fdc"/>
    <x:sheet xmlns:r="http://schemas.openxmlformats.org/officeDocument/2006/relationships" name="Mission Contract" sheetId="10" r:id="R9a791ab164e54edb"/>
    <x:sheet xmlns:r="http://schemas.openxmlformats.org/officeDocument/2006/relationships" name="Proof Debt" sheetId="11" r:id="R7fef0a30769a46fe"/>
    <x:sheet xmlns:r="http://schemas.openxmlformats.org/officeDocument/2006/relationships" name="Job Queue" sheetId="12" r:id="Rfc86aaea3f8b401d"/>
    <x:sheet xmlns:r="http://schemas.openxmlformats.org/officeDocument/2006/relationships" name="Evidence Docket" sheetId="13" r:id="R2e5c6cf73d544ac9"/>
    <x:sheet xmlns:r="http://schemas.openxmlformats.org/officeDocument/2006/relationships" name="Reviewers" sheetId="14" r:id="R3d3c9551a8a043f8"/>
    <x:sheet xmlns:r="http://schemas.openxmlformats.org/officeDocument/2006/relationships" name="Chronicle Skills" sheetId="15" r:id="Rd03de8dcfae94d10"/>
    <x:sheet xmlns:r="http://schemas.openxmlformats.org/officeDocument/2006/relationships" name="Monetization" sheetId="16" r:id="R295a09e43efe49cc"/>
    <x:sheet xmlns:r="http://schemas.openxmlformats.org/officeDocument/2006/relationships" name="Treasury" sheetId="17" r:id="Rdaa9c58ab24f4186"/>
    <x:sheet xmlns:r="http://schemas.openxmlformats.org/officeDocument/2006/relationships" name="Mission 2 Test" sheetId="18" r:id="R988353056af747c0"/>
    <x:sheet xmlns:r="http://schemas.openxmlformats.org/officeDocument/2006/relationships" name="Opportunities" sheetId="19" r:id="R7ff11950513f4609"/>
    <x:sheet xmlns:r="http://schemas.openxmlformats.org/officeDocument/2006/relationships" name="Conversion Pipeline" sheetId="20" r:id="Rd41c2857b46542c5"/>
    <x:sheet xmlns:r="http://schemas.openxmlformats.org/officeDocument/2006/relationships" name="Economics" sheetId="21" r:id="R5be9d1dd78354ce0"/>
    <x:sheet xmlns:r="http://schemas.openxmlformats.org/officeDocument/2006/relationships" name="Marketing Calendar" sheetId="22" r:id="R3ebb7b1bae474b8a"/>
    <x:sheet xmlns:r="http://schemas.openxmlformats.org/officeDocument/2006/relationships" name="Lists" sheetId="23" r:id="Ra77d9c34f5cf4c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0%"/>
    <x:numFmt numFmtId="202" formatCode="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4243A"/>
      <x:name val="Carlito"/>
    </x:font>
    <x:font>
      <x:b/>
      <x:sz val="18"/>
      <x:color rgb="FFFFFFFF"/>
      <x:name val="Carlito"/>
    </x:font>
    <x:font>
      <x:b/>
      <x:sz val="14"/>
      <x:color rgb="FF0B1A3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A31"/>
      </x:patternFill>
    </x:fill>
    <x:fill>
      <x:patternFill patternType="solid">
        <x:fgColor rgb="FFE8F0F8"/>
      </x:patternFill>
    </x:fill>
    <x:fill>
      <x:patternFill patternType="solid">
        <x:fgColor rgb="FFFBF7EE"/>
      </x:patternFill>
    </x:fill>
  </x:fills>
  <x:borders count="3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2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wrapText="1"/>
    </x:xf>
    <x:xf numFmtId="0" fontId="2" fillId="0" borderId="21" xfId="0" applyNumberFormat="1" applyFont="1" applyFill="1" applyBorder="1" applyAlignment="1">
      <x:alignment wrapText="1"/>
    </x:xf>
    <x:xf numFmtId="0" fontId="2" fillId="0" borderId="22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0" borderId="18" xfId="0" applyNumberFormat="1" applyFont="1" applyFill="1" applyBorder="1" applyAlignment="1">
      <x:alignment vertical="top" wrapText="1"/>
    </x:xf>
    <x:xf numFmtId="0" fontId="2" fillId="0" borderId="19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0" xfId="0" applyNumberFormat="1" applyFont="1" applyFill="1" applyBorder="1" applyAlignment="1">
      <x:alignment vertical="top" wrapText="1"/>
    </x:xf>
    <x:xf numFmtId="0" fontId="2" fillId="0" borderId="21" xfId="0" applyNumberFormat="1" applyFont="1" applyFill="1" applyBorder="1" applyAlignment="1">
      <x:alignment vertical="top" wrapText="1"/>
    </x:xf>
    <x:xf numFmtId="0" fontId="2" fillId="0" borderId="22" xfId="0" applyNumberFormat="1" applyFont="1" applyFill="1" applyBorder="1" applyAlignment="1">
      <x:alignment vertical="top" wrapText="1"/>
    </x:xf>
    <x:xf numFmtId="0" fontId="2" fillId="0" borderId="2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200" fontId="2" fillId="0" borderId="12" xfId="0" applyNumberFormat="1" applyFont="1" applyFill="1" applyBorder="1" applyAlignment="1">
      <x:alignment vertical="top" wrapText="1"/>
    </x:xf>
    <x:xf numFmtId="200" fontId="2" fillId="0" borderId="20" xfId="0" applyNumberFormat="1" applyFont="1" applyFill="1" applyBorder="1" applyAlignment="1">
      <x:alignment vertical="top" wrapText="1"/>
    </x:xf>
    <x:xf numFmtId="200" fontId="2" fillId="0" borderId="9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4" xfId="0" applyNumberFormat="1" applyFont="1" applyFill="1" applyBorder="1" applyAlignment="1">
      <x:alignment vertical="top" wrapText="1"/>
    </x:xf>
    <x:xf numFmtId="200" fontId="2" fillId="0" borderId="17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22" xfId="0" applyNumberFormat="1" applyFont="1" applyFill="1" applyBorder="1" applyAlignment="1">
      <x:alignment vertical="top" wrapText="1"/>
    </x:xf>
    <x:xf numFmtId="200" fontId="2" fillId="0" borderId="10" xfId="0" applyNumberFormat="1" applyFont="1" applyFill="1" applyBorder="1" applyAlignment="1">
      <x:alignment vertical="top" wrapText="1"/>
    </x:xf>
    <x:xf numFmtId="200" fontId="2" fillId="0" borderId="18" xfId="0" applyNumberFormat="1" applyFont="1" applyFill="1" applyBorder="1" applyAlignment="1">
      <x:alignment vertical="top" wrapText="1"/>
    </x:xf>
    <x:xf numFmtId="201" fontId="2" fillId="0" borderId="12" xfId="0" applyNumberFormat="1" applyFont="1" applyFill="1" applyBorder="1" applyAlignment="1">
      <x:alignment vertical="top" wrapText="1"/>
    </x:xf>
    <x:xf numFmtId="201" fontId="2" fillId="0" borderId="20" xfId="0" applyNumberFormat="1" applyFont="1" applyFill="1" applyBorder="1" applyAlignment="1">
      <x:alignment vertical="top" wrapText="1"/>
    </x:xf>
    <x:xf numFmtId="202" fontId="2" fillId="0" borderId="12" xfId="0" applyNumberFormat="1" applyFont="1" applyFill="1" applyBorder="1" applyAlignment="1">
      <x:alignment vertical="top" wrapText="1"/>
    </x:xf>
    <x:xf numFmtId="202" fontId="2" fillId="0" borderId="20" xfId="0" applyNumberFormat="1" applyFont="1" applyFill="1" applyBorder="1" applyAlignment="1">
      <x:alignment vertical="top" wrapText="1"/>
    </x:xf>
    <x:xf numFmtId="201" fontId="2" fillId="0" borderId="15" xfId="0" applyNumberFormat="1" applyFont="1" applyFill="1" applyBorder="1" applyAlignment="1">
      <x:alignment vertical="top" wrapText="1"/>
    </x:xf>
    <x:xf numFmtId="201" fontId="2" fillId="0" borderId="2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201" fontId="2" fillId="0" borderId="0" xfId="0" applyNumberFormat="1" applyFont="1" applyFill="1" applyBorder="1" applyAlignment="1">
      <x:alignment vertical="top" wrapText="1"/>
    </x:xf>
    <x:xf numFmtId="201" fontId="2" fillId="0" borderId="14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2" fillId="0" borderId="1" xfId="0" applyNumberFormat="1" applyFont="1" applyFill="1" applyBorder="1" applyAlignment="1">
      <x:alignment vertical="top" wrapText="1"/>
    </x:xf>
    <x:xf numFmtId="201" fontId="2" fillId="0" borderId="22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/>
    <x:xf numFmtId="201" fontId="2" fillId="0" borderId="9" xfId="0" applyNumberFormat="1" applyFont="1" applyFill="1" applyBorder="1" applyAlignment="1">
      <x:alignment vertical="top" wrapText="1"/>
    </x:xf>
    <x:xf numFmtId="201" fontId="2" fillId="0" borderId="17" xfId="0" applyNumberFormat="1" applyFont="1" applyFill="1" applyBorder="1" applyAlignment="1">
      <x:alignment vertical="top" wrapText="1"/>
    </x:xf>
    <x:xf numFmtId="203" fontId="2" fillId="0" borderId="9" xfId="0" applyNumberFormat="1" applyFont="1" applyFill="1" applyBorder="1" applyAlignment="1">
      <x:alignment vertical="top" wrapText="1"/>
    </x:xf>
    <x:xf numFmtId="203" fontId="2" fillId="0" borderId="0" xfId="0" applyNumberFormat="1" applyFont="1" applyFill="1" applyBorder="1" applyAlignment="1">
      <x:alignment vertical="top" wrapText="1"/>
    </x:xf>
    <x:xf numFmtId="203" fontId="2" fillId="0" borderId="17" xfId="0" applyNumberFormat="1" applyFont="1" applyFill="1" applyBorder="1" applyAlignment="1">
      <x:alignment vertical="top" wrapText="1"/>
    </x:xf>
    <x:xf numFmtId="203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8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15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 wrapText="1"/>
    </x:xf>
    <x:xf numFmtId="0" fontId="2" fillId="3" borderId="13" xfId="0" applyNumberFormat="1" applyFont="1" applyFill="1" applyBorder="1" applyAlignment="1">
      <x:alignment vertical="top" wrapText="1"/>
    </x:xf>
    <x:xf numFmtId="0" fontId="2" fillId="3" borderId="15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6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20" xfId="0" applyNumberFormat="1" applyFont="1" applyFill="1" applyBorder="1"/>
    <x:xf numFmtId="0" fontId="2" fillId="3" borderId="21" xfId="0" applyNumberFormat="1" applyFont="1" applyFill="1" applyBorder="1"/>
    <x:xf numFmtId="0" fontId="2" fillId="3" borderId="23" xfId="0" applyNumberFormat="1" applyFont="1" applyFill="1" applyBorder="1"/>
    <x:xf numFmtId="0" fontId="2" fillId="3" borderId="16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wrapText="1"/>
    </x:xf>
    <x:xf numFmtId="0" fontId="2" fillId="3" borderId="23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vertical="top" wrapText="1"/>
    </x:xf>
    <x:xf numFmtId="0" fontId="2" fillId="3" borderId="18" xfId="0" applyNumberFormat="1" applyFont="1" applyFill="1" applyBorder="1" applyAlignment="1">
      <x:alignment vertical="top" wrapText="1"/>
    </x:xf>
    <x:xf numFmtId="0" fontId="2" fillId="3" borderId="19" xfId="0" applyNumberFormat="1" applyFont="1" applyFill="1" applyBorder="1" applyAlignment="1">
      <x:alignment vertical="top" wrapText="1"/>
    </x:xf>
    <x:xf numFmtId="0" fontId="2" fillId="3" borderId="20" xfId="0" applyNumberFormat="1" applyFont="1" applyFill="1" applyBorder="1" applyAlignment="1">
      <x:alignment vertical="top" wrapText="1"/>
    </x:xf>
    <x:xf numFmtId="0" fontId="2" fillId="3" borderId="21" xfId="0" applyNumberFormat="1" applyFont="1" applyFill="1" applyBorder="1" applyAlignment="1">
      <x:alignment vertical="top" wrapText="1"/>
    </x:xf>
    <x:xf numFmtId="0" fontId="2" fillId="3" borderId="2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4" xfId="0" applyNumberFormat="1" applyFont="1" applyFill="1" applyBorder="1"/>
    <x:xf numFmtId="0" fontId="2" fillId="4" borderId="25" xfId="0" applyNumberFormat="1" applyFont="1" applyFill="1" applyBorder="1"/>
    <x:xf numFmtId="0" fontId="2" fillId="4" borderId="26" xfId="0" applyNumberFormat="1" applyFont="1" applyFill="1" applyBorder="1"/>
    <x:xf numFmtId="0" fontId="2" fillId="4" borderId="24" xfId="0" applyNumberFormat="1" applyFont="1" applyFill="1" applyBorder="1" applyAlignment="1">
      <x:alignment wrapText="1"/>
    </x:xf>
    <x:xf numFmtId="0" fontId="2" fillId="4" borderId="25" xfId="0" applyNumberFormat="1" applyFont="1" applyFill="1" applyBorder="1" applyAlignment="1">
      <x:alignment wrapText="1"/>
    </x:xf>
    <x:xf numFmtId="0" fontId="2" fillId="4" borderId="26" xfId="0" applyNumberFormat="1" applyFont="1" applyFill="1" applyBorder="1" applyAlignment="1">
      <x:alignment wrapText="1"/>
    </x:xf>
    <x:xf numFmtId="0" fontId="2" fillId="4" borderId="24" xfId="0" applyNumberFormat="1" applyFont="1" applyFill="1" applyBorder="1" applyAlignment="1">
      <x:alignment vertical="top" wrapText="1"/>
    </x:xf>
    <x:xf numFmtId="0" fontId="2" fillId="4" borderId="25" xfId="0" applyNumberFormat="1" applyFont="1" applyFill="1" applyBorder="1" applyAlignment="1">
      <x:alignment vertical="top" wrapText="1"/>
    </x:xf>
    <x:xf numFmtId="0" fontId="2" fillId="4" borderId="26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27" xfId="0" applyNumberFormat="1" applyFont="1" applyFill="1" applyBorder="1"/>
    <x:xf numFmtId="0" fontId="2" fillId="4" borderId="28" xfId="0" applyNumberFormat="1" applyFont="1" applyFill="1" applyBorder="1"/>
    <x:xf numFmtId="0" fontId="2" fillId="4" borderId="29" xfId="0" applyNumberFormat="1" applyFont="1" applyFill="1" applyBorder="1"/>
    <x:xf numFmtId="0" fontId="2" fillId="4" borderId="27" xfId="0" applyNumberFormat="1" applyFont="1" applyFill="1" applyBorder="1" applyAlignment="1">
      <x:alignment wrapText="1"/>
    </x:xf>
    <x:xf numFmtId="0" fontId="2" fillId="4" borderId="28" xfId="0" applyNumberFormat="1" applyFont="1" applyFill="1" applyBorder="1" applyAlignment="1">
      <x:alignment wrapText="1"/>
    </x:xf>
    <x:xf numFmtId="0" fontId="2" fillId="4" borderId="29" xfId="0" applyNumberFormat="1" applyFont="1" applyFill="1" applyBorder="1" applyAlignment="1">
      <x:alignment wrapText="1"/>
    </x:xf>
    <x:xf numFmtId="0" fontId="2" fillId="4" borderId="27" xfId="0" applyNumberFormat="1" applyFont="1" applyFill="1" applyBorder="1" applyAlignment="1">
      <x:alignment vertical="top" wrapText="1"/>
    </x:xf>
    <x:xf numFmtId="0" fontId="2" fillId="4" borderId="28" xfId="0" applyNumberFormat="1" applyFont="1" applyFill="1" applyBorder="1" applyAlignment="1">
      <x:alignment vertical="top" wrapText="1"/>
    </x:xf>
    <x:xf numFmtId="0" fontId="2" fillId="4" borderId="29" xfId="0" applyNumberFormat="1" applyFont="1" applyFill="1" applyBorder="1" applyAlignment="1">
      <x:alignment vertical="top" wrapText="1"/>
    </x:xf>
    <x:xf numFmtId="0" fontId="4" fillId="4" borderId="24" xfId="0" applyNumberFormat="1" applyFont="1" applyFill="1" applyBorder="1" applyAlignment="1">
      <x:alignment vertical="top" wrapText="1"/>
    </x:xf>
    <x:xf numFmtId="0" fontId="4" fillId="4" borderId="25" xfId="0" applyNumberFormat="1" applyFont="1" applyFill="1" applyBorder="1" applyAlignment="1">
      <x:alignment vertical="top" wrapText="1"/>
    </x:xf>
    <x:xf numFmtId="0" fontId="4" fillId="4" borderId="26" xfId="0" applyNumberFormat="1" applyFont="1" applyFill="1" applyBorder="1" applyAlignment="1">
      <x:alignment vertical="top" wrapText="1"/>
    </x:xf>
    <x:xf numFmtId="0" fontId="4" fillId="4" borderId="27" xfId="0" applyNumberFormat="1" applyFont="1" applyFill="1" applyBorder="1" applyAlignment="1">
      <x:alignment vertical="top" wrapText="1"/>
    </x:xf>
    <x:xf numFmtId="0" fontId="4" fillId="4" borderId="28" xfId="0" applyNumberFormat="1" applyFont="1" applyFill="1" applyBorder="1" applyAlignment="1">
      <x:alignment vertical="top" wrapText="1"/>
    </x:xf>
    <x:xf numFmtId="0" fontId="4" fillId="4" borderId="29" xfId="0" applyNumberFormat="1" applyFont="1" applyFill="1" applyBorder="1" applyAlignment="1">
      <x:alignment vertical="top" wrapText="1"/>
    </x:xf>
    <x:xf numFmtId="200" fontId="4" fillId="4" borderId="25" xfId="0" applyNumberFormat="1" applyFont="1" applyFill="1" applyBorder="1" applyAlignment="1">
      <x:alignment vertical="top" wrapText="1"/>
    </x:xf>
    <x:xf numFmtId="200" fontId="4" fillId="4" borderId="28" xfId="0" applyNumberFormat="1" applyFont="1" applyFill="1" applyBorder="1" applyAlignment="1">
      <x:alignment vertical="top" wrapText="1"/>
    </x:xf>
    <x:xf numFmtId="201" fontId="4" fillId="4" borderId="25" xfId="0" applyNumberFormat="1" applyFont="1" applyFill="1" applyBorder="1" applyAlignment="1">
      <x:alignment vertical="top" wrapText="1"/>
    </x:xf>
    <x:xf numFmtId="201" fontId="4" fillId="4" borderId="28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9">
    <x:dxf>
      <x:font>
        <x:b/>
        <x:color rgb="FF0D6B4F"/>
      </x:font>
      <x:fill>
        <x:patternFill patternType="solid">
          <x:bgColor rgb="FFDFF4EA"/>
        </x:patternFill>
      </x:fill>
    </x:dxf>
    <x:dxf>
      <x:font>
        <x:b/>
        <x:color rgb="FFA3262A"/>
      </x:font>
      <x:fill>
        <x:patternFill patternType="solid">
          <x:bgColor rgb="FFFBE7E5"/>
        </x:patternFill>
      </x:fill>
    </x:dxf>
    <x:dxf>
      <x:font>
        <x:b/>
        <x:color rgb="FF0D6B4F"/>
      </x:font>
      <x:fill>
        <x:patternFill patternType="solid">
          <x:bgColor rgb="FFDFF4EA"/>
        </x:patternFill>
      </x:fill>
    </x:dxf>
    <x:dxf>
      <x:font>
        <x:b/>
        <x:color rgb="FFA3262A"/>
      </x:font>
      <x:fill>
        <x:patternFill patternType="solid">
          <x:bgColor rgb="FFFBE7E5"/>
        </x:patternFill>
      </x:fill>
    </x:dxf>
    <x:dxf>
      <x:font>
        <x:b/>
        <x:color rgb="FF0D6B4F"/>
      </x:font>
      <x:fill>
        <x:patternFill patternType="solid">
          <x:bgColor rgb="FFDFF4EA"/>
        </x:patternFill>
      </x:fill>
    </x:dxf>
    <x:dxf>
      <x:font>
        <x:b/>
        <x:color rgb="FFA3262A"/>
      </x:font>
      <x:fill>
        <x:patternFill patternType="solid">
          <x:bgColor rgb="FFFBE7E5"/>
        </x:patternFill>
      </x:fill>
    </x:dxf>
    <x:dxf>
      <x:font>
        <x:b/>
        <x:color rgb="FF0D6B4F"/>
      </x:font>
      <x:fill>
        <x:patternFill patternType="solid">
          <x:bgColor rgb="FFDFF4EA"/>
        </x:patternFill>
      </x:fill>
    </x:dxf>
    <x:dxf>
      <x:font>
        <x:b/>
        <x:color rgb="FFA3262A"/>
      </x:font>
      <x:fill>
        <x:patternFill patternType="solid">
          <x:bgColor rgb="FFFBE7E5"/>
        </x:patternFill>
      </x:fill>
    </x:dxf>
    <x:dxf>
      <x:font>
        <x:b/>
        <x:color rgb="FFA3262A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950145030a4304" /><Relationship Type="http://schemas.openxmlformats.org/officeDocument/2006/relationships/theme" Target="/xl/theme/theme1.xml" Id="R3de498a30530403d" /><Relationship Type="http://schemas.openxmlformats.org/officeDocument/2006/relationships/sharedStrings" Target="/xl/sharedStrings.xml" Id="R2631eaaf348f4429" /><Relationship Type="http://schemas.openxmlformats.org/officeDocument/2006/relationships/worksheet" Target="/xl/worksheets/sheet1.xml" Id="R4f53dfa864204784" /><Relationship Type="http://schemas.openxmlformats.org/officeDocument/2006/relationships/worksheet" Target="/xl/worksheets/sheet2.xml" Id="R104bb1b58fb44b38" /><Relationship Type="http://schemas.openxmlformats.org/officeDocument/2006/relationships/worksheet" Target="/xl/worksheets/sheet3.xml" Id="R2baf96f85b6447c9" /><Relationship Type="http://schemas.openxmlformats.org/officeDocument/2006/relationships/worksheet" Target="/xl/worksheets/sheet4.xml" Id="Rb910f1f2bd3c4648" /><Relationship Type="http://schemas.openxmlformats.org/officeDocument/2006/relationships/worksheet" Target="/xl/worksheets/sheet5.xml" Id="R4c4e23fa75b442cc" /><Relationship Type="http://schemas.openxmlformats.org/officeDocument/2006/relationships/worksheet" Target="/xl/worksheets/sheet6.xml" Id="Rf410f2e077f148c6" /><Relationship Type="http://schemas.openxmlformats.org/officeDocument/2006/relationships/worksheet" Target="/xl/worksheets/sheet7.xml" Id="R411e77cb01d44f07" /><Relationship Type="http://schemas.openxmlformats.org/officeDocument/2006/relationships/worksheet" Target="/xl/worksheets/sheet8.xml" Id="Rca33c225e05d44c1" /><Relationship Type="http://schemas.openxmlformats.org/officeDocument/2006/relationships/worksheet" Target="/xl/worksheets/sheet9.xml" Id="R6b02020a22d54fdc" /><Relationship Type="http://schemas.openxmlformats.org/officeDocument/2006/relationships/worksheet" Target="/xl/worksheets/sheet10.xml" Id="R9a791ab164e54edb" /><Relationship Type="http://schemas.openxmlformats.org/officeDocument/2006/relationships/worksheet" Target="/xl/worksheets/sheet11.xml" Id="R7fef0a30769a46fe" /><Relationship Type="http://schemas.openxmlformats.org/officeDocument/2006/relationships/worksheet" Target="/xl/worksheets/sheet12.xml" Id="Rfc86aaea3f8b401d" /><Relationship Type="http://schemas.openxmlformats.org/officeDocument/2006/relationships/worksheet" Target="/xl/worksheets/sheet13.xml" Id="R2e5c6cf73d544ac9" /><Relationship Type="http://schemas.openxmlformats.org/officeDocument/2006/relationships/worksheet" Target="/xl/worksheets/sheet14.xml" Id="R3d3c9551a8a043f8" /><Relationship Type="http://schemas.openxmlformats.org/officeDocument/2006/relationships/worksheet" Target="/xl/worksheets/sheet15.xml" Id="Rd03de8dcfae94d10" /><Relationship Type="http://schemas.openxmlformats.org/officeDocument/2006/relationships/worksheet" Target="/xl/worksheets/sheet16.xml" Id="R295a09e43efe49cc" /><Relationship Type="http://schemas.openxmlformats.org/officeDocument/2006/relationships/worksheet" Target="/xl/worksheets/sheet17.xml" Id="Rdaa9c58ab24f4186" /><Relationship Type="http://schemas.openxmlformats.org/officeDocument/2006/relationships/worksheet" Target="/xl/worksheets/sheet18.xml" Id="R988353056af747c0" /><Relationship Type="http://schemas.openxmlformats.org/officeDocument/2006/relationships/worksheet" Target="/xl/worksheets/sheet19.xml" Id="R7ff11950513f4609" /><Relationship Type="http://schemas.openxmlformats.org/officeDocument/2006/relationships/worksheet" Target="/xl/worksheets/sheet20.xml" Id="Rd41c2857b46542c5" /><Relationship Type="http://schemas.openxmlformats.org/officeDocument/2006/relationships/worksheet" Target="/xl/worksheets/sheet21.xml" Id="R5be9d1dd78354ce0" /><Relationship Type="http://schemas.openxmlformats.org/officeDocument/2006/relationships/worksheet" Target="/xl/worksheets/sheet22.xml" Id="R3ebb7b1bae474b8a" /><Relationship Type="http://schemas.openxmlformats.org/officeDocument/2006/relationships/worksheet" Target="/xl/worksheets/sheet23.xml" Id="Ra77d9c34f5cf4c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4c3ca8e1f748c9" /><Relationship Type="http://schemas.openxmlformats.org/officeDocument/2006/relationships/chart" Target="/xl/drawings/charts/chart2.xml" Id="Rc8ff336d2602440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f2da59aa8f7407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611f9f6b203a485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Pipeline by Stage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'Dashboard'!$N$4:$N$12</c:f>
              <c:strCache>
                <c:ptCount val="0"/>
              </c:strCache>
            </c:strRef>
          </c:cat>
          <c:val>
            <c:numRef>
              <c:f>'Dashboard'!$O$4:$O$12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rot="-1800000" anchorCtr="1"/>
          <a:lstStyle xmlns:a="http://schemas.openxmlformats.org/drawingml/2006/main"/>
          <a:p xmlns:a="http://schemas.openxmlformats.org/drawingml/2006/main">
            <a:pPr>
              <a:defRPr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Offer Price Architecture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Price</c:v>
          </c:tx>
          <c:cat>
            <c:strRef>
              <c:f>'Dashboard'!$Q$4:$Q$9</c:f>
              <c:strCache>
                <c:ptCount val="0"/>
              </c:strCache>
            </c:strRef>
          </c:cat>
          <c:val>
            <c:numRef>
              <c:f>'Dashboard'!$R$4:$R$9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rot="-1500000" anchorCtr="1"/>
          <a:lstStyle xmlns:a="http://schemas.openxmlformats.org/drawingml/2006/main"/>
          <a:p xmlns:a="http://schemas.openxmlformats.org/drawingml/2006/main">
            <a:pPr>
              <a:defRPr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Required Monthly Funnel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'Pipeline Math'!$D$5:$D$9</c:f>
              <c:strCache>
                <c:ptCount val="0"/>
              </c:strCache>
            </c:strRef>
          </c:cat>
          <c:val>
            <c:numRef>
              <c:f>'Pipeline Math'!$E$5:$E$9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Offer Economics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Price</c:v>
          </c:tx>
          <c:cat>
            <c:strRef>
              <c:f>'Economics'!$A$4:$A$9</c:f>
              <c:strCache>
                <c:ptCount val="0"/>
              </c:strCache>
            </c:strRef>
          </c:cat>
          <c:val>
            <c:numRef>
              <c:f>'Economics'!$B$4:$B$9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Direct Cost</c:v>
          </c:tx>
          <c:cat>
            <c:strRef>
              <c:f>'Economics'!$A$4:$A$9</c:f>
              <c:strCache>
                <c:ptCount val="0"/>
              </c:strCache>
            </c:strRef>
          </c:cat>
          <c:val>
            <c:numRef>
              <c:f>'Economics'!$C$4:$C$9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Gross Profit</c:v>
          </c:tx>
          <c:cat>
            <c:strRef>
              <c:f>'Economics'!$A$4:$A$9</c:f>
              <c:strCache>
                <c:ptCount val="0"/>
              </c:strCache>
            </c:strRef>
          </c:cat>
          <c:val>
            <c:numRef>
              <c:f>'Economics'!$D$4:$D$9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13</xdr:row>
      <xdr:rowOff>0</xdr:rowOff>
    </xdr:from>
    <xdr:to>
      <xdr:col>20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4c3ca8e1f748c9"/>
        </a:graphicData>
      </a:graphic>
    </xdr:graphicFrame>
    <xdr:clientData/>
  </xdr:twoCellAnchor>
  <xdr:twoCellAnchor>
    <xdr:from>
      <xdr:col>13</xdr:col>
      <xdr:colOff>0</xdr:colOff>
      <xdr:row>30</xdr:row>
      <xdr:rowOff>0</xdr:rowOff>
    </xdr:from>
    <xdr:to>
      <xdr:col>20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ff336d2602440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2da59aa8f7407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1f9f6b203a485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162173f1c524c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c5acbfea2f024e9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3.xml" Id="R94ffffe176534ec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40" hidden="0" customWidth="1"/>
    <x:col min="4" max="4" width="16" hidden="0" customWidth="1"/>
    <x:col min="5" max="5" width="18" hidden="0" customWidth="1"/>
    <x:col min="6" max="6" width="24" hidden="0" customWidth="1"/>
    <x:col min="7" max="7" width="28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7" max="17" width="30" hidden="0" customWidth="1"/>
    <x:col min="18" max="18" width="15" hidden="0" customWidth="1"/>
    <x:col min="19" max="19" width="12" hidden="0" customWidth="1"/>
    <x:col min="14" max="14" width="18" hidden="0" customWidth="1"/>
    <x:col min="15" max="15" width="10" hidden="0" customWidth="1"/>
  </x:cols>
  <x:sheetData>
    <x:row r="1" ht="34" customHeight="1">
      <x:c r="A1" s="196" t="str">
        <x:v>GoalOS Autonomous Money Machine Ω - MasterClass, Proof, and Revenue Dashboard</x:v>
      </x:c>
    </x:row>
    <x:row r="2">
      <x:c r="A2" s="197"/>
    </x:row>
    <x:row r="3" ht="30" customHeight="1">
      <x:c r="A3" s="138" t="str">
        <x:v>Program</x:v>
      </x:c>
      <x:c r="B3" s="139" t="str">
        <x:f>'Program Setup'!B4</x:f>
        <x:v>AMM-OMEGA-MC-001</x:v>
      </x:c>
      <x:c r="N3" s="13" t="str">
        <x:v>Pipeline Stage</x:v>
      </x:c>
      <x:c r="O3" s="15" t="str">
        <x:v>Count</x:v>
      </x:c>
      <x:c r="Q3" s="13" t="str">
        <x:v>Offer</x:v>
      </x:c>
      <x:c r="R3" s="14" t="str">
        <x:v>Price</x:v>
      </x:c>
      <x:c r="S3" s="15" t="str">
        <x:v>Capacity</x:v>
      </x:c>
    </x:row>
    <x:row r="4">
      <x:c r="A4" s="140" t="str">
        <x:v>Format</x:v>
      </x:c>
      <x:c r="B4" s="141" t="str">
        <x:f>'Program Setup'!B6</x:f>
        <x:v>Private 3-Hour MasterClass</x:v>
      </x:c>
      <x:c r="N4" s="48" t="str">
        <x:v>Lead</x:v>
      </x:c>
      <x:c r="O4" s="50" t="n">
        <x:f>COUNTIF('Conversion Pipeline'!D4:D203,N4)</x:f>
        <x:v>2</x:v>
      </x:c>
      <x:c r="Q4" s="48" t="str">
        <x:f>'Economics'!A4</x:f>
        <x:v>Frontier Executive Briefing</x:v>
      </x:c>
      <x:c r="R4" s="92" t="n">
        <x:f>'Economics'!B4</x:f>
        <x:v>15000</x:v>
      </x:c>
      <x:c r="S4" s="50" t="str">
        <x:f>'Economics'!F4</x:f>
        <x:v>6</x:v>
      </x:c>
    </x:row>
    <x:row r="5">
      <x:c r="A5" s="140" t="str">
        <x:v>Session Date</x:v>
      </x:c>
      <x:c r="B5" s="141" t="str">
        <x:f>IF('Program Setup'!B7="","",'Program Setup'!B7)</x:f>
      </x:c>
      <x:c r="N5" s="51" t="str">
        <x:v>Qualified</x:v>
      </x:c>
      <x:c r="O5" s="53" t="n">
        <x:f>COUNTIF('Conversion Pipeline'!D4:D203,N5)</x:f>
        <x:v>0</x:v>
      </x:c>
      <x:c r="Q5" s="51" t="str">
        <x:f>'Economics'!A5</x:f>
        <x:v>Private Flagship MasterClass</x:v>
      </x:c>
      <x:c r="R5" s="93" t="n">
        <x:f>'Economics'!B5</x:f>
        <x:v>40000</x:v>
      </x:c>
      <x:c r="S5" s="53" t="str">
        <x:f>'Economics'!F5</x:f>
        <x:v>4</x:v>
      </x:c>
    </x:row>
    <x:row r="6">
      <x:c r="A6" s="140" t="str">
        <x:v>Sponsor</x:v>
      </x:c>
      <x:c r="B6" s="141" t="str">
        <x:f>IF('Program Setup'!B8="","",'Program Setup'!B8)</x:f>
      </x:c>
      <x:c r="N6" s="51" t="str">
        <x:v>Briefing</x:v>
      </x:c>
      <x:c r="O6" s="53" t="n">
        <x:f>COUNTIF('Conversion Pipeline'!D4:D203,N6)</x:f>
        <x:v>0</x:v>
      </x:c>
      <x:c r="Q6" s="51" t="str">
        <x:f>'Economics'!A6</x:f>
        <x:v>Money Machine Design Lab</x:v>
      </x:c>
      <x:c r="R6" s="93" t="n">
        <x:f>'Economics'!B6</x:f>
        <x:v>80000</x:v>
      </x:c>
      <x:c r="S6" s="53" t="str">
        <x:f>'Economics'!F6</x:f>
        <x:v>2</x:v>
      </x:c>
    </x:row>
    <x:row r="7">
      <x:c r="A7" s="140" t="str">
        <x:v>Lead Facilitator</x:v>
      </x:c>
      <x:c r="B7" s="141" t="str">
        <x:f>IF('Program Setup'!B9="","",'Program Setup'!B9)</x:f>
        <x:v>Vincent Boucher</x:v>
      </x:c>
      <x:c r="N7" s="51" t="str">
        <x:v>MasterClass</x:v>
      </x:c>
      <x:c r="O7" s="53" t="n">
        <x:f>COUNTIF('Conversion Pipeline'!D4:D203,N7)</x:f>
        <x:v>1</x:v>
      </x:c>
      <x:c r="Q7" s="51" t="str">
        <x:f>'Economics'!A7</x:f>
        <x:v>Revenue Institution Sprint</x:v>
      </x:c>
      <x:c r="R7" s="93" t="n">
        <x:f>'Economics'!B7</x:f>
        <x:v>175000</x:v>
      </x:c>
      <x:c r="S7" s="53" t="str">
        <x:f>'Economics'!F7</x:f>
        <x:v>1</x:v>
      </x:c>
    </x:row>
    <x:row r="8">
      <x:c r="A8" s="142" t="str">
        <x:v>Primary Objective</x:v>
      </x:c>
      <x:c r="B8" s="143" t="str">
        <x:f>IF('Program Setup'!B11="","",'Program Setup'!B11)</x:f>
        <x:v>Turn one legitimate offer into a proof-to-revenue institution.</x:v>
      </x:c>
      <x:c r="N8" s="51" t="str">
        <x:v>Design Lab</x:v>
      </x:c>
      <x:c r="O8" s="53" t="n">
        <x:f>COUNTIF('Conversion Pipeline'!D4:D203,N8)</x:f>
        <x:v>0</x:v>
      </x:c>
      <x:c r="Q8" s="51" t="str">
        <x:f>'Economics'!A8</x:f>
        <x:v>Proof-to-Revenue Run</x:v>
      </x:c>
      <x:c r="R8" s="93" t="n">
        <x:f>'Economics'!B8</x:f>
        <x:v>350000</x:v>
      </x:c>
      <x:c r="S8" s="53" t="str">
        <x:f>'Economics'!F8</x:f>
        <x:v>1</x:v>
      </x:c>
    </x:row>
    <x:row r="9">
      <x:c r="A9" s="197"/>
      <x:c r="N9" s="51" t="str">
        <x:v>Proposal</x:v>
      </x:c>
      <x:c r="O9" s="53" t="n">
        <x:f>COUNTIF('Conversion Pipeline'!D4:D203,N9)</x:f>
        <x:v>1</x:v>
      </x:c>
      <x:c r="Q9" s="54" t="str">
        <x:f>'Economics'!A9</x:f>
        <x:v>Enterprise Program</x:v>
      </x:c>
      <x:c r="R9" s="94" t="n">
        <x:f>'Economics'!B9</x:f>
        <x:v>750000</x:v>
      </x:c>
      <x:c r="S9" s="56" t="str">
        <x:f>'Economics'!F9</x:f>
        <x:v>0.25</x:v>
      </x:c>
    </x:row>
    <x:row r="10" ht="24" customHeight="1">
      <x:c r="A10" s="198" t="str">
        <x:v>Executive KPIs</x:v>
      </x:c>
      <x:c r="N10" s="51" t="str">
        <x:v>Proof Mission</x:v>
      </x:c>
      <x:c r="O10" s="53" t="n">
        <x:f>COUNTIF('Conversion Pipeline'!D4:D203,N10)</x:f>
        <x:v>0</x:v>
      </x:c>
    </x:row>
    <x:row r="11" ht="30" customHeight="1">
      <x:c r="A11" s="13" t="str">
        <x:v>Registered</x:v>
      </x:c>
      <x:c r="B11" s="14" t="str">
        <x:v>Attended</x:v>
      </x:c>
      <x:c r="C11" s="14" t="str">
        <x:v>Completed</x:v>
      </x:c>
      <x:c r="D11" s="14" t="str">
        <x:v>Qualified Missions</x:v>
      </x:c>
      <x:c r="E11" s="14" t="str">
        <x:v>Mission-Ready</x:v>
      </x:c>
      <x:c r="F11" s="14" t="str">
        <x:v>Pipeline Value</x:v>
      </x:c>
      <x:c r="G11" s="14" t="str">
        <x:v>Weighted Pipeline</x:v>
      </x:c>
      <x:c r="H11" s="14" t="str">
        <x:v>Booked Revenue</x:v>
      </x:c>
      <x:c r="I11" s="14" t="str">
        <x:v>Day-One Completion</x:v>
      </x:c>
      <x:c r="J11" s="14" t="str">
        <x:v>Open Proof Debt</x:v>
      </x:c>
      <x:c r="K11" s="14" t="str">
        <x:v>Accepted Evidence</x:v>
      </x:c>
      <x:c r="L11" s="15" t="str">
        <x:v>Skills Admitted</x:v>
      </x:c>
      <x:c r="N11" s="51" t="str">
        <x:v>Enterprise Pilot</x:v>
      </x:c>
      <x:c r="O11" s="53" t="n">
        <x:f>COUNTIF('Conversion Pipeline'!D4:D203,N11)</x:f>
        <x:v>0</x:v>
      </x:c>
    </x:row>
    <x:row r="12">
      <x:c r="A12" s="186" t="n">
        <x:f>COUNTIF(Participants!J4:J103,"Registered")+COUNTIF(Participants!J4:J103,"Confirmed")+COUNTIF(Participants!J4:J103,"Attended")+COUNTIF(Participants!J4:J103,"Completed")</x:f>
        <x:v>0</x:v>
      </x:c>
      <x:c r="B12" s="187" t="n">
        <x:f>COUNTIF(Participants!J4:J103,"Attended")+COUNTIF(Participants!J4:J103,"Completed")</x:f>
        <x:v>0</x:v>
      </x:c>
      <x:c r="C12" s="187" t="n">
        <x:f>COUNTIF(Participants!J4:J103,"Completed")</x:f>
        <x:v>0</x:v>
      </x:c>
      <x:c r="D12" s="187" t="n">
        <x:f>COUNTIF(Participants!M4:M103,"Design-Ready")+COUNTIF(Participants!M4:M103,"Mission-Ready")+COUNTIF(Participants!M4:M103,"Platform-Ready")</x:f>
        <x:v>0</x:v>
      </x:c>
      <x:c r="E12" s="187" t="n">
        <x:f>COUNTIF(Participants!M4:M103,"Mission-Ready")+COUNTIF(Participants!M4:M103,"Platform-Ready")</x:f>
        <x:v>0</x:v>
      </x:c>
      <x:c r="F12" s="192" t="n">
        <x:f>SUM('Conversion Pipeline'!F4:F203)</x:f>
        <x:v>445000</x:v>
      </x:c>
      <x:c r="G12" s="192" t="n">
        <x:f>SUM('Conversion Pipeline'!H4:H203)</x:f>
        <x:v>154000</x:v>
      </x:c>
      <x:c r="H12" s="192" t="n">
        <x:f>SUMIF('Conversion Pipeline'!D4:D203,"Won",'Conversion Pipeline'!F4:F203)</x:f>
        <x:v>0</x:v>
      </x:c>
      <x:c r="I12" s="194" t="n">
        <x:f>COUNTIF('Day One'!G4:G10,"Done")/COUNTA('Day One'!A4:A10)</x:f>
        <x:v>0</x:v>
      </x:c>
      <x:c r="J12" s="187" t="n">
        <x:f>COUNTIFS('Proof Debt'!A4:A203,"&lt;&gt;",'Proof Debt'!D4:D203,"&lt;&gt;Resolved",'Proof Debt'!D4:D203,"&lt;&gt;Retired")</x:f>
        <x:v>4</x:v>
      </x:c>
      <x:c r="K12" s="187" t="n">
        <x:f>COUNTIF('Evidence Docket'!H4:H203,"Accepted")</x:f>
        <x:v>0</x:v>
      </x:c>
      <x:c r="L12" s="188" t="n">
        <x:f>COUNTIF('Chronicle Skills'!O4:O103,"Admit")+COUNTIF('Chronicle Skills'!O4:O103,"Admit with Scope")</x:f>
        <x:v>0</x:v>
      </x:c>
      <x:c r="N12" s="54" t="str">
        <x:v>Won</x:v>
      </x:c>
      <x:c r="O12" s="56" t="n">
        <x:f>COUNTIF('Conversion Pipeline'!D4:D203,N12)</x:f>
        <x:v>0</x:v>
      </x:c>
    </x:row>
    <x:row r="13">
      <x:c r="A13" s="197"/>
    </x:row>
    <x:row r="14" ht="24" customHeight="1">
      <x:c r="A14" s="198" t="str">
        <x:v>What Happens on Day One?</x:v>
      </x:c>
    </x:row>
    <x:row r="15" ht="30" customHeight="1">
      <x:c r="A15" s="13" t="str">
        <x:v>When</x:v>
      </x:c>
      <x:c r="B15" s="14" t="str">
        <x:v>State Change</x:v>
      </x:c>
      <x:c r="C15" s="14" t="str">
        <x:v>Sponsor Sees</x:v>
      </x:c>
      <x:c r="D15" s="14" t="str">
        <x:v>Status</x:v>
      </x:c>
      <x:c r="E15" s="14" t="str">
        <x:v>Owner</x:v>
      </x:c>
      <x:c r="F15" s="14" t="str">
        <x:v>Blocker</x:v>
      </x:c>
      <x:c r="G15" s="14" t="str">
        <x:v>Next Action</x:v>
      </x:c>
      <x:c r="H15" s="15" t="str">
        <x:v>Due</x:v>
      </x:c>
    </x:row>
    <x:row r="16">
      <x:c r="A16" s="48" t="str">
        <x:v>0-15 min</x:v>
      </x:c>
      <x:c r="B16" s="49" t="str">
        <x:v>Economic objective</x:v>
      </x:c>
      <x:c r="C16" s="49" t="str">
        <x:v>Buyer, outcome, value, trigger, done condition</x:v>
      </x:c>
      <x:c r="D16" s="49" t="str">
        <x:v>Not Started</x:v>
      </x:c>
      <x:c r="E16" s="49" t="str"/>
      <x:c r="F16" s="49" t="str"/>
      <x:c r="G16" s="49" t="str"/>
      <x:c r="H16" s="50" t="str"/>
    </x:row>
    <x:row r="17">
      <x:c r="A17" s="51" t="str">
        <x:v>15-30 min</x:v>
      </x:c>
      <x:c r="B17" s="52" t="str">
        <x:v>Authority + risk</x:v>
      </x:c>
      <x:c r="C17" s="52" t="str">
        <x:v>Approvers, private boundary, unacceptable outcomes</x:v>
      </x:c>
      <x:c r="D17" s="52" t="str">
        <x:v>Not Started</x:v>
      </x:c>
      <x:c r="E17" s="52" t="str"/>
      <x:c r="F17" s="52" t="str"/>
      <x:c r="G17" s="52" t="str"/>
      <x:c r="H17" s="53" t="str"/>
    </x:row>
    <x:row r="18">
      <x:c r="A18" s="51" t="str">
        <x:v>30-60 min</x:v>
      </x:c>
      <x:c r="B18" s="52" t="str">
        <x:v>Revenue institution</x:v>
      </x:c>
      <x:c r="C18" s="52" t="str">
        <x:v>Offer, price, target, capacity, conversion assumptions</x:v>
      </x:c>
      <x:c r="D18" s="52" t="str">
        <x:v>Not Started</x:v>
      </x:c>
      <x:c r="E18" s="52" t="str"/>
      <x:c r="F18" s="52" t="str"/>
      <x:c r="G18" s="52" t="str"/>
      <x:c r="H18" s="53" t="str"/>
    </x:row>
    <x:row r="19">
      <x:c r="A19" s="51" t="str">
        <x:v>Hour 1-2</x:v>
      </x:c>
      <x:c r="B19" s="52" t="str">
        <x:v>Offer + funnel</x:v>
      </x:c>
      <x:c r="C19" s="52" t="str">
        <x:v>Four offers and exact pipeline requirements</x:v>
      </x:c>
      <x:c r="D19" s="52" t="str">
        <x:v>Not Started</x:v>
      </x:c>
      <x:c r="E19" s="52" t="str"/>
      <x:c r="F19" s="52" t="str"/>
      <x:c r="G19" s="52" t="str"/>
      <x:c r="H19" s="53" t="str"/>
    </x:row>
    <x:row r="20">
      <x:c r="A20" s="51" t="str">
        <x:v>Hour 2-4</x:v>
      </x:c>
      <x:c r="B20" s="52" t="str">
        <x:v>Sales system</x:v>
      </x:c>
      <x:c r="C20" s="52" t="str">
        <x:v>Drafts, approvals, anti-spam and claim gates</x:v>
      </x:c>
      <x:c r="D20" s="52" t="str">
        <x:v>Not Started</x:v>
      </x:c>
      <x:c r="E20" s="52" t="str"/>
      <x:c r="F20" s="52" t="str"/>
      <x:c r="G20" s="52" t="str"/>
      <x:c r="H20" s="53" t="str"/>
    </x:row>
    <x:row r="21">
      <x:c r="A21" s="51" t="str">
        <x:v>Hour 4-8</x:v>
      </x:c>
      <x:c r="B21" s="52" t="str">
        <x:v>Proof Mission</x:v>
      </x:c>
      <x:c r="C21" s="52" t="str">
        <x:v>Contract, Proof Debt, jobs, Docket route</x:v>
      </x:c>
      <x:c r="D21" s="52" t="str">
        <x:v>Not Started</x:v>
      </x:c>
      <x:c r="E21" s="52" t="str"/>
      <x:c r="F21" s="52" t="str"/>
      <x:c r="G21" s="52" t="str"/>
      <x:c r="H21" s="53" t="str"/>
    </x:row>
    <x:row r="22">
      <x:c r="A22" s="54" t="str">
        <x:v>End of day</x:v>
      </x:c>
      <x:c r="B22" s="55" t="str">
        <x:v>Sponsor checkpoint</x:v>
      </x:c>
      <x:c r="C22" s="55" t="str">
        <x:v>What is ready, blocked, owned, and next</x:v>
      </x:c>
      <x:c r="D22" s="55" t="str">
        <x:v>Not Started</x:v>
      </x:c>
      <x:c r="E22" s="55" t="str"/>
      <x:c r="F22" s="55" t="str"/>
      <x:c r="G22" s="55" t="str"/>
      <x:c r="H22" s="56" t="str"/>
    </x:row>
    <x:row r="23">
      <x:c r="A23" s="197"/>
    </x:row>
    <x:row r="24">
      <x:c r="A24" s="197"/>
    </x:row>
    <x:row r="25">
      <x:c r="A25" s="197"/>
    </x:row>
    <x:row r="26">
      <x:c r="A26" s="197"/>
    </x:row>
    <x:row r="27">
      <x:c r="A27" s="197"/>
    </x:row>
    <x:row r="28">
      <x:c r="A28" s="197"/>
    </x:row>
    <x:row r="29">
      <x:c r="A29" s="197"/>
    </x:row>
    <x:row r="30">
      <x:c r="A30" s="197"/>
    </x:row>
    <x:row r="31">
      <x:c r="A31" s="197"/>
    </x:row>
    <x:row r="32">
      <x:c r="A32" s="197"/>
    </x:row>
    <x:row r="33">
      <x:c r="A33" s="197"/>
    </x:row>
    <x:row r="34">
      <x:c r="A34" s="197"/>
    </x:row>
    <x:row r="35">
      <x:c r="A35" s="197"/>
    </x:row>
    <x:row r="36">
      <x:c r="A36" s="197"/>
    </x:row>
    <x:row r="37">
      <x:c r="A37" s="197"/>
    </x:row>
    <x:row r="38">
      <x:c r="A38" s="197"/>
    </x:row>
    <x:row r="39">
      <x:c r="A39" s="197"/>
    </x:row>
    <x:row r="40">
      <x:c r="A40" s="197"/>
    </x:row>
    <x:row r="41">
      <x:c r="A41" s="197"/>
    </x:row>
    <x:row r="42">
      <x:c r="A42" s="197"/>
    </x:row>
    <x:row r="43">
      <x:c r="A43" s="197"/>
    </x:row>
    <x:row r="44">
      <x:c r="A44" s="197"/>
    </x:row>
    <x:row r="45">
      <x:c r="A45" s="197"/>
    </x:row>
    <x:row r="46">
      <x:c r="A46" s="197"/>
    </x:row>
    <x:row r="47">
      <x:c r="A47" s="197"/>
    </x:row>
    <x:row r="48">
      <x:c r="A48" s="197"/>
    </x:row>
    <x:row r="49">
      <x:c r="A49" s="197"/>
    </x:row>
    <x:row r="50">
      <x:c r="A50" s="197"/>
    </x:row>
    <x:row r="51">
      <x:c r="A51" s="197"/>
    </x:row>
    <x:row r="52">
      <x:c r="A52" s="197"/>
    </x:row>
    <x:row r="53">
      <x:c r="A53" s="197"/>
    </x:row>
    <x:row r="54">
      <x:c r="A54" s="197"/>
    </x:row>
    <x:row r="55">
      <x:c r="A55" s="197"/>
    </x:row>
    <x:row r="56">
      <x:c r="A56" s="197"/>
    </x:row>
    <x:row r="57">
      <x:c r="A57" s="197"/>
    </x:row>
    <x:row r="58">
      <x:c r="A58" s="197"/>
    </x:row>
    <x:row r="59">
      <x:c r="A59" s="197"/>
    </x:row>
    <x:row r="60">
      <x:c r="A60" s="197"/>
    </x:row>
    <x:row r="61">
      <x:c r="A61" s="197"/>
    </x:row>
    <x:row r="62">
      <x:c r="A62" s="197"/>
    </x:row>
    <x:row r="63">
      <x:c r="A63" s="197"/>
    </x:row>
    <x:row r="64">
      <x:c r="A64" s="197"/>
    </x:row>
    <x:row r="65">
      <x:c r="A65" s="197"/>
    </x:row>
    <x:row r="66">
      <x:c r="A66" s="197"/>
    </x:row>
    <x:row r="67">
      <x:c r="A67" s="197"/>
    </x:row>
    <x:row r="68">
      <x:c r="A68" s="197"/>
    </x:row>
    <x:row r="69">
      <x:c r="A69" s="197"/>
    </x:row>
    <x:row r="70">
      <x:c r="A70" s="197"/>
    </x:row>
    <x:row r="71">
      <x:c r="A71" s="197"/>
    </x:row>
    <x:row r="72">
      <x:c r="A72" s="197"/>
    </x:row>
    <x:row r="73">
      <x:c r="A73" s="197"/>
    </x:row>
    <x:row r="74">
      <x:c r="A74" s="197"/>
    </x:row>
    <x:row r="75">
      <x:c r="A75" s="197"/>
    </x:row>
    <x:row r="76">
      <x:c r="A76" s="197"/>
    </x:row>
    <x:row r="77">
      <x:c r="A77" s="197"/>
    </x:row>
    <x:row r="78">
      <x:c r="A78" s="197"/>
    </x:row>
    <x:row r="79">
      <x:c r="A79" s="197"/>
    </x:row>
    <x:row r="80">
      <x:c r="A80" s="197"/>
    </x:row>
    <x:row r="81">
      <x:c r="A81" s="197"/>
    </x:row>
    <x:row r="82">
      <x:c r="A82" s="197"/>
    </x:row>
    <x:row r="83">
      <x:c r="A83" s="197"/>
    </x:row>
    <x:row r="84">
      <x:c r="A84" s="197"/>
    </x:row>
    <x:row r="85">
      <x:c r="A85" s="197"/>
    </x:row>
    <x:row r="86">
      <x:c r="A86" s="197"/>
    </x:row>
    <x:row r="87">
      <x:c r="A87" s="197"/>
    </x:row>
    <x:row r="88">
      <x:c r="A88" s="197"/>
    </x:row>
    <x:row r="89">
      <x:c r="A89" s="197"/>
    </x:row>
    <x:row r="90">
      <x:c r="A90" s="197"/>
    </x:row>
    <x:row r="91">
      <x:c r="A91" s="197"/>
    </x:row>
    <x:row r="92">
      <x:c r="A92" s="197"/>
    </x:row>
    <x:row r="93">
      <x:c r="A93" s="197"/>
    </x:row>
    <x:row r="94">
      <x:c r="A94" s="197"/>
    </x:row>
    <x:row r="95">
      <x:c r="A95" s="197"/>
    </x:row>
    <x:row r="96">
      <x:c r="A96" s="197"/>
    </x:row>
    <x:row r="97">
      <x:c r="A97" s="197"/>
    </x:row>
    <x:row r="98">
      <x:c r="A98" s="197"/>
    </x:row>
    <x:row r="99">
      <x:c r="A99" s="197"/>
    </x:row>
    <x:row r="100">
      <x:c r="A100" s="197"/>
    </x:row>
    <x:row r="101">
      <x:c r="A101" s="197"/>
    </x:row>
    <x:row r="102">
      <x:c r="A102" s="197"/>
    </x:row>
    <x:row r="103">
      <x:c r="A103" s="197"/>
    </x:row>
    <x:row r="104">
      <x:c r="A104" s="197"/>
    </x:row>
    <x:row r="105">
      <x:c r="A105" s="197"/>
    </x:row>
    <x:row r="106">
      <x:c r="A106" s="197"/>
    </x:row>
    <x:row r="107">
      <x:c r="A107" s="197"/>
    </x:row>
    <x:row r="108">
      <x:c r="A108" s="197"/>
    </x:row>
    <x:row r="109">
      <x:c r="A109" s="197"/>
    </x:row>
    <x:row r="110">
      <x:c r="A110" s="197"/>
    </x:row>
    <x:row r="111">
      <x:c r="A111" s="197"/>
    </x:row>
    <x:row r="112">
      <x:c r="A112" s="197"/>
    </x:row>
    <x:row r="113">
      <x:c r="A113" s="197"/>
    </x:row>
    <x:row r="114">
      <x:c r="A114" s="197"/>
    </x:row>
    <x:row r="115">
      <x:c r="A115" s="197"/>
    </x:row>
    <x:row r="116">
      <x:c r="A116" s="197"/>
    </x:row>
    <x:row r="117">
      <x:c r="A117" s="197"/>
    </x:row>
    <x:row r="118">
      <x:c r="A118" s="197"/>
    </x:row>
    <x:row r="119">
      <x:c r="A119" s="197"/>
    </x:row>
    <x:row r="120">
      <x:c r="A120" s="197"/>
    </x:row>
    <x:row r="121">
      <x:c r="A121" s="197"/>
    </x:row>
    <x:row r="122">
      <x:c r="A122" s="197"/>
    </x:row>
    <x:row r="123">
      <x:c r="A123" s="197"/>
    </x:row>
    <x:row r="124">
      <x:c r="A124" s="197"/>
    </x:row>
    <x:row r="125">
      <x:c r="A125" s="197"/>
    </x:row>
    <x:row r="126">
      <x:c r="A126" s="197"/>
    </x:row>
    <x:row r="127">
      <x:c r="A127" s="197"/>
    </x:row>
    <x:row r="128">
      <x:c r="A128" s="197"/>
    </x:row>
    <x:row r="129">
      <x:c r="A129" s="197"/>
    </x:row>
    <x:row r="130">
      <x:c r="A130" s="197"/>
    </x:row>
    <x:row r="131">
      <x:c r="A131" s="197"/>
    </x:row>
    <x:row r="132">
      <x:c r="A132" s="197"/>
    </x:row>
    <x:row r="133">
      <x:c r="A133" s="197"/>
    </x:row>
    <x:row r="134">
      <x:c r="A134" s="197"/>
    </x:row>
    <x:row r="135">
      <x:c r="A135" s="197"/>
    </x:row>
    <x:row r="136">
      <x:c r="A136" s="197"/>
    </x:row>
    <x:row r="137">
      <x:c r="A137" s="197"/>
    </x:row>
    <x:row r="138">
      <x:c r="A138" s="197"/>
    </x:row>
    <x:row r="139">
      <x:c r="A139" s="197"/>
    </x:row>
    <x:row r="140">
      <x:c r="A140" s="197"/>
    </x:row>
    <x:row r="141">
      <x:c r="A141" s="197"/>
    </x:row>
    <x:row r="142">
      <x:c r="A142" s="197"/>
    </x:row>
    <x:row r="143">
      <x:c r="A143" s="197"/>
    </x:row>
    <x:row r="144">
      <x:c r="A144" s="197"/>
    </x:row>
    <x:row r="145">
      <x:c r="A145" s="197"/>
    </x:row>
    <x:row r="146">
      <x:c r="A146" s="197"/>
    </x:row>
    <x:row r="147">
      <x:c r="A147" s="197"/>
    </x:row>
    <x:row r="148">
      <x:c r="A148" s="197"/>
    </x:row>
    <x:row r="149">
      <x:c r="A149" s="197"/>
    </x:row>
    <x:row r="150">
      <x:c r="A150" s="197"/>
    </x:row>
    <x:row r="151">
      <x:c r="A151" s="197"/>
    </x:row>
    <x:row r="152">
      <x:c r="A152" s="197"/>
    </x:row>
    <x:row r="153">
      <x:c r="A153" s="197"/>
    </x:row>
    <x:row r="154">
      <x:c r="A154" s="197"/>
    </x:row>
    <x:row r="155">
      <x:c r="A155" s="197"/>
    </x:row>
    <x:row r="156">
      <x:c r="A156" s="197"/>
    </x:row>
    <x:row r="157">
      <x:c r="A157" s="197"/>
    </x:row>
    <x:row r="158">
      <x:c r="A158" s="197"/>
    </x:row>
    <x:row r="159">
      <x:c r="A159" s="197"/>
    </x:row>
    <x:row r="160">
      <x:c r="A160" s="197"/>
    </x:row>
    <x:row r="161">
      <x:c r="A161" s="197"/>
    </x:row>
    <x:row r="162">
      <x:c r="A162" s="197"/>
    </x:row>
    <x:row r="163">
      <x:c r="A163" s="197"/>
    </x:row>
    <x:row r="164">
      <x:c r="A164" s="197"/>
    </x:row>
    <x:row r="165">
      <x:c r="A165" s="197"/>
    </x:row>
    <x:row r="166">
      <x:c r="A166" s="197"/>
    </x:row>
    <x:row r="167">
      <x:c r="A167" s="197"/>
    </x:row>
    <x:row r="168">
      <x:c r="A168" s="197"/>
    </x:row>
    <x:row r="169">
      <x:c r="A169" s="197"/>
    </x:row>
    <x:row r="170">
      <x:c r="A170" s="197"/>
    </x:row>
    <x:row r="171">
      <x:c r="A171" s="197"/>
    </x:row>
    <x:row r="172">
      <x:c r="A172" s="197"/>
    </x:row>
    <x:row r="173">
      <x:c r="A173" s="197"/>
    </x:row>
    <x:row r="174">
      <x:c r="A174" s="197"/>
    </x:row>
    <x:row r="175">
      <x:c r="A175" s="197"/>
    </x:row>
    <x:row r="176">
      <x:c r="A176" s="197"/>
    </x:row>
    <x:row r="177">
      <x:c r="A177" s="197"/>
    </x:row>
    <x:row r="178">
      <x:c r="A178" s="197"/>
    </x:row>
    <x:row r="179">
      <x:c r="A179" s="197"/>
    </x:row>
    <x:row r="180">
      <x:c r="A180" s="197"/>
    </x:row>
    <x:row r="181">
      <x:c r="A181" s="197"/>
    </x:row>
    <x:row r="182">
      <x:c r="A182" s="197"/>
    </x:row>
    <x:row r="183">
      <x:c r="A183" s="197"/>
    </x:row>
    <x:row r="184">
      <x:c r="A184" s="197"/>
    </x:row>
    <x:row r="185">
      <x:c r="A185" s="197"/>
    </x:row>
    <x:row r="186">
      <x:c r="A186" s="197"/>
    </x:row>
    <x:row r="187">
      <x:c r="A187" s="197"/>
    </x:row>
    <x:row r="188">
      <x:c r="A188" s="197"/>
    </x:row>
    <x:row r="189">
      <x:c r="A189" s="197"/>
    </x:row>
    <x:row r="190">
      <x:c r="A190" s="197"/>
    </x:row>
    <x:row r="191">
      <x:c r="A191" s="197"/>
    </x:row>
    <x:row r="192">
      <x:c r="A192" s="197"/>
    </x:row>
    <x:row r="193">
      <x:c r="A193" s="197"/>
    </x:row>
    <x:row r="194">
      <x:c r="A194" s="197"/>
    </x:row>
    <x:row r="195">
      <x:c r="A195" s="197"/>
    </x:row>
    <x:row r="196">
      <x:c r="A196" s="197"/>
    </x:row>
    <x:row r="197">
      <x:c r="A197" s="197"/>
    </x:row>
    <x:row r="198">
      <x:c r="A198" s="197"/>
    </x:row>
    <x:row r="199">
      <x:c r="A199" s="197"/>
    </x:row>
    <x:row r="200">
      <x:c r="A200" s="197"/>
    </x:row>
    <x:row r="201">
      <x:c r="A201" s="197"/>
    </x:row>
    <x:row r="202">
      <x:c r="A202" s="197"/>
    </x:row>
    <x:row r="203">
      <x:c r="A203" s="197"/>
    </x:row>
    <x:row r="204">
      <x:c r="A204" s="197"/>
    </x:row>
    <x:row r="205">
      <x:c r="A205" s="197"/>
    </x:row>
    <x:row r="206">
      <x:c r="A206" s="197"/>
    </x:row>
    <x:row r="207">
      <x:c r="A207" s="197"/>
    </x:row>
    <x:row r="208">
      <x:c r="A208" s="197"/>
    </x:row>
    <x:row r="209">
      <x:c r="A209" s="197"/>
    </x:row>
    <x:row r="210">
      <x:c r="A210" s="197"/>
    </x:row>
    <x:row r="211">
      <x:c r="A211" s="197"/>
    </x:row>
    <x:row r="212">
      <x:c r="A212" s="197"/>
    </x:row>
    <x:row r="213">
      <x:c r="A213" s="197"/>
    </x:row>
    <x:row r="214">
      <x:c r="A214" s="197"/>
    </x:row>
    <x:row r="215">
      <x:c r="A215" s="197"/>
    </x:row>
    <x:row r="216">
      <x:c r="A216" s="197"/>
    </x:row>
    <x:row r="217">
      <x:c r="A217" s="197"/>
    </x:row>
    <x:row r="218">
      <x:c r="A218" s="197"/>
    </x:row>
    <x:row r="219">
      <x:c r="A219" s="197"/>
    </x:row>
    <x:row r="220">
      <x:c r="A220" s="197"/>
    </x:row>
    <x:row r="221">
      <x:c r="A221" s="197"/>
    </x:row>
    <x:row r="222">
      <x:c r="A222" s="197"/>
    </x:row>
    <x:row r="223">
      <x:c r="A223" s="197"/>
    </x:row>
    <x:row r="224">
      <x:c r="A224" s="197"/>
    </x:row>
    <x:row r="225">
      <x:c r="A225" s="197"/>
    </x:row>
    <x:row r="226">
      <x:c r="A226" s="197"/>
    </x:row>
    <x:row r="227">
      <x:c r="A227" s="197"/>
    </x:row>
    <x:row r="228">
      <x:c r="A228" s="197"/>
    </x:row>
    <x:row r="229">
      <x:c r="A229" s="197"/>
    </x:row>
    <x:row r="230">
      <x:c r="A230" s="197"/>
    </x:row>
    <x:row r="231">
      <x:c r="A231" s="197"/>
    </x:row>
    <x:row r="232">
      <x:c r="A232" s="197"/>
    </x:row>
    <x:row r="233">
      <x:c r="A233" s="197"/>
    </x:row>
    <x:row r="234">
      <x:c r="A234" s="197"/>
    </x:row>
    <x:row r="235">
      <x:c r="A235" s="197"/>
    </x:row>
    <x:row r="236">
      <x:c r="A236" s="197"/>
    </x:row>
    <x:row r="237">
      <x:c r="A237" s="197"/>
    </x:row>
    <x:row r="238">
      <x:c r="A238" s="197"/>
    </x:row>
    <x:row r="239">
      <x:c r="A239" s="197"/>
    </x:row>
    <x:row r="240">
      <x:c r="A240" s="197"/>
    </x:row>
  </x:sheetData>
  <x:mergeCells>
    <x:mergeCell ref="A1:H1"/>
    <x:mergeCell ref="A10:L10"/>
    <x:mergeCell ref="A14:H14"/>
  </x:mergeCells>
  <x:conditionalFormatting sqref="I12:I12">
    <x:cfRule type="dataBar" priority="1">
      <x:dataBar>
        <x:cfvo type="min"/>
        <x:cfvo type="max"/>
        <x:color rgb="FFD7A748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J12:J12">
    <x:cfRule type="cellIs" dxfId="8" priority="2" operator="greaterThan">
      <x:formula>0</x:formula>
    </x:cfRule>
  </x:conditionalFormatting>
  <x:conditionalFormatting sqref="K12:L12">
    <x:cfRule type="dataBar" priority="3">
      <x:dataBar>
        <x:cfvo type="min"/>
        <x:cfvo type="max"/>
        <x:color rgb="FF0D6B4F"/>
      </x:dataBar>
      <x:extLst>
        <x:ext xmlns:x14="http://schemas.microsoft.com/office/spreadsheetml/2009/9/main" uri="{B025F937-C7B1-47D3-B67F-A62EFF666E3E}">
          <x14:id>{C5593AA7-0028-5BEA-E3E0-8178783C1A47}</x14:id>
        </x:ext>
      </x:extLst>
    </x:cfRule>
  </x:conditionalFormatting>
  <x:dataValidations count="1">
    <x:dataValidation type="list" sqref="D16:D22">
      <x:formula1>"Not Started,In Progress,Blocked,Done"</x:formula1>
    </x:dataValidation>
  </x:dataValidations>
  <x:pageMargins left="0.7" right="0.7" top="0.75" bottom="0.75" header="0.3" footer="0.3"/>
  <x:drawing xmlns:r="http://schemas.openxmlformats.org/officeDocument/2006/relationships" r:id="R4162173f1c524c9a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D7A748"/>
            </x14:dataBar>
          </x14:cfRule>
          <xm:sqref>I12:I12</xm:sqref>
        </x14:conditionalFormatting>
        <x14:conditionalFormatting>
          <x14:cfRule type="dataBar" priority="3" id="{C5593AA7-0028-5BEA-E3E0-8178783C1A47}">
            <x14:dataBar gradient="1">
              <x14:cfvo type="min"/>
              <x14:cfvo type="max"/>
              <x14:fillColor rgb="FF0D6B4F"/>
            </x14:dataBar>
          </x14:cfRule>
          <xm:sqref>K12:L12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 ht="34" customHeight="1">
      <x:c r="A1" s="196" t="str">
        <x:v>GoalOS Autonomous Money Machine Ω Frontier AI MasterClass - Program Setup</x:v>
      </x:c>
    </x:row>
    <x:row r="2">
      <x:c r="A2" s="197"/>
    </x:row>
    <x:row r="3" ht="30" customHeight="1">
      <x:c r="A3" s="13" t="str">
        <x:v>Field</x:v>
      </x:c>
      <x:c r="B3" s="15" t="str">
        <x:v>Value</x:v>
      </x:c>
    </x:row>
    <x:row r="4">
      <x:c r="A4" s="48" t="str">
        <x:v>Program ID</x:v>
      </x:c>
      <x:c r="B4" s="50" t="str">
        <x:v>AMM-OMEGA-MC-001</x:v>
      </x:c>
    </x:row>
    <x:row r="5">
      <x:c r="A5" s="51" t="str">
        <x:v>Program Status</x:v>
      </x:c>
      <x:c r="B5" s="53" t="str">
        <x:v>Draft</x:v>
      </x:c>
    </x:row>
    <x:row r="6">
      <x:c r="A6" s="51" t="str">
        <x:v>Format</x:v>
      </x:c>
      <x:c r="B6" s="53" t="str">
        <x:v>Private 3-Hour MasterClass</x:v>
      </x:c>
    </x:row>
    <x:row r="7">
      <x:c r="A7" s="51" t="str">
        <x:v>Session Date</x:v>
      </x:c>
      <x:c r="B7" s="53" t="str"/>
    </x:row>
    <x:row r="8">
      <x:c r="A8" s="51" t="str">
        <x:v>Executive Sponsor</x:v>
      </x:c>
      <x:c r="B8" s="53" t="str"/>
    </x:row>
    <x:row r="9">
      <x:c r="A9" s="51" t="str">
        <x:v>Lead Facilitator</x:v>
      </x:c>
      <x:c r="B9" s="53" t="str">
        <x:v>Vincent Boucher</x:v>
      </x:c>
    </x:row>
    <x:row r="10">
      <x:c r="A10" s="51" t="str">
        <x:v>Mission Operator</x:v>
      </x:c>
      <x:c r="B10" s="53" t="str"/>
    </x:row>
    <x:row r="11">
      <x:c r="A11" s="51" t="str">
        <x:v>Primary Objective</x:v>
      </x:c>
      <x:c r="B11" s="53" t="str">
        <x:v>Turn one legitimate offer into a proof-to-revenue institution.</x:v>
      </x:c>
    </x:row>
    <x:row r="12">
      <x:c r="A12" s="51" t="str">
        <x:v>Target Audience</x:v>
      </x:c>
      <x:c r="B12" s="53" t="str">
        <x:v>Founders, executives, operators, investors, reviewers</x:v>
      </x:c>
    </x:row>
    <x:row r="13">
      <x:c r="A13" s="51" t="str">
        <x:v>Maximum Participants</x:v>
      </x:c>
      <x:c r="B13" s="53" t="n">
        <x:v>18</x:v>
      </x:c>
    </x:row>
    <x:row r="14">
      <x:c r="A14" s="51" t="str">
        <x:v>Public Price Anchor</x:v>
      </x:c>
      <x:c r="B14" s="90" t="n">
        <x:v>40000</x:v>
      </x:c>
    </x:row>
    <x:row r="15">
      <x:c r="A15" s="51" t="str">
        <x:v>Design Lab Price</x:v>
      </x:c>
      <x:c r="B15" s="90" t="n">
        <x:v>80000</x:v>
      </x:c>
    </x:row>
    <x:row r="16">
      <x:c r="A16" s="51" t="str">
        <x:v>Proof-to-Revenue Run Price</x:v>
      </x:c>
      <x:c r="B16" s="90" t="n">
        <x:v>350000</x:v>
      </x:c>
    </x:row>
    <x:row r="17">
      <x:c r="A17" s="51" t="str">
        <x:v>Claim Boundary</x:v>
      </x:c>
      <x:c r="B17" s="53" t="str">
        <x:v>No guaranteed revenue; no autonomous money movement; external empirical validation pending.</x:v>
      </x:c>
    </x:row>
    <x:row r="18">
      <x:c r="A18" s="54" t="str">
        <x:v>Version</x:v>
      </x:c>
      <x:c r="B18" s="56" t="str">
        <x:v>2.0</x:v>
      </x:c>
    </x:row>
    <x:row r="19">
      <x:c r="A19" s="197"/>
    </x:row>
    <x:row r="20">
      <x:c r="A20" s="197"/>
    </x:row>
    <x:row r="21">
      <x:c r="A21" s="197"/>
    </x:row>
    <x:row r="22">
      <x:c r="A22" s="197"/>
    </x:row>
    <x:row r="23">
      <x:c r="A23" s="197"/>
    </x:row>
    <x:row r="24">
      <x:c r="A24" s="197"/>
    </x:row>
    <x:row r="25">
      <x:c r="A25" s="197"/>
    </x:row>
    <x:row r="26">
      <x:c r="A26" s="197"/>
    </x:row>
    <x:row r="27">
      <x:c r="A27" s="197"/>
    </x:row>
    <x:row r="28">
      <x:c r="A28" s="197"/>
    </x:row>
    <x:row r="29">
      <x:c r="A29" s="197"/>
    </x:row>
    <x:row r="30">
      <x:c r="A30" s="197"/>
    </x:row>
    <x:row r="31">
      <x:c r="A31" s="197"/>
    </x:row>
    <x:row r="32">
      <x:c r="A32" s="197"/>
    </x:row>
    <x:row r="33">
      <x:c r="A33" s="197"/>
    </x:row>
    <x:row r="34">
      <x:c r="A34" s="197"/>
    </x:row>
    <x:row r="35">
      <x:c r="A35" s="197"/>
    </x:row>
    <x:row r="36">
      <x:c r="A36" s="197"/>
    </x:row>
    <x:row r="37">
      <x:c r="A37" s="197"/>
    </x:row>
    <x:row r="38">
      <x:c r="A38" s="197"/>
    </x:row>
    <x:row r="39">
      <x:c r="A39" s="197"/>
    </x:row>
    <x:row r="40">
      <x:c r="A40" s="197"/>
    </x:row>
    <x:row r="41">
      <x:c r="A41" s="197"/>
    </x:row>
    <x:row r="42">
      <x:c r="A42" s="197"/>
    </x:row>
    <x:row r="43">
      <x:c r="A43" s="197"/>
    </x:row>
    <x:row r="44">
      <x:c r="A44" s="197"/>
    </x:row>
    <x:row r="45">
      <x:c r="A45" s="197"/>
    </x:row>
    <x:row r="46">
      <x:c r="A46" s="197"/>
    </x:row>
    <x:row r="47">
      <x:c r="A47" s="197"/>
    </x:row>
    <x:row r="48">
      <x:c r="A48" s="197"/>
    </x:row>
    <x:row r="49">
      <x:c r="A49" s="197"/>
    </x:row>
    <x:row r="50">
      <x:c r="A50" s="197"/>
    </x:row>
    <x:row r="51">
      <x:c r="A51" s="197"/>
    </x:row>
    <x:row r="52">
      <x:c r="A52" s="197"/>
    </x:row>
    <x:row r="53">
      <x:c r="A53" s="197"/>
    </x:row>
    <x:row r="54">
      <x:c r="A54" s="197"/>
    </x:row>
    <x:row r="55">
      <x:c r="A55" s="197"/>
    </x:row>
    <x:row r="56">
      <x:c r="A56" s="197"/>
    </x:row>
    <x:row r="57">
      <x:c r="A57" s="197"/>
    </x:row>
    <x:row r="58">
      <x:c r="A58" s="197"/>
    </x:row>
    <x:row r="59">
      <x:c r="A59" s="197"/>
    </x:row>
    <x:row r="60">
      <x:c r="A60" s="197"/>
    </x:row>
    <x:row r="61">
      <x:c r="A61" s="197"/>
    </x:row>
    <x:row r="62">
      <x:c r="A62" s="197"/>
    </x:row>
    <x:row r="63">
      <x:c r="A63" s="197"/>
    </x:row>
    <x:row r="64">
      <x:c r="A64" s="197"/>
    </x:row>
    <x:row r="65">
      <x:c r="A65" s="197"/>
    </x:row>
    <x:row r="66">
      <x:c r="A66" s="197"/>
    </x:row>
    <x:row r="67">
      <x:c r="A67" s="197"/>
    </x:row>
    <x:row r="68">
      <x:c r="A68" s="197"/>
    </x:row>
    <x:row r="69">
      <x:c r="A69" s="197"/>
    </x:row>
    <x:row r="70">
      <x:c r="A70" s="197"/>
    </x:row>
    <x:row r="71">
      <x:c r="A71" s="197"/>
    </x:row>
    <x:row r="72">
      <x:c r="A72" s="197"/>
    </x:row>
    <x:row r="73">
      <x:c r="A73" s="197"/>
    </x:row>
    <x:row r="74">
      <x:c r="A74" s="197"/>
    </x:row>
    <x:row r="75">
      <x:c r="A75" s="197"/>
    </x:row>
    <x:row r="76">
      <x:c r="A76" s="197"/>
    </x:row>
    <x:row r="77">
      <x:c r="A77" s="197"/>
    </x:row>
    <x:row r="78">
      <x:c r="A78" s="197"/>
    </x:row>
    <x:row r="79">
      <x:c r="A79" s="197"/>
    </x:row>
    <x:row r="80">
      <x:c r="A80" s="197"/>
    </x:row>
    <x:row r="81">
      <x:c r="A81" s="197"/>
    </x:row>
    <x:row r="82">
      <x:c r="A82" s="197"/>
    </x:row>
    <x:row r="83">
      <x:c r="A83" s="197"/>
    </x:row>
    <x:row r="84">
      <x:c r="A84" s="197"/>
    </x:row>
    <x:row r="85">
      <x:c r="A85" s="197"/>
    </x:row>
    <x:row r="86">
      <x:c r="A86" s="197"/>
    </x:row>
    <x:row r="87">
      <x:c r="A87" s="197"/>
    </x:row>
    <x:row r="88">
      <x:c r="A88" s="197"/>
    </x:row>
    <x:row r="89">
      <x:c r="A89" s="197"/>
    </x:row>
    <x:row r="90">
      <x:c r="A90" s="197"/>
    </x:row>
    <x:row r="91">
      <x:c r="A91" s="197"/>
    </x:row>
    <x:row r="92">
      <x:c r="A92" s="197"/>
    </x:row>
    <x:row r="93">
      <x:c r="A93" s="197"/>
    </x:row>
    <x:row r="94">
      <x:c r="A94" s="197"/>
    </x:row>
    <x:row r="95">
      <x:c r="A95" s="197"/>
    </x:row>
    <x:row r="96">
      <x:c r="A96" s="197"/>
    </x:row>
    <x:row r="97">
      <x:c r="A97" s="197"/>
    </x:row>
    <x:row r="98">
      <x:c r="A98" s="197"/>
    </x:row>
    <x:row r="99">
      <x:c r="A99" s="197"/>
    </x:row>
    <x:row r="100">
      <x:c r="A100" s="197"/>
    </x:row>
    <x:row r="101">
      <x:c r="A101" s="197"/>
    </x:row>
    <x:row r="102">
      <x:c r="A102" s="197"/>
    </x:row>
    <x:row r="103">
      <x:c r="A103" s="197"/>
    </x:row>
    <x:row r="104">
      <x:c r="A104" s="197"/>
    </x:row>
    <x:row r="105">
      <x:c r="A105" s="197"/>
    </x:row>
    <x:row r="106">
      <x:c r="A106" s="197"/>
    </x:row>
    <x:row r="107">
      <x:c r="A107" s="197"/>
    </x:row>
    <x:row r="108">
      <x:c r="A108" s="197"/>
    </x:row>
    <x:row r="109">
      <x:c r="A109" s="197"/>
    </x:row>
    <x:row r="110">
      <x:c r="A110" s="197"/>
    </x:row>
    <x:row r="111">
      <x:c r="A111" s="197"/>
    </x:row>
    <x:row r="112">
      <x:c r="A112" s="197"/>
    </x:row>
    <x:row r="113">
      <x:c r="A113" s="197"/>
    </x:row>
    <x:row r="114">
      <x:c r="A114" s="197"/>
    </x:row>
    <x:row r="115">
      <x:c r="A115" s="197"/>
    </x:row>
    <x:row r="116">
      <x:c r="A116" s="197"/>
    </x:row>
    <x:row r="117">
      <x:c r="A117" s="197"/>
    </x:row>
    <x:row r="118">
      <x:c r="A118" s="197"/>
    </x:row>
    <x:row r="119">
      <x:c r="A119" s="197"/>
    </x:row>
    <x:row r="120">
      <x:c r="A120" s="197"/>
    </x:row>
    <x:row r="121">
      <x:c r="A121" s="197"/>
    </x:row>
    <x:row r="122">
      <x:c r="A122" s="197"/>
    </x:row>
    <x:row r="123">
      <x:c r="A123" s="197"/>
    </x:row>
    <x:row r="124">
      <x:c r="A124" s="197"/>
    </x:row>
    <x:row r="125">
      <x:c r="A125" s="197"/>
    </x:row>
    <x:row r="126">
      <x:c r="A126" s="197"/>
    </x:row>
    <x:row r="127">
      <x:c r="A127" s="197"/>
    </x:row>
    <x:row r="128">
      <x:c r="A128" s="197"/>
    </x:row>
    <x:row r="129">
      <x:c r="A129" s="197"/>
    </x:row>
    <x:row r="130">
      <x:c r="A130" s="197"/>
    </x:row>
    <x:row r="131">
      <x:c r="A131" s="197"/>
    </x:row>
    <x:row r="132">
      <x:c r="A132" s="197"/>
    </x:row>
    <x:row r="133">
      <x:c r="A133" s="197"/>
    </x:row>
    <x:row r="134">
      <x:c r="A134" s="197"/>
    </x:row>
    <x:row r="135">
      <x:c r="A135" s="197"/>
    </x:row>
    <x:row r="136">
      <x:c r="A136" s="197"/>
    </x:row>
    <x:row r="137">
      <x:c r="A137" s="197"/>
    </x:row>
    <x:row r="138">
      <x:c r="A138" s="197"/>
    </x:row>
    <x:row r="139">
      <x:c r="A139" s="197"/>
    </x:row>
    <x:row r="140">
      <x:c r="A140" s="197"/>
    </x:row>
    <x:row r="141">
      <x:c r="A141" s="197"/>
    </x:row>
    <x:row r="142">
      <x:c r="A142" s="197"/>
    </x:row>
    <x:row r="143">
      <x:c r="A143" s="197"/>
    </x:row>
    <x:row r="144">
      <x:c r="A144" s="197"/>
    </x:row>
    <x:row r="145">
      <x:c r="A145" s="197"/>
    </x:row>
    <x:row r="146">
      <x:c r="A146" s="197"/>
    </x:row>
    <x:row r="147">
      <x:c r="A147" s="197"/>
    </x:row>
    <x:row r="148">
      <x:c r="A148" s="197"/>
    </x:row>
    <x:row r="149">
      <x:c r="A149" s="197"/>
    </x:row>
    <x:row r="150">
      <x:c r="A150" s="197"/>
    </x:row>
    <x:row r="151">
      <x:c r="A151" s="197"/>
    </x:row>
    <x:row r="152">
      <x:c r="A152" s="197"/>
    </x:row>
    <x:row r="153">
      <x:c r="A153" s="197"/>
    </x:row>
    <x:row r="154">
      <x:c r="A154" s="197"/>
    </x:row>
    <x:row r="155">
      <x:c r="A155" s="197"/>
    </x:row>
    <x:row r="156">
      <x:c r="A156" s="197"/>
    </x:row>
    <x:row r="157">
      <x:c r="A157" s="197"/>
    </x:row>
    <x:row r="158">
      <x:c r="A158" s="197"/>
    </x:row>
    <x:row r="159">
      <x:c r="A159" s="197"/>
    </x:row>
    <x:row r="160">
      <x:c r="A160" s="197"/>
    </x:row>
    <x:row r="161">
      <x:c r="A161" s="197"/>
    </x:row>
    <x:row r="162">
      <x:c r="A162" s="197"/>
    </x:row>
    <x:row r="163">
      <x:c r="A163" s="197"/>
    </x:row>
    <x:row r="164">
      <x:c r="A164" s="197"/>
    </x:row>
    <x:row r="165">
      <x:c r="A165" s="197"/>
    </x:row>
    <x:row r="166">
      <x:c r="A166" s="197"/>
    </x:row>
    <x:row r="167">
      <x:c r="A167" s="197"/>
    </x:row>
    <x:row r="168">
      <x:c r="A168" s="197"/>
    </x:row>
    <x:row r="169">
      <x:c r="A169" s="197"/>
    </x:row>
    <x:row r="170">
      <x:c r="A170" s="197"/>
    </x:row>
    <x:row r="171">
      <x:c r="A171" s="197"/>
    </x:row>
    <x:row r="172">
      <x:c r="A172" s="197"/>
    </x:row>
    <x:row r="173">
      <x:c r="A173" s="197"/>
    </x:row>
    <x:row r="174">
      <x:c r="A174" s="197"/>
    </x:row>
    <x:row r="175">
      <x:c r="A175" s="197"/>
    </x:row>
    <x:row r="176">
      <x:c r="A176" s="197"/>
    </x:row>
    <x:row r="177">
      <x:c r="A177" s="197"/>
    </x:row>
    <x:row r="178">
      <x:c r="A178" s="197"/>
    </x:row>
    <x:row r="179">
      <x:c r="A179" s="197"/>
    </x:row>
    <x:row r="180">
      <x:c r="A180" s="197"/>
    </x:row>
    <x:row r="181">
      <x:c r="A181" s="197"/>
    </x:row>
    <x:row r="182">
      <x:c r="A182" s="197"/>
    </x:row>
    <x:row r="183">
      <x:c r="A183" s="197"/>
    </x:row>
    <x:row r="184">
      <x:c r="A184" s="197"/>
    </x:row>
    <x:row r="185">
      <x:c r="A185" s="197"/>
    </x:row>
    <x:row r="186">
      <x:c r="A186" s="197"/>
    </x:row>
    <x:row r="187">
      <x:c r="A187" s="197"/>
    </x:row>
    <x:row r="188">
      <x:c r="A188" s="197"/>
    </x:row>
    <x:row r="189">
      <x:c r="A189" s="197"/>
    </x:row>
    <x:row r="190">
      <x:c r="A190" s="197"/>
    </x:row>
    <x:row r="191">
      <x:c r="A191" s="197"/>
    </x:row>
    <x:row r="192">
      <x:c r="A192" s="197"/>
    </x:row>
    <x:row r="193">
      <x:c r="A193" s="197"/>
    </x:row>
    <x:row r="194">
      <x:c r="A194" s="197"/>
    </x:row>
    <x:row r="195">
      <x:c r="A195" s="197"/>
    </x:row>
    <x:row r="196">
      <x:c r="A196" s="197"/>
    </x:row>
    <x:row r="197">
      <x:c r="A197" s="197"/>
    </x:row>
    <x:row r="198">
      <x:c r="A198" s="197"/>
    </x:row>
    <x:row r="199">
      <x:c r="A199" s="197"/>
    </x:row>
    <x:row r="200">
      <x:c r="A200" s="197"/>
    </x:row>
    <x:row r="201">
      <x:c r="A201" s="197"/>
    </x:row>
    <x:row r="202">
      <x:c r="A202" s="197"/>
    </x:row>
    <x:row r="203">
      <x:c r="A203" s="197"/>
    </x:row>
    <x:row r="204">
      <x:c r="A204" s="197"/>
    </x:row>
    <x:row r="205">
      <x:c r="A205" s="197"/>
    </x:row>
    <x:row r="206">
      <x:c r="A206" s="197"/>
    </x:row>
    <x:row r="207">
      <x:c r="A207" s="197"/>
    </x:row>
    <x:row r="208">
      <x:c r="A208" s="197"/>
    </x:row>
    <x:row r="209">
      <x:c r="A209" s="197"/>
    </x:row>
    <x:row r="210">
      <x:c r="A210" s="197"/>
    </x:row>
    <x:row r="211">
      <x:c r="A211" s="197"/>
    </x:row>
    <x:row r="212">
      <x:c r="A212" s="197"/>
    </x:row>
    <x:row r="213">
      <x:c r="A213" s="197"/>
    </x:row>
    <x:row r="214">
      <x:c r="A214" s="197"/>
    </x:row>
    <x:row r="215">
      <x:c r="A215" s="197"/>
    </x:row>
    <x:row r="216">
      <x:c r="A216" s="197"/>
    </x:row>
    <x:row r="217">
      <x:c r="A217" s="197"/>
    </x:row>
    <x:row r="218">
      <x:c r="A218" s="197"/>
    </x:row>
    <x:row r="219">
      <x:c r="A219" s="197"/>
    </x:row>
    <x:row r="220">
      <x:c r="A220" s="197"/>
    </x:row>
    <x:row r="221">
      <x:c r="A221" s="197"/>
    </x:row>
    <x:row r="222">
      <x:c r="A222" s="197"/>
    </x:row>
    <x:row r="223">
      <x:c r="A223" s="197"/>
    </x:row>
    <x:row r="224">
      <x:c r="A224" s="197"/>
    </x:row>
    <x:row r="225">
      <x:c r="A225" s="197"/>
    </x:row>
    <x:row r="226">
      <x:c r="A226" s="197"/>
    </x:row>
    <x:row r="227">
      <x:c r="A227" s="197"/>
    </x:row>
    <x:row r="228">
      <x:c r="A228" s="197"/>
    </x:row>
    <x:row r="229">
      <x:c r="A229" s="197"/>
    </x:row>
    <x:row r="230">
      <x:c r="A230" s="197"/>
    </x:row>
    <x:row r="231">
      <x:c r="A231" s="197"/>
    </x:row>
    <x:row r="232">
      <x:c r="A232" s="197"/>
    </x:row>
    <x:row r="233">
      <x:c r="A233" s="197"/>
    </x:row>
    <x:row r="234">
      <x:c r="A234" s="197"/>
    </x:row>
    <x:row r="235">
      <x:c r="A235" s="197"/>
    </x:row>
    <x:row r="236">
      <x:c r="A236" s="197"/>
    </x:row>
    <x:row r="237">
      <x:c r="A237" s="197"/>
    </x:row>
    <x:row r="238">
      <x:c r="A238" s="197"/>
    </x:row>
    <x:row r="239">
      <x:c r="A239" s="197"/>
    </x:row>
    <x:row r="240">
      <x:c r="A240" s="197"/>
    </x:row>
  </x:sheetData>
  <x:mergeCells>
    <x:mergeCell ref="A1:H1"/>
  </x:mergeCells>
  <x:dataValidations count="1">
    <x:dataValidation type="list" sqref="B5">
      <x:formula1>Lists!$C$2:$C$7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0" hidden="0" customWidth="1"/>
    <x:col min="4" max="4" width="10" hidden="0" customWidth="1"/>
    <x:col min="5" max="5" width="25" hidden="0" customWidth="1"/>
    <x:col min="6" max="6" width="30" hidden="0" customWidth="1"/>
    <x:col min="7" max="7" width="34" hidden="0" customWidth="1"/>
    <x:col min="8" max="8" width="30" hidden="0" customWidth="1"/>
    <x:col min="9" max="9" width="14" hidden="0" customWidth="1"/>
  </x:cols>
  <x:sheetData>
    <x:row r="1" ht="34" customHeight="1">
      <x:c r="A1" s="196" t="str">
        <x:v>Three-Hour Flagship Run of Show</x:v>
      </x:c>
    </x:row>
    <x:row r="2">
      <x:c r="A2" s="197"/>
    </x:row>
    <x:row r="3" ht="30" customHeight="1">
      <x:c r="A3" s="13" t="str">
        <x:v>Order</x:v>
      </x:c>
      <x:c r="B3" s="14" t="str">
        <x:v>Start</x:v>
      </x:c>
      <x:c r="C3" s="14" t="str">
        <x:v>End</x:v>
      </x:c>
      <x:c r="D3" s="14" t="str">
        <x:v>Minutes</x:v>
      </x:c>
      <x:c r="E3" s="14" t="str">
        <x:v>Segment</x:v>
      </x:c>
      <x:c r="F3" s="14" t="str">
        <x:v>Purpose</x:v>
      </x:c>
      <x:c r="G3" s="14" t="str">
        <x:v>Facilitator Action</x:v>
      </x:c>
      <x:c r="H3" s="14" t="str">
        <x:v>Participant Output</x:v>
      </x:c>
      <x:c r="I3" s="15" t="str">
        <x:v>Status</x:v>
      </x:c>
    </x:row>
    <x:row r="4">
      <x:c r="A4" s="48" t="n">
        <x:v>1</x:v>
      </x:c>
      <x:c r="B4" s="49" t="str">
        <x:v>0:00</x:v>
      </x:c>
      <x:c r="C4" s="49" t="str">
        <x:v>0:12</x:v>
      </x:c>
      <x:c r="D4" s="49" t="n">
        <x:v>12</x:v>
      </x:c>
      <x:c r="E4" s="49" t="str">
        <x:v>Not money by magic</x:v>
      </x:c>
      <x:c r="F4" s="49" t="str">
        <x:v>Establish the proof-governed economic thesis</x:v>
      </x:c>
      <x:c r="G4" s="49" t="str">
        <x:v>Open with the operating law and claim boundary</x:v>
      </x:c>
      <x:c r="H4" s="49" t="str">
        <x:v>One legitimate commercial objective</x:v>
      </x:c>
      <x:c r="I4" s="50" t="str">
        <x:v>Ready</x:v>
      </x:c>
    </x:row>
    <x:row r="5">
      <x:c r="A5" s="51" t="n">
        <x:v>2</x:v>
      </x:c>
      <x:c r="B5" s="52" t="str">
        <x:v>0:12</x:v>
      </x:c>
      <x:c r="C5" s="52" t="str">
        <x:v>0:30</x:v>
      </x:c>
      <x:c r="D5" s="52" t="n">
        <x:v>18</x:v>
      </x:c>
      <x:c r="E5" s="52" t="str">
        <x:v>Proof as economic infrastructure</x:v>
      </x:c>
      <x:c r="F5" s="52" t="str">
        <x:v>Explain payment, memory, reuse, and compounding</x:v>
      </x:c>
      <x:c r="G5" s="52" t="str">
        <x:v>Walk proof-to-value loop</x:v>
      </x:c>
      <x:c r="H5" s="52" t="str">
        <x:v>Proof-to-value mental model</x:v>
      </x:c>
      <x:c r="I5" s="53" t="str">
        <x:v>Ready</x:v>
      </x:c>
    </x:row>
    <x:row r="6">
      <x:c r="A6" s="51" t="n">
        <x:v>3</x:v>
      </x:c>
      <x:c r="B6" s="52" t="str">
        <x:v>0:30</x:v>
      </x:c>
      <x:c r="C6" s="52" t="str">
        <x:v>0:50</x:v>
      </x:c>
      <x:c r="D6" s="52" t="n">
        <x:v>20</x:v>
      </x:c>
      <x:c r="E6" s="52" t="str">
        <x:v>One-box business formation</x:v>
      </x:c>
      <x:c r="F6" s="52" t="str">
        <x:v>Compile offer, buyer, price, target, and assumptions</x:v>
      </x:c>
      <x:c r="G6" s="52" t="str">
        <x:v>Run application live</x:v>
      </x:c>
      <x:c r="H6" s="52" t="str">
        <x:v>Draft revenue institution</x:v>
      </x:c>
      <x:c r="I6" s="53" t="str">
        <x:v>Ready</x:v>
      </x:c>
    </x:row>
    <x:row r="7">
      <x:c r="A7" s="51" t="n">
        <x:v>4</x:v>
      </x:c>
      <x:c r="B7" s="52" t="str">
        <x:v>0:50</x:v>
      </x:c>
      <x:c r="C7" s="52" t="str">
        <x:v>1:15</x:v>
      </x:c>
      <x:c r="D7" s="52" t="n">
        <x:v>25</x:v>
      </x:c>
      <x:c r="E7" s="52" t="str">
        <x:v>Offer architecture</x:v>
      </x:c>
      <x:c r="F7" s="52" t="str">
        <x:v>Create entry, flagship, recurring, and enterprise offers</x:v>
      </x:c>
      <x:c r="G7" s="52" t="str">
        <x:v>Guide offer-ladder exercise</x:v>
      </x:c>
      <x:c r="H7" s="52" t="str">
        <x:v>Complete offer ladder</x:v>
      </x:c>
      <x:c r="I7" s="53" t="str">
        <x:v>Ready</x:v>
      </x:c>
    </x:row>
    <x:row r="8">
      <x:c r="A8" s="51" t="n">
        <x:v>5</x:v>
      </x:c>
      <x:c r="B8" s="52" t="str">
        <x:v>1:15</x:v>
      </x:c>
      <x:c r="C8" s="52" t="str">
        <x:v>1:38</x:v>
      </x:c>
      <x:c r="D8" s="52" t="n">
        <x:v>23</x:v>
      </x:c>
      <x:c r="E8" s="52" t="str">
        <x:v>Pipeline math and capacity</x:v>
      </x:c>
      <x:c r="F8" s="52" t="str">
        <x:v>Connect target to deals, funnel, margin, and delivery</x:v>
      </x:c>
      <x:c r="G8" s="52" t="str">
        <x:v>Edit assumptions live</x:v>
      </x:c>
      <x:c r="H8" s="52" t="str">
        <x:v>Editable funnel model</x:v>
      </x:c>
      <x:c r="I8" s="53" t="str">
        <x:v>Ready</x:v>
      </x:c>
    </x:row>
    <x:row r="9">
      <x:c r="A9" s="51" t="n">
        <x:v>6</x:v>
      </x:c>
      <x:c r="B9" s="52" t="str">
        <x:v>1:38</x:v>
      </x:c>
      <x:c r="C9" s="52" t="str">
        <x:v>1:48</x:v>
      </x:c>
      <x:c r="D9" s="52" t="n">
        <x:v>10</x:v>
      </x:c>
      <x:c r="E9" s="52" t="str">
        <x:v>Break</x:v>
      </x:c>
      <x:c r="F9" s="52" t="str">
        <x:v>Correct assumptions</x:v>
      </x:c>
      <x:c r="G9" s="52" t="str">
        <x:v>Review workbooks</x:v>
      </x:c>
      <x:c r="H9" s="52" t="str">
        <x:v>Corrections</x:v>
      </x:c>
      <x:c r="I9" s="53" t="str">
        <x:v>Ready</x:v>
      </x:c>
    </x:row>
    <x:row r="10">
      <x:c r="A10" s="51" t="n">
        <x:v>7</x:v>
      </x:c>
      <x:c r="B10" s="52" t="str">
        <x:v>1:48</x:v>
      </x:c>
      <x:c r="C10" s="52" t="str">
        <x:v>2:10</x:v>
      </x:c>
      <x:c r="D10" s="52" t="n">
        <x:v>22</x:v>
      </x:c>
      <x:c r="E10" s="52" t="str">
        <x:v>What happens on day one?</x:v>
      </x:c>
      <x:c r="F10" s="52" t="str">
        <x:v>Make execution concrete</x:v>
      </x:c>
      <x:c r="G10" s="52" t="str">
        <x:v>Walk first-eight-hours plan</x:v>
      </x:c>
      <x:c r="H10" s="52" t="str">
        <x:v>Day-one operating plan</x:v>
      </x:c>
      <x:c r="I10" s="53" t="str">
        <x:v>Ready</x:v>
      </x:c>
    </x:row>
    <x:row r="11">
      <x:c r="A11" s="51" t="n">
        <x:v>8</x:v>
      </x:c>
      <x:c r="B11" s="52" t="str">
        <x:v>2:10</x:v>
      </x:c>
      <x:c r="C11" s="52" t="str">
        <x:v>2:32</x:v>
      </x:c>
      <x:c r="D11" s="52" t="n">
        <x:v>22</x:v>
      </x:c>
      <x:c r="E11" s="52" t="str">
        <x:v>Every sale becomes a Proof Mission</x:v>
      </x:c>
      <x:c r="F11" s="52" t="str">
        <x:v>Design proof-producing delivery</x:v>
      </x:c>
      <x:c r="G11" s="52" t="str">
        <x:v>Create Contract, Debt, jobs, Docket route</x:v>
      </x:c>
      <x:c r="H11" s="52" t="str">
        <x:v>Proof Mission blueprint</x:v>
      </x:c>
      <x:c r="I11" s="53" t="str">
        <x:v>Ready</x:v>
      </x:c>
    </x:row>
    <x:row r="12">
      <x:c r="A12" s="51" t="n">
        <x:v>9</x:v>
      </x:c>
      <x:c r="B12" s="52" t="str">
        <x:v>2:32</x:v>
      </x:c>
      <x:c r="C12" s="52" t="str">
        <x:v>2:48</x:v>
      </x:c>
      <x:c r="D12" s="52" t="n">
        <x:v>16</x:v>
      </x:c>
      <x:c r="E12" s="52" t="str">
        <x:v>Validated Skill and monetization</x:v>
      </x:c>
      <x:c r="F12" s="52" t="str">
        <x:v>Define reusable capability and value paths</x:v>
      </x:c>
      <x:c r="G12" s="52" t="str">
        <x:v>Complete Skill Passport and boundary</x:v>
      </x:c>
      <x:c r="H12" s="52" t="str">
        <x:v>Skill + monetization plan</x:v>
      </x:c>
      <x:c r="I12" s="53" t="str">
        <x:v>Ready</x:v>
      </x:c>
    </x:row>
    <x:row r="13">
      <x:c r="A13" s="51" t="n">
        <x:v>10</x:v>
      </x:c>
      <x:c r="B13" s="52" t="str">
        <x:v>2:48</x:v>
      </x:c>
      <x:c r="C13" s="52" t="str">
        <x:v>2:57</x:v>
      </x:c>
      <x:c r="D13" s="52" t="n">
        <x:v>9</x:v>
      </x:c>
      <x:c r="E13" s="52" t="str">
        <x:v>Treasury reinvestment</x:v>
      </x:c>
      <x:c r="F13" s="52" t="str">
        <x:v>Allocate verified gains</x:v>
      </x:c>
      <x:c r="G13" s="52" t="str">
        <x:v>Select capacity investments</x:v>
      </x:c>
      <x:c r="H13" s="52" t="str">
        <x:v>Reinvestment policy</x:v>
      </x:c>
      <x:c r="I13" s="53" t="str">
        <x:v>Ready</x:v>
      </x:c>
    </x:row>
    <x:row r="14">
      <x:c r="A14" s="54" t="n">
        <x:v>11</x:v>
      </x:c>
      <x:c r="B14" s="55" t="str">
        <x:v>2:57</x:v>
      </x:c>
      <x:c r="C14" s="55" t="str">
        <x:v>3:00</x:v>
      </x:c>
      <x:c r="D14" s="55" t="n">
        <x:v>3</x:v>
      </x:c>
      <x:c r="E14" s="55" t="str">
        <x:v>Commitment</x:v>
      </x:c>
      <x:c r="F14" s="55" t="str">
        <x:v>Secure owner and decision date</x:v>
      </x:c>
      <x:c r="G14" s="55" t="str">
        <x:v>Record next gate</x:v>
      </x:c>
      <x:c r="H14" s="55" t="str">
        <x:v>Owner, next action, decision date</x:v>
      </x:c>
      <x:c r="I14" s="56" t="str">
        <x:v>Ready</x:v>
      </x:c>
    </x:row>
    <x:row r="15">
      <x:c r="A15" s="197"/>
    </x:row>
    <x:row r="16">
      <x:c r="A16" s="197"/>
    </x:row>
    <x:row r="17">
      <x:c r="A17" s="197"/>
    </x:row>
    <x:row r="18">
      <x:c r="A18" s="197"/>
    </x:row>
    <x:row r="19">
      <x:c r="A19" s="197"/>
    </x:row>
    <x:row r="20">
      <x:c r="A20" s="197"/>
    </x:row>
    <x:row r="21">
      <x:c r="A21" s="197"/>
    </x:row>
    <x:row r="22">
      <x:c r="A22" s="197"/>
    </x:row>
    <x:row r="23">
      <x:c r="A23" s="197"/>
    </x:row>
    <x:row r="24">
      <x:c r="A24" s="197"/>
    </x:row>
    <x:row r="25">
      <x:c r="A25" s="197"/>
    </x:row>
    <x:row r="26">
      <x:c r="A26" s="197"/>
    </x:row>
    <x:row r="27">
      <x:c r="A27" s="197"/>
    </x:row>
    <x:row r="28">
      <x:c r="A28" s="197"/>
    </x:row>
    <x:row r="29">
      <x:c r="A29" s="197"/>
    </x:row>
    <x:row r="30">
      <x:c r="A30" s="197"/>
    </x:row>
    <x:row r="31">
      <x:c r="A31" s="197"/>
    </x:row>
    <x:row r="32">
      <x:c r="A32" s="197"/>
    </x:row>
    <x:row r="33">
      <x:c r="A33" s="197"/>
    </x:row>
    <x:row r="34">
      <x:c r="A34" s="197"/>
    </x:row>
    <x:row r="35">
      <x:c r="A35" s="197"/>
    </x:row>
    <x:row r="36">
      <x:c r="A36" s="197"/>
    </x:row>
    <x:row r="37">
      <x:c r="A37" s="197"/>
    </x:row>
    <x:row r="38">
      <x:c r="A38" s="197"/>
    </x:row>
    <x:row r="39">
      <x:c r="A39" s="197"/>
    </x:row>
    <x:row r="40">
      <x:c r="A40" s="197"/>
    </x:row>
    <x:row r="41">
      <x:c r="A41" s="197"/>
    </x:row>
    <x:row r="42">
      <x:c r="A42" s="197"/>
    </x:row>
    <x:row r="43">
      <x:c r="A43" s="197"/>
    </x:row>
    <x:row r="44">
      <x:c r="A44" s="197"/>
    </x:row>
    <x:row r="45">
      <x:c r="A45" s="197"/>
    </x:row>
    <x:row r="46">
      <x:c r="A46" s="197"/>
    </x:row>
    <x:row r="47">
      <x:c r="A47" s="197"/>
    </x:row>
    <x:row r="48">
      <x:c r="A48" s="197"/>
    </x:row>
    <x:row r="49">
      <x:c r="A49" s="197"/>
    </x:row>
    <x:row r="50">
      <x:c r="A50" s="197"/>
    </x:row>
    <x:row r="51">
      <x:c r="A51" s="197"/>
    </x:row>
    <x:row r="52">
      <x:c r="A52" s="197"/>
    </x:row>
    <x:row r="53">
      <x:c r="A53" s="197"/>
    </x:row>
    <x:row r="54">
      <x:c r="A54" s="197"/>
    </x:row>
    <x:row r="55">
      <x:c r="A55" s="197"/>
    </x:row>
    <x:row r="56">
      <x:c r="A56" s="197"/>
    </x:row>
    <x:row r="57">
      <x:c r="A57" s="197"/>
    </x:row>
    <x:row r="58">
      <x:c r="A58" s="197"/>
    </x:row>
    <x:row r="59">
      <x:c r="A59" s="197"/>
    </x:row>
    <x:row r="60">
      <x:c r="A60" s="197"/>
    </x:row>
    <x:row r="61">
      <x:c r="A61" s="197"/>
    </x:row>
    <x:row r="62">
      <x:c r="A62" s="197"/>
    </x:row>
    <x:row r="63">
      <x:c r="A63" s="197"/>
    </x:row>
    <x:row r="64">
      <x:c r="A64" s="197"/>
    </x:row>
    <x:row r="65">
      <x:c r="A65" s="197"/>
    </x:row>
    <x:row r="66">
      <x:c r="A66" s="197"/>
    </x:row>
    <x:row r="67">
      <x:c r="A67" s="197"/>
    </x:row>
    <x:row r="68">
      <x:c r="A68" s="197"/>
    </x:row>
    <x:row r="69">
      <x:c r="A69" s="197"/>
    </x:row>
    <x:row r="70">
      <x:c r="A70" s="197"/>
    </x:row>
    <x:row r="71">
      <x:c r="A71" s="197"/>
    </x:row>
    <x:row r="72">
      <x:c r="A72" s="197"/>
    </x:row>
    <x:row r="73">
      <x:c r="A73" s="197"/>
    </x:row>
    <x:row r="74">
      <x:c r="A74" s="197"/>
    </x:row>
    <x:row r="75">
      <x:c r="A75" s="197"/>
    </x:row>
    <x:row r="76">
      <x:c r="A76" s="197"/>
    </x:row>
    <x:row r="77">
      <x:c r="A77" s="197"/>
    </x:row>
    <x:row r="78">
      <x:c r="A78" s="197"/>
    </x:row>
    <x:row r="79">
      <x:c r="A79" s="197"/>
    </x:row>
    <x:row r="80">
      <x:c r="A80" s="197"/>
    </x:row>
    <x:row r="81">
      <x:c r="A81" s="197"/>
    </x:row>
    <x:row r="82">
      <x:c r="A82" s="197"/>
    </x:row>
    <x:row r="83">
      <x:c r="A83" s="197"/>
    </x:row>
    <x:row r="84">
      <x:c r="A84" s="197"/>
    </x:row>
    <x:row r="85">
      <x:c r="A85" s="197"/>
    </x:row>
    <x:row r="86">
      <x:c r="A86" s="197"/>
    </x:row>
    <x:row r="87">
      <x:c r="A87" s="197"/>
    </x:row>
    <x:row r="88">
      <x:c r="A88" s="197"/>
    </x:row>
    <x:row r="89">
      <x:c r="A89" s="197"/>
    </x:row>
    <x:row r="90">
      <x:c r="A90" s="197"/>
    </x:row>
    <x:row r="91">
      <x:c r="A91" s="197"/>
    </x:row>
    <x:row r="92">
      <x:c r="A92" s="197"/>
    </x:row>
    <x:row r="93">
      <x:c r="A93" s="197"/>
    </x:row>
    <x:row r="94">
      <x:c r="A94" s="197"/>
    </x:row>
    <x:row r="95">
      <x:c r="A95" s="197"/>
    </x:row>
    <x:row r="96">
      <x:c r="A96" s="197"/>
    </x:row>
    <x:row r="97">
      <x:c r="A97" s="197"/>
    </x:row>
    <x:row r="98">
      <x:c r="A98" s="197"/>
    </x:row>
    <x:row r="99">
      <x:c r="A99" s="197"/>
    </x:row>
    <x:row r="100">
      <x:c r="A100" s="197"/>
    </x:row>
    <x:row r="101">
      <x:c r="A101" s="197"/>
    </x:row>
    <x:row r="102">
      <x:c r="A102" s="197"/>
    </x:row>
    <x:row r="103">
      <x:c r="A103" s="197"/>
    </x:row>
    <x:row r="104">
      <x:c r="A104" s="197"/>
    </x:row>
    <x:row r="105">
      <x:c r="A105" s="197"/>
    </x:row>
    <x:row r="106">
      <x:c r="A106" s="197"/>
    </x:row>
    <x:row r="107">
      <x:c r="A107" s="197"/>
    </x:row>
    <x:row r="108">
      <x:c r="A108" s="197"/>
    </x:row>
    <x:row r="109">
      <x:c r="A109" s="197"/>
    </x:row>
    <x:row r="110">
      <x:c r="A110" s="197"/>
    </x:row>
    <x:row r="111">
      <x:c r="A111" s="197"/>
    </x:row>
    <x:row r="112">
      <x:c r="A112" s="197"/>
    </x:row>
    <x:row r="113">
      <x:c r="A113" s="197"/>
    </x:row>
    <x:row r="114">
      <x:c r="A114" s="197"/>
    </x:row>
    <x:row r="115">
      <x:c r="A115" s="197"/>
    </x:row>
    <x:row r="116">
      <x:c r="A116" s="197"/>
    </x:row>
    <x:row r="117">
      <x:c r="A117" s="197"/>
    </x:row>
    <x:row r="118">
      <x:c r="A118" s="197"/>
    </x:row>
    <x:row r="119">
      <x:c r="A119" s="197"/>
    </x:row>
    <x:row r="120">
      <x:c r="A120" s="197"/>
    </x:row>
    <x:row r="121">
      <x:c r="A121" s="197"/>
    </x:row>
    <x:row r="122">
      <x:c r="A122" s="197"/>
    </x:row>
    <x:row r="123">
      <x:c r="A123" s="197"/>
    </x:row>
    <x:row r="124">
      <x:c r="A124" s="197"/>
    </x:row>
    <x:row r="125">
      <x:c r="A125" s="197"/>
    </x:row>
    <x:row r="126">
      <x:c r="A126" s="197"/>
    </x:row>
    <x:row r="127">
      <x:c r="A127" s="197"/>
    </x:row>
    <x:row r="128">
      <x:c r="A128" s="197"/>
    </x:row>
    <x:row r="129">
      <x:c r="A129" s="197"/>
    </x:row>
    <x:row r="130">
      <x:c r="A130" s="197"/>
    </x:row>
    <x:row r="131">
      <x:c r="A131" s="197"/>
    </x:row>
    <x:row r="132">
      <x:c r="A132" s="197"/>
    </x:row>
    <x:row r="133">
      <x:c r="A133" s="197"/>
    </x:row>
    <x:row r="134">
      <x:c r="A134" s="197"/>
    </x:row>
    <x:row r="135">
      <x:c r="A135" s="197"/>
    </x:row>
    <x:row r="136">
      <x:c r="A136" s="197"/>
    </x:row>
    <x:row r="137">
      <x:c r="A137" s="197"/>
    </x:row>
    <x:row r="138">
      <x:c r="A138" s="197"/>
    </x:row>
    <x:row r="139">
      <x:c r="A139" s="197"/>
    </x:row>
    <x:row r="140">
      <x:c r="A140" s="197"/>
    </x:row>
    <x:row r="141">
      <x:c r="A141" s="197"/>
    </x:row>
    <x:row r="142">
      <x:c r="A142" s="197"/>
    </x:row>
    <x:row r="143">
      <x:c r="A143" s="197"/>
    </x:row>
    <x:row r="144">
      <x:c r="A144" s="197"/>
    </x:row>
    <x:row r="145">
      <x:c r="A145" s="197"/>
    </x:row>
    <x:row r="146">
      <x:c r="A146" s="197"/>
    </x:row>
    <x:row r="147">
      <x:c r="A147" s="197"/>
    </x:row>
    <x:row r="148">
      <x:c r="A148" s="197"/>
    </x:row>
    <x:row r="149">
      <x:c r="A149" s="197"/>
    </x:row>
    <x:row r="150">
      <x:c r="A150" s="197"/>
    </x:row>
    <x:row r="151">
      <x:c r="A151" s="197"/>
    </x:row>
    <x:row r="152">
      <x:c r="A152" s="197"/>
    </x:row>
    <x:row r="153">
      <x:c r="A153" s="197"/>
    </x:row>
    <x:row r="154">
      <x:c r="A154" s="197"/>
    </x:row>
    <x:row r="155">
      <x:c r="A155" s="197"/>
    </x:row>
    <x:row r="156">
      <x:c r="A156" s="197"/>
    </x:row>
    <x:row r="157">
      <x:c r="A157" s="197"/>
    </x:row>
    <x:row r="158">
      <x:c r="A158" s="197"/>
    </x:row>
    <x:row r="159">
      <x:c r="A159" s="197"/>
    </x:row>
    <x:row r="160">
      <x:c r="A160" s="197"/>
    </x:row>
    <x:row r="161">
      <x:c r="A161" s="197"/>
    </x:row>
    <x:row r="162">
      <x:c r="A162" s="197"/>
    </x:row>
    <x:row r="163">
      <x:c r="A163" s="197"/>
    </x:row>
    <x:row r="164">
      <x:c r="A164" s="197"/>
    </x:row>
    <x:row r="165">
      <x:c r="A165" s="197"/>
    </x:row>
    <x:row r="166">
      <x:c r="A166" s="197"/>
    </x:row>
    <x:row r="167">
      <x:c r="A167" s="197"/>
    </x:row>
    <x:row r="168">
      <x:c r="A168" s="197"/>
    </x:row>
    <x:row r="169">
      <x:c r="A169" s="197"/>
    </x:row>
    <x:row r="170">
      <x:c r="A170" s="197"/>
    </x:row>
    <x:row r="171">
      <x:c r="A171" s="197"/>
    </x:row>
    <x:row r="172">
      <x:c r="A172" s="197"/>
    </x:row>
    <x:row r="173">
      <x:c r="A173" s="197"/>
    </x:row>
    <x:row r="174">
      <x:c r="A174" s="197"/>
    </x:row>
    <x:row r="175">
      <x:c r="A175" s="197"/>
    </x:row>
    <x:row r="176">
      <x:c r="A176" s="197"/>
    </x:row>
    <x:row r="177">
      <x:c r="A177" s="197"/>
    </x:row>
    <x:row r="178">
      <x:c r="A178" s="197"/>
    </x:row>
    <x:row r="179">
      <x:c r="A179" s="197"/>
    </x:row>
    <x:row r="180">
      <x:c r="A180" s="197"/>
    </x:row>
    <x:row r="181">
      <x:c r="A181" s="197"/>
    </x:row>
    <x:row r="182">
      <x:c r="A182" s="197"/>
    </x:row>
    <x:row r="183">
      <x:c r="A183" s="197"/>
    </x:row>
    <x:row r="184">
      <x:c r="A184" s="197"/>
    </x:row>
    <x:row r="185">
      <x:c r="A185" s="197"/>
    </x:row>
    <x:row r="186">
      <x:c r="A186" s="197"/>
    </x:row>
    <x:row r="187">
      <x:c r="A187" s="197"/>
    </x:row>
    <x:row r="188">
      <x:c r="A188" s="197"/>
    </x:row>
    <x:row r="189">
      <x:c r="A189" s="197"/>
    </x:row>
    <x:row r="190">
      <x:c r="A190" s="197"/>
    </x:row>
    <x:row r="191">
      <x:c r="A191" s="197"/>
    </x:row>
    <x:row r="192">
      <x:c r="A192" s="197"/>
    </x:row>
    <x:row r="193">
      <x:c r="A193" s="197"/>
    </x:row>
    <x:row r="194">
      <x:c r="A194" s="197"/>
    </x:row>
    <x:row r="195">
      <x:c r="A195" s="197"/>
    </x:row>
    <x:row r="196">
      <x:c r="A196" s="197"/>
    </x:row>
    <x:row r="197">
      <x:c r="A197" s="197"/>
    </x:row>
    <x:row r="198">
      <x:c r="A198" s="197"/>
    </x:row>
    <x:row r="199">
      <x:c r="A199" s="197"/>
    </x:row>
    <x:row r="200">
      <x:c r="A200" s="197"/>
    </x:row>
    <x:row r="201">
      <x:c r="A201" s="197"/>
    </x:row>
    <x:row r="202">
      <x:c r="A202" s="197"/>
    </x:row>
    <x:row r="203">
      <x:c r="A203" s="197"/>
    </x:row>
    <x:row r="204">
      <x:c r="A204" s="197"/>
    </x:row>
    <x:row r="205">
      <x:c r="A205" s="197"/>
    </x:row>
    <x:row r="206">
      <x:c r="A206" s="197"/>
    </x:row>
    <x:row r="207">
      <x:c r="A207" s="197"/>
    </x:row>
    <x:row r="208">
      <x:c r="A208" s="197"/>
    </x:row>
    <x:row r="209">
      <x:c r="A209" s="197"/>
    </x:row>
    <x:row r="210">
      <x:c r="A210" s="197"/>
    </x:row>
    <x:row r="211">
      <x:c r="A211" s="197"/>
    </x:row>
    <x:row r="212">
      <x:c r="A212" s="197"/>
    </x:row>
    <x:row r="213">
      <x:c r="A213" s="197"/>
    </x:row>
    <x:row r="214">
      <x:c r="A214" s="197"/>
    </x:row>
    <x:row r="215">
      <x:c r="A215" s="197"/>
    </x:row>
    <x:row r="216">
      <x:c r="A216" s="197"/>
    </x:row>
    <x:row r="217">
      <x:c r="A217" s="197"/>
    </x:row>
    <x:row r="218">
      <x:c r="A218" s="197"/>
    </x:row>
    <x:row r="219">
      <x:c r="A219" s="197"/>
    </x:row>
    <x:row r="220">
      <x:c r="A220" s="197"/>
    </x:row>
    <x:row r="221">
      <x:c r="A221" s="197"/>
    </x:row>
    <x:row r="222">
      <x:c r="A222" s="197"/>
    </x:row>
    <x:row r="223">
      <x:c r="A223" s="197"/>
    </x:row>
    <x:row r="224">
      <x:c r="A224" s="197"/>
    </x:row>
    <x:row r="225">
      <x:c r="A225" s="197"/>
    </x:row>
    <x:row r="226">
      <x:c r="A226" s="197"/>
    </x:row>
    <x:row r="227">
      <x:c r="A227" s="197"/>
    </x:row>
    <x:row r="228">
      <x:c r="A228" s="197"/>
    </x:row>
    <x:row r="229">
      <x:c r="A229" s="197"/>
    </x:row>
    <x:row r="230">
      <x:c r="A230" s="197"/>
    </x:row>
    <x:row r="231">
      <x:c r="A231" s="197"/>
    </x:row>
    <x:row r="232">
      <x:c r="A232" s="197"/>
    </x:row>
    <x:row r="233">
      <x:c r="A233" s="197"/>
    </x:row>
    <x:row r="234">
      <x:c r="A234" s="197"/>
    </x:row>
    <x:row r="235">
      <x:c r="A235" s="197"/>
    </x:row>
    <x:row r="236">
      <x:c r="A236" s="197"/>
    </x:row>
    <x:row r="237">
      <x:c r="A237" s="197"/>
    </x:row>
    <x:row r="238">
      <x:c r="A238" s="197"/>
    </x:row>
    <x:row r="239">
      <x:c r="A239" s="197"/>
    </x:row>
    <x:row r="240">
      <x:c r="A240" s="197"/>
    </x:row>
  </x:sheetData>
  <x:mergeCells>
    <x:mergeCell ref="A1:I1"/>
  </x:mergeCells>
  <x:dataValidations count="1">
    <x:dataValidation type="list" sqref="I4:I100">
      <x:formula1>"Ready,Needs Work,Blocked,Complete"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2" hidden="0" customWidth="1"/>
    <x:col min="4" max="4" width="24" hidden="0" customWidth="1"/>
    <x:col min="5" max="5" width="28" hidden="0" customWidth="1"/>
    <x:col min="6" max="6" width="12" hidden="0" customWidth="1"/>
    <x:col min="7" max="7" width="14" hidden="0" customWidth="1"/>
    <x:col min="8" max="8" width="38" hidden="0" customWidth="1"/>
    <x:col min="9" max="9" width="18" hidden="0" customWidth="1"/>
    <x:col min="10" max="10" width="15" hidden="0" customWidth="1"/>
    <x:col min="11" max="11" width="12" hidden="0" customWidth="1"/>
    <x:col min="12" max="12" width="14" hidden="0" customWidth="1"/>
    <x:col min="13" max="13" width="18" hidden="0" customWidth="1"/>
    <x:col min="14" max="14" width="30" hidden="0" customWidth="1"/>
  </x:cols>
  <x:sheetData>
    <x:row r="1" ht="34" customHeight="1">
      <x:c r="A1" s="196" t="str">
        <x:v>Cohort Roster and Mission Readiness</x:v>
      </x:c>
    </x:row>
    <x:row r="2">
      <x:c r="A2" s="197"/>
    </x:row>
    <x:row r="3" ht="30" customHeight="1">
      <x:c r="A3" s="13" t="str">
        <x:v>Participant ID</x:v>
      </x:c>
      <x:c r="B3" s="14" t="str">
        <x:v>Name</x:v>
      </x:c>
      <x:c r="C3" s="14" t="str">
        <x:v>Role / Title</x:v>
      </x:c>
      <x:c r="D3" s="14" t="str">
        <x:v>Organization</x:v>
      </x:c>
      <x:c r="E3" s="14" t="str">
        <x:v>Email</x:v>
      </x:c>
      <x:c r="F3" s="14" t="str">
        <x:v>Sponsor?</x:v>
      </x:c>
      <x:c r="G3" s="14" t="str">
        <x:v>Decision Owner?</x:v>
      </x:c>
      <x:c r="H3" s="14" t="str">
        <x:v>Objective</x:v>
      </x:c>
      <x:c r="I3" s="14" t="str">
        <x:v>Industry</x:v>
      </x:c>
      <x:c r="J3" s="14" t="str">
        <x:v>Status</x:v>
      </x:c>
      <x:c r="K3" s="14" t="str">
        <x:v>Prework</x:v>
      </x:c>
      <x:c r="L3" s="14" t="str">
        <x:v>Attendance</x:v>
      </x:c>
      <x:c r="M3" s="14" t="str">
        <x:v>Mission Fit</x:v>
      </x:c>
      <x:c r="N3" s="15" t="str">
        <x:v>Notes</x:v>
      </x:c>
    </x:row>
    <x:row r="4">
      <x:c r="A4" s="48" t="str">
        <x:v>P-001</x:v>
      </x:c>
      <x:c r="B4" s="49" t="str"/>
      <x:c r="C4" s="49" t="str"/>
      <x:c r="D4" s="49" t="str"/>
      <x:c r="E4" s="49" t="str"/>
      <x:c r="F4" s="49" t="str">
        <x:v>No</x:v>
      </x:c>
      <x:c r="G4" s="49" t="str">
        <x:v>No</x:v>
      </x:c>
      <x:c r="H4" s="49" t="str"/>
      <x:c r="I4" s="49" t="str"/>
      <x:c r="J4" s="49" t="str">
        <x:v>Invited</x:v>
      </x:c>
      <x:c r="K4" s="49" t="str">
        <x:v>No</x:v>
      </x:c>
      <x:c r="L4" s="49" t="str"/>
      <x:c r="M4" s="49" t="str">
        <x:v>Not Ready</x:v>
      </x:c>
      <x:c r="N4" s="50" t="str"/>
    </x:row>
    <x:row r="5">
      <x:c r="A5" s="51" t="str">
        <x:v>P-002</x:v>
      </x:c>
      <x:c r="B5" s="52" t="str"/>
      <x:c r="C5" s="52" t="str"/>
      <x:c r="D5" s="52" t="str"/>
      <x:c r="E5" s="52" t="str"/>
      <x:c r="F5" s="52" t="str">
        <x:v>No</x:v>
      </x:c>
      <x:c r="G5" s="52" t="str">
        <x:v>No</x:v>
      </x:c>
      <x:c r="H5" s="52" t="str"/>
      <x:c r="I5" s="52" t="str"/>
      <x:c r="J5" s="52" t="str">
        <x:v>Invited</x:v>
      </x:c>
      <x:c r="K5" s="52" t="str">
        <x:v>No</x:v>
      </x:c>
      <x:c r="L5" s="52" t="str"/>
      <x:c r="M5" s="52" t="str">
        <x:v>Not Ready</x:v>
      </x:c>
      <x:c r="N5" s="53" t="str"/>
    </x:row>
    <x:row r="6">
      <x:c r="A6" s="51" t="str">
        <x:v>P-003</x:v>
      </x:c>
      <x:c r="B6" s="52" t="str"/>
      <x:c r="C6" s="52" t="str"/>
      <x:c r="D6" s="52" t="str"/>
      <x:c r="E6" s="52" t="str"/>
      <x:c r="F6" s="52" t="str">
        <x:v>No</x:v>
      </x:c>
      <x:c r="G6" s="52" t="str">
        <x:v>No</x:v>
      </x:c>
      <x:c r="H6" s="52" t="str"/>
      <x:c r="I6" s="52" t="str"/>
      <x:c r="J6" s="52" t="str">
        <x:v>Invited</x:v>
      </x:c>
      <x:c r="K6" s="52" t="str">
        <x:v>No</x:v>
      </x:c>
      <x:c r="L6" s="52" t="str"/>
      <x:c r="M6" s="52" t="str">
        <x:v>Not Ready</x:v>
      </x:c>
      <x:c r="N6" s="53" t="str"/>
    </x:row>
    <x:row r="7">
      <x:c r="A7" s="51" t="str">
        <x:v>P-004</x:v>
      </x:c>
      <x:c r="B7" s="52" t="str"/>
      <x:c r="C7" s="52" t="str"/>
      <x:c r="D7" s="52" t="str"/>
      <x:c r="E7" s="52" t="str"/>
      <x:c r="F7" s="52" t="str">
        <x:v>No</x:v>
      </x:c>
      <x:c r="G7" s="52" t="str">
        <x:v>No</x:v>
      </x:c>
      <x:c r="H7" s="52" t="str"/>
      <x:c r="I7" s="52" t="str"/>
      <x:c r="J7" s="52" t="str">
        <x:v>Invited</x:v>
      </x:c>
      <x:c r="K7" s="52" t="str">
        <x:v>No</x:v>
      </x:c>
      <x:c r="L7" s="52" t="str"/>
      <x:c r="M7" s="52" t="str">
        <x:v>Not Ready</x:v>
      </x:c>
      <x:c r="N7" s="53" t="str"/>
    </x:row>
    <x:row r="8">
      <x:c r="A8" s="51" t="str">
        <x:v>P-005</x:v>
      </x:c>
      <x:c r="B8" s="52" t="str"/>
      <x:c r="C8" s="52" t="str"/>
      <x:c r="D8" s="52" t="str"/>
      <x:c r="E8" s="52" t="str"/>
      <x:c r="F8" s="52" t="str">
        <x:v>No</x:v>
      </x:c>
      <x:c r="G8" s="52" t="str">
        <x:v>No</x:v>
      </x:c>
      <x:c r="H8" s="52" t="str"/>
      <x:c r="I8" s="52" t="str"/>
      <x:c r="J8" s="52" t="str">
        <x:v>Invited</x:v>
      </x:c>
      <x:c r="K8" s="52" t="str">
        <x:v>No</x:v>
      </x:c>
      <x:c r="L8" s="52" t="str"/>
      <x:c r="M8" s="52" t="str">
        <x:v>Not Ready</x:v>
      </x:c>
      <x:c r="N8" s="53" t="str"/>
    </x:row>
    <x:row r="9">
      <x:c r="A9" s="51"/>
      <x:c r="B9" s="52"/>
      <x:c r="C9" s="52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3"/>
    </x:row>
    <x:row r="10">
      <x:c r="A10" s="51"/>
      <x:c r="B10" s="52"/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3"/>
    </x:row>
    <x:row r="11">
      <x:c r="A11" s="51"/>
      <x:c r="B11" s="52"/>
      <x:c r="C11" s="52"/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3"/>
    </x:row>
    <x:row r="12">
      <x:c r="A12" s="51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3"/>
    </x:row>
    <x:row r="13">
      <x:c r="A13" s="51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3"/>
    </x:row>
    <x:row r="14">
      <x:c r="A14" s="51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3"/>
    </x:row>
    <x:row r="15">
      <x:c r="A15" s="51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3"/>
    </x:row>
    <x:row r="16">
      <x:c r="A16" s="51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3"/>
    </x:row>
    <x:row r="17">
      <x:c r="A17" s="51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3"/>
    </x:row>
    <x:row r="18">
      <x:c r="A18" s="51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3"/>
    </x:row>
    <x:row r="19">
      <x:c r="A19" s="51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3"/>
    </x:row>
    <x:row r="20">
      <x:c r="A20" s="51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3"/>
    </x:row>
    <x:row r="21">
      <x:c r="A21" s="51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3"/>
    </x:row>
    <x:row r="22">
      <x:c r="A22" s="51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3"/>
    </x:row>
    <x:row r="23">
      <x:c r="A23" s="51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3"/>
    </x:row>
    <x:row r="24">
      <x:c r="A24" s="51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3"/>
    </x:row>
    <x:row r="25">
      <x:c r="A25" s="51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3"/>
    </x:row>
    <x:row r="26">
      <x:c r="A26" s="51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3"/>
    </x:row>
    <x:row r="27">
      <x:c r="A27" s="51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3"/>
    </x:row>
    <x:row r="28">
      <x:c r="A28" s="51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3"/>
    </x:row>
    <x:row r="29">
      <x:c r="A29" s="51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3"/>
    </x:row>
    <x:row r="30">
      <x:c r="A30" s="51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3"/>
    </x:row>
    <x:row r="31">
      <x:c r="A31" s="51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3"/>
    </x:row>
    <x:row r="32">
      <x:c r="A32" s="51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3"/>
    </x:row>
    <x:row r="33">
      <x:c r="A33" s="51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3"/>
    </x:row>
    <x:row r="34">
      <x:c r="A34" s="51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3"/>
    </x:row>
    <x:row r="35">
      <x:c r="A35" s="51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3"/>
    </x:row>
    <x:row r="36">
      <x:c r="A36" s="51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3"/>
    </x:row>
    <x:row r="37">
      <x:c r="A37" s="51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3"/>
    </x:row>
    <x:row r="38">
      <x:c r="A38" s="51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3"/>
    </x:row>
    <x:row r="39">
      <x:c r="A39" s="51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3"/>
    </x:row>
    <x:row r="40">
      <x:c r="A40" s="51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3"/>
    </x:row>
    <x:row r="41">
      <x:c r="A41" s="51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3"/>
    </x:row>
    <x:row r="42">
      <x:c r="A42" s="51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3"/>
    </x:row>
    <x:row r="43">
      <x:c r="A43" s="51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3"/>
    </x:row>
    <x:row r="44">
      <x:c r="A44" s="51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3"/>
    </x:row>
    <x:row r="45">
      <x:c r="A45" s="51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3"/>
    </x:row>
    <x:row r="46">
      <x:c r="A46" s="51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3"/>
    </x:row>
    <x:row r="47">
      <x:c r="A47" s="51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3"/>
    </x:row>
    <x:row r="48">
      <x:c r="A48" s="51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3"/>
    </x:row>
    <x:row r="49">
      <x:c r="A49" s="51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3"/>
    </x:row>
    <x:row r="50">
      <x:c r="A50" s="51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3"/>
    </x:row>
    <x:row r="51">
      <x:c r="A51" s="51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3"/>
    </x:row>
    <x:row r="52">
      <x:c r="A52" s="51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3"/>
    </x:row>
    <x:row r="53">
      <x:c r="A53" s="51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3"/>
    </x:row>
    <x:row r="54">
      <x:c r="A54" s="51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3"/>
    </x:row>
    <x:row r="55">
      <x:c r="A55" s="51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3"/>
    </x:row>
    <x:row r="56">
      <x:c r="A56" s="51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3"/>
    </x:row>
    <x:row r="57">
      <x:c r="A57" s="51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3"/>
    </x:row>
    <x:row r="58">
      <x:c r="A58" s="51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3"/>
    </x:row>
    <x:row r="59">
      <x:c r="A59" s="51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3"/>
    </x:row>
    <x:row r="60">
      <x:c r="A60" s="51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3"/>
    </x:row>
    <x:row r="61">
      <x:c r="A61" s="51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3"/>
    </x:row>
    <x:row r="62">
      <x:c r="A62" s="51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3"/>
    </x:row>
    <x:row r="63">
      <x:c r="A63" s="51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3"/>
    </x:row>
    <x:row r="64">
      <x:c r="A64" s="51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3"/>
    </x:row>
    <x:row r="65">
      <x:c r="A65" s="51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3"/>
    </x:row>
    <x:row r="66">
      <x:c r="A66" s="51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3"/>
    </x:row>
    <x:row r="67">
      <x:c r="A67" s="51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3"/>
    </x:row>
    <x:row r="68">
      <x:c r="A68" s="51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3"/>
    </x:row>
    <x:row r="69">
      <x:c r="A69" s="51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3"/>
    </x:row>
    <x:row r="70">
      <x:c r="A70" s="51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3"/>
    </x:row>
    <x:row r="71">
      <x:c r="A71" s="51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3"/>
    </x:row>
    <x:row r="72">
      <x:c r="A72" s="51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3"/>
    </x:row>
    <x:row r="73">
      <x:c r="A73" s="51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3"/>
    </x:row>
    <x:row r="74">
      <x:c r="A74" s="51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3"/>
    </x:row>
    <x:row r="75">
      <x:c r="A75" s="51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3"/>
    </x:row>
    <x:row r="76">
      <x:c r="A76" s="51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3"/>
    </x:row>
    <x:row r="77">
      <x:c r="A77" s="51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3"/>
    </x:row>
    <x:row r="78">
      <x:c r="A78" s="51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3"/>
    </x:row>
    <x:row r="79">
      <x:c r="A79" s="51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3"/>
    </x:row>
    <x:row r="80">
      <x:c r="A80" s="51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3"/>
    </x:row>
    <x:row r="81">
      <x:c r="A81" s="51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3"/>
    </x:row>
    <x:row r="82">
      <x:c r="A82" s="51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3"/>
    </x:row>
    <x:row r="83">
      <x:c r="A83" s="51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3"/>
    </x:row>
    <x:row r="84">
      <x:c r="A84" s="51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3"/>
    </x:row>
    <x:row r="85">
      <x:c r="A85" s="51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3"/>
    </x:row>
    <x:row r="86">
      <x:c r="A86" s="51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3"/>
    </x:row>
    <x:row r="87">
      <x:c r="A87" s="51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3"/>
    </x:row>
    <x:row r="88">
      <x:c r="A88" s="51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3"/>
    </x:row>
    <x:row r="89">
      <x:c r="A89" s="51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3"/>
    </x:row>
    <x:row r="90">
      <x:c r="A90" s="51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3"/>
    </x:row>
    <x:row r="91">
      <x:c r="A91" s="51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3"/>
    </x:row>
    <x:row r="92">
      <x:c r="A92" s="51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3"/>
    </x:row>
    <x:row r="93">
      <x:c r="A93" s="51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3"/>
    </x:row>
    <x:row r="94">
      <x:c r="A94" s="51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3"/>
    </x:row>
    <x:row r="95">
      <x:c r="A95" s="51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3"/>
    </x:row>
    <x:row r="96">
      <x:c r="A96" s="51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3"/>
    </x:row>
    <x:row r="97">
      <x:c r="A97" s="51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3"/>
    </x:row>
    <x:row r="98">
      <x:c r="A98" s="51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3"/>
    </x:row>
    <x:row r="99">
      <x:c r="A99" s="51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3"/>
    </x:row>
    <x:row r="100">
      <x:c r="A100" s="51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3"/>
    </x:row>
    <x:row r="101">
      <x:c r="A101" s="51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2"/>
      <x:c r="M101" s="52"/>
      <x:c r="N101" s="53"/>
    </x:row>
    <x:row r="102">
      <x:c r="A102" s="51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2"/>
      <x:c r="M102" s="52"/>
      <x:c r="N102" s="53"/>
    </x:row>
    <x:row r="103">
      <x:c r="A103" s="54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6"/>
    </x:row>
    <x:row r="104">
      <x:c r="A104" s="197"/>
    </x:row>
    <x:row r="105">
      <x:c r="A105" s="197"/>
    </x:row>
    <x:row r="106">
      <x:c r="A106" s="197"/>
    </x:row>
    <x:row r="107">
      <x:c r="A107" s="197"/>
    </x:row>
    <x:row r="108">
      <x:c r="A108" s="197"/>
    </x:row>
    <x:row r="109">
      <x:c r="A109" s="197"/>
    </x:row>
    <x:row r="110">
      <x:c r="A110" s="197"/>
    </x:row>
    <x:row r="111">
      <x:c r="A111" s="197"/>
    </x:row>
    <x:row r="112">
      <x:c r="A112" s="197"/>
    </x:row>
    <x:row r="113">
      <x:c r="A113" s="197"/>
    </x:row>
    <x:row r="114">
      <x:c r="A114" s="197"/>
    </x:row>
    <x:row r="115">
      <x:c r="A115" s="197"/>
    </x:row>
    <x:row r="116">
      <x:c r="A116" s="197"/>
    </x:row>
    <x:row r="117">
      <x:c r="A117" s="197"/>
    </x:row>
    <x:row r="118">
      <x:c r="A118" s="197"/>
    </x:row>
    <x:row r="119">
      <x:c r="A119" s="197"/>
    </x:row>
    <x:row r="120">
      <x:c r="A120" s="197"/>
    </x:row>
    <x:row r="121">
      <x:c r="A121" s="197"/>
    </x:row>
    <x:row r="122">
      <x:c r="A122" s="197"/>
    </x:row>
    <x:row r="123">
      <x:c r="A123" s="197"/>
    </x:row>
    <x:row r="124">
      <x:c r="A124" s="197"/>
    </x:row>
    <x:row r="125">
      <x:c r="A125" s="197"/>
    </x:row>
    <x:row r="126">
      <x:c r="A126" s="197"/>
    </x:row>
    <x:row r="127">
      <x:c r="A127" s="197"/>
    </x:row>
    <x:row r="128">
      <x:c r="A128" s="197"/>
    </x:row>
    <x:row r="129">
      <x:c r="A129" s="197"/>
    </x:row>
    <x:row r="130">
      <x:c r="A130" s="197"/>
    </x:row>
    <x:row r="131">
      <x:c r="A131" s="197"/>
    </x:row>
    <x:row r="132">
      <x:c r="A132" s="197"/>
    </x:row>
    <x:row r="133">
      <x:c r="A133" s="197"/>
    </x:row>
    <x:row r="134">
      <x:c r="A134" s="197"/>
    </x:row>
    <x:row r="135">
      <x:c r="A135" s="197"/>
    </x:row>
    <x:row r="136">
      <x:c r="A136" s="197"/>
    </x:row>
    <x:row r="137">
      <x:c r="A137" s="197"/>
    </x:row>
    <x:row r="138">
      <x:c r="A138" s="197"/>
    </x:row>
    <x:row r="139">
      <x:c r="A139" s="197"/>
    </x:row>
    <x:row r="140">
      <x:c r="A140" s="197"/>
    </x:row>
    <x:row r="141">
      <x:c r="A141" s="197"/>
    </x:row>
    <x:row r="142">
      <x:c r="A142" s="197"/>
    </x:row>
    <x:row r="143">
      <x:c r="A143" s="197"/>
    </x:row>
    <x:row r="144">
      <x:c r="A144" s="197"/>
    </x:row>
    <x:row r="145">
      <x:c r="A145" s="197"/>
    </x:row>
    <x:row r="146">
      <x:c r="A146" s="197"/>
    </x:row>
    <x:row r="147">
      <x:c r="A147" s="197"/>
    </x:row>
    <x:row r="148">
      <x:c r="A148" s="197"/>
    </x:row>
    <x:row r="149">
      <x:c r="A149" s="197"/>
    </x:row>
    <x:row r="150">
      <x:c r="A150" s="197"/>
    </x:row>
    <x:row r="151">
      <x:c r="A151" s="197"/>
    </x:row>
    <x:row r="152">
      <x:c r="A152" s="197"/>
    </x:row>
    <x:row r="153">
      <x:c r="A153" s="197"/>
    </x:row>
    <x:row r="154">
      <x:c r="A154" s="197"/>
    </x:row>
    <x:row r="155">
      <x:c r="A155" s="197"/>
    </x:row>
    <x:row r="156">
      <x:c r="A156" s="197"/>
    </x:row>
    <x:row r="157">
      <x:c r="A157" s="197"/>
    </x:row>
    <x:row r="158">
      <x:c r="A158" s="197"/>
    </x:row>
    <x:row r="159">
      <x:c r="A159" s="197"/>
    </x:row>
    <x:row r="160">
      <x:c r="A160" s="197"/>
    </x:row>
    <x:row r="161">
      <x:c r="A161" s="197"/>
    </x:row>
    <x:row r="162">
      <x:c r="A162" s="197"/>
    </x:row>
    <x:row r="163">
      <x:c r="A163" s="197"/>
    </x:row>
    <x:row r="164">
      <x:c r="A164" s="197"/>
    </x:row>
    <x:row r="165">
      <x:c r="A165" s="197"/>
    </x:row>
    <x:row r="166">
      <x:c r="A166" s="197"/>
    </x:row>
    <x:row r="167">
      <x:c r="A167" s="197"/>
    </x:row>
    <x:row r="168">
      <x:c r="A168" s="197"/>
    </x:row>
    <x:row r="169">
      <x:c r="A169" s="197"/>
    </x:row>
    <x:row r="170">
      <x:c r="A170" s="197"/>
    </x:row>
    <x:row r="171">
      <x:c r="A171" s="197"/>
    </x:row>
    <x:row r="172">
      <x:c r="A172" s="197"/>
    </x:row>
    <x:row r="173">
      <x:c r="A173" s="197"/>
    </x:row>
    <x:row r="174">
      <x:c r="A174" s="197"/>
    </x:row>
    <x:row r="175">
      <x:c r="A175" s="197"/>
    </x:row>
    <x:row r="176">
      <x:c r="A176" s="197"/>
    </x:row>
    <x:row r="177">
      <x:c r="A177" s="197"/>
    </x:row>
    <x:row r="178">
      <x:c r="A178" s="197"/>
    </x:row>
    <x:row r="179">
      <x:c r="A179" s="197"/>
    </x:row>
    <x:row r="180">
      <x:c r="A180" s="197"/>
    </x:row>
    <x:row r="181">
      <x:c r="A181" s="197"/>
    </x:row>
    <x:row r="182">
      <x:c r="A182" s="197"/>
    </x:row>
    <x:row r="183">
      <x:c r="A183" s="197"/>
    </x:row>
    <x:row r="184">
      <x:c r="A184" s="197"/>
    </x:row>
    <x:row r="185">
      <x:c r="A185" s="197"/>
    </x:row>
    <x:row r="186">
      <x:c r="A186" s="197"/>
    </x:row>
    <x:row r="187">
      <x:c r="A187" s="197"/>
    </x:row>
    <x:row r="188">
      <x:c r="A188" s="197"/>
    </x:row>
    <x:row r="189">
      <x:c r="A189" s="197"/>
    </x:row>
    <x:row r="190">
      <x:c r="A190" s="197"/>
    </x:row>
    <x:row r="191">
      <x:c r="A191" s="197"/>
    </x:row>
    <x:row r="192">
      <x:c r="A192" s="197"/>
    </x:row>
    <x:row r="193">
      <x:c r="A193" s="197"/>
    </x:row>
    <x:row r="194">
      <x:c r="A194" s="197"/>
    </x:row>
    <x:row r="195">
      <x:c r="A195" s="197"/>
    </x:row>
    <x:row r="196">
      <x:c r="A196" s="197"/>
    </x:row>
    <x:row r="197">
      <x:c r="A197" s="197"/>
    </x:row>
    <x:row r="198">
      <x:c r="A198" s="197"/>
    </x:row>
    <x:row r="199">
      <x:c r="A199" s="197"/>
    </x:row>
    <x:row r="200">
      <x:c r="A200" s="197"/>
    </x:row>
    <x:row r="201">
      <x:c r="A201" s="197"/>
    </x:row>
    <x:row r="202">
      <x:c r="A202" s="197"/>
    </x:row>
    <x:row r="203">
      <x:c r="A203" s="197"/>
    </x:row>
    <x:row r="204">
      <x:c r="A204" s="197"/>
    </x:row>
    <x:row r="205">
      <x:c r="A205" s="197"/>
    </x:row>
    <x:row r="206">
      <x:c r="A206" s="197"/>
    </x:row>
    <x:row r="207">
      <x:c r="A207" s="197"/>
    </x:row>
    <x:row r="208">
      <x:c r="A208" s="197"/>
    </x:row>
    <x:row r="209">
      <x:c r="A209" s="197"/>
    </x:row>
    <x:row r="210">
      <x:c r="A210" s="197"/>
    </x:row>
    <x:row r="211">
      <x:c r="A211" s="197"/>
    </x:row>
    <x:row r="212">
      <x:c r="A212" s="197"/>
    </x:row>
    <x:row r="213">
      <x:c r="A213" s="197"/>
    </x:row>
    <x:row r="214">
      <x:c r="A214" s="197"/>
    </x:row>
    <x:row r="215">
      <x:c r="A215" s="197"/>
    </x:row>
    <x:row r="216">
      <x:c r="A216" s="197"/>
    </x:row>
    <x:row r="217">
      <x:c r="A217" s="197"/>
    </x:row>
    <x:row r="218">
      <x:c r="A218" s="197"/>
    </x:row>
    <x:row r="219">
      <x:c r="A219" s="197"/>
    </x:row>
    <x:row r="220">
      <x:c r="A220" s="197"/>
    </x:row>
    <x:row r="221">
      <x:c r="A221" s="197"/>
    </x:row>
    <x:row r="222">
      <x:c r="A222" s="197"/>
    </x:row>
    <x:row r="223">
      <x:c r="A223" s="197"/>
    </x:row>
    <x:row r="224">
      <x:c r="A224" s="197"/>
    </x:row>
    <x:row r="225">
      <x:c r="A225" s="197"/>
    </x:row>
    <x:row r="226">
      <x:c r="A226" s="197"/>
    </x:row>
    <x:row r="227">
      <x:c r="A227" s="197"/>
    </x:row>
    <x:row r="228">
      <x:c r="A228" s="197"/>
    </x:row>
    <x:row r="229">
      <x:c r="A229" s="197"/>
    </x:row>
    <x:row r="230">
      <x:c r="A230" s="197"/>
    </x:row>
    <x:row r="231">
      <x:c r="A231" s="197"/>
    </x:row>
    <x:row r="232">
      <x:c r="A232" s="197"/>
    </x:row>
    <x:row r="233">
      <x:c r="A233" s="197"/>
    </x:row>
    <x:row r="234">
      <x:c r="A234" s="197"/>
    </x:row>
    <x:row r="235">
      <x:c r="A235" s="197"/>
    </x:row>
    <x:row r="236">
      <x:c r="A236" s="197"/>
    </x:row>
    <x:row r="237">
      <x:c r="A237" s="197"/>
    </x:row>
    <x:row r="238">
      <x:c r="A238" s="197"/>
    </x:row>
    <x:row r="239">
      <x:c r="A239" s="197"/>
    </x:row>
    <x:row r="240">
      <x:c r="A240" s="197"/>
    </x:row>
  </x:sheetData>
  <x:mergeCells>
    <x:mergeCell ref="A1:N1"/>
  </x:mergeCells>
  <x:dataValidations count="4">
    <x:dataValidation type="list" sqref="J4:J103">
      <x:formula1>Lists!$A$2:$A$8</x:formula1>
    </x:dataValidation>
    <x:dataValidation type="list" sqref="M4:M103">
      <x:formula1>Lists!$D$2:$D$6</x:formula1>
    </x:dataValidation>
    <x:dataValidation type="list" sqref="F4:G103">
      <x:formula1>"Yes,No"</x:formula1>
    </x:dataValidation>
    <x:dataValidation type="list" sqref="K4:K103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86" hidden="0" customWidth="1"/>
  </x:cols>
  <x:sheetData>
    <x:row r="1" ht="34" customHeight="1">
      <x:c r="A1" s="196" t="str">
        <x:v>Commercial Objective Brief</x:v>
      </x:c>
    </x:row>
    <x:row r="2">
      <x:c r="A2" s="197"/>
    </x:row>
    <x:row r="3" ht="30" customHeight="1">
      <x:c r="A3" s="13" t="str">
        <x:v>Field</x:v>
      </x:c>
      <x:c r="B3" s="15" t="str">
        <x:v>Working Answer</x:v>
      </x:c>
    </x:row>
    <x:row r="4">
      <x:c r="A4" s="48" t="str">
        <x:v>What do we sell?</x:v>
      </x:c>
      <x:c r="B4" s="50" t="str">
        <x:v>GoalOS Proof Mission Sprints</x:v>
      </x:c>
    </x:row>
    <x:row r="5">
      <x:c r="A5" s="51" t="str">
        <x:v>Ideal buyer</x:v>
      </x:c>
      <x:c r="B5" s="53" t="str">
        <x:v>Enterprise AI decision-makers</x:v>
      </x:c>
    </x:row>
    <x:row r="6">
      <x:c r="A6" s="51" t="str">
        <x:v>Expensive problem</x:v>
      </x:c>
      <x:c r="B6" s="53" t="str">
        <x:v>A consequential AI purchase or deployment decision lacks inspectable evidence.</x:v>
      </x:c>
    </x:row>
    <x:row r="7">
      <x:c r="A7" s="51" t="str">
        <x:v>Promised outcome</x:v>
      </x:c>
      <x:c r="B7" s="53" t="str">
        <x:v>A faster evidence-backed go/no-go decision with risk, action, and rollback.</x:v>
      </x:c>
    </x:row>
    <x:row r="8">
      <x:c r="A8" s="51" t="str">
        <x:v>Purchase trigger</x:v>
      </x:c>
      <x:c r="B8" s="53" t="str">
        <x:v>Board, procurement, security, compliance, or deployment deadline</x:v>
      </x:c>
    </x:row>
    <x:row r="9">
      <x:c r="A9" s="51" t="str">
        <x:v>Cost of error / delay</x:v>
      </x:c>
      <x:c r="B9" s="53" t="str"/>
    </x:row>
    <x:row r="10">
      <x:c r="A10" s="51" t="str">
        <x:v>Decision authority</x:v>
      </x:c>
      <x:c r="B10" s="53" t="str"/>
    </x:row>
    <x:row r="11">
      <x:c r="A11" s="51" t="str">
        <x:v>Deadline</x:v>
      </x:c>
      <x:c r="B11" s="53" t="str"/>
    </x:row>
    <x:row r="12">
      <x:c r="A12" s="51" t="str">
        <x:v>Core price</x:v>
      </x:c>
      <x:c r="B12" s="90" t="n">
        <x:v>25000</x:v>
      </x:c>
    </x:row>
    <x:row r="13">
      <x:c r="A13" s="51" t="str">
        <x:v>Recurring offer / month</x:v>
      </x:c>
      <x:c r="B13" s="90" t="n">
        <x:v>7500</x:v>
      </x:c>
    </x:row>
    <x:row r="14">
      <x:c r="A14" s="51" t="str">
        <x:v>Monthly revenue target</x:v>
      </x:c>
      <x:c r="B14" s="90" t="n">
        <x:v>100000</x:v>
      </x:c>
    </x:row>
    <x:row r="15">
      <x:c r="A15" s="51" t="str">
        <x:v>Delivery capacity / month</x:v>
      </x:c>
      <x:c r="B15" s="53" t="n">
        <x:v>4</x:v>
      </x:c>
    </x:row>
    <x:row r="16">
      <x:c r="A16" s="51" t="str">
        <x:v>Proof burden</x:v>
      </x:c>
      <x:c r="B16" s="53" t="str">
        <x:v>Vendor claims, privacy, security, cost, workflow impact, reviewer route</x:v>
      </x:c>
    </x:row>
    <x:row r="17">
      <x:c r="A17" s="51" t="str">
        <x:v>Done condition</x:v>
      </x:c>
      <x:c r="B17" s="53" t="str">
        <x:v>Customer receives a governed decision state and explicit next action.</x:v>
      </x:c>
    </x:row>
    <x:row r="18">
      <x:c r="A18" s="51" t="str">
        <x:v>Claim boundary</x:v>
      </x:c>
      <x:c r="B18" s="53" t="str">
        <x:v>No certification, guaranteed ROI, or production authority without appropriate review.</x:v>
      </x:c>
    </x:row>
    <x:row r="19">
      <x:c r="A19" s="51" t="str">
        <x:v>Owner</x:v>
      </x:c>
      <x:c r="B19" s="53" t="str"/>
    </x:row>
    <x:row r="20">
      <x:c r="A20" s="54" t="str">
        <x:v>Next gate</x:v>
      </x:c>
      <x:c r="B20" s="56" t="str"/>
    </x:row>
    <x:row r="21">
      <x:c r="A21" s="197" t="str">
        <x:v>Decision date</x:v>
      </x:c>
      <x:c r="B21" t="str"/>
    </x:row>
    <x:row r="22">
      <x:c r="A22" s="197"/>
    </x:row>
    <x:row r="23">
      <x:c r="A23" s="197"/>
    </x:row>
    <x:row r="24">
      <x:c r="A24" s="197"/>
    </x:row>
    <x:row r="25">
      <x:c r="A25" s="197"/>
    </x:row>
    <x:row r="26">
      <x:c r="A26" s="197"/>
    </x:row>
    <x:row r="27">
      <x:c r="A27" s="197"/>
    </x:row>
    <x:row r="28">
      <x:c r="A28" s="197"/>
    </x:row>
    <x:row r="29">
      <x:c r="A29" s="197"/>
    </x:row>
    <x:row r="30">
      <x:c r="A30" s="197"/>
    </x:row>
    <x:row r="31">
      <x:c r="A31" s="197"/>
    </x:row>
    <x:row r="32">
      <x:c r="A32" s="197"/>
    </x:row>
    <x:row r="33">
      <x:c r="A33" s="197"/>
    </x:row>
    <x:row r="34">
      <x:c r="A34" s="197"/>
    </x:row>
    <x:row r="35">
      <x:c r="A35" s="197"/>
    </x:row>
    <x:row r="36">
      <x:c r="A36" s="197"/>
    </x:row>
    <x:row r="37">
      <x:c r="A37" s="197"/>
    </x:row>
    <x:row r="38">
      <x:c r="A38" s="197"/>
    </x:row>
    <x:row r="39">
      <x:c r="A39" s="197"/>
    </x:row>
    <x:row r="40">
      <x:c r="A40" s="197"/>
    </x:row>
    <x:row r="41">
      <x:c r="A41" s="197"/>
    </x:row>
    <x:row r="42">
      <x:c r="A42" s="197"/>
    </x:row>
    <x:row r="43">
      <x:c r="A43" s="197"/>
    </x:row>
    <x:row r="44">
      <x:c r="A44" s="197"/>
    </x:row>
    <x:row r="45">
      <x:c r="A45" s="197"/>
    </x:row>
    <x:row r="46">
      <x:c r="A46" s="197"/>
    </x:row>
    <x:row r="47">
      <x:c r="A47" s="197"/>
    </x:row>
    <x:row r="48">
      <x:c r="A48" s="197"/>
    </x:row>
    <x:row r="49">
      <x:c r="A49" s="197"/>
    </x:row>
    <x:row r="50">
      <x:c r="A50" s="197"/>
    </x:row>
    <x:row r="51">
      <x:c r="A51" s="197"/>
    </x:row>
    <x:row r="52">
      <x:c r="A52" s="197"/>
    </x:row>
    <x:row r="53">
      <x:c r="A53" s="197"/>
    </x:row>
    <x:row r="54">
      <x:c r="A54" s="197"/>
    </x:row>
    <x:row r="55">
      <x:c r="A55" s="197"/>
    </x:row>
    <x:row r="56">
      <x:c r="A56" s="197"/>
    </x:row>
    <x:row r="57">
      <x:c r="A57" s="197"/>
    </x:row>
    <x:row r="58">
      <x:c r="A58" s="197"/>
    </x:row>
    <x:row r="59">
      <x:c r="A59" s="197"/>
    </x:row>
    <x:row r="60">
      <x:c r="A60" s="197"/>
    </x:row>
    <x:row r="61">
      <x:c r="A61" s="197"/>
    </x:row>
    <x:row r="62">
      <x:c r="A62" s="197"/>
    </x:row>
    <x:row r="63">
      <x:c r="A63" s="197"/>
    </x:row>
    <x:row r="64">
      <x:c r="A64" s="197"/>
    </x:row>
    <x:row r="65">
      <x:c r="A65" s="197"/>
    </x:row>
    <x:row r="66">
      <x:c r="A66" s="197"/>
    </x:row>
    <x:row r="67">
      <x:c r="A67" s="197"/>
    </x:row>
    <x:row r="68">
      <x:c r="A68" s="197"/>
    </x:row>
    <x:row r="69">
      <x:c r="A69" s="197"/>
    </x:row>
    <x:row r="70">
      <x:c r="A70" s="197"/>
    </x:row>
    <x:row r="71">
      <x:c r="A71" s="197"/>
    </x:row>
    <x:row r="72">
      <x:c r="A72" s="197"/>
    </x:row>
    <x:row r="73">
      <x:c r="A73" s="197"/>
    </x:row>
    <x:row r="74">
      <x:c r="A74" s="197"/>
    </x:row>
    <x:row r="75">
      <x:c r="A75" s="197"/>
    </x:row>
    <x:row r="76">
      <x:c r="A76" s="197"/>
    </x:row>
    <x:row r="77">
      <x:c r="A77" s="197"/>
    </x:row>
    <x:row r="78">
      <x:c r="A78" s="197"/>
    </x:row>
    <x:row r="79">
      <x:c r="A79" s="197"/>
    </x:row>
    <x:row r="80">
      <x:c r="A80" s="197"/>
    </x:row>
    <x:row r="81">
      <x:c r="A81" s="197"/>
    </x:row>
    <x:row r="82">
      <x:c r="A82" s="197"/>
    </x:row>
    <x:row r="83">
      <x:c r="A83" s="197"/>
    </x:row>
    <x:row r="84">
      <x:c r="A84" s="197"/>
    </x:row>
    <x:row r="85">
      <x:c r="A85" s="197"/>
    </x:row>
    <x:row r="86">
      <x:c r="A86" s="197"/>
    </x:row>
    <x:row r="87">
      <x:c r="A87" s="197"/>
    </x:row>
    <x:row r="88">
      <x:c r="A88" s="197"/>
    </x:row>
    <x:row r="89">
      <x:c r="A89" s="197"/>
    </x:row>
    <x:row r="90">
      <x:c r="A90" s="197"/>
    </x:row>
    <x:row r="91">
      <x:c r="A91" s="197"/>
    </x:row>
    <x:row r="92">
      <x:c r="A92" s="197"/>
    </x:row>
    <x:row r="93">
      <x:c r="A93" s="197"/>
    </x:row>
    <x:row r="94">
      <x:c r="A94" s="197"/>
    </x:row>
    <x:row r="95">
      <x:c r="A95" s="197"/>
    </x:row>
    <x:row r="96">
      <x:c r="A96" s="197"/>
    </x:row>
    <x:row r="97">
      <x:c r="A97" s="197"/>
    </x:row>
    <x:row r="98">
      <x:c r="A98" s="197"/>
    </x:row>
    <x:row r="99">
      <x:c r="A99" s="197"/>
    </x:row>
    <x:row r="100">
      <x:c r="A100" s="197"/>
    </x:row>
    <x:row r="101">
      <x:c r="A101" s="197"/>
    </x:row>
    <x:row r="102">
      <x:c r="A102" s="197"/>
    </x:row>
    <x:row r="103">
      <x:c r="A103" s="197"/>
    </x:row>
    <x:row r="104">
      <x:c r="A104" s="197"/>
    </x:row>
    <x:row r="105">
      <x:c r="A105" s="197"/>
    </x:row>
    <x:row r="106">
      <x:c r="A106" s="197"/>
    </x:row>
    <x:row r="107">
      <x:c r="A107" s="197"/>
    </x:row>
    <x:row r="108">
      <x:c r="A108" s="197"/>
    </x:row>
    <x:row r="109">
      <x:c r="A109" s="197"/>
    </x:row>
    <x:row r="110">
      <x:c r="A110" s="197"/>
    </x:row>
    <x:row r="111">
      <x:c r="A111" s="197"/>
    </x:row>
    <x:row r="112">
      <x:c r="A112" s="197"/>
    </x:row>
    <x:row r="113">
      <x:c r="A113" s="197"/>
    </x:row>
    <x:row r="114">
      <x:c r="A114" s="197"/>
    </x:row>
    <x:row r="115">
      <x:c r="A115" s="197"/>
    </x:row>
    <x:row r="116">
      <x:c r="A116" s="197"/>
    </x:row>
    <x:row r="117">
      <x:c r="A117" s="197"/>
    </x:row>
    <x:row r="118">
      <x:c r="A118" s="197"/>
    </x:row>
    <x:row r="119">
      <x:c r="A119" s="197"/>
    </x:row>
    <x:row r="120">
      <x:c r="A120" s="197"/>
    </x:row>
    <x:row r="121">
      <x:c r="A121" s="197"/>
    </x:row>
    <x:row r="122">
      <x:c r="A122" s="197"/>
    </x:row>
    <x:row r="123">
      <x:c r="A123" s="197"/>
    </x:row>
    <x:row r="124">
      <x:c r="A124" s="197"/>
    </x:row>
    <x:row r="125">
      <x:c r="A125" s="197"/>
    </x:row>
    <x:row r="126">
      <x:c r="A126" s="197"/>
    </x:row>
    <x:row r="127">
      <x:c r="A127" s="197"/>
    </x:row>
    <x:row r="128">
      <x:c r="A128" s="197"/>
    </x:row>
    <x:row r="129">
      <x:c r="A129" s="197"/>
    </x:row>
    <x:row r="130">
      <x:c r="A130" s="197"/>
    </x:row>
    <x:row r="131">
      <x:c r="A131" s="197"/>
    </x:row>
    <x:row r="132">
      <x:c r="A132" s="197"/>
    </x:row>
    <x:row r="133">
      <x:c r="A133" s="197"/>
    </x:row>
    <x:row r="134">
      <x:c r="A134" s="197"/>
    </x:row>
    <x:row r="135">
      <x:c r="A135" s="197"/>
    </x:row>
    <x:row r="136">
      <x:c r="A136" s="197"/>
    </x:row>
    <x:row r="137">
      <x:c r="A137" s="197"/>
    </x:row>
    <x:row r="138">
      <x:c r="A138" s="197"/>
    </x:row>
    <x:row r="139">
      <x:c r="A139" s="197"/>
    </x:row>
    <x:row r="140">
      <x:c r="A140" s="197"/>
    </x:row>
    <x:row r="141">
      <x:c r="A141" s="197"/>
    </x:row>
    <x:row r="142">
      <x:c r="A142" s="197"/>
    </x:row>
    <x:row r="143">
      <x:c r="A143" s="197"/>
    </x:row>
    <x:row r="144">
      <x:c r="A144" s="197"/>
    </x:row>
    <x:row r="145">
      <x:c r="A145" s="197"/>
    </x:row>
    <x:row r="146">
      <x:c r="A146" s="197"/>
    </x:row>
    <x:row r="147">
      <x:c r="A147" s="197"/>
    </x:row>
    <x:row r="148">
      <x:c r="A148" s="197"/>
    </x:row>
    <x:row r="149">
      <x:c r="A149" s="197"/>
    </x:row>
    <x:row r="150">
      <x:c r="A150" s="197"/>
    </x:row>
    <x:row r="151">
      <x:c r="A151" s="197"/>
    </x:row>
    <x:row r="152">
      <x:c r="A152" s="197"/>
    </x:row>
    <x:row r="153">
      <x:c r="A153" s="197"/>
    </x:row>
    <x:row r="154">
      <x:c r="A154" s="197"/>
    </x:row>
    <x:row r="155">
      <x:c r="A155" s="197"/>
    </x:row>
    <x:row r="156">
      <x:c r="A156" s="197"/>
    </x:row>
    <x:row r="157">
      <x:c r="A157" s="197"/>
    </x:row>
    <x:row r="158">
      <x:c r="A158" s="197"/>
    </x:row>
    <x:row r="159">
      <x:c r="A159" s="197"/>
    </x:row>
    <x:row r="160">
      <x:c r="A160" s="197"/>
    </x:row>
    <x:row r="161">
      <x:c r="A161" s="197"/>
    </x:row>
    <x:row r="162">
      <x:c r="A162" s="197"/>
    </x:row>
    <x:row r="163">
      <x:c r="A163" s="197"/>
    </x:row>
    <x:row r="164">
      <x:c r="A164" s="197"/>
    </x:row>
    <x:row r="165">
      <x:c r="A165" s="197"/>
    </x:row>
    <x:row r="166">
      <x:c r="A166" s="197"/>
    </x:row>
    <x:row r="167">
      <x:c r="A167" s="197"/>
    </x:row>
    <x:row r="168">
      <x:c r="A168" s="197"/>
    </x:row>
    <x:row r="169">
      <x:c r="A169" s="197"/>
    </x:row>
    <x:row r="170">
      <x:c r="A170" s="197"/>
    </x:row>
    <x:row r="171">
      <x:c r="A171" s="197"/>
    </x:row>
    <x:row r="172">
      <x:c r="A172" s="197"/>
    </x:row>
    <x:row r="173">
      <x:c r="A173" s="197"/>
    </x:row>
    <x:row r="174">
      <x:c r="A174" s="197"/>
    </x:row>
    <x:row r="175">
      <x:c r="A175" s="197"/>
    </x:row>
    <x:row r="176">
      <x:c r="A176" s="197"/>
    </x:row>
    <x:row r="177">
      <x:c r="A177" s="197"/>
    </x:row>
    <x:row r="178">
      <x:c r="A178" s="197"/>
    </x:row>
    <x:row r="179">
      <x:c r="A179" s="197"/>
    </x:row>
    <x:row r="180">
      <x:c r="A180" s="197"/>
    </x:row>
    <x:row r="181">
      <x:c r="A181" s="197"/>
    </x:row>
    <x:row r="182">
      <x:c r="A182" s="197"/>
    </x:row>
    <x:row r="183">
      <x:c r="A183" s="197"/>
    </x:row>
    <x:row r="184">
      <x:c r="A184" s="197"/>
    </x:row>
    <x:row r="185">
      <x:c r="A185" s="197"/>
    </x:row>
    <x:row r="186">
      <x:c r="A186" s="197"/>
    </x:row>
    <x:row r="187">
      <x:c r="A187" s="197"/>
    </x:row>
    <x:row r="188">
      <x:c r="A188" s="197"/>
    </x:row>
    <x:row r="189">
      <x:c r="A189" s="197"/>
    </x:row>
    <x:row r="190">
      <x:c r="A190" s="197"/>
    </x:row>
    <x:row r="191">
      <x:c r="A191" s="197"/>
    </x:row>
    <x:row r="192">
      <x:c r="A192" s="197"/>
    </x:row>
    <x:row r="193">
      <x:c r="A193" s="197"/>
    </x:row>
    <x:row r="194">
      <x:c r="A194" s="197"/>
    </x:row>
    <x:row r="195">
      <x:c r="A195" s="197"/>
    </x:row>
    <x:row r="196">
      <x:c r="A196" s="197"/>
    </x:row>
    <x:row r="197">
      <x:c r="A197" s="197"/>
    </x:row>
    <x:row r="198">
      <x:c r="A198" s="197"/>
    </x:row>
    <x:row r="199">
      <x:c r="A199" s="197"/>
    </x:row>
    <x:row r="200">
      <x:c r="A200" s="197"/>
    </x:row>
    <x:row r="201">
      <x:c r="A201" s="197"/>
    </x:row>
    <x:row r="202">
      <x:c r="A202" s="197"/>
    </x:row>
    <x:row r="203">
      <x:c r="A203" s="197"/>
    </x:row>
    <x:row r="204">
      <x:c r="A204" s="197"/>
    </x:row>
    <x:row r="205">
      <x:c r="A205" s="197"/>
    </x:row>
    <x:row r="206">
      <x:c r="A206" s="197"/>
    </x:row>
    <x:row r="207">
      <x:c r="A207" s="197"/>
    </x:row>
    <x:row r="208">
      <x:c r="A208" s="197"/>
    </x:row>
    <x:row r="209">
      <x:c r="A209" s="197"/>
    </x:row>
    <x:row r="210">
      <x:c r="A210" s="197"/>
    </x:row>
    <x:row r="211">
      <x:c r="A211" s="197"/>
    </x:row>
    <x:row r="212">
      <x:c r="A212" s="197"/>
    </x:row>
    <x:row r="213">
      <x:c r="A213" s="197"/>
    </x:row>
    <x:row r="214">
      <x:c r="A214" s="197"/>
    </x:row>
    <x:row r="215">
      <x:c r="A215" s="197"/>
    </x:row>
    <x:row r="216">
      <x:c r="A216" s="197"/>
    </x:row>
    <x:row r="217">
      <x:c r="A217" s="197"/>
    </x:row>
    <x:row r="218">
      <x:c r="A218" s="197"/>
    </x:row>
    <x:row r="219">
      <x:c r="A219" s="197"/>
    </x:row>
    <x:row r="220">
      <x:c r="A220" s="197"/>
    </x:row>
    <x:row r="221">
      <x:c r="A221" s="197"/>
    </x:row>
    <x:row r="222">
      <x:c r="A222" s="197"/>
    </x:row>
    <x:row r="223">
      <x:c r="A223" s="197"/>
    </x:row>
    <x:row r="224">
      <x:c r="A224" s="197"/>
    </x:row>
    <x:row r="225">
      <x:c r="A225" s="197"/>
    </x:row>
    <x:row r="226">
      <x:c r="A226" s="197"/>
    </x:row>
    <x:row r="227">
      <x:c r="A227" s="197"/>
    </x:row>
    <x:row r="228">
      <x:c r="A228" s="197"/>
    </x:row>
    <x:row r="229">
      <x:c r="A229" s="197"/>
    </x:row>
    <x:row r="230">
      <x:c r="A230" s="197"/>
    </x:row>
    <x:row r="231">
      <x:c r="A231" s="197"/>
    </x:row>
    <x:row r="232">
      <x:c r="A232" s="197"/>
    </x:row>
    <x:row r="233">
      <x:c r="A233" s="197"/>
    </x:row>
    <x:row r="234">
      <x:c r="A234" s="197"/>
    </x:row>
    <x:row r="235">
      <x:c r="A235" s="197"/>
    </x:row>
    <x:row r="236">
      <x:c r="A236" s="197"/>
    </x:row>
    <x:row r="237">
      <x:c r="A237" s="197"/>
    </x:row>
    <x:row r="238">
      <x:c r="A238" s="197"/>
    </x:row>
    <x:row r="239">
      <x:c r="A239" s="197"/>
    </x:row>
    <x:row r="240">
      <x:c r="A240" s="197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30" hidden="0" customWidth="1"/>
    <x:col min="5" max="5" width="38" hidden="0" customWidth="1"/>
    <x:col min="6" max="6" width="14" hidden="0" customWidth="1"/>
    <x:col min="7" max="7" width="14" hidden="0" customWidth="1"/>
    <x:col min="8" max="8" width="40" hidden="0" customWidth="1"/>
    <x:col min="9" max="9" width="26" hidden="0" customWidth="1"/>
    <x:col min="10" max="10" width="14" hidden="0" customWidth="1"/>
  </x:cols>
  <x:sheetData>
    <x:row r="1" ht="34" customHeight="1">
      <x:c r="A1" s="196" t="str">
        <x:v>Four-Level Offer Architecture</x:v>
      </x:c>
    </x:row>
    <x:row r="2">
      <x:c r="A2" s="197"/>
    </x:row>
    <x:row r="3" ht="30" customHeight="1">
      <x:c r="A3" s="13" t="str">
        <x:v>Level</x:v>
      </x:c>
      <x:c r="B3" s="14" t="str">
        <x:v>Offer</x:v>
      </x:c>
      <x:c r="C3" s="14" t="str">
        <x:v>Buyer</x:v>
      </x:c>
      <x:c r="D3" s="14" t="str">
        <x:v>Trigger</x:v>
      </x:c>
      <x:c r="E3" s="14" t="str">
        <x:v>Outcome</x:v>
      </x:c>
      <x:c r="F3" s="14" t="str">
        <x:v>Price</x:v>
      </x:c>
      <x:c r="G3" s="14" t="str">
        <x:v>Duration</x:v>
      </x:c>
      <x:c r="H3" s="14" t="str">
        <x:v>Acceptance Criteria</x:v>
      </x:c>
      <x:c r="I3" s="14" t="str">
        <x:v>Expansion Path</x:v>
      </x:c>
      <x:c r="J3" s="15" t="str">
        <x:v>Status</x:v>
      </x:c>
    </x:row>
    <x:row r="4">
      <x:c r="A4" s="48" t="str">
        <x:v>Entry</x:v>
      </x:c>
      <x:c r="B4" s="49" t="str">
        <x:v>Decision Diagnostic</x:v>
      </x:c>
      <x:c r="C4" s="49" t="str">
        <x:v>Executive sponsor</x:v>
      </x:c>
      <x:c r="D4" s="49" t="str">
        <x:v>Objective is real but poorly bounded</x:v>
      </x:c>
      <x:c r="E4" s="49" t="str">
        <x:v>Objective brief, proof burden, next gate</x:v>
      </x:c>
      <x:c r="F4" s="92" t="n">
        <x:v>7500</x:v>
      </x:c>
      <x:c r="G4" s="49" t="str">
        <x:v>45-60 min</x:v>
      </x:c>
      <x:c r="H4" s="49" t="str">
        <x:v>Decision, sponsor, risk, and next action explicit</x:v>
      </x:c>
      <x:c r="I4" s="49" t="str">
        <x:v>Private MasterClass</x:v>
      </x:c>
      <x:c r="J4" s="50" t="str">
        <x:v>Draft</x:v>
      </x:c>
    </x:row>
    <x:row r="5">
      <x:c r="A5" s="51" t="str">
        <x:v>Flagship</x:v>
      </x:c>
      <x:c r="B5" s="52" t="str">
        <x:v>Proof Mission Sprint</x:v>
      </x:c>
      <x:c r="C5" s="52" t="str">
        <x:v>CIO / CISO / AI leader</x:v>
      </x:c>
      <x:c r="D5" s="52" t="str">
        <x:v>High-stakes decision inside 90 days</x:v>
      </x:c>
      <x:c r="E5" s="52" t="str">
        <x:v>Governed decision state, Evidence Docket, action graph</x:v>
      </x:c>
      <x:c r="F5" s="93" t="n">
        <x:v>25000</x:v>
      </x:c>
      <x:c r="G5" s="52" t="str">
        <x:v>2-3 days</x:v>
      </x:c>
      <x:c r="H5" s="52" t="str">
        <x:v>Claims, evidence, risk, action, and rollback inspectable</x:v>
      </x:c>
      <x:c r="I5" s="52" t="str">
        <x:v>GoalOS Proof OS</x:v>
      </x:c>
      <x:c r="J5" s="53" t="str">
        <x:v>Draft</x:v>
      </x:c>
    </x:row>
    <x:row r="6">
      <x:c r="A6" s="51" t="str">
        <x:v>Recurring</x:v>
      </x:c>
      <x:c r="B6" s="52" t="str">
        <x:v>GoalOS Proof OS</x:v>
      </x:c>
      <x:c r="C6" s="52" t="str">
        <x:v>Department / enterprise</x:v>
      </x:c>
      <x:c r="D6" s="52" t="str">
        <x:v>Recurring decisions and evidence maintenance</x:v>
      </x:c>
      <x:c r="E6" s="52" t="str">
        <x:v>Ongoing proof, review, Chronicle, and capability management</x:v>
      </x:c>
      <x:c r="F6" s="93" t="n">
        <x:v>7500</x:v>
      </x:c>
      <x:c r="G6" s="52" t="str">
        <x:v>Monthly</x:v>
      </x:c>
      <x:c r="H6" s="52" t="str">
        <x:v>Evidence current; gates and decisions auditable</x:v>
      </x:c>
      <x:c r="I6" s="52" t="str">
        <x:v>Enterprise Proof Institution</x:v>
      </x:c>
      <x:c r="J6" s="53" t="str">
        <x:v>Draft</x:v>
      </x:c>
    </x:row>
    <x:row r="7">
      <x:c r="A7" s="51" t="str">
        <x:v>Enterprise</x:v>
      </x:c>
      <x:c r="B7" s="52" t="str">
        <x:v>Enterprise Proof Institution</x:v>
      </x:c>
      <x:c r="C7" s="52" t="str">
        <x:v>Board / enterprise / portfolio</x:v>
      </x:c>
      <x:c r="D7" s="52" t="str">
        <x:v>Multiple teams, vendors, or recurring AI work</x:v>
      </x:c>
      <x:c r="E7" s="52" t="str">
        <x:v>Private deployment, reviewer network, capability portfolio</x:v>
      </x:c>
      <x:c r="F7" s="93" t="n">
        <x:v>350000</x:v>
      </x:c>
      <x:c r="G7" s="52" t="str">
        <x:v>60-90 days</x:v>
      </x:c>
      <x:c r="H7" s="52" t="str">
        <x:v>Multiple missions, governance, metrics, and expansion path</x:v>
      </x:c>
      <x:c r="I7" s="52" t="str">
        <x:v>Annual Program</x:v>
      </x:c>
      <x:c r="J7" s="53" t="str">
        <x:v>Draft</x:v>
      </x:c>
    </x:row>
    <x:row r="8">
      <x:c r="A8" s="51"/>
      <x:c r="B8" s="52"/>
      <x:c r="C8" s="52"/>
      <x:c r="D8" s="52"/>
      <x:c r="E8" s="52"/>
      <x:c r="F8" s="93"/>
      <x:c r="G8" s="52"/>
      <x:c r="H8" s="52"/>
      <x:c r="I8" s="52"/>
      <x:c r="J8" s="53"/>
    </x:row>
    <x:row r="9">
      <x:c r="A9" s="51"/>
      <x:c r="B9" s="52"/>
      <x:c r="C9" s="52"/>
      <x:c r="D9" s="52"/>
      <x:c r="E9" s="52"/>
      <x:c r="F9" s="93"/>
      <x:c r="G9" s="52"/>
      <x:c r="H9" s="52"/>
      <x:c r="I9" s="52"/>
      <x:c r="J9" s="53"/>
    </x:row>
    <x:row r="10">
      <x:c r="A10" s="51"/>
      <x:c r="B10" s="52"/>
      <x:c r="C10" s="52"/>
      <x:c r="D10" s="52"/>
      <x:c r="E10" s="52"/>
      <x:c r="F10" s="93"/>
      <x:c r="G10" s="52"/>
      <x:c r="H10" s="52"/>
      <x:c r="I10" s="52"/>
      <x:c r="J10" s="53"/>
    </x:row>
    <x:row r="11">
      <x:c r="A11" s="51"/>
      <x:c r="B11" s="52"/>
      <x:c r="C11" s="52"/>
      <x:c r="D11" s="52"/>
      <x:c r="E11" s="52"/>
      <x:c r="F11" s="93"/>
      <x:c r="G11" s="52"/>
      <x:c r="H11" s="52"/>
      <x:c r="I11" s="52"/>
      <x:c r="J11" s="53"/>
    </x:row>
    <x:row r="12">
      <x:c r="A12" s="51"/>
      <x:c r="B12" s="52"/>
      <x:c r="C12" s="52"/>
      <x:c r="D12" s="52"/>
      <x:c r="E12" s="52"/>
      <x:c r="F12" s="93"/>
      <x:c r="G12" s="52"/>
      <x:c r="H12" s="52"/>
      <x:c r="I12" s="52"/>
      <x:c r="J12" s="53"/>
    </x:row>
    <x:row r="13">
      <x:c r="A13" s="51"/>
      <x:c r="B13" s="52"/>
      <x:c r="C13" s="52"/>
      <x:c r="D13" s="52"/>
      <x:c r="E13" s="52"/>
      <x:c r="F13" s="93"/>
      <x:c r="G13" s="52"/>
      <x:c r="H13" s="52"/>
      <x:c r="I13" s="52"/>
      <x:c r="J13" s="53"/>
    </x:row>
    <x:row r="14">
      <x:c r="A14" s="51"/>
      <x:c r="B14" s="52"/>
      <x:c r="C14" s="52"/>
      <x:c r="D14" s="52"/>
      <x:c r="E14" s="52"/>
      <x:c r="F14" s="93"/>
      <x:c r="G14" s="52"/>
      <x:c r="H14" s="52"/>
      <x:c r="I14" s="52"/>
      <x:c r="J14" s="53"/>
    </x:row>
    <x:row r="15">
      <x:c r="A15" s="51"/>
      <x:c r="B15" s="52"/>
      <x:c r="C15" s="52"/>
      <x:c r="D15" s="52"/>
      <x:c r="E15" s="52"/>
      <x:c r="F15" s="93"/>
      <x:c r="G15" s="52"/>
      <x:c r="H15" s="52"/>
      <x:c r="I15" s="52"/>
      <x:c r="J15" s="53"/>
    </x:row>
    <x:row r="16">
      <x:c r="A16" s="51"/>
      <x:c r="B16" s="52"/>
      <x:c r="C16" s="52"/>
      <x:c r="D16" s="52"/>
      <x:c r="E16" s="52"/>
      <x:c r="F16" s="93"/>
      <x:c r="G16" s="52"/>
      <x:c r="H16" s="52"/>
      <x:c r="I16" s="52"/>
      <x:c r="J16" s="53"/>
    </x:row>
    <x:row r="17">
      <x:c r="A17" s="51"/>
      <x:c r="B17" s="52"/>
      <x:c r="C17" s="52"/>
      <x:c r="D17" s="52"/>
      <x:c r="E17" s="52"/>
      <x:c r="F17" s="93"/>
      <x:c r="G17" s="52"/>
      <x:c r="H17" s="52"/>
      <x:c r="I17" s="52"/>
      <x:c r="J17" s="53"/>
    </x:row>
    <x:row r="18">
      <x:c r="A18" s="51"/>
      <x:c r="B18" s="52"/>
      <x:c r="C18" s="52"/>
      <x:c r="D18" s="52"/>
      <x:c r="E18" s="52"/>
      <x:c r="F18" s="93"/>
      <x:c r="G18" s="52"/>
      <x:c r="H18" s="52"/>
      <x:c r="I18" s="52"/>
      <x:c r="J18" s="53"/>
    </x:row>
    <x:row r="19">
      <x:c r="A19" s="51"/>
      <x:c r="B19" s="52"/>
      <x:c r="C19" s="52"/>
      <x:c r="D19" s="52"/>
      <x:c r="E19" s="52"/>
      <x:c r="F19" s="93"/>
      <x:c r="G19" s="52"/>
      <x:c r="H19" s="52"/>
      <x:c r="I19" s="52"/>
      <x:c r="J19" s="53"/>
    </x:row>
    <x:row r="20">
      <x:c r="A20" s="51"/>
      <x:c r="B20" s="52"/>
      <x:c r="C20" s="52"/>
      <x:c r="D20" s="52"/>
      <x:c r="E20" s="52"/>
      <x:c r="F20" s="93"/>
      <x:c r="G20" s="52"/>
      <x:c r="H20" s="52"/>
      <x:c r="I20" s="52"/>
      <x:c r="J20" s="53"/>
    </x:row>
    <x:row r="21">
      <x:c r="A21" s="51"/>
      <x:c r="B21" s="52"/>
      <x:c r="C21" s="52"/>
      <x:c r="D21" s="52"/>
      <x:c r="E21" s="52"/>
      <x:c r="F21" s="93"/>
      <x:c r="G21" s="52"/>
      <x:c r="H21" s="52"/>
      <x:c r="I21" s="52"/>
      <x:c r="J21" s="53"/>
    </x:row>
    <x:row r="22">
      <x:c r="A22" s="51"/>
      <x:c r="B22" s="52"/>
      <x:c r="C22" s="52"/>
      <x:c r="D22" s="52"/>
      <x:c r="E22" s="52"/>
      <x:c r="F22" s="93"/>
      <x:c r="G22" s="52"/>
      <x:c r="H22" s="52"/>
      <x:c r="I22" s="52"/>
      <x:c r="J22" s="53"/>
    </x:row>
    <x:row r="23">
      <x:c r="A23" s="51"/>
      <x:c r="B23" s="52"/>
      <x:c r="C23" s="52"/>
      <x:c r="D23" s="52"/>
      <x:c r="E23" s="52"/>
      <x:c r="F23" s="93"/>
      <x:c r="G23" s="52"/>
      <x:c r="H23" s="52"/>
      <x:c r="I23" s="52"/>
      <x:c r="J23" s="53"/>
    </x:row>
    <x:row r="24">
      <x:c r="A24" s="51"/>
      <x:c r="B24" s="52"/>
      <x:c r="C24" s="52"/>
      <x:c r="D24" s="52"/>
      <x:c r="E24" s="52"/>
      <x:c r="F24" s="93"/>
      <x:c r="G24" s="52"/>
      <x:c r="H24" s="52"/>
      <x:c r="I24" s="52"/>
      <x:c r="J24" s="53"/>
    </x:row>
    <x:row r="25">
      <x:c r="A25" s="51"/>
      <x:c r="B25" s="52"/>
      <x:c r="C25" s="52"/>
      <x:c r="D25" s="52"/>
      <x:c r="E25" s="52"/>
      <x:c r="F25" s="93"/>
      <x:c r="G25" s="52"/>
      <x:c r="H25" s="52"/>
      <x:c r="I25" s="52"/>
      <x:c r="J25" s="53"/>
    </x:row>
    <x:row r="26">
      <x:c r="A26" s="51"/>
      <x:c r="B26" s="52"/>
      <x:c r="C26" s="52"/>
      <x:c r="D26" s="52"/>
      <x:c r="E26" s="52"/>
      <x:c r="F26" s="93"/>
      <x:c r="G26" s="52"/>
      <x:c r="H26" s="52"/>
      <x:c r="I26" s="52"/>
      <x:c r="J26" s="53"/>
    </x:row>
    <x:row r="27">
      <x:c r="A27" s="51"/>
      <x:c r="B27" s="52"/>
      <x:c r="C27" s="52"/>
      <x:c r="D27" s="52"/>
      <x:c r="E27" s="52"/>
      <x:c r="F27" s="93"/>
      <x:c r="G27" s="52"/>
      <x:c r="H27" s="52"/>
      <x:c r="I27" s="52"/>
      <x:c r="J27" s="53"/>
    </x:row>
    <x:row r="28">
      <x:c r="A28" s="51"/>
      <x:c r="B28" s="52"/>
      <x:c r="C28" s="52"/>
      <x:c r="D28" s="52"/>
      <x:c r="E28" s="52"/>
      <x:c r="F28" s="93"/>
      <x:c r="G28" s="52"/>
      <x:c r="H28" s="52"/>
      <x:c r="I28" s="52"/>
      <x:c r="J28" s="53"/>
    </x:row>
    <x:row r="29">
      <x:c r="A29" s="51"/>
      <x:c r="B29" s="52"/>
      <x:c r="C29" s="52"/>
      <x:c r="D29" s="52"/>
      <x:c r="E29" s="52"/>
      <x:c r="F29" s="93"/>
      <x:c r="G29" s="52"/>
      <x:c r="H29" s="52"/>
      <x:c r="I29" s="52"/>
      <x:c r="J29" s="53"/>
    </x:row>
    <x:row r="30">
      <x:c r="A30" s="51"/>
      <x:c r="B30" s="52"/>
      <x:c r="C30" s="52"/>
      <x:c r="D30" s="52"/>
      <x:c r="E30" s="52"/>
      <x:c r="F30" s="93"/>
      <x:c r="G30" s="52"/>
      <x:c r="H30" s="52"/>
      <x:c r="I30" s="52"/>
      <x:c r="J30" s="53"/>
    </x:row>
    <x:row r="31">
      <x:c r="A31" s="51"/>
      <x:c r="B31" s="52"/>
      <x:c r="C31" s="52"/>
      <x:c r="D31" s="52"/>
      <x:c r="E31" s="52"/>
      <x:c r="F31" s="93"/>
      <x:c r="G31" s="52"/>
      <x:c r="H31" s="52"/>
      <x:c r="I31" s="52"/>
      <x:c r="J31" s="53"/>
    </x:row>
    <x:row r="32">
      <x:c r="A32" s="51"/>
      <x:c r="B32" s="52"/>
      <x:c r="C32" s="52"/>
      <x:c r="D32" s="52"/>
      <x:c r="E32" s="52"/>
      <x:c r="F32" s="93"/>
      <x:c r="G32" s="52"/>
      <x:c r="H32" s="52"/>
      <x:c r="I32" s="52"/>
      <x:c r="J32" s="53"/>
    </x:row>
    <x:row r="33">
      <x:c r="A33" s="51"/>
      <x:c r="B33" s="52"/>
      <x:c r="C33" s="52"/>
      <x:c r="D33" s="52"/>
      <x:c r="E33" s="52"/>
      <x:c r="F33" s="93"/>
      <x:c r="G33" s="52"/>
      <x:c r="H33" s="52"/>
      <x:c r="I33" s="52"/>
      <x:c r="J33" s="53"/>
    </x:row>
    <x:row r="34">
      <x:c r="A34" s="51"/>
      <x:c r="B34" s="52"/>
      <x:c r="C34" s="52"/>
      <x:c r="D34" s="52"/>
      <x:c r="E34" s="52"/>
      <x:c r="F34" s="93"/>
      <x:c r="G34" s="52"/>
      <x:c r="H34" s="52"/>
      <x:c r="I34" s="52"/>
      <x:c r="J34" s="53"/>
    </x:row>
    <x:row r="35">
      <x:c r="A35" s="51"/>
      <x:c r="B35" s="52"/>
      <x:c r="C35" s="52"/>
      <x:c r="D35" s="52"/>
      <x:c r="E35" s="52"/>
      <x:c r="F35" s="93"/>
      <x:c r="G35" s="52"/>
      <x:c r="H35" s="52"/>
      <x:c r="I35" s="52"/>
      <x:c r="J35" s="53"/>
    </x:row>
    <x:row r="36">
      <x:c r="A36" s="51"/>
      <x:c r="B36" s="52"/>
      <x:c r="C36" s="52"/>
      <x:c r="D36" s="52"/>
      <x:c r="E36" s="52"/>
      <x:c r="F36" s="93"/>
      <x:c r="G36" s="52"/>
      <x:c r="H36" s="52"/>
      <x:c r="I36" s="52"/>
      <x:c r="J36" s="53"/>
    </x:row>
    <x:row r="37">
      <x:c r="A37" s="51"/>
      <x:c r="B37" s="52"/>
      <x:c r="C37" s="52"/>
      <x:c r="D37" s="52"/>
      <x:c r="E37" s="52"/>
      <x:c r="F37" s="93"/>
      <x:c r="G37" s="52"/>
      <x:c r="H37" s="52"/>
      <x:c r="I37" s="52"/>
      <x:c r="J37" s="53"/>
    </x:row>
    <x:row r="38">
      <x:c r="A38" s="51"/>
      <x:c r="B38" s="52"/>
      <x:c r="C38" s="52"/>
      <x:c r="D38" s="52"/>
      <x:c r="E38" s="52"/>
      <x:c r="F38" s="93"/>
      <x:c r="G38" s="52"/>
      <x:c r="H38" s="52"/>
      <x:c r="I38" s="52"/>
      <x:c r="J38" s="53"/>
    </x:row>
    <x:row r="39">
      <x:c r="A39" s="51"/>
      <x:c r="B39" s="52"/>
      <x:c r="C39" s="52"/>
      <x:c r="D39" s="52"/>
      <x:c r="E39" s="52"/>
      <x:c r="F39" s="93"/>
      <x:c r="G39" s="52"/>
      <x:c r="H39" s="52"/>
      <x:c r="I39" s="52"/>
      <x:c r="J39" s="53"/>
    </x:row>
    <x:row r="40">
      <x:c r="A40" s="51"/>
      <x:c r="B40" s="52"/>
      <x:c r="C40" s="52"/>
      <x:c r="D40" s="52"/>
      <x:c r="E40" s="52"/>
      <x:c r="F40" s="93"/>
      <x:c r="G40" s="52"/>
      <x:c r="H40" s="52"/>
      <x:c r="I40" s="52"/>
      <x:c r="J40" s="53"/>
    </x:row>
    <x:row r="41">
      <x:c r="A41" s="51"/>
      <x:c r="B41" s="52"/>
      <x:c r="C41" s="52"/>
      <x:c r="D41" s="52"/>
      <x:c r="E41" s="52"/>
      <x:c r="F41" s="93"/>
      <x:c r="G41" s="52"/>
      <x:c r="H41" s="52"/>
      <x:c r="I41" s="52"/>
      <x:c r="J41" s="53"/>
    </x:row>
    <x:row r="42">
      <x:c r="A42" s="51"/>
      <x:c r="B42" s="52"/>
      <x:c r="C42" s="52"/>
      <x:c r="D42" s="52"/>
      <x:c r="E42" s="52"/>
      <x:c r="F42" s="93"/>
      <x:c r="G42" s="52"/>
      <x:c r="H42" s="52"/>
      <x:c r="I42" s="52"/>
      <x:c r="J42" s="53"/>
    </x:row>
    <x:row r="43">
      <x:c r="A43" s="51"/>
      <x:c r="B43" s="52"/>
      <x:c r="C43" s="52"/>
      <x:c r="D43" s="52"/>
      <x:c r="E43" s="52"/>
      <x:c r="F43" s="93"/>
      <x:c r="G43" s="52"/>
      <x:c r="H43" s="52"/>
      <x:c r="I43" s="52"/>
      <x:c r="J43" s="53"/>
    </x:row>
    <x:row r="44">
      <x:c r="A44" s="51"/>
      <x:c r="B44" s="52"/>
      <x:c r="C44" s="52"/>
      <x:c r="D44" s="52"/>
      <x:c r="E44" s="52"/>
      <x:c r="F44" s="93"/>
      <x:c r="G44" s="52"/>
      <x:c r="H44" s="52"/>
      <x:c r="I44" s="52"/>
      <x:c r="J44" s="53"/>
    </x:row>
    <x:row r="45">
      <x:c r="A45" s="51"/>
      <x:c r="B45" s="52"/>
      <x:c r="C45" s="52"/>
      <x:c r="D45" s="52"/>
      <x:c r="E45" s="52"/>
      <x:c r="F45" s="93"/>
      <x:c r="G45" s="52"/>
      <x:c r="H45" s="52"/>
      <x:c r="I45" s="52"/>
      <x:c r="J45" s="53"/>
    </x:row>
    <x:row r="46">
      <x:c r="A46" s="51"/>
      <x:c r="B46" s="52"/>
      <x:c r="C46" s="52"/>
      <x:c r="D46" s="52"/>
      <x:c r="E46" s="52"/>
      <x:c r="F46" s="93"/>
      <x:c r="G46" s="52"/>
      <x:c r="H46" s="52"/>
      <x:c r="I46" s="52"/>
      <x:c r="J46" s="53"/>
    </x:row>
    <x:row r="47">
      <x:c r="A47" s="51"/>
      <x:c r="B47" s="52"/>
      <x:c r="C47" s="52"/>
      <x:c r="D47" s="52"/>
      <x:c r="E47" s="52"/>
      <x:c r="F47" s="93"/>
      <x:c r="G47" s="52"/>
      <x:c r="H47" s="52"/>
      <x:c r="I47" s="52"/>
      <x:c r="J47" s="53"/>
    </x:row>
    <x:row r="48">
      <x:c r="A48" s="51"/>
      <x:c r="B48" s="52"/>
      <x:c r="C48" s="52"/>
      <x:c r="D48" s="52"/>
      <x:c r="E48" s="52"/>
      <x:c r="F48" s="93"/>
      <x:c r="G48" s="52"/>
      <x:c r="H48" s="52"/>
      <x:c r="I48" s="52"/>
      <x:c r="J48" s="53"/>
    </x:row>
    <x:row r="49">
      <x:c r="A49" s="51"/>
      <x:c r="B49" s="52"/>
      <x:c r="C49" s="52"/>
      <x:c r="D49" s="52"/>
      <x:c r="E49" s="52"/>
      <x:c r="F49" s="93"/>
      <x:c r="G49" s="52"/>
      <x:c r="H49" s="52"/>
      <x:c r="I49" s="52"/>
      <x:c r="J49" s="53"/>
    </x:row>
    <x:row r="50">
      <x:c r="A50" s="51"/>
      <x:c r="B50" s="52"/>
      <x:c r="C50" s="52"/>
      <x:c r="D50" s="52"/>
      <x:c r="E50" s="52"/>
      <x:c r="F50" s="93"/>
      <x:c r="G50" s="52"/>
      <x:c r="H50" s="52"/>
      <x:c r="I50" s="52"/>
      <x:c r="J50" s="53"/>
    </x:row>
    <x:row r="51">
      <x:c r="A51" s="51"/>
      <x:c r="B51" s="52"/>
      <x:c r="C51" s="52"/>
      <x:c r="D51" s="52"/>
      <x:c r="E51" s="52"/>
      <x:c r="F51" s="93"/>
      <x:c r="G51" s="52"/>
      <x:c r="H51" s="52"/>
      <x:c r="I51" s="52"/>
      <x:c r="J51" s="53"/>
    </x:row>
    <x:row r="52">
      <x:c r="A52" s="51"/>
      <x:c r="B52" s="52"/>
      <x:c r="C52" s="52"/>
      <x:c r="D52" s="52"/>
      <x:c r="E52" s="52"/>
      <x:c r="F52" s="93"/>
      <x:c r="G52" s="52"/>
      <x:c r="H52" s="52"/>
      <x:c r="I52" s="52"/>
      <x:c r="J52" s="53"/>
    </x:row>
    <x:row r="53">
      <x:c r="A53" s="51"/>
      <x:c r="B53" s="52"/>
      <x:c r="C53" s="52"/>
      <x:c r="D53" s="52"/>
      <x:c r="E53" s="52"/>
      <x:c r="F53" s="93"/>
      <x:c r="G53" s="52"/>
      <x:c r="H53" s="52"/>
      <x:c r="I53" s="52"/>
      <x:c r="J53" s="53"/>
    </x:row>
    <x:row r="54">
      <x:c r="A54" s="51"/>
      <x:c r="B54" s="52"/>
      <x:c r="C54" s="52"/>
      <x:c r="D54" s="52"/>
      <x:c r="E54" s="52"/>
      <x:c r="F54" s="93"/>
      <x:c r="G54" s="52"/>
      <x:c r="H54" s="52"/>
      <x:c r="I54" s="52"/>
      <x:c r="J54" s="53"/>
    </x:row>
    <x:row r="55">
      <x:c r="A55" s="51"/>
      <x:c r="B55" s="52"/>
      <x:c r="C55" s="52"/>
      <x:c r="D55" s="52"/>
      <x:c r="E55" s="52"/>
      <x:c r="F55" s="93"/>
      <x:c r="G55" s="52"/>
      <x:c r="H55" s="52"/>
      <x:c r="I55" s="52"/>
      <x:c r="J55" s="53"/>
    </x:row>
    <x:row r="56">
      <x:c r="A56" s="51"/>
      <x:c r="B56" s="52"/>
      <x:c r="C56" s="52"/>
      <x:c r="D56" s="52"/>
      <x:c r="E56" s="52"/>
      <x:c r="F56" s="93"/>
      <x:c r="G56" s="52"/>
      <x:c r="H56" s="52"/>
      <x:c r="I56" s="52"/>
      <x:c r="J56" s="53"/>
    </x:row>
    <x:row r="57">
      <x:c r="A57" s="51"/>
      <x:c r="B57" s="52"/>
      <x:c r="C57" s="52"/>
      <x:c r="D57" s="52"/>
      <x:c r="E57" s="52"/>
      <x:c r="F57" s="93"/>
      <x:c r="G57" s="52"/>
      <x:c r="H57" s="52"/>
      <x:c r="I57" s="52"/>
      <x:c r="J57" s="53"/>
    </x:row>
    <x:row r="58">
      <x:c r="A58" s="51"/>
      <x:c r="B58" s="52"/>
      <x:c r="C58" s="52"/>
      <x:c r="D58" s="52"/>
      <x:c r="E58" s="52"/>
      <x:c r="F58" s="93"/>
      <x:c r="G58" s="52"/>
      <x:c r="H58" s="52"/>
      <x:c r="I58" s="52"/>
      <x:c r="J58" s="53"/>
    </x:row>
    <x:row r="59">
      <x:c r="A59" s="51"/>
      <x:c r="B59" s="52"/>
      <x:c r="C59" s="52"/>
      <x:c r="D59" s="52"/>
      <x:c r="E59" s="52"/>
      <x:c r="F59" s="93"/>
      <x:c r="G59" s="52"/>
      <x:c r="H59" s="52"/>
      <x:c r="I59" s="52"/>
      <x:c r="J59" s="53"/>
    </x:row>
    <x:row r="60">
      <x:c r="A60" s="51"/>
      <x:c r="B60" s="52"/>
      <x:c r="C60" s="52"/>
      <x:c r="D60" s="52"/>
      <x:c r="E60" s="52"/>
      <x:c r="F60" s="93"/>
      <x:c r="G60" s="52"/>
      <x:c r="H60" s="52"/>
      <x:c r="I60" s="52"/>
      <x:c r="J60" s="53"/>
    </x:row>
    <x:row r="61">
      <x:c r="A61" s="51"/>
      <x:c r="B61" s="52"/>
      <x:c r="C61" s="52"/>
      <x:c r="D61" s="52"/>
      <x:c r="E61" s="52"/>
      <x:c r="F61" s="93"/>
      <x:c r="G61" s="52"/>
      <x:c r="H61" s="52"/>
      <x:c r="I61" s="52"/>
      <x:c r="J61" s="53"/>
    </x:row>
    <x:row r="62">
      <x:c r="A62" s="51"/>
      <x:c r="B62" s="52"/>
      <x:c r="C62" s="52"/>
      <x:c r="D62" s="52"/>
      <x:c r="E62" s="52"/>
      <x:c r="F62" s="93"/>
      <x:c r="G62" s="52"/>
      <x:c r="H62" s="52"/>
      <x:c r="I62" s="52"/>
      <x:c r="J62" s="53"/>
    </x:row>
    <x:row r="63">
      <x:c r="A63" s="51"/>
      <x:c r="B63" s="52"/>
      <x:c r="C63" s="52"/>
      <x:c r="D63" s="52"/>
      <x:c r="E63" s="52"/>
      <x:c r="F63" s="93"/>
      <x:c r="G63" s="52"/>
      <x:c r="H63" s="52"/>
      <x:c r="I63" s="52"/>
      <x:c r="J63" s="53"/>
    </x:row>
    <x:row r="64">
      <x:c r="A64" s="51"/>
      <x:c r="B64" s="52"/>
      <x:c r="C64" s="52"/>
      <x:c r="D64" s="52"/>
      <x:c r="E64" s="52"/>
      <x:c r="F64" s="93"/>
      <x:c r="G64" s="52"/>
      <x:c r="H64" s="52"/>
      <x:c r="I64" s="52"/>
      <x:c r="J64" s="53"/>
    </x:row>
    <x:row r="65">
      <x:c r="A65" s="51"/>
      <x:c r="B65" s="52"/>
      <x:c r="C65" s="52"/>
      <x:c r="D65" s="52"/>
      <x:c r="E65" s="52"/>
      <x:c r="F65" s="93"/>
      <x:c r="G65" s="52"/>
      <x:c r="H65" s="52"/>
      <x:c r="I65" s="52"/>
      <x:c r="J65" s="53"/>
    </x:row>
    <x:row r="66">
      <x:c r="A66" s="51"/>
      <x:c r="B66" s="52"/>
      <x:c r="C66" s="52"/>
      <x:c r="D66" s="52"/>
      <x:c r="E66" s="52"/>
      <x:c r="F66" s="93"/>
      <x:c r="G66" s="52"/>
      <x:c r="H66" s="52"/>
      <x:c r="I66" s="52"/>
      <x:c r="J66" s="53"/>
    </x:row>
    <x:row r="67">
      <x:c r="A67" s="51"/>
      <x:c r="B67" s="52"/>
      <x:c r="C67" s="52"/>
      <x:c r="D67" s="52"/>
      <x:c r="E67" s="52"/>
      <x:c r="F67" s="93"/>
      <x:c r="G67" s="52"/>
      <x:c r="H67" s="52"/>
      <x:c r="I67" s="52"/>
      <x:c r="J67" s="53"/>
    </x:row>
    <x:row r="68">
      <x:c r="A68" s="51"/>
      <x:c r="B68" s="52"/>
      <x:c r="C68" s="52"/>
      <x:c r="D68" s="52"/>
      <x:c r="E68" s="52"/>
      <x:c r="F68" s="93"/>
      <x:c r="G68" s="52"/>
      <x:c r="H68" s="52"/>
      <x:c r="I68" s="52"/>
      <x:c r="J68" s="53"/>
    </x:row>
    <x:row r="69">
      <x:c r="A69" s="51"/>
      <x:c r="B69" s="52"/>
      <x:c r="C69" s="52"/>
      <x:c r="D69" s="52"/>
      <x:c r="E69" s="52"/>
      <x:c r="F69" s="93"/>
      <x:c r="G69" s="52"/>
      <x:c r="H69" s="52"/>
      <x:c r="I69" s="52"/>
      <x:c r="J69" s="53"/>
    </x:row>
    <x:row r="70">
      <x:c r="A70" s="51"/>
      <x:c r="B70" s="52"/>
      <x:c r="C70" s="52"/>
      <x:c r="D70" s="52"/>
      <x:c r="E70" s="52"/>
      <x:c r="F70" s="93"/>
      <x:c r="G70" s="52"/>
      <x:c r="H70" s="52"/>
      <x:c r="I70" s="52"/>
      <x:c r="J70" s="53"/>
    </x:row>
    <x:row r="71">
      <x:c r="A71" s="51"/>
      <x:c r="B71" s="52"/>
      <x:c r="C71" s="52"/>
      <x:c r="D71" s="52"/>
      <x:c r="E71" s="52"/>
      <x:c r="F71" s="93"/>
      <x:c r="G71" s="52"/>
      <x:c r="H71" s="52"/>
      <x:c r="I71" s="52"/>
      <x:c r="J71" s="53"/>
    </x:row>
    <x:row r="72">
      <x:c r="A72" s="51"/>
      <x:c r="B72" s="52"/>
      <x:c r="C72" s="52"/>
      <x:c r="D72" s="52"/>
      <x:c r="E72" s="52"/>
      <x:c r="F72" s="93"/>
      <x:c r="G72" s="52"/>
      <x:c r="H72" s="52"/>
      <x:c r="I72" s="52"/>
      <x:c r="J72" s="53"/>
    </x:row>
    <x:row r="73">
      <x:c r="A73" s="51"/>
      <x:c r="B73" s="52"/>
      <x:c r="C73" s="52"/>
      <x:c r="D73" s="52"/>
      <x:c r="E73" s="52"/>
      <x:c r="F73" s="93"/>
      <x:c r="G73" s="52"/>
      <x:c r="H73" s="52"/>
      <x:c r="I73" s="52"/>
      <x:c r="J73" s="53"/>
    </x:row>
    <x:row r="74">
      <x:c r="A74" s="51"/>
      <x:c r="B74" s="52"/>
      <x:c r="C74" s="52"/>
      <x:c r="D74" s="52"/>
      <x:c r="E74" s="52"/>
      <x:c r="F74" s="93"/>
      <x:c r="G74" s="52"/>
      <x:c r="H74" s="52"/>
      <x:c r="I74" s="52"/>
      <x:c r="J74" s="53"/>
    </x:row>
    <x:row r="75">
      <x:c r="A75" s="51"/>
      <x:c r="B75" s="52"/>
      <x:c r="C75" s="52"/>
      <x:c r="D75" s="52"/>
      <x:c r="E75" s="52"/>
      <x:c r="F75" s="93"/>
      <x:c r="G75" s="52"/>
      <x:c r="H75" s="52"/>
      <x:c r="I75" s="52"/>
      <x:c r="J75" s="53"/>
    </x:row>
    <x:row r="76">
      <x:c r="A76" s="51"/>
      <x:c r="B76" s="52"/>
      <x:c r="C76" s="52"/>
      <x:c r="D76" s="52"/>
      <x:c r="E76" s="52"/>
      <x:c r="F76" s="93"/>
      <x:c r="G76" s="52"/>
      <x:c r="H76" s="52"/>
      <x:c r="I76" s="52"/>
      <x:c r="J76" s="53"/>
    </x:row>
    <x:row r="77">
      <x:c r="A77" s="51"/>
      <x:c r="B77" s="52"/>
      <x:c r="C77" s="52"/>
      <x:c r="D77" s="52"/>
      <x:c r="E77" s="52"/>
      <x:c r="F77" s="93"/>
      <x:c r="G77" s="52"/>
      <x:c r="H77" s="52"/>
      <x:c r="I77" s="52"/>
      <x:c r="J77" s="53"/>
    </x:row>
    <x:row r="78">
      <x:c r="A78" s="51"/>
      <x:c r="B78" s="52"/>
      <x:c r="C78" s="52"/>
      <x:c r="D78" s="52"/>
      <x:c r="E78" s="52"/>
      <x:c r="F78" s="93"/>
      <x:c r="G78" s="52"/>
      <x:c r="H78" s="52"/>
      <x:c r="I78" s="52"/>
      <x:c r="J78" s="53"/>
    </x:row>
    <x:row r="79">
      <x:c r="A79" s="51"/>
      <x:c r="B79" s="52"/>
      <x:c r="C79" s="52"/>
      <x:c r="D79" s="52"/>
      <x:c r="E79" s="52"/>
      <x:c r="F79" s="93"/>
      <x:c r="G79" s="52"/>
      <x:c r="H79" s="52"/>
      <x:c r="I79" s="52"/>
      <x:c r="J79" s="53"/>
    </x:row>
    <x:row r="80">
      <x:c r="A80" s="51"/>
      <x:c r="B80" s="52"/>
      <x:c r="C80" s="52"/>
      <x:c r="D80" s="52"/>
      <x:c r="E80" s="52"/>
      <x:c r="F80" s="93"/>
      <x:c r="G80" s="52"/>
      <x:c r="H80" s="52"/>
      <x:c r="I80" s="52"/>
      <x:c r="J80" s="53"/>
    </x:row>
    <x:row r="81">
      <x:c r="A81" s="51"/>
      <x:c r="B81" s="52"/>
      <x:c r="C81" s="52"/>
      <x:c r="D81" s="52"/>
      <x:c r="E81" s="52"/>
      <x:c r="F81" s="93"/>
      <x:c r="G81" s="52"/>
      <x:c r="H81" s="52"/>
      <x:c r="I81" s="52"/>
      <x:c r="J81" s="53"/>
    </x:row>
    <x:row r="82">
      <x:c r="A82" s="51"/>
      <x:c r="B82" s="52"/>
      <x:c r="C82" s="52"/>
      <x:c r="D82" s="52"/>
      <x:c r="E82" s="52"/>
      <x:c r="F82" s="93"/>
      <x:c r="G82" s="52"/>
      <x:c r="H82" s="52"/>
      <x:c r="I82" s="52"/>
      <x:c r="J82" s="53"/>
    </x:row>
    <x:row r="83">
      <x:c r="A83" s="51"/>
      <x:c r="B83" s="52"/>
      <x:c r="C83" s="52"/>
      <x:c r="D83" s="52"/>
      <x:c r="E83" s="52"/>
      <x:c r="F83" s="93"/>
      <x:c r="G83" s="52"/>
      <x:c r="H83" s="52"/>
      <x:c r="I83" s="52"/>
      <x:c r="J83" s="53"/>
    </x:row>
    <x:row r="84">
      <x:c r="A84" s="51"/>
      <x:c r="B84" s="52"/>
      <x:c r="C84" s="52"/>
      <x:c r="D84" s="52"/>
      <x:c r="E84" s="52"/>
      <x:c r="F84" s="93"/>
      <x:c r="G84" s="52"/>
      <x:c r="H84" s="52"/>
      <x:c r="I84" s="52"/>
      <x:c r="J84" s="53"/>
    </x:row>
    <x:row r="85">
      <x:c r="A85" s="51"/>
      <x:c r="B85" s="52"/>
      <x:c r="C85" s="52"/>
      <x:c r="D85" s="52"/>
      <x:c r="E85" s="52"/>
      <x:c r="F85" s="93"/>
      <x:c r="G85" s="52"/>
      <x:c r="H85" s="52"/>
      <x:c r="I85" s="52"/>
      <x:c r="J85" s="53"/>
    </x:row>
    <x:row r="86">
      <x:c r="A86" s="51"/>
      <x:c r="B86" s="52"/>
      <x:c r="C86" s="52"/>
      <x:c r="D86" s="52"/>
      <x:c r="E86" s="52"/>
      <x:c r="F86" s="93"/>
      <x:c r="G86" s="52"/>
      <x:c r="H86" s="52"/>
      <x:c r="I86" s="52"/>
      <x:c r="J86" s="53"/>
    </x:row>
    <x:row r="87">
      <x:c r="A87" s="51"/>
      <x:c r="B87" s="52"/>
      <x:c r="C87" s="52"/>
      <x:c r="D87" s="52"/>
      <x:c r="E87" s="52"/>
      <x:c r="F87" s="93"/>
      <x:c r="G87" s="52"/>
      <x:c r="H87" s="52"/>
      <x:c r="I87" s="52"/>
      <x:c r="J87" s="53"/>
    </x:row>
    <x:row r="88">
      <x:c r="A88" s="51"/>
      <x:c r="B88" s="52"/>
      <x:c r="C88" s="52"/>
      <x:c r="D88" s="52"/>
      <x:c r="E88" s="52"/>
      <x:c r="F88" s="93"/>
      <x:c r="G88" s="52"/>
      <x:c r="H88" s="52"/>
      <x:c r="I88" s="52"/>
      <x:c r="J88" s="53"/>
    </x:row>
    <x:row r="89">
      <x:c r="A89" s="51"/>
      <x:c r="B89" s="52"/>
      <x:c r="C89" s="52"/>
      <x:c r="D89" s="52"/>
      <x:c r="E89" s="52"/>
      <x:c r="F89" s="93"/>
      <x:c r="G89" s="52"/>
      <x:c r="H89" s="52"/>
      <x:c r="I89" s="52"/>
      <x:c r="J89" s="53"/>
    </x:row>
    <x:row r="90">
      <x:c r="A90" s="51"/>
      <x:c r="B90" s="52"/>
      <x:c r="C90" s="52"/>
      <x:c r="D90" s="52"/>
      <x:c r="E90" s="52"/>
      <x:c r="F90" s="93"/>
      <x:c r="G90" s="52"/>
      <x:c r="H90" s="52"/>
      <x:c r="I90" s="52"/>
      <x:c r="J90" s="53"/>
    </x:row>
    <x:row r="91">
      <x:c r="A91" s="51"/>
      <x:c r="B91" s="52"/>
      <x:c r="C91" s="52"/>
      <x:c r="D91" s="52"/>
      <x:c r="E91" s="52"/>
      <x:c r="F91" s="93"/>
      <x:c r="G91" s="52"/>
      <x:c r="H91" s="52"/>
      <x:c r="I91" s="52"/>
      <x:c r="J91" s="53"/>
    </x:row>
    <x:row r="92">
      <x:c r="A92" s="51"/>
      <x:c r="B92" s="52"/>
      <x:c r="C92" s="52"/>
      <x:c r="D92" s="52"/>
      <x:c r="E92" s="52"/>
      <x:c r="F92" s="93"/>
      <x:c r="G92" s="52"/>
      <x:c r="H92" s="52"/>
      <x:c r="I92" s="52"/>
      <x:c r="J92" s="53"/>
    </x:row>
    <x:row r="93">
      <x:c r="A93" s="51"/>
      <x:c r="B93" s="52"/>
      <x:c r="C93" s="52"/>
      <x:c r="D93" s="52"/>
      <x:c r="E93" s="52"/>
      <x:c r="F93" s="93"/>
      <x:c r="G93" s="52"/>
      <x:c r="H93" s="52"/>
      <x:c r="I93" s="52"/>
      <x:c r="J93" s="53"/>
    </x:row>
    <x:row r="94">
      <x:c r="A94" s="51"/>
      <x:c r="B94" s="52"/>
      <x:c r="C94" s="52"/>
      <x:c r="D94" s="52"/>
      <x:c r="E94" s="52"/>
      <x:c r="F94" s="93"/>
      <x:c r="G94" s="52"/>
      <x:c r="H94" s="52"/>
      <x:c r="I94" s="52"/>
      <x:c r="J94" s="53"/>
    </x:row>
    <x:row r="95">
      <x:c r="A95" s="51"/>
      <x:c r="B95" s="52"/>
      <x:c r="C95" s="52"/>
      <x:c r="D95" s="52"/>
      <x:c r="E95" s="52"/>
      <x:c r="F95" s="93"/>
      <x:c r="G95" s="52"/>
      <x:c r="H95" s="52"/>
      <x:c r="I95" s="52"/>
      <x:c r="J95" s="53"/>
    </x:row>
    <x:row r="96">
      <x:c r="A96" s="51"/>
      <x:c r="B96" s="52"/>
      <x:c r="C96" s="52"/>
      <x:c r="D96" s="52"/>
      <x:c r="E96" s="52"/>
      <x:c r="F96" s="93"/>
      <x:c r="G96" s="52"/>
      <x:c r="H96" s="52"/>
      <x:c r="I96" s="52"/>
      <x:c r="J96" s="53"/>
    </x:row>
    <x:row r="97">
      <x:c r="A97" s="51"/>
      <x:c r="B97" s="52"/>
      <x:c r="C97" s="52"/>
      <x:c r="D97" s="52"/>
      <x:c r="E97" s="52"/>
      <x:c r="F97" s="93"/>
      <x:c r="G97" s="52"/>
      <x:c r="H97" s="52"/>
      <x:c r="I97" s="52"/>
      <x:c r="J97" s="53"/>
    </x:row>
    <x:row r="98">
      <x:c r="A98" s="51"/>
      <x:c r="B98" s="52"/>
      <x:c r="C98" s="52"/>
      <x:c r="D98" s="52"/>
      <x:c r="E98" s="52"/>
      <x:c r="F98" s="93"/>
      <x:c r="G98" s="52"/>
      <x:c r="H98" s="52"/>
      <x:c r="I98" s="52"/>
      <x:c r="J98" s="53"/>
    </x:row>
    <x:row r="99">
      <x:c r="A99" s="51"/>
      <x:c r="B99" s="52"/>
      <x:c r="C99" s="52"/>
      <x:c r="D99" s="52"/>
      <x:c r="E99" s="52"/>
      <x:c r="F99" s="93"/>
      <x:c r="G99" s="52"/>
      <x:c r="H99" s="52"/>
      <x:c r="I99" s="52"/>
      <x:c r="J99" s="53"/>
    </x:row>
    <x:row r="100">
      <x:c r="A100" s="51"/>
      <x:c r="B100" s="52"/>
      <x:c r="C100" s="52"/>
      <x:c r="D100" s="52"/>
      <x:c r="E100" s="52"/>
      <x:c r="F100" s="93"/>
      <x:c r="G100" s="52"/>
      <x:c r="H100" s="52"/>
      <x:c r="I100" s="52"/>
      <x:c r="J100" s="53"/>
    </x:row>
    <x:row r="101">
      <x:c r="A101" s="51"/>
      <x:c r="B101" s="52"/>
      <x:c r="C101" s="52"/>
      <x:c r="D101" s="52"/>
      <x:c r="E101" s="52"/>
      <x:c r="F101" s="93"/>
      <x:c r="G101" s="52"/>
      <x:c r="H101" s="52"/>
      <x:c r="I101" s="52"/>
      <x:c r="J101" s="53"/>
    </x:row>
    <x:row r="102">
      <x:c r="A102" s="51"/>
      <x:c r="B102" s="52"/>
      <x:c r="C102" s="52"/>
      <x:c r="D102" s="52"/>
      <x:c r="E102" s="52"/>
      <x:c r="F102" s="93"/>
      <x:c r="G102" s="52"/>
      <x:c r="H102" s="52"/>
      <x:c r="I102" s="52"/>
      <x:c r="J102" s="53"/>
    </x:row>
    <x:row r="103">
      <x:c r="A103" s="54"/>
      <x:c r="B103" s="55"/>
      <x:c r="C103" s="55"/>
      <x:c r="D103" s="55"/>
      <x:c r="E103" s="55"/>
      <x:c r="F103" s="94"/>
      <x:c r="G103" s="55"/>
      <x:c r="H103" s="55"/>
      <x:c r="I103" s="55"/>
      <x:c r="J103" s="56"/>
    </x:row>
    <x:row r="104">
      <x:c r="A104" s="197"/>
    </x:row>
    <x:row r="105">
      <x:c r="A105" s="197"/>
    </x:row>
    <x:row r="106">
      <x:c r="A106" s="197"/>
    </x:row>
    <x:row r="107">
      <x:c r="A107" s="197"/>
    </x:row>
    <x:row r="108">
      <x:c r="A108" s="197"/>
    </x:row>
    <x:row r="109">
      <x:c r="A109" s="197"/>
    </x:row>
    <x:row r="110">
      <x:c r="A110" s="197"/>
    </x:row>
    <x:row r="111">
      <x:c r="A111" s="197"/>
    </x:row>
    <x:row r="112">
      <x:c r="A112" s="197"/>
    </x:row>
    <x:row r="113">
      <x:c r="A113" s="197"/>
    </x:row>
    <x:row r="114">
      <x:c r="A114" s="197"/>
    </x:row>
    <x:row r="115">
      <x:c r="A115" s="197"/>
    </x:row>
    <x:row r="116">
      <x:c r="A116" s="197"/>
    </x:row>
    <x:row r="117">
      <x:c r="A117" s="197"/>
    </x:row>
    <x:row r="118">
      <x:c r="A118" s="197"/>
    </x:row>
    <x:row r="119">
      <x:c r="A119" s="197"/>
    </x:row>
    <x:row r="120">
      <x:c r="A120" s="197"/>
    </x:row>
    <x:row r="121">
      <x:c r="A121" s="197"/>
    </x:row>
    <x:row r="122">
      <x:c r="A122" s="197"/>
    </x:row>
    <x:row r="123">
      <x:c r="A123" s="197"/>
    </x:row>
    <x:row r="124">
      <x:c r="A124" s="197"/>
    </x:row>
    <x:row r="125">
      <x:c r="A125" s="197"/>
    </x:row>
    <x:row r="126">
      <x:c r="A126" s="197"/>
    </x:row>
    <x:row r="127">
      <x:c r="A127" s="197"/>
    </x:row>
    <x:row r="128">
      <x:c r="A128" s="197"/>
    </x:row>
    <x:row r="129">
      <x:c r="A129" s="197"/>
    </x:row>
    <x:row r="130">
      <x:c r="A130" s="197"/>
    </x:row>
    <x:row r="131">
      <x:c r="A131" s="197"/>
    </x:row>
    <x:row r="132">
      <x:c r="A132" s="197"/>
    </x:row>
    <x:row r="133">
      <x:c r="A133" s="197"/>
    </x:row>
    <x:row r="134">
      <x:c r="A134" s="197"/>
    </x:row>
    <x:row r="135">
      <x:c r="A135" s="197"/>
    </x:row>
    <x:row r="136">
      <x:c r="A136" s="197"/>
    </x:row>
    <x:row r="137">
      <x:c r="A137" s="197"/>
    </x:row>
    <x:row r="138">
      <x:c r="A138" s="197"/>
    </x:row>
    <x:row r="139">
      <x:c r="A139" s="197"/>
    </x:row>
    <x:row r="140">
      <x:c r="A140" s="197"/>
    </x:row>
    <x:row r="141">
      <x:c r="A141" s="197"/>
    </x:row>
    <x:row r="142">
      <x:c r="A142" s="197"/>
    </x:row>
    <x:row r="143">
      <x:c r="A143" s="197"/>
    </x:row>
    <x:row r="144">
      <x:c r="A144" s="197"/>
    </x:row>
    <x:row r="145">
      <x:c r="A145" s="197"/>
    </x:row>
    <x:row r="146">
      <x:c r="A146" s="197"/>
    </x:row>
    <x:row r="147">
      <x:c r="A147" s="197"/>
    </x:row>
    <x:row r="148">
      <x:c r="A148" s="197"/>
    </x:row>
    <x:row r="149">
      <x:c r="A149" s="197"/>
    </x:row>
    <x:row r="150">
      <x:c r="A150" s="197"/>
    </x:row>
    <x:row r="151">
      <x:c r="A151" s="197"/>
    </x:row>
    <x:row r="152">
      <x:c r="A152" s="197"/>
    </x:row>
    <x:row r="153">
      <x:c r="A153" s="197"/>
    </x:row>
    <x:row r="154">
      <x:c r="A154" s="197"/>
    </x:row>
    <x:row r="155">
      <x:c r="A155" s="197"/>
    </x:row>
    <x:row r="156">
      <x:c r="A156" s="197"/>
    </x:row>
    <x:row r="157">
      <x:c r="A157" s="197"/>
    </x:row>
    <x:row r="158">
      <x:c r="A158" s="197"/>
    </x:row>
    <x:row r="159">
      <x:c r="A159" s="197"/>
    </x:row>
    <x:row r="160">
      <x:c r="A160" s="197"/>
    </x:row>
    <x:row r="161">
      <x:c r="A161" s="197"/>
    </x:row>
    <x:row r="162">
      <x:c r="A162" s="197"/>
    </x:row>
    <x:row r="163">
      <x:c r="A163" s="197"/>
    </x:row>
    <x:row r="164">
      <x:c r="A164" s="197"/>
    </x:row>
    <x:row r="165">
      <x:c r="A165" s="197"/>
    </x:row>
    <x:row r="166">
      <x:c r="A166" s="197"/>
    </x:row>
    <x:row r="167">
      <x:c r="A167" s="197"/>
    </x:row>
    <x:row r="168">
      <x:c r="A168" s="197"/>
    </x:row>
    <x:row r="169">
      <x:c r="A169" s="197"/>
    </x:row>
    <x:row r="170">
      <x:c r="A170" s="197"/>
    </x:row>
    <x:row r="171">
      <x:c r="A171" s="197"/>
    </x:row>
    <x:row r="172">
      <x:c r="A172" s="197"/>
    </x:row>
    <x:row r="173">
      <x:c r="A173" s="197"/>
    </x:row>
    <x:row r="174">
      <x:c r="A174" s="197"/>
    </x:row>
    <x:row r="175">
      <x:c r="A175" s="197"/>
    </x:row>
    <x:row r="176">
      <x:c r="A176" s="197"/>
    </x:row>
    <x:row r="177">
      <x:c r="A177" s="197"/>
    </x:row>
    <x:row r="178">
      <x:c r="A178" s="197"/>
    </x:row>
    <x:row r="179">
      <x:c r="A179" s="197"/>
    </x:row>
    <x:row r="180">
      <x:c r="A180" s="197"/>
    </x:row>
    <x:row r="181">
      <x:c r="A181" s="197"/>
    </x:row>
    <x:row r="182">
      <x:c r="A182" s="197"/>
    </x:row>
    <x:row r="183">
      <x:c r="A183" s="197"/>
    </x:row>
    <x:row r="184">
      <x:c r="A184" s="197"/>
    </x:row>
    <x:row r="185">
      <x:c r="A185" s="197"/>
    </x:row>
    <x:row r="186">
      <x:c r="A186" s="197"/>
    </x:row>
    <x:row r="187">
      <x:c r="A187" s="197"/>
    </x:row>
    <x:row r="188">
      <x:c r="A188" s="197"/>
    </x:row>
    <x:row r="189">
      <x:c r="A189" s="197"/>
    </x:row>
    <x:row r="190">
      <x:c r="A190" s="197"/>
    </x:row>
    <x:row r="191">
      <x:c r="A191" s="197"/>
    </x:row>
    <x:row r="192">
      <x:c r="A192" s="197"/>
    </x:row>
    <x:row r="193">
      <x:c r="A193" s="197"/>
    </x:row>
    <x:row r="194">
      <x:c r="A194" s="197"/>
    </x:row>
    <x:row r="195">
      <x:c r="A195" s="197"/>
    </x:row>
    <x:row r="196">
      <x:c r="A196" s="197"/>
    </x:row>
    <x:row r="197">
      <x:c r="A197" s="197"/>
    </x:row>
    <x:row r="198">
      <x:c r="A198" s="197"/>
    </x:row>
    <x:row r="199">
      <x:c r="A199" s="197"/>
    </x:row>
    <x:row r="200">
      <x:c r="A200" s="197"/>
    </x:row>
    <x:row r="201">
      <x:c r="A201" s="197"/>
    </x:row>
    <x:row r="202">
      <x:c r="A202" s="197"/>
    </x:row>
    <x:row r="203">
      <x:c r="A203" s="197"/>
    </x:row>
    <x:row r="204">
      <x:c r="A204" s="197"/>
    </x:row>
    <x:row r="205">
      <x:c r="A205" s="197"/>
    </x:row>
    <x:row r="206">
      <x:c r="A206" s="197"/>
    </x:row>
    <x:row r="207">
      <x:c r="A207" s="197"/>
    </x:row>
    <x:row r="208">
      <x:c r="A208" s="197"/>
    </x:row>
    <x:row r="209">
      <x:c r="A209" s="197"/>
    </x:row>
    <x:row r="210">
      <x:c r="A210" s="197"/>
    </x:row>
    <x:row r="211">
      <x:c r="A211" s="197"/>
    </x:row>
    <x:row r="212">
      <x:c r="A212" s="197"/>
    </x:row>
    <x:row r="213">
      <x:c r="A213" s="197"/>
    </x:row>
    <x:row r="214">
      <x:c r="A214" s="197"/>
    </x:row>
    <x:row r="215">
      <x:c r="A215" s="197"/>
    </x:row>
    <x:row r="216">
      <x:c r="A216" s="197"/>
    </x:row>
    <x:row r="217">
      <x:c r="A217" s="197"/>
    </x:row>
    <x:row r="218">
      <x:c r="A218" s="197"/>
    </x:row>
    <x:row r="219">
      <x:c r="A219" s="197"/>
    </x:row>
    <x:row r="220">
      <x:c r="A220" s="197"/>
    </x:row>
    <x:row r="221">
      <x:c r="A221" s="197"/>
    </x:row>
    <x:row r="222">
      <x:c r="A222" s="197"/>
    </x:row>
    <x:row r="223">
      <x:c r="A223" s="197"/>
    </x:row>
    <x:row r="224">
      <x:c r="A224" s="197"/>
    </x:row>
    <x:row r="225">
      <x:c r="A225" s="197"/>
    </x:row>
    <x:row r="226">
      <x:c r="A226" s="197"/>
    </x:row>
    <x:row r="227">
      <x:c r="A227" s="197"/>
    </x:row>
    <x:row r="228">
      <x:c r="A228" s="197"/>
    </x:row>
    <x:row r="229">
      <x:c r="A229" s="197"/>
    </x:row>
    <x:row r="230">
      <x:c r="A230" s="197"/>
    </x:row>
    <x:row r="231">
      <x:c r="A231" s="197"/>
    </x:row>
    <x:row r="232">
      <x:c r="A232" s="197"/>
    </x:row>
    <x:row r="233">
      <x:c r="A233" s="197"/>
    </x:row>
    <x:row r="234">
      <x:c r="A234" s="197"/>
    </x:row>
    <x:row r="235">
      <x:c r="A235" s="197"/>
    </x:row>
    <x:row r="236">
      <x:c r="A236" s="197"/>
    </x:row>
    <x:row r="237">
      <x:c r="A237" s="197"/>
    </x:row>
    <x:row r="238">
      <x:c r="A238" s="197"/>
    </x:row>
    <x:row r="239">
      <x:c r="A239" s="197"/>
    </x:row>
    <x:row r="240">
      <x:c r="A240" s="197"/>
    </x:row>
  </x:sheetData>
  <x:mergeCells>
    <x:mergeCell ref="A1:J1"/>
  </x:mergeCells>
  <x:dataValidations count="1">
    <x:dataValidation type="list" sqref="J4:J103">
      <x:formula1>"Draft,Testing,Active,Retired"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4" max="4" width="20" hidden="0" customWidth="1"/>
    <x:col min="5" max="5" width="12" hidden="0" customWidth="1"/>
    <x:col min="6" max="6" width="14" hidden="0" customWidth="1"/>
    <x:col min="7" max="7" width="20" hidden="0" customWidth="1"/>
    <x:col min="8" max="8" width="18" hidden="0" customWidth="1"/>
    <x:col min="9" max="9" width="18" hidden="0" customWidth="1"/>
    <x:col min="10" max="10" width="30" hidden="0" customWidth="1"/>
  </x:cols>
  <x:sheetData>
    <x:row r="1" ht="34" customHeight="1">
      <x:c r="A1" s="196" t="str">
        <x:v>Pipeline Mathematics and Capacity Model</x:v>
      </x:c>
    </x:row>
    <x:row r="2">
      <x:c r="A2" s="197"/>
    </x:row>
    <x:row r="3" ht="24" customHeight="1">
      <x:c r="A3" s="13" t="str">
        <x:v>Input / Metric</x:v>
      </x:c>
      <x:c r="B3" s="15" t="str">
        <x:v>Value</x:v>
      </x:c>
      <x:c r="D3" s="109" t="str">
        <x:v>Monthly Funnel</x:v>
      </x:c>
    </x:row>
    <x:row r="4" ht="30" customHeight="1">
      <x:c r="A4" s="48" t="str">
        <x:v>Monthly Revenue Target</x:v>
      </x:c>
      <x:c r="B4" s="98" t="n">
        <x:v>100000</x:v>
      </x:c>
      <x:c r="D4" s="13" t="str">
        <x:v>Stage</x:v>
      </x:c>
      <x:c r="E4" s="14" t="str">
        <x:v>Count</x:v>
      </x:c>
      <x:c r="F4" s="14" t="str">
        <x:v>Conversion</x:v>
      </x:c>
      <x:c r="G4" s="14" t="str">
        <x:v>Owner</x:v>
      </x:c>
      <x:c r="H4" s="14" t="str">
        <x:v>Capacity Check</x:v>
      </x:c>
      <x:c r="I4" s="14" t="str">
        <x:v>Risk</x:v>
      </x:c>
      <x:c r="J4" s="15" t="str">
        <x:v>Next Action</x:v>
      </x:c>
    </x:row>
    <x:row r="5">
      <x:c r="A5" s="51" t="str">
        <x:v>Core Offer Price</x:v>
      </x:c>
      <x:c r="B5" s="90" t="n">
        <x:v>25000</x:v>
      </x:c>
      <x:c r="D5" s="48" t="str">
        <x:v>Qualified Leads</x:v>
      </x:c>
      <x:c r="E5" s="49" t="n">
        <x:f>$B$13</x:f>
        <x:v>100</x:v>
      </x:c>
      <x:c r="F5" s="49" t="str">
        <x:v>20%</x:v>
      </x:c>
      <x:c r="G5" s="49" t="str">
        <x:v>BD</x:v>
      </x:c>
      <x:c r="H5" s="49" t="str"/>
      <x:c r="I5" s="49" t="str"/>
      <x:c r="J5" s="50" t="str"/>
      <x:c r="K5" t="str"/>
    </x:row>
    <x:row r="6">
      <x:c r="A6" s="51" t="str">
        <x:v>Delivery Capacity / Month</x:v>
      </x:c>
      <x:c r="B6" s="53" t="n">
        <x:v>4</x:v>
      </x:c>
      <x:c r="D6" s="51" t="str">
        <x:v>Discovery Calls</x:v>
      </x:c>
      <x:c r="E6" s="52" t="n">
        <x:f>$B$12</x:f>
        <x:v>20</x:v>
      </x:c>
      <x:c r="F6" s="52" t="str">
        <x:v>50%</x:v>
      </x:c>
      <x:c r="G6" s="52" t="str">
        <x:v>BD</x:v>
      </x:c>
      <x:c r="H6" s="52" t="str"/>
      <x:c r="I6" s="52" t="str"/>
      <x:c r="J6" s="53" t="str"/>
      <x:c r="K6" t="str"/>
    </x:row>
    <x:row r="7">
      <x:c r="A7" s="51" t="str">
        <x:v>Lead -&gt; Call Rate</x:v>
      </x:c>
      <x:c r="B7" s="53" t="n">
        <x:v>0.2</x:v>
      </x:c>
      <x:c r="D7" s="51" t="str">
        <x:v>Proposals</x:v>
      </x:c>
      <x:c r="E7" s="52" t="n">
        <x:f>$B$11</x:f>
        <x:v>10</x:v>
      </x:c>
      <x:c r="F7" s="52" t="str">
        <x:v>40%</x:v>
      </x:c>
      <x:c r="G7" s="52" t="str">
        <x:v>Founder / seller</x:v>
      </x:c>
      <x:c r="H7" s="52" t="str"/>
      <x:c r="I7" s="52" t="str"/>
      <x:c r="J7" s="53" t="str"/>
      <x:c r="K7" t="str"/>
    </x:row>
    <x:row r="8">
      <x:c r="A8" s="51" t="str">
        <x:v>Call -&gt; Proposal Rate</x:v>
      </x:c>
      <x:c r="B8" s="100" t="n">
        <x:v>0.5</x:v>
      </x:c>
      <x:c r="D8" s="51" t="str">
        <x:v>Closed Deals</x:v>
      </x:c>
      <x:c r="E8" s="52" t="n">
        <x:f>$B$10</x:f>
        <x:v>4</x:v>
      </x:c>
      <x:c r="F8" s="52" t="str">
        <x:v>Capacity</x:v>
      </x:c>
      <x:c r="G8" s="52" t="str">
        <x:v>Delivery lead</x:v>
      </x:c>
      <x:c r="H8" s="52" t="str"/>
      <x:c r="I8" s="52" t="str"/>
      <x:c r="J8" s="53" t="str"/>
      <x:c r="K8" t="str"/>
    </x:row>
    <x:row r="9">
      <x:c r="A9" s="51" t="str">
        <x:v>Proposal -&gt; Close Rate</x:v>
      </x:c>
      <x:c r="B9" s="100" t="n">
        <x:v>0.4</x:v>
      </x:c>
      <x:c r="D9" s="54" t="str">
        <x:v>Delivered Missions</x:v>
      </x:c>
      <x:c r="E9" s="55" t="n">
        <x:f>MIN($B$10,$B$6)</x:f>
        <x:v>4</x:v>
      </x:c>
      <x:c r="F9" s="55"/>
      <x:c r="G9" s="55" t="str">
        <x:v>Mission operator</x:v>
      </x:c>
      <x:c r="H9" s="55" t="str"/>
      <x:c r="I9" s="55" t="str"/>
      <x:c r="J9" s="56" t="str"/>
      <x:c r="K9" t="str"/>
    </x:row>
    <x:row r="10">
      <x:c r="A10" s="51" t="str">
        <x:v>Core Deals Needed</x:v>
      </x:c>
      <x:c r="B10" s="102" t="n">
        <x:f>ROUNDUP(B4/B5,0)</x:f>
        <x:v>4</x:v>
      </x:c>
    </x:row>
    <x:row r="11">
      <x:c r="A11" s="51" t="str">
        <x:v>Proposals Needed</x:v>
      </x:c>
      <x:c r="B11" s="102" t="n">
        <x:f>ROUNDUP(B10/B9,0)</x:f>
        <x:v>10</x:v>
      </x:c>
    </x:row>
    <x:row r="12">
      <x:c r="A12" s="51" t="str">
        <x:v>Calls Needed</x:v>
      </x:c>
      <x:c r="B12" s="102" t="n">
        <x:f>ROUNDUP(B11/B8,0)</x:f>
        <x:v>20</x:v>
      </x:c>
    </x:row>
    <x:row r="13">
      <x:c r="A13" s="51" t="str">
        <x:v>Qualified Leads Needed</x:v>
      </x:c>
      <x:c r="B13" s="102" t="n">
        <x:f>ROUNDUP(B12/B7,0)</x:f>
        <x:v>100</x:v>
      </x:c>
    </x:row>
    <x:row r="14">
      <x:c r="A14" s="51" t="str">
        <x:v>Required Proposal Pipeline</x:v>
      </x:c>
      <x:c r="B14" s="90" t="n">
        <x:f>B11*B5</x:f>
        <x:v>250000</x:v>
      </x:c>
    </x:row>
    <x:row r="15">
      <x:c r="A15" s="54" t="str">
        <x:v>Capacity Utilization</x:v>
      </x:c>
      <x:c r="B15" s="104" t="n">
        <x:f>IFERROR(B10/B6,0)</x:f>
        <x:v>1</x:v>
      </x:c>
    </x:row>
    <x:row r="16">
      <x:c r="A16" s="197" t="str">
        <x:v>Revenue Capacity</x:v>
      </x:c>
      <x:c r="B16" s="106" t="n">
        <x:f>B5*B6</x:f>
        <x:v>100000</x:v>
      </x:c>
    </x:row>
    <x:row r="17">
      <x:c r="A17" s="197"/>
    </x:row>
    <x:row r="18">
      <x:c r="A18" s="197"/>
    </x:row>
    <x:row r="19">
      <x:c r="A19" s="197"/>
    </x:row>
    <x:row r="20">
      <x:c r="A20" s="197"/>
    </x:row>
    <x:row r="21">
      <x:c r="A21" s="197"/>
    </x:row>
    <x:row r="22">
      <x:c r="A22" s="197"/>
    </x:row>
    <x:row r="23">
      <x:c r="A23" s="197"/>
    </x:row>
    <x:row r="24">
      <x:c r="A24" s="197"/>
    </x:row>
    <x:row r="25">
      <x:c r="A25" s="197"/>
    </x:row>
    <x:row r="26">
      <x:c r="A26" s="197"/>
    </x:row>
    <x:row r="27">
      <x:c r="A27" s="197"/>
    </x:row>
    <x:row r="28">
      <x:c r="A28" s="197"/>
    </x:row>
    <x:row r="29">
      <x:c r="A29" s="197"/>
    </x:row>
    <x:row r="30">
      <x:c r="A30" s="197"/>
    </x:row>
    <x:row r="31">
      <x:c r="A31" s="197"/>
    </x:row>
    <x:row r="32">
      <x:c r="A32" s="197"/>
    </x:row>
    <x:row r="33">
      <x:c r="A33" s="197"/>
    </x:row>
    <x:row r="34">
      <x:c r="A34" s="197"/>
    </x:row>
    <x:row r="35">
      <x:c r="A35" s="197"/>
    </x:row>
    <x:row r="36">
      <x:c r="A36" s="197"/>
    </x:row>
    <x:row r="37">
      <x:c r="A37" s="197"/>
    </x:row>
    <x:row r="38">
      <x:c r="A38" s="197"/>
    </x:row>
    <x:row r="39">
      <x:c r="A39" s="197"/>
    </x:row>
    <x:row r="40">
      <x:c r="A40" s="197"/>
    </x:row>
    <x:row r="41">
      <x:c r="A41" s="197"/>
    </x:row>
    <x:row r="42">
      <x:c r="A42" s="197"/>
    </x:row>
    <x:row r="43">
      <x:c r="A43" s="197"/>
    </x:row>
    <x:row r="44">
      <x:c r="A44" s="197"/>
    </x:row>
    <x:row r="45">
      <x:c r="A45" s="197"/>
    </x:row>
    <x:row r="46">
      <x:c r="A46" s="197"/>
    </x:row>
    <x:row r="47">
      <x:c r="A47" s="197"/>
    </x:row>
    <x:row r="48">
      <x:c r="A48" s="197"/>
    </x:row>
    <x:row r="49">
      <x:c r="A49" s="197"/>
    </x:row>
    <x:row r="50">
      <x:c r="A50" s="197"/>
    </x:row>
    <x:row r="51">
      <x:c r="A51" s="197"/>
    </x:row>
    <x:row r="52">
      <x:c r="A52" s="197"/>
    </x:row>
    <x:row r="53">
      <x:c r="A53" s="197"/>
    </x:row>
    <x:row r="54">
      <x:c r="A54" s="197"/>
    </x:row>
    <x:row r="55">
      <x:c r="A55" s="197"/>
    </x:row>
    <x:row r="56">
      <x:c r="A56" s="197"/>
    </x:row>
    <x:row r="57">
      <x:c r="A57" s="197"/>
    </x:row>
    <x:row r="58">
      <x:c r="A58" s="197"/>
    </x:row>
    <x:row r="59">
      <x:c r="A59" s="197"/>
    </x:row>
    <x:row r="60">
      <x:c r="A60" s="197"/>
    </x:row>
    <x:row r="61">
      <x:c r="A61" s="197"/>
    </x:row>
    <x:row r="62">
      <x:c r="A62" s="197"/>
    </x:row>
    <x:row r="63">
      <x:c r="A63" s="197"/>
    </x:row>
    <x:row r="64">
      <x:c r="A64" s="197"/>
    </x:row>
    <x:row r="65">
      <x:c r="A65" s="197"/>
    </x:row>
    <x:row r="66">
      <x:c r="A66" s="197"/>
    </x:row>
    <x:row r="67">
      <x:c r="A67" s="197"/>
    </x:row>
    <x:row r="68">
      <x:c r="A68" s="197"/>
    </x:row>
    <x:row r="69">
      <x:c r="A69" s="197"/>
    </x:row>
    <x:row r="70">
      <x:c r="A70" s="197"/>
    </x:row>
    <x:row r="71">
      <x:c r="A71" s="197"/>
    </x:row>
    <x:row r="72">
      <x:c r="A72" s="197"/>
    </x:row>
    <x:row r="73">
      <x:c r="A73" s="197"/>
    </x:row>
    <x:row r="74">
      <x:c r="A74" s="197"/>
    </x:row>
    <x:row r="75">
      <x:c r="A75" s="197"/>
    </x:row>
    <x:row r="76">
      <x:c r="A76" s="197"/>
    </x:row>
    <x:row r="77">
      <x:c r="A77" s="197"/>
    </x:row>
    <x:row r="78">
      <x:c r="A78" s="197"/>
    </x:row>
    <x:row r="79">
      <x:c r="A79" s="197"/>
    </x:row>
    <x:row r="80">
      <x:c r="A80" s="197"/>
    </x:row>
    <x:row r="81">
      <x:c r="A81" s="197"/>
    </x:row>
    <x:row r="82">
      <x:c r="A82" s="197"/>
    </x:row>
    <x:row r="83">
      <x:c r="A83" s="197"/>
    </x:row>
    <x:row r="84">
      <x:c r="A84" s="197"/>
    </x:row>
    <x:row r="85">
      <x:c r="A85" s="197"/>
    </x:row>
    <x:row r="86">
      <x:c r="A86" s="197"/>
    </x:row>
    <x:row r="87">
      <x:c r="A87" s="197"/>
    </x:row>
    <x:row r="88">
      <x:c r="A88" s="197"/>
    </x:row>
    <x:row r="89">
      <x:c r="A89" s="197"/>
    </x:row>
    <x:row r="90">
      <x:c r="A90" s="197"/>
    </x:row>
    <x:row r="91">
      <x:c r="A91" s="197"/>
    </x:row>
    <x:row r="92">
      <x:c r="A92" s="197"/>
    </x:row>
    <x:row r="93">
      <x:c r="A93" s="197"/>
    </x:row>
    <x:row r="94">
      <x:c r="A94" s="197"/>
    </x:row>
    <x:row r="95">
      <x:c r="A95" s="197"/>
    </x:row>
    <x:row r="96">
      <x:c r="A96" s="197"/>
    </x:row>
    <x:row r="97">
      <x:c r="A97" s="197"/>
    </x:row>
    <x:row r="98">
      <x:c r="A98" s="197"/>
    </x:row>
    <x:row r="99">
      <x:c r="A99" s="197"/>
    </x:row>
    <x:row r="100">
      <x:c r="A100" s="197"/>
    </x:row>
    <x:row r="101">
      <x:c r="A101" s="197"/>
    </x:row>
    <x:row r="102">
      <x:c r="A102" s="197"/>
    </x:row>
    <x:row r="103">
      <x:c r="A103" s="197"/>
    </x:row>
    <x:row r="104">
      <x:c r="A104" s="197"/>
    </x:row>
    <x:row r="105">
      <x:c r="A105" s="197"/>
    </x:row>
    <x:row r="106">
      <x:c r="A106" s="197"/>
    </x:row>
    <x:row r="107">
      <x:c r="A107" s="197"/>
    </x:row>
    <x:row r="108">
      <x:c r="A108" s="197"/>
    </x:row>
    <x:row r="109">
      <x:c r="A109" s="197"/>
    </x:row>
    <x:row r="110">
      <x:c r="A110" s="197"/>
    </x:row>
    <x:row r="111">
      <x:c r="A111" s="197"/>
    </x:row>
    <x:row r="112">
      <x:c r="A112" s="197"/>
    </x:row>
    <x:row r="113">
      <x:c r="A113" s="197"/>
    </x:row>
    <x:row r="114">
      <x:c r="A114" s="197"/>
    </x:row>
    <x:row r="115">
      <x:c r="A115" s="197"/>
    </x:row>
    <x:row r="116">
      <x:c r="A116" s="197"/>
    </x:row>
    <x:row r="117">
      <x:c r="A117" s="197"/>
    </x:row>
    <x:row r="118">
      <x:c r="A118" s="197"/>
    </x:row>
    <x:row r="119">
      <x:c r="A119" s="197"/>
    </x:row>
    <x:row r="120">
      <x:c r="A120" s="197"/>
    </x:row>
    <x:row r="121">
      <x:c r="A121" s="197"/>
    </x:row>
    <x:row r="122">
      <x:c r="A122" s="197"/>
    </x:row>
    <x:row r="123">
      <x:c r="A123" s="197"/>
    </x:row>
    <x:row r="124">
      <x:c r="A124" s="197"/>
    </x:row>
    <x:row r="125">
      <x:c r="A125" s="197"/>
    </x:row>
    <x:row r="126">
      <x:c r="A126" s="197"/>
    </x:row>
    <x:row r="127">
      <x:c r="A127" s="197"/>
    </x:row>
    <x:row r="128">
      <x:c r="A128" s="197"/>
    </x:row>
    <x:row r="129">
      <x:c r="A129" s="197"/>
    </x:row>
    <x:row r="130">
      <x:c r="A130" s="197"/>
    </x:row>
    <x:row r="131">
      <x:c r="A131" s="197"/>
    </x:row>
    <x:row r="132">
      <x:c r="A132" s="197"/>
    </x:row>
    <x:row r="133">
      <x:c r="A133" s="197"/>
    </x:row>
    <x:row r="134">
      <x:c r="A134" s="197"/>
    </x:row>
    <x:row r="135">
      <x:c r="A135" s="197"/>
    </x:row>
    <x:row r="136">
      <x:c r="A136" s="197"/>
    </x:row>
    <x:row r="137">
      <x:c r="A137" s="197"/>
    </x:row>
    <x:row r="138">
      <x:c r="A138" s="197"/>
    </x:row>
    <x:row r="139">
      <x:c r="A139" s="197"/>
    </x:row>
    <x:row r="140">
      <x:c r="A140" s="197"/>
    </x:row>
    <x:row r="141">
      <x:c r="A141" s="197"/>
    </x:row>
    <x:row r="142">
      <x:c r="A142" s="197"/>
    </x:row>
    <x:row r="143">
      <x:c r="A143" s="197"/>
    </x:row>
    <x:row r="144">
      <x:c r="A144" s="197"/>
    </x:row>
    <x:row r="145">
      <x:c r="A145" s="197"/>
    </x:row>
    <x:row r="146">
      <x:c r="A146" s="197"/>
    </x:row>
    <x:row r="147">
      <x:c r="A147" s="197"/>
    </x:row>
    <x:row r="148">
      <x:c r="A148" s="197"/>
    </x:row>
    <x:row r="149">
      <x:c r="A149" s="197"/>
    </x:row>
    <x:row r="150">
      <x:c r="A150" s="197"/>
    </x:row>
    <x:row r="151">
      <x:c r="A151" s="197"/>
    </x:row>
    <x:row r="152">
      <x:c r="A152" s="197"/>
    </x:row>
    <x:row r="153">
      <x:c r="A153" s="197"/>
    </x:row>
    <x:row r="154">
      <x:c r="A154" s="197"/>
    </x:row>
    <x:row r="155">
      <x:c r="A155" s="197"/>
    </x:row>
    <x:row r="156">
      <x:c r="A156" s="197"/>
    </x:row>
    <x:row r="157">
      <x:c r="A157" s="197"/>
    </x:row>
    <x:row r="158">
      <x:c r="A158" s="197"/>
    </x:row>
    <x:row r="159">
      <x:c r="A159" s="197"/>
    </x:row>
    <x:row r="160">
      <x:c r="A160" s="197"/>
    </x:row>
    <x:row r="161">
      <x:c r="A161" s="197"/>
    </x:row>
    <x:row r="162">
      <x:c r="A162" s="197"/>
    </x:row>
    <x:row r="163">
      <x:c r="A163" s="197"/>
    </x:row>
    <x:row r="164">
      <x:c r="A164" s="197"/>
    </x:row>
    <x:row r="165">
      <x:c r="A165" s="197"/>
    </x:row>
    <x:row r="166">
      <x:c r="A166" s="197"/>
    </x:row>
    <x:row r="167">
      <x:c r="A167" s="197"/>
    </x:row>
    <x:row r="168">
      <x:c r="A168" s="197"/>
    </x:row>
    <x:row r="169">
      <x:c r="A169" s="197"/>
    </x:row>
    <x:row r="170">
      <x:c r="A170" s="197"/>
    </x:row>
    <x:row r="171">
      <x:c r="A171" s="197"/>
    </x:row>
    <x:row r="172">
      <x:c r="A172" s="197"/>
    </x:row>
    <x:row r="173">
      <x:c r="A173" s="197"/>
    </x:row>
    <x:row r="174">
      <x:c r="A174" s="197"/>
    </x:row>
    <x:row r="175">
      <x:c r="A175" s="197"/>
    </x:row>
    <x:row r="176">
      <x:c r="A176" s="197"/>
    </x:row>
    <x:row r="177">
      <x:c r="A177" s="197"/>
    </x:row>
    <x:row r="178">
      <x:c r="A178" s="197"/>
    </x:row>
    <x:row r="179">
      <x:c r="A179" s="197"/>
    </x:row>
    <x:row r="180">
      <x:c r="A180" s="197"/>
    </x:row>
    <x:row r="181">
      <x:c r="A181" s="197"/>
    </x:row>
    <x:row r="182">
      <x:c r="A182" s="197"/>
    </x:row>
    <x:row r="183">
      <x:c r="A183" s="197"/>
    </x:row>
    <x:row r="184">
      <x:c r="A184" s="197"/>
    </x:row>
    <x:row r="185">
      <x:c r="A185" s="197"/>
    </x:row>
    <x:row r="186">
      <x:c r="A186" s="197"/>
    </x:row>
    <x:row r="187">
      <x:c r="A187" s="197"/>
    </x:row>
    <x:row r="188">
      <x:c r="A188" s="197"/>
    </x:row>
    <x:row r="189">
      <x:c r="A189" s="197"/>
    </x:row>
    <x:row r="190">
      <x:c r="A190" s="197"/>
    </x:row>
    <x:row r="191">
      <x:c r="A191" s="197"/>
    </x:row>
    <x:row r="192">
      <x:c r="A192" s="197"/>
    </x:row>
    <x:row r="193">
      <x:c r="A193" s="197"/>
    </x:row>
    <x:row r="194">
      <x:c r="A194" s="197"/>
    </x:row>
    <x:row r="195">
      <x:c r="A195" s="197"/>
    </x:row>
    <x:row r="196">
      <x:c r="A196" s="197"/>
    </x:row>
    <x:row r="197">
      <x:c r="A197" s="197"/>
    </x:row>
    <x:row r="198">
      <x:c r="A198" s="197"/>
    </x:row>
    <x:row r="199">
      <x:c r="A199" s="197"/>
    </x:row>
    <x:row r="200">
      <x:c r="A200" s="197"/>
    </x:row>
    <x:row r="201">
      <x:c r="A201" s="197"/>
    </x:row>
    <x:row r="202">
      <x:c r="A202" s="197"/>
    </x:row>
    <x:row r="203">
      <x:c r="A203" s="197"/>
    </x:row>
    <x:row r="204">
      <x:c r="A204" s="197"/>
    </x:row>
    <x:row r="205">
      <x:c r="A205" s="197"/>
    </x:row>
    <x:row r="206">
      <x:c r="A206" s="197"/>
    </x:row>
    <x:row r="207">
      <x:c r="A207" s="197"/>
    </x:row>
    <x:row r="208">
      <x:c r="A208" s="197"/>
    </x:row>
    <x:row r="209">
      <x:c r="A209" s="197"/>
    </x:row>
    <x:row r="210">
      <x:c r="A210" s="197"/>
    </x:row>
    <x:row r="211">
      <x:c r="A211" s="197"/>
    </x:row>
    <x:row r="212">
      <x:c r="A212" s="197"/>
    </x:row>
    <x:row r="213">
      <x:c r="A213" s="197"/>
    </x:row>
    <x:row r="214">
      <x:c r="A214" s="197"/>
    </x:row>
    <x:row r="215">
      <x:c r="A215" s="197"/>
    </x:row>
    <x:row r="216">
      <x:c r="A216" s="197"/>
    </x:row>
    <x:row r="217">
      <x:c r="A217" s="197"/>
    </x:row>
    <x:row r="218">
      <x:c r="A218" s="197"/>
    </x:row>
    <x:row r="219">
      <x:c r="A219" s="197"/>
    </x:row>
    <x:row r="220">
      <x:c r="A220" s="197"/>
    </x:row>
    <x:row r="221">
      <x:c r="A221" s="197"/>
    </x:row>
    <x:row r="222">
      <x:c r="A222" s="197"/>
    </x:row>
    <x:row r="223">
      <x:c r="A223" s="197"/>
    </x:row>
    <x:row r="224">
      <x:c r="A224" s="197"/>
    </x:row>
    <x:row r="225">
      <x:c r="A225" s="197"/>
    </x:row>
    <x:row r="226">
      <x:c r="A226" s="197"/>
    </x:row>
    <x:row r="227">
      <x:c r="A227" s="197"/>
    </x:row>
    <x:row r="228">
      <x:c r="A228" s="197"/>
    </x:row>
    <x:row r="229">
      <x:c r="A229" s="197"/>
    </x:row>
    <x:row r="230">
      <x:c r="A230" s="197"/>
    </x:row>
    <x:row r="231">
      <x:c r="A231" s="197"/>
    </x:row>
    <x:row r="232">
      <x:c r="A232" s="197"/>
    </x:row>
    <x:row r="233">
      <x:c r="A233" s="197"/>
    </x:row>
    <x:row r="234">
      <x:c r="A234" s="197"/>
    </x:row>
    <x:row r="235">
      <x:c r="A235" s="197"/>
    </x:row>
    <x:row r="236">
      <x:c r="A236" s="197"/>
    </x:row>
    <x:row r="237">
      <x:c r="A237" s="197"/>
    </x:row>
    <x:row r="238">
      <x:c r="A238" s="197"/>
    </x:row>
    <x:row r="239">
      <x:c r="A239" s="197"/>
    </x:row>
    <x:row r="240">
      <x:c r="A240" s="197"/>
    </x:row>
  </x:sheetData>
  <x:mergeCells>
    <x:mergeCell ref="A1:J1"/>
    <x:mergeCell ref="D3:J3"/>
  </x:mergeCells>
  <x:pageMargins left="0.7" right="0.7" top="0.75" bottom="0.75" header="0.3" footer="0.3"/>
  <x:drawing xmlns:r="http://schemas.openxmlformats.org/officeDocument/2006/relationships" r:id="Rc5acbfea2f024e99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48" hidden="0" customWidth="1"/>
    <x:col min="4" max="4" width="30" hidden="0" customWidth="1"/>
    <x:col min="5" max="5" width="16" hidden="0" customWidth="1"/>
    <x:col min="6" max="6" width="18" hidden="0" customWidth="1"/>
    <x:col min="7" max="7" width="14" hidden="0" customWidth="1"/>
    <x:col min="8" max="8" width="28" hidden="0" customWidth="1"/>
  </x:cols>
  <x:sheetData>
    <x:row r="1" ht="34" customHeight="1">
      <x:c r="A1" s="196" t="str">
        <x:v>Sales Assets and Human Approval Gates</x:v>
      </x:c>
    </x:row>
    <x:row r="2">
      <x:c r="A2" s="197"/>
    </x:row>
    <x:row r="3" ht="30" customHeight="1">
      <x:c r="A3" s="13" t="str">
        <x:v>Asset</x:v>
      </x:c>
      <x:c r="B3" s="14" t="str">
        <x:v>Audience</x:v>
      </x:c>
      <x:c r="C3" s="14" t="str">
        <x:v>Draft / Link</x:v>
      </x:c>
      <x:c r="D3" s="14" t="str">
        <x:v>Proof Required</x:v>
      </x:c>
      <x:c r="E3" s="14" t="str">
        <x:v>Human Approval</x:v>
      </x:c>
      <x:c r="F3" s="14" t="str">
        <x:v>Owner</x:v>
      </x:c>
      <x:c r="G3" s="14" t="str">
        <x:v>Status</x:v>
      </x:c>
      <x:c r="H3" s="15" t="str">
        <x:v>Notes</x:v>
      </x:c>
    </x:row>
    <x:row r="4">
      <x:c r="A4" s="48" t="str">
        <x:v>One-line positioning</x:v>
      </x:c>
      <x:c r="B4" s="49" t="str">
        <x:v>Executive</x:v>
      </x:c>
      <x:c r="C4" s="49" t="str">
        <x:v>GoalOS is the proof layer for consequential AI work.</x:v>
      </x:c>
      <x:c r="D4" s="49" t="str">
        <x:v>Architecture and claim boundary</x:v>
      </x:c>
      <x:c r="E4" s="49" t="str">
        <x:v>Yes</x:v>
      </x:c>
      <x:c r="F4" s="49" t="str"/>
      <x:c r="G4" s="49" t="str">
        <x:v>Draft</x:v>
      </x:c>
      <x:c r="H4" s="50" t="str"/>
    </x:row>
    <x:row r="5">
      <x:c r="A5" s="51" t="str">
        <x:v>Executive outreach</x:v>
      </x:c>
      <x:c r="B5" s="52" t="str">
        <x:v>Named prospect</x:v>
      </x:c>
      <x:c r="C5" s="52" t="str">
        <x:v>Before your next consequential AI decision, make the proof burden visible.</x:v>
      </x:c>
      <x:c r="D5" s="52" t="str">
        <x:v>Buyer relevance</x:v>
      </x:c>
      <x:c r="E5" s="52" t="str">
        <x:v>Yes</x:v>
      </x:c>
      <x:c r="F5" s="52" t="str"/>
      <x:c r="G5" s="52" t="str">
        <x:v>Draft</x:v>
      </x:c>
      <x:c r="H5" s="53" t="str"/>
    </x:row>
    <x:row r="6">
      <x:c r="A6" s="51" t="str">
        <x:v>Discovery questions</x:v>
      </x:c>
      <x:c r="B6" s="52" t="str">
        <x:v>Sponsor</x:v>
      </x:c>
      <x:c r="C6" s="52" t="str">
        <x:v>What decision must be made? What does failure cost? Who approves?</x:v>
      </x:c>
      <x:c r="D6" s="52" t="str">
        <x:v>None - questions only</x:v>
      </x:c>
      <x:c r="E6" s="52" t="str">
        <x:v>Yes</x:v>
      </x:c>
      <x:c r="F6" s="52" t="str"/>
      <x:c r="G6" s="52" t="str">
        <x:v>Ready</x:v>
      </x:c>
      <x:c r="H6" s="53" t="str"/>
    </x:row>
    <x:row r="7">
      <x:c r="A7" s="51" t="str">
        <x:v>Proposal</x:v>
      </x:c>
      <x:c r="B7" s="52" t="str">
        <x:v>Qualified buyer</x:v>
      </x:c>
      <x:c r="C7" s="52" t="str">
        <x:v>Private MasterClass / Design Lab / Proof-to-Revenue Run</x:v>
      </x:c>
      <x:c r="D7" s="52" t="str">
        <x:v>Scope, pricing, delivery capacity</x:v>
      </x:c>
      <x:c r="E7" s="52" t="str">
        <x:v>Yes</x:v>
      </x:c>
      <x:c r="F7" s="52" t="str"/>
      <x:c r="G7" s="52" t="str">
        <x:v>Draft</x:v>
      </x:c>
      <x:c r="H7" s="53" t="str"/>
    </x:row>
    <x:row r="8">
      <x:c r="A8" s="51" t="str">
        <x:v>Landing page</x:v>
      </x:c>
      <x:c r="B8" s="52" t="str">
        <x:v>Public / private</x:v>
      </x:c>
      <x:c r="C8" s="52" t="str">
        <x:v>Program promise, outcomes, day one, pricing anchor, claim boundary</x:v>
      </x:c>
      <x:c r="D8" s="52" t="str">
        <x:v>Evidence-backed program statements</x:v>
      </x:c>
      <x:c r="E8" s="52" t="str">
        <x:v>Yes</x:v>
      </x:c>
      <x:c r="F8" s="52" t="str"/>
      <x:c r="G8" s="52" t="str">
        <x:v>Draft</x:v>
      </x:c>
      <x:c r="H8" s="53" t="str"/>
    </x:row>
    <x:row r="9">
      <x:c r="A9" s="51" t="str">
        <x:v>Follow-up</x:v>
      </x:c>
      <x:c r="B9" s="52" t="str">
        <x:v>Participant / sponsor</x:v>
      </x:c>
      <x:c r="C9" s="52" t="str">
        <x:v>Owner, blocker, next gate, decision date</x:v>
      </x:c>
      <x:c r="D9" s="52" t="str">
        <x:v>Session artifacts</x:v>
      </x:c>
      <x:c r="E9" s="52" t="str">
        <x:v>Yes</x:v>
      </x:c>
      <x:c r="F9" s="52" t="str"/>
      <x:c r="G9" s="52" t="str">
        <x:v>Draft</x:v>
      </x:c>
      <x:c r="H9" s="53" t="str"/>
    </x:row>
    <x:row r="10">
      <x:c r="A10" s="51"/>
      <x:c r="B10" s="52"/>
      <x:c r="C10" s="52"/>
      <x:c r="D10" s="52"/>
      <x:c r="E10" s="52"/>
      <x:c r="F10" s="52"/>
      <x:c r="G10" s="52"/>
      <x:c r="H10" s="53"/>
    </x:row>
    <x:row r="11">
      <x:c r="A11" s="51"/>
      <x:c r="B11" s="52"/>
      <x:c r="C11" s="52"/>
      <x:c r="D11" s="52"/>
      <x:c r="E11" s="52"/>
      <x:c r="F11" s="52"/>
      <x:c r="G11" s="52"/>
      <x:c r="H11" s="53"/>
    </x:row>
    <x:row r="12">
      <x:c r="A12" s="51"/>
      <x:c r="B12" s="52"/>
      <x:c r="C12" s="52"/>
      <x:c r="D12" s="52"/>
      <x:c r="E12" s="52"/>
      <x:c r="F12" s="52"/>
      <x:c r="G12" s="52"/>
      <x:c r="H12" s="53"/>
    </x:row>
    <x:row r="13">
      <x:c r="A13" s="51"/>
      <x:c r="B13" s="52"/>
      <x:c r="C13" s="52"/>
      <x:c r="D13" s="52"/>
      <x:c r="E13" s="52"/>
      <x:c r="F13" s="52"/>
      <x:c r="G13" s="52"/>
      <x:c r="H13" s="53"/>
    </x:row>
    <x:row r="14">
      <x:c r="A14" s="51"/>
      <x:c r="B14" s="52"/>
      <x:c r="C14" s="52"/>
      <x:c r="D14" s="52"/>
      <x:c r="E14" s="52"/>
      <x:c r="F14" s="52"/>
      <x:c r="G14" s="52"/>
      <x:c r="H14" s="53"/>
    </x:row>
    <x:row r="15">
      <x:c r="A15" s="51"/>
      <x:c r="B15" s="52"/>
      <x:c r="C15" s="52"/>
      <x:c r="D15" s="52"/>
      <x:c r="E15" s="52"/>
      <x:c r="F15" s="52"/>
      <x:c r="G15" s="52"/>
      <x:c r="H15" s="53"/>
    </x:row>
    <x:row r="16">
      <x:c r="A16" s="51"/>
      <x:c r="B16" s="52"/>
      <x:c r="C16" s="52"/>
      <x:c r="D16" s="52"/>
      <x:c r="E16" s="52"/>
      <x:c r="F16" s="52"/>
      <x:c r="G16" s="52"/>
      <x:c r="H16" s="53"/>
    </x:row>
    <x:row r="17">
      <x:c r="A17" s="51"/>
      <x:c r="B17" s="52"/>
      <x:c r="C17" s="52"/>
      <x:c r="D17" s="52"/>
      <x:c r="E17" s="52"/>
      <x:c r="F17" s="52"/>
      <x:c r="G17" s="52"/>
      <x:c r="H17" s="53"/>
    </x:row>
    <x:row r="18">
      <x:c r="A18" s="51"/>
      <x:c r="B18" s="52"/>
      <x:c r="C18" s="52"/>
      <x:c r="D18" s="52"/>
      <x:c r="E18" s="52"/>
      <x:c r="F18" s="52"/>
      <x:c r="G18" s="52"/>
      <x:c r="H18" s="53"/>
    </x:row>
    <x:row r="19">
      <x:c r="A19" s="51"/>
      <x:c r="B19" s="52"/>
      <x:c r="C19" s="52"/>
      <x:c r="D19" s="52"/>
      <x:c r="E19" s="52"/>
      <x:c r="F19" s="52"/>
      <x:c r="G19" s="52"/>
      <x:c r="H19" s="53"/>
    </x:row>
    <x:row r="20">
      <x:c r="A20" s="51"/>
      <x:c r="B20" s="52"/>
      <x:c r="C20" s="52"/>
      <x:c r="D20" s="52"/>
      <x:c r="E20" s="52"/>
      <x:c r="F20" s="52"/>
      <x:c r="G20" s="52"/>
      <x:c r="H20" s="53"/>
    </x:row>
    <x:row r="21">
      <x:c r="A21" s="51"/>
      <x:c r="B21" s="52"/>
      <x:c r="C21" s="52"/>
      <x:c r="D21" s="52"/>
      <x:c r="E21" s="52"/>
      <x:c r="F21" s="52"/>
      <x:c r="G21" s="52"/>
      <x:c r="H21" s="53"/>
    </x:row>
    <x:row r="22">
      <x:c r="A22" s="51"/>
      <x:c r="B22" s="52"/>
      <x:c r="C22" s="52"/>
      <x:c r="D22" s="52"/>
      <x:c r="E22" s="52"/>
      <x:c r="F22" s="52"/>
      <x:c r="G22" s="52"/>
      <x:c r="H22" s="53"/>
    </x:row>
    <x:row r="23">
      <x:c r="A23" s="51"/>
      <x:c r="B23" s="52"/>
      <x:c r="C23" s="52"/>
      <x:c r="D23" s="52"/>
      <x:c r="E23" s="52"/>
      <x:c r="F23" s="52"/>
      <x:c r="G23" s="52"/>
      <x:c r="H23" s="53"/>
    </x:row>
    <x:row r="24">
      <x:c r="A24" s="51"/>
      <x:c r="B24" s="52"/>
      <x:c r="C24" s="52"/>
      <x:c r="D24" s="52"/>
      <x:c r="E24" s="52"/>
      <x:c r="F24" s="52"/>
      <x:c r="G24" s="52"/>
      <x:c r="H24" s="53"/>
    </x:row>
    <x:row r="25">
      <x:c r="A25" s="51"/>
      <x:c r="B25" s="52"/>
      <x:c r="C25" s="52"/>
      <x:c r="D25" s="52"/>
      <x:c r="E25" s="52"/>
      <x:c r="F25" s="52"/>
      <x:c r="G25" s="52"/>
      <x:c r="H25" s="53"/>
    </x:row>
    <x:row r="26">
      <x:c r="A26" s="51"/>
      <x:c r="B26" s="52"/>
      <x:c r="C26" s="52"/>
      <x:c r="D26" s="52"/>
      <x:c r="E26" s="52"/>
      <x:c r="F26" s="52"/>
      <x:c r="G26" s="52"/>
      <x:c r="H26" s="53"/>
    </x:row>
    <x:row r="27">
      <x:c r="A27" s="51"/>
      <x:c r="B27" s="52"/>
      <x:c r="C27" s="52"/>
      <x:c r="D27" s="52"/>
      <x:c r="E27" s="52"/>
      <x:c r="F27" s="52"/>
      <x:c r="G27" s="52"/>
      <x:c r="H27" s="53"/>
    </x:row>
    <x:row r="28">
      <x:c r="A28" s="51"/>
      <x:c r="B28" s="52"/>
      <x:c r="C28" s="52"/>
      <x:c r="D28" s="52"/>
      <x:c r="E28" s="52"/>
      <x:c r="F28" s="52"/>
      <x:c r="G28" s="52"/>
      <x:c r="H28" s="53"/>
    </x:row>
    <x:row r="29">
      <x:c r="A29" s="51"/>
      <x:c r="B29" s="52"/>
      <x:c r="C29" s="52"/>
      <x:c r="D29" s="52"/>
      <x:c r="E29" s="52"/>
      <x:c r="F29" s="52"/>
      <x:c r="G29" s="52"/>
      <x:c r="H29" s="53"/>
    </x:row>
    <x:row r="30">
      <x:c r="A30" s="51"/>
      <x:c r="B30" s="52"/>
      <x:c r="C30" s="52"/>
      <x:c r="D30" s="52"/>
      <x:c r="E30" s="52"/>
      <x:c r="F30" s="52"/>
      <x:c r="G30" s="52"/>
      <x:c r="H30" s="53"/>
    </x:row>
    <x:row r="31">
      <x:c r="A31" s="51"/>
      <x:c r="B31" s="52"/>
      <x:c r="C31" s="52"/>
      <x:c r="D31" s="52"/>
      <x:c r="E31" s="52"/>
      <x:c r="F31" s="52"/>
      <x:c r="G31" s="52"/>
      <x:c r="H31" s="53"/>
    </x:row>
    <x:row r="32">
      <x:c r="A32" s="51"/>
      <x:c r="B32" s="52"/>
      <x:c r="C32" s="52"/>
      <x:c r="D32" s="52"/>
      <x:c r="E32" s="52"/>
      <x:c r="F32" s="52"/>
      <x:c r="G32" s="52"/>
      <x:c r="H32" s="53"/>
    </x:row>
    <x:row r="33">
      <x:c r="A33" s="51"/>
      <x:c r="B33" s="52"/>
      <x:c r="C33" s="52"/>
      <x:c r="D33" s="52"/>
      <x:c r="E33" s="52"/>
      <x:c r="F33" s="52"/>
      <x:c r="G33" s="52"/>
      <x:c r="H33" s="53"/>
    </x:row>
    <x:row r="34">
      <x:c r="A34" s="51"/>
      <x:c r="B34" s="52"/>
      <x:c r="C34" s="52"/>
      <x:c r="D34" s="52"/>
      <x:c r="E34" s="52"/>
      <x:c r="F34" s="52"/>
      <x:c r="G34" s="52"/>
      <x:c r="H34" s="53"/>
    </x:row>
    <x:row r="35">
      <x:c r="A35" s="51"/>
      <x:c r="B35" s="52"/>
      <x:c r="C35" s="52"/>
      <x:c r="D35" s="52"/>
      <x:c r="E35" s="52"/>
      <x:c r="F35" s="52"/>
      <x:c r="G35" s="52"/>
      <x:c r="H35" s="53"/>
    </x:row>
    <x:row r="36">
      <x:c r="A36" s="51"/>
      <x:c r="B36" s="52"/>
      <x:c r="C36" s="52"/>
      <x:c r="D36" s="52"/>
      <x:c r="E36" s="52"/>
      <x:c r="F36" s="52"/>
      <x:c r="G36" s="52"/>
      <x:c r="H36" s="53"/>
    </x:row>
    <x:row r="37">
      <x:c r="A37" s="51"/>
      <x:c r="B37" s="52"/>
      <x:c r="C37" s="52"/>
      <x:c r="D37" s="52"/>
      <x:c r="E37" s="52"/>
      <x:c r="F37" s="52"/>
      <x:c r="G37" s="52"/>
      <x:c r="H37" s="53"/>
    </x:row>
    <x:row r="38">
      <x:c r="A38" s="51"/>
      <x:c r="B38" s="52"/>
      <x:c r="C38" s="52"/>
      <x:c r="D38" s="52"/>
      <x:c r="E38" s="52"/>
      <x:c r="F38" s="52"/>
      <x:c r="G38" s="52"/>
      <x:c r="H38" s="53"/>
    </x:row>
    <x:row r="39">
      <x:c r="A39" s="51"/>
      <x:c r="B39" s="52"/>
      <x:c r="C39" s="52"/>
      <x:c r="D39" s="52"/>
      <x:c r="E39" s="52"/>
      <x:c r="F39" s="52"/>
      <x:c r="G39" s="52"/>
      <x:c r="H39" s="53"/>
    </x:row>
    <x:row r="40">
      <x:c r="A40" s="51"/>
      <x:c r="B40" s="52"/>
      <x:c r="C40" s="52"/>
      <x:c r="D40" s="52"/>
      <x:c r="E40" s="52"/>
      <x:c r="F40" s="52"/>
      <x:c r="G40" s="52"/>
      <x:c r="H40" s="53"/>
    </x:row>
    <x:row r="41">
      <x:c r="A41" s="51"/>
      <x:c r="B41" s="52"/>
      <x:c r="C41" s="52"/>
      <x:c r="D41" s="52"/>
      <x:c r="E41" s="52"/>
      <x:c r="F41" s="52"/>
      <x:c r="G41" s="52"/>
      <x:c r="H41" s="53"/>
    </x:row>
    <x:row r="42">
      <x:c r="A42" s="51"/>
      <x:c r="B42" s="52"/>
      <x:c r="C42" s="52"/>
      <x:c r="D42" s="52"/>
      <x:c r="E42" s="52"/>
      <x:c r="F42" s="52"/>
      <x:c r="G42" s="52"/>
      <x:c r="H42" s="53"/>
    </x:row>
    <x:row r="43">
      <x:c r="A43" s="51"/>
      <x:c r="B43" s="52"/>
      <x:c r="C43" s="52"/>
      <x:c r="D43" s="52"/>
      <x:c r="E43" s="52"/>
      <x:c r="F43" s="52"/>
      <x:c r="G43" s="52"/>
      <x:c r="H43" s="53"/>
    </x:row>
    <x:row r="44">
      <x:c r="A44" s="51"/>
      <x:c r="B44" s="52"/>
      <x:c r="C44" s="52"/>
      <x:c r="D44" s="52"/>
      <x:c r="E44" s="52"/>
      <x:c r="F44" s="52"/>
      <x:c r="G44" s="52"/>
      <x:c r="H44" s="53"/>
    </x:row>
    <x:row r="45">
      <x:c r="A45" s="51"/>
      <x:c r="B45" s="52"/>
      <x:c r="C45" s="52"/>
      <x:c r="D45" s="52"/>
      <x:c r="E45" s="52"/>
      <x:c r="F45" s="52"/>
      <x:c r="G45" s="52"/>
      <x:c r="H45" s="53"/>
    </x:row>
    <x:row r="46">
      <x:c r="A46" s="51"/>
      <x:c r="B46" s="52"/>
      <x:c r="C46" s="52"/>
      <x:c r="D46" s="52"/>
      <x:c r="E46" s="52"/>
      <x:c r="F46" s="52"/>
      <x:c r="G46" s="52"/>
      <x:c r="H46" s="53"/>
    </x:row>
    <x:row r="47">
      <x:c r="A47" s="51"/>
      <x:c r="B47" s="52"/>
      <x:c r="C47" s="52"/>
      <x:c r="D47" s="52"/>
      <x:c r="E47" s="52"/>
      <x:c r="F47" s="52"/>
      <x:c r="G47" s="52"/>
      <x:c r="H47" s="53"/>
    </x:row>
    <x:row r="48">
      <x:c r="A48" s="51"/>
      <x:c r="B48" s="52"/>
      <x:c r="C48" s="52"/>
      <x:c r="D48" s="52"/>
      <x:c r="E48" s="52"/>
      <x:c r="F48" s="52"/>
      <x:c r="G48" s="52"/>
      <x:c r="H48" s="53"/>
    </x:row>
    <x:row r="49">
      <x:c r="A49" s="51"/>
      <x:c r="B49" s="52"/>
      <x:c r="C49" s="52"/>
      <x:c r="D49" s="52"/>
      <x:c r="E49" s="52"/>
      <x:c r="F49" s="52"/>
      <x:c r="G49" s="52"/>
      <x:c r="H49" s="53"/>
    </x:row>
    <x:row r="50">
      <x:c r="A50" s="51"/>
      <x:c r="B50" s="52"/>
      <x:c r="C50" s="52"/>
      <x:c r="D50" s="52"/>
      <x:c r="E50" s="52"/>
      <x:c r="F50" s="52"/>
      <x:c r="G50" s="52"/>
      <x:c r="H50" s="53"/>
    </x:row>
    <x:row r="51">
      <x:c r="A51" s="51"/>
      <x:c r="B51" s="52"/>
      <x:c r="C51" s="52"/>
      <x:c r="D51" s="52"/>
      <x:c r="E51" s="52"/>
      <x:c r="F51" s="52"/>
      <x:c r="G51" s="52"/>
      <x:c r="H51" s="53"/>
    </x:row>
    <x:row r="52">
      <x:c r="A52" s="51"/>
      <x:c r="B52" s="52"/>
      <x:c r="C52" s="52"/>
      <x:c r="D52" s="52"/>
      <x:c r="E52" s="52"/>
      <x:c r="F52" s="52"/>
      <x:c r="G52" s="52"/>
      <x:c r="H52" s="53"/>
    </x:row>
    <x:row r="53">
      <x:c r="A53" s="51"/>
      <x:c r="B53" s="52"/>
      <x:c r="C53" s="52"/>
      <x:c r="D53" s="52"/>
      <x:c r="E53" s="52"/>
      <x:c r="F53" s="52"/>
      <x:c r="G53" s="52"/>
      <x:c r="H53" s="53"/>
    </x:row>
    <x:row r="54">
      <x:c r="A54" s="51"/>
      <x:c r="B54" s="52"/>
      <x:c r="C54" s="52"/>
      <x:c r="D54" s="52"/>
      <x:c r="E54" s="52"/>
      <x:c r="F54" s="52"/>
      <x:c r="G54" s="52"/>
      <x:c r="H54" s="53"/>
    </x:row>
    <x:row r="55">
      <x:c r="A55" s="51"/>
      <x:c r="B55" s="52"/>
      <x:c r="C55" s="52"/>
      <x:c r="D55" s="52"/>
      <x:c r="E55" s="52"/>
      <x:c r="F55" s="52"/>
      <x:c r="G55" s="52"/>
      <x:c r="H55" s="53"/>
    </x:row>
    <x:row r="56">
      <x:c r="A56" s="51"/>
      <x:c r="B56" s="52"/>
      <x:c r="C56" s="52"/>
      <x:c r="D56" s="52"/>
      <x:c r="E56" s="52"/>
      <x:c r="F56" s="52"/>
      <x:c r="G56" s="52"/>
      <x:c r="H56" s="53"/>
    </x:row>
    <x:row r="57">
      <x:c r="A57" s="51"/>
      <x:c r="B57" s="52"/>
      <x:c r="C57" s="52"/>
      <x:c r="D57" s="52"/>
      <x:c r="E57" s="52"/>
      <x:c r="F57" s="52"/>
      <x:c r="G57" s="52"/>
      <x:c r="H57" s="53"/>
    </x:row>
    <x:row r="58">
      <x:c r="A58" s="51"/>
      <x:c r="B58" s="52"/>
      <x:c r="C58" s="52"/>
      <x:c r="D58" s="52"/>
      <x:c r="E58" s="52"/>
      <x:c r="F58" s="52"/>
      <x:c r="G58" s="52"/>
      <x:c r="H58" s="53"/>
    </x:row>
    <x:row r="59">
      <x:c r="A59" s="51"/>
      <x:c r="B59" s="52"/>
      <x:c r="C59" s="52"/>
      <x:c r="D59" s="52"/>
      <x:c r="E59" s="52"/>
      <x:c r="F59" s="52"/>
      <x:c r="G59" s="52"/>
      <x:c r="H59" s="53"/>
    </x:row>
    <x:row r="60">
      <x:c r="A60" s="51"/>
      <x:c r="B60" s="52"/>
      <x:c r="C60" s="52"/>
      <x:c r="D60" s="52"/>
      <x:c r="E60" s="52"/>
      <x:c r="F60" s="52"/>
      <x:c r="G60" s="52"/>
      <x:c r="H60" s="53"/>
    </x:row>
    <x:row r="61">
      <x:c r="A61" s="51"/>
      <x:c r="B61" s="52"/>
      <x:c r="C61" s="52"/>
      <x:c r="D61" s="52"/>
      <x:c r="E61" s="52"/>
      <x:c r="F61" s="52"/>
      <x:c r="G61" s="52"/>
      <x:c r="H61" s="53"/>
    </x:row>
    <x:row r="62">
      <x:c r="A62" s="51"/>
      <x:c r="B62" s="52"/>
      <x:c r="C62" s="52"/>
      <x:c r="D62" s="52"/>
      <x:c r="E62" s="52"/>
      <x:c r="F62" s="52"/>
      <x:c r="G62" s="52"/>
      <x:c r="H62" s="53"/>
    </x:row>
    <x:row r="63">
      <x:c r="A63" s="51"/>
      <x:c r="B63" s="52"/>
      <x:c r="C63" s="52"/>
      <x:c r="D63" s="52"/>
      <x:c r="E63" s="52"/>
      <x:c r="F63" s="52"/>
      <x:c r="G63" s="52"/>
      <x:c r="H63" s="53"/>
    </x:row>
    <x:row r="64">
      <x:c r="A64" s="51"/>
      <x:c r="B64" s="52"/>
      <x:c r="C64" s="52"/>
      <x:c r="D64" s="52"/>
      <x:c r="E64" s="52"/>
      <x:c r="F64" s="52"/>
      <x:c r="G64" s="52"/>
      <x:c r="H64" s="53"/>
    </x:row>
    <x:row r="65">
      <x:c r="A65" s="51"/>
      <x:c r="B65" s="52"/>
      <x:c r="C65" s="52"/>
      <x:c r="D65" s="52"/>
      <x:c r="E65" s="52"/>
      <x:c r="F65" s="52"/>
      <x:c r="G65" s="52"/>
      <x:c r="H65" s="53"/>
    </x:row>
    <x:row r="66">
      <x:c r="A66" s="51"/>
      <x:c r="B66" s="52"/>
      <x:c r="C66" s="52"/>
      <x:c r="D66" s="52"/>
      <x:c r="E66" s="52"/>
      <x:c r="F66" s="52"/>
      <x:c r="G66" s="52"/>
      <x:c r="H66" s="53"/>
    </x:row>
    <x:row r="67">
      <x:c r="A67" s="51"/>
      <x:c r="B67" s="52"/>
      <x:c r="C67" s="52"/>
      <x:c r="D67" s="52"/>
      <x:c r="E67" s="52"/>
      <x:c r="F67" s="52"/>
      <x:c r="G67" s="52"/>
      <x:c r="H67" s="53"/>
    </x:row>
    <x:row r="68">
      <x:c r="A68" s="51"/>
      <x:c r="B68" s="52"/>
      <x:c r="C68" s="52"/>
      <x:c r="D68" s="52"/>
      <x:c r="E68" s="52"/>
      <x:c r="F68" s="52"/>
      <x:c r="G68" s="52"/>
      <x:c r="H68" s="53"/>
    </x:row>
    <x:row r="69">
      <x:c r="A69" s="51"/>
      <x:c r="B69" s="52"/>
      <x:c r="C69" s="52"/>
      <x:c r="D69" s="52"/>
      <x:c r="E69" s="52"/>
      <x:c r="F69" s="52"/>
      <x:c r="G69" s="52"/>
      <x:c r="H69" s="53"/>
    </x:row>
    <x:row r="70">
      <x:c r="A70" s="51"/>
      <x:c r="B70" s="52"/>
      <x:c r="C70" s="52"/>
      <x:c r="D70" s="52"/>
      <x:c r="E70" s="52"/>
      <x:c r="F70" s="52"/>
      <x:c r="G70" s="52"/>
      <x:c r="H70" s="53"/>
    </x:row>
    <x:row r="71">
      <x:c r="A71" s="51"/>
      <x:c r="B71" s="52"/>
      <x:c r="C71" s="52"/>
      <x:c r="D71" s="52"/>
      <x:c r="E71" s="52"/>
      <x:c r="F71" s="52"/>
      <x:c r="G71" s="52"/>
      <x:c r="H71" s="53"/>
    </x:row>
    <x:row r="72">
      <x:c r="A72" s="51"/>
      <x:c r="B72" s="52"/>
      <x:c r="C72" s="52"/>
      <x:c r="D72" s="52"/>
      <x:c r="E72" s="52"/>
      <x:c r="F72" s="52"/>
      <x:c r="G72" s="52"/>
      <x:c r="H72" s="53"/>
    </x:row>
    <x:row r="73">
      <x:c r="A73" s="51"/>
      <x:c r="B73" s="52"/>
      <x:c r="C73" s="52"/>
      <x:c r="D73" s="52"/>
      <x:c r="E73" s="52"/>
      <x:c r="F73" s="52"/>
      <x:c r="G73" s="52"/>
      <x:c r="H73" s="53"/>
    </x:row>
    <x:row r="74">
      <x:c r="A74" s="51"/>
      <x:c r="B74" s="52"/>
      <x:c r="C74" s="52"/>
      <x:c r="D74" s="52"/>
      <x:c r="E74" s="52"/>
      <x:c r="F74" s="52"/>
      <x:c r="G74" s="52"/>
      <x:c r="H74" s="53"/>
    </x:row>
    <x:row r="75">
      <x:c r="A75" s="51"/>
      <x:c r="B75" s="52"/>
      <x:c r="C75" s="52"/>
      <x:c r="D75" s="52"/>
      <x:c r="E75" s="52"/>
      <x:c r="F75" s="52"/>
      <x:c r="G75" s="52"/>
      <x:c r="H75" s="53"/>
    </x:row>
    <x:row r="76">
      <x:c r="A76" s="51"/>
      <x:c r="B76" s="52"/>
      <x:c r="C76" s="52"/>
      <x:c r="D76" s="52"/>
      <x:c r="E76" s="52"/>
      <x:c r="F76" s="52"/>
      <x:c r="G76" s="52"/>
      <x:c r="H76" s="53"/>
    </x:row>
    <x:row r="77">
      <x:c r="A77" s="51"/>
      <x:c r="B77" s="52"/>
      <x:c r="C77" s="52"/>
      <x:c r="D77" s="52"/>
      <x:c r="E77" s="52"/>
      <x:c r="F77" s="52"/>
      <x:c r="G77" s="52"/>
      <x:c r="H77" s="53"/>
    </x:row>
    <x:row r="78">
      <x:c r="A78" s="51"/>
      <x:c r="B78" s="52"/>
      <x:c r="C78" s="52"/>
      <x:c r="D78" s="52"/>
      <x:c r="E78" s="52"/>
      <x:c r="F78" s="52"/>
      <x:c r="G78" s="52"/>
      <x:c r="H78" s="53"/>
    </x:row>
    <x:row r="79">
      <x:c r="A79" s="51"/>
      <x:c r="B79" s="52"/>
      <x:c r="C79" s="52"/>
      <x:c r="D79" s="52"/>
      <x:c r="E79" s="52"/>
      <x:c r="F79" s="52"/>
      <x:c r="G79" s="52"/>
      <x:c r="H79" s="53"/>
    </x:row>
    <x:row r="80">
      <x:c r="A80" s="51"/>
      <x:c r="B80" s="52"/>
      <x:c r="C80" s="52"/>
      <x:c r="D80" s="52"/>
      <x:c r="E80" s="52"/>
      <x:c r="F80" s="52"/>
      <x:c r="G80" s="52"/>
      <x:c r="H80" s="53"/>
    </x:row>
    <x:row r="81">
      <x:c r="A81" s="51"/>
      <x:c r="B81" s="52"/>
      <x:c r="C81" s="52"/>
      <x:c r="D81" s="52"/>
      <x:c r="E81" s="52"/>
      <x:c r="F81" s="52"/>
      <x:c r="G81" s="52"/>
      <x:c r="H81" s="53"/>
    </x:row>
    <x:row r="82">
      <x:c r="A82" s="51"/>
      <x:c r="B82" s="52"/>
      <x:c r="C82" s="52"/>
      <x:c r="D82" s="52"/>
      <x:c r="E82" s="52"/>
      <x:c r="F82" s="52"/>
      <x:c r="G82" s="52"/>
      <x:c r="H82" s="53"/>
    </x:row>
    <x:row r="83">
      <x:c r="A83" s="51"/>
      <x:c r="B83" s="52"/>
      <x:c r="C83" s="52"/>
      <x:c r="D83" s="52"/>
      <x:c r="E83" s="52"/>
      <x:c r="F83" s="52"/>
      <x:c r="G83" s="52"/>
      <x:c r="H83" s="53"/>
    </x:row>
    <x:row r="84">
      <x:c r="A84" s="51"/>
      <x:c r="B84" s="52"/>
      <x:c r="C84" s="52"/>
      <x:c r="D84" s="52"/>
      <x:c r="E84" s="52"/>
      <x:c r="F84" s="52"/>
      <x:c r="G84" s="52"/>
      <x:c r="H84" s="53"/>
    </x:row>
    <x:row r="85">
      <x:c r="A85" s="51"/>
      <x:c r="B85" s="52"/>
      <x:c r="C85" s="52"/>
      <x:c r="D85" s="52"/>
      <x:c r="E85" s="52"/>
      <x:c r="F85" s="52"/>
      <x:c r="G85" s="52"/>
      <x:c r="H85" s="53"/>
    </x:row>
    <x:row r="86">
      <x:c r="A86" s="51"/>
      <x:c r="B86" s="52"/>
      <x:c r="C86" s="52"/>
      <x:c r="D86" s="52"/>
      <x:c r="E86" s="52"/>
      <x:c r="F86" s="52"/>
      <x:c r="G86" s="52"/>
      <x:c r="H86" s="53"/>
    </x:row>
    <x:row r="87">
      <x:c r="A87" s="51"/>
      <x:c r="B87" s="52"/>
      <x:c r="C87" s="52"/>
      <x:c r="D87" s="52"/>
      <x:c r="E87" s="52"/>
      <x:c r="F87" s="52"/>
      <x:c r="G87" s="52"/>
      <x:c r="H87" s="53"/>
    </x:row>
    <x:row r="88">
      <x:c r="A88" s="51"/>
      <x:c r="B88" s="52"/>
      <x:c r="C88" s="52"/>
      <x:c r="D88" s="52"/>
      <x:c r="E88" s="52"/>
      <x:c r="F88" s="52"/>
      <x:c r="G88" s="52"/>
      <x:c r="H88" s="53"/>
    </x:row>
    <x:row r="89">
      <x:c r="A89" s="51"/>
      <x:c r="B89" s="52"/>
      <x:c r="C89" s="52"/>
      <x:c r="D89" s="52"/>
      <x:c r="E89" s="52"/>
      <x:c r="F89" s="52"/>
      <x:c r="G89" s="52"/>
      <x:c r="H89" s="53"/>
    </x:row>
    <x:row r="90">
      <x:c r="A90" s="51"/>
      <x:c r="B90" s="52"/>
      <x:c r="C90" s="52"/>
      <x:c r="D90" s="52"/>
      <x:c r="E90" s="52"/>
      <x:c r="F90" s="52"/>
      <x:c r="G90" s="52"/>
      <x:c r="H90" s="53"/>
    </x:row>
    <x:row r="91">
      <x:c r="A91" s="51"/>
      <x:c r="B91" s="52"/>
      <x:c r="C91" s="52"/>
      <x:c r="D91" s="52"/>
      <x:c r="E91" s="52"/>
      <x:c r="F91" s="52"/>
      <x:c r="G91" s="52"/>
      <x:c r="H91" s="53"/>
    </x:row>
    <x:row r="92">
      <x:c r="A92" s="51"/>
      <x:c r="B92" s="52"/>
      <x:c r="C92" s="52"/>
      <x:c r="D92" s="52"/>
      <x:c r="E92" s="52"/>
      <x:c r="F92" s="52"/>
      <x:c r="G92" s="52"/>
      <x:c r="H92" s="53"/>
    </x:row>
    <x:row r="93">
      <x:c r="A93" s="51"/>
      <x:c r="B93" s="52"/>
      <x:c r="C93" s="52"/>
      <x:c r="D93" s="52"/>
      <x:c r="E93" s="52"/>
      <x:c r="F93" s="52"/>
      <x:c r="G93" s="52"/>
      <x:c r="H93" s="53"/>
    </x:row>
    <x:row r="94">
      <x:c r="A94" s="51"/>
      <x:c r="B94" s="52"/>
      <x:c r="C94" s="52"/>
      <x:c r="D94" s="52"/>
      <x:c r="E94" s="52"/>
      <x:c r="F94" s="52"/>
      <x:c r="G94" s="52"/>
      <x:c r="H94" s="53"/>
    </x:row>
    <x:row r="95">
      <x:c r="A95" s="51"/>
      <x:c r="B95" s="52"/>
      <x:c r="C95" s="52"/>
      <x:c r="D95" s="52"/>
      <x:c r="E95" s="52"/>
      <x:c r="F95" s="52"/>
      <x:c r="G95" s="52"/>
      <x:c r="H95" s="53"/>
    </x:row>
    <x:row r="96">
      <x:c r="A96" s="51"/>
      <x:c r="B96" s="52"/>
      <x:c r="C96" s="52"/>
      <x:c r="D96" s="52"/>
      <x:c r="E96" s="52"/>
      <x:c r="F96" s="52"/>
      <x:c r="G96" s="52"/>
      <x:c r="H96" s="53"/>
    </x:row>
    <x:row r="97">
      <x:c r="A97" s="51"/>
      <x:c r="B97" s="52"/>
      <x:c r="C97" s="52"/>
      <x:c r="D97" s="52"/>
      <x:c r="E97" s="52"/>
      <x:c r="F97" s="52"/>
      <x:c r="G97" s="52"/>
      <x:c r="H97" s="53"/>
    </x:row>
    <x:row r="98">
      <x:c r="A98" s="51"/>
      <x:c r="B98" s="52"/>
      <x:c r="C98" s="52"/>
      <x:c r="D98" s="52"/>
      <x:c r="E98" s="52"/>
      <x:c r="F98" s="52"/>
      <x:c r="G98" s="52"/>
      <x:c r="H98" s="53"/>
    </x:row>
    <x:row r="99">
      <x:c r="A99" s="51"/>
      <x:c r="B99" s="52"/>
      <x:c r="C99" s="52"/>
      <x:c r="D99" s="52"/>
      <x:c r="E99" s="52"/>
      <x:c r="F99" s="52"/>
      <x:c r="G99" s="52"/>
      <x:c r="H99" s="53"/>
    </x:row>
    <x:row r="100">
      <x:c r="A100" s="51"/>
      <x:c r="B100" s="52"/>
      <x:c r="C100" s="52"/>
      <x:c r="D100" s="52"/>
      <x:c r="E100" s="52"/>
      <x:c r="F100" s="52"/>
      <x:c r="G100" s="52"/>
      <x:c r="H100" s="53"/>
    </x:row>
    <x:row r="101">
      <x:c r="A101" s="51"/>
      <x:c r="B101" s="52"/>
      <x:c r="C101" s="52"/>
      <x:c r="D101" s="52"/>
      <x:c r="E101" s="52"/>
      <x:c r="F101" s="52"/>
      <x:c r="G101" s="52"/>
      <x:c r="H101" s="53"/>
    </x:row>
    <x:row r="102">
      <x:c r="A102" s="51"/>
      <x:c r="B102" s="52"/>
      <x:c r="C102" s="52"/>
      <x:c r="D102" s="52"/>
      <x:c r="E102" s="52"/>
      <x:c r="F102" s="52"/>
      <x:c r="G102" s="52"/>
      <x:c r="H102" s="53"/>
    </x:row>
    <x:row r="103">
      <x:c r="A103" s="54"/>
      <x:c r="B103" s="55"/>
      <x:c r="C103" s="55"/>
      <x:c r="D103" s="55"/>
      <x:c r="E103" s="55"/>
      <x:c r="F103" s="55"/>
      <x:c r="G103" s="55"/>
      <x:c r="H103" s="56"/>
    </x:row>
    <x:row r="104">
      <x:c r="A104" s="197"/>
    </x:row>
    <x:row r="105">
      <x:c r="A105" s="197"/>
    </x:row>
    <x:row r="106">
      <x:c r="A106" s="197"/>
    </x:row>
    <x:row r="107">
      <x:c r="A107" s="197"/>
    </x:row>
    <x:row r="108">
      <x:c r="A108" s="197"/>
    </x:row>
    <x:row r="109">
      <x:c r="A109" s="197"/>
    </x:row>
    <x:row r="110">
      <x:c r="A110" s="197"/>
    </x:row>
    <x:row r="111">
      <x:c r="A111" s="197"/>
    </x:row>
    <x:row r="112">
      <x:c r="A112" s="197"/>
    </x:row>
    <x:row r="113">
      <x:c r="A113" s="197"/>
    </x:row>
    <x:row r="114">
      <x:c r="A114" s="197"/>
    </x:row>
    <x:row r="115">
      <x:c r="A115" s="197"/>
    </x:row>
    <x:row r="116">
      <x:c r="A116" s="197"/>
    </x:row>
    <x:row r="117">
      <x:c r="A117" s="197"/>
    </x:row>
    <x:row r="118">
      <x:c r="A118" s="197"/>
    </x:row>
    <x:row r="119">
      <x:c r="A119" s="197"/>
    </x:row>
    <x:row r="120">
      <x:c r="A120" s="197"/>
    </x:row>
    <x:row r="121">
      <x:c r="A121" s="197"/>
    </x:row>
    <x:row r="122">
      <x:c r="A122" s="197"/>
    </x:row>
    <x:row r="123">
      <x:c r="A123" s="197"/>
    </x:row>
    <x:row r="124">
      <x:c r="A124" s="197"/>
    </x:row>
    <x:row r="125">
      <x:c r="A125" s="197"/>
    </x:row>
    <x:row r="126">
      <x:c r="A126" s="197"/>
    </x:row>
    <x:row r="127">
      <x:c r="A127" s="197"/>
    </x:row>
    <x:row r="128">
      <x:c r="A128" s="197"/>
    </x:row>
    <x:row r="129">
      <x:c r="A129" s="197"/>
    </x:row>
    <x:row r="130">
      <x:c r="A130" s="197"/>
    </x:row>
    <x:row r="131">
      <x:c r="A131" s="197"/>
    </x:row>
    <x:row r="132">
      <x:c r="A132" s="197"/>
    </x:row>
    <x:row r="133">
      <x:c r="A133" s="197"/>
    </x:row>
    <x:row r="134">
      <x:c r="A134" s="197"/>
    </x:row>
    <x:row r="135">
      <x:c r="A135" s="197"/>
    </x:row>
    <x:row r="136">
      <x:c r="A136" s="197"/>
    </x:row>
    <x:row r="137">
      <x:c r="A137" s="197"/>
    </x:row>
    <x:row r="138">
      <x:c r="A138" s="197"/>
    </x:row>
    <x:row r="139">
      <x:c r="A139" s="197"/>
    </x:row>
    <x:row r="140">
      <x:c r="A140" s="197"/>
    </x:row>
    <x:row r="141">
      <x:c r="A141" s="197"/>
    </x:row>
    <x:row r="142">
      <x:c r="A142" s="197"/>
    </x:row>
    <x:row r="143">
      <x:c r="A143" s="197"/>
    </x:row>
    <x:row r="144">
      <x:c r="A144" s="197"/>
    </x:row>
    <x:row r="145">
      <x:c r="A145" s="197"/>
    </x:row>
    <x:row r="146">
      <x:c r="A146" s="197"/>
    </x:row>
    <x:row r="147">
      <x:c r="A147" s="197"/>
    </x:row>
    <x:row r="148">
      <x:c r="A148" s="197"/>
    </x:row>
    <x:row r="149">
      <x:c r="A149" s="197"/>
    </x:row>
    <x:row r="150">
      <x:c r="A150" s="197"/>
    </x:row>
    <x:row r="151">
      <x:c r="A151" s="197"/>
    </x:row>
    <x:row r="152">
      <x:c r="A152" s="197"/>
    </x:row>
    <x:row r="153">
      <x:c r="A153" s="197"/>
    </x:row>
    <x:row r="154">
      <x:c r="A154" s="197"/>
    </x:row>
    <x:row r="155">
      <x:c r="A155" s="197"/>
    </x:row>
    <x:row r="156">
      <x:c r="A156" s="197"/>
    </x:row>
    <x:row r="157">
      <x:c r="A157" s="197"/>
    </x:row>
    <x:row r="158">
      <x:c r="A158" s="197"/>
    </x:row>
    <x:row r="159">
      <x:c r="A159" s="197"/>
    </x:row>
    <x:row r="160">
      <x:c r="A160" s="197"/>
    </x:row>
    <x:row r="161">
      <x:c r="A161" s="197"/>
    </x:row>
    <x:row r="162">
      <x:c r="A162" s="197"/>
    </x:row>
    <x:row r="163">
      <x:c r="A163" s="197"/>
    </x:row>
    <x:row r="164">
      <x:c r="A164" s="197"/>
    </x:row>
    <x:row r="165">
      <x:c r="A165" s="197"/>
    </x:row>
    <x:row r="166">
      <x:c r="A166" s="197"/>
    </x:row>
    <x:row r="167">
      <x:c r="A167" s="197"/>
    </x:row>
    <x:row r="168">
      <x:c r="A168" s="197"/>
    </x:row>
    <x:row r="169">
      <x:c r="A169" s="197"/>
    </x:row>
    <x:row r="170">
      <x:c r="A170" s="197"/>
    </x:row>
    <x:row r="171">
      <x:c r="A171" s="197"/>
    </x:row>
    <x:row r="172">
      <x:c r="A172" s="197"/>
    </x:row>
    <x:row r="173">
      <x:c r="A173" s="197"/>
    </x:row>
    <x:row r="174">
      <x:c r="A174" s="197"/>
    </x:row>
    <x:row r="175">
      <x:c r="A175" s="197"/>
    </x:row>
    <x:row r="176">
      <x:c r="A176" s="197"/>
    </x:row>
    <x:row r="177">
      <x:c r="A177" s="197"/>
    </x:row>
    <x:row r="178">
      <x:c r="A178" s="197"/>
    </x:row>
    <x:row r="179">
      <x:c r="A179" s="197"/>
    </x:row>
    <x:row r="180">
      <x:c r="A180" s="197"/>
    </x:row>
    <x:row r="181">
      <x:c r="A181" s="197"/>
    </x:row>
    <x:row r="182">
      <x:c r="A182" s="197"/>
    </x:row>
    <x:row r="183">
      <x:c r="A183" s="197"/>
    </x:row>
    <x:row r="184">
      <x:c r="A184" s="197"/>
    </x:row>
    <x:row r="185">
      <x:c r="A185" s="197"/>
    </x:row>
    <x:row r="186">
      <x:c r="A186" s="197"/>
    </x:row>
    <x:row r="187">
      <x:c r="A187" s="197"/>
    </x:row>
    <x:row r="188">
      <x:c r="A188" s="197"/>
    </x:row>
    <x:row r="189">
      <x:c r="A189" s="197"/>
    </x:row>
    <x:row r="190">
      <x:c r="A190" s="197"/>
    </x:row>
    <x:row r="191">
      <x:c r="A191" s="197"/>
    </x:row>
    <x:row r="192">
      <x:c r="A192" s="197"/>
    </x:row>
    <x:row r="193">
      <x:c r="A193" s="197"/>
    </x:row>
    <x:row r="194">
      <x:c r="A194" s="197"/>
    </x:row>
    <x:row r="195">
      <x:c r="A195" s="197"/>
    </x:row>
    <x:row r="196">
      <x:c r="A196" s="197"/>
    </x:row>
    <x:row r="197">
      <x:c r="A197" s="197"/>
    </x:row>
    <x:row r="198">
      <x:c r="A198" s="197"/>
    </x:row>
    <x:row r="199">
      <x:c r="A199" s="197"/>
    </x:row>
    <x:row r="200">
      <x:c r="A200" s="197"/>
    </x:row>
    <x:row r="201">
      <x:c r="A201" s="197"/>
    </x:row>
    <x:row r="202">
      <x:c r="A202" s="197"/>
    </x:row>
    <x:row r="203">
      <x:c r="A203" s="197"/>
    </x:row>
    <x:row r="204">
      <x:c r="A204" s="197"/>
    </x:row>
    <x:row r="205">
      <x:c r="A205" s="197"/>
    </x:row>
    <x:row r="206">
      <x:c r="A206" s="197"/>
    </x:row>
    <x:row r="207">
      <x:c r="A207" s="197"/>
    </x:row>
    <x:row r="208">
      <x:c r="A208" s="197"/>
    </x:row>
    <x:row r="209">
      <x:c r="A209" s="197"/>
    </x:row>
    <x:row r="210">
      <x:c r="A210" s="197"/>
    </x:row>
    <x:row r="211">
      <x:c r="A211" s="197"/>
    </x:row>
    <x:row r="212">
      <x:c r="A212" s="197"/>
    </x:row>
    <x:row r="213">
      <x:c r="A213" s="197"/>
    </x:row>
    <x:row r="214">
      <x:c r="A214" s="197"/>
    </x:row>
    <x:row r="215">
      <x:c r="A215" s="197"/>
    </x:row>
    <x:row r="216">
      <x:c r="A216" s="197"/>
    </x:row>
    <x:row r="217">
      <x:c r="A217" s="197"/>
    </x:row>
    <x:row r="218">
      <x:c r="A218" s="197"/>
    </x:row>
    <x:row r="219">
      <x:c r="A219" s="197"/>
    </x:row>
    <x:row r="220">
      <x:c r="A220" s="197"/>
    </x:row>
    <x:row r="221">
      <x:c r="A221" s="197"/>
    </x:row>
    <x:row r="222">
      <x:c r="A222" s="197"/>
    </x:row>
    <x:row r="223">
      <x:c r="A223" s="197"/>
    </x:row>
    <x:row r="224">
      <x:c r="A224" s="197"/>
    </x:row>
    <x:row r="225">
      <x:c r="A225" s="197"/>
    </x:row>
    <x:row r="226">
      <x:c r="A226" s="197"/>
    </x:row>
    <x:row r="227">
      <x:c r="A227" s="197"/>
    </x:row>
    <x:row r="228">
      <x:c r="A228" s="197"/>
    </x:row>
    <x:row r="229">
      <x:c r="A229" s="197"/>
    </x:row>
    <x:row r="230">
      <x:c r="A230" s="197"/>
    </x:row>
    <x:row r="231">
      <x:c r="A231" s="197"/>
    </x:row>
    <x:row r="232">
      <x:c r="A232" s="197"/>
    </x:row>
    <x:row r="233">
      <x:c r="A233" s="197"/>
    </x:row>
    <x:row r="234">
      <x:c r="A234" s="197"/>
    </x:row>
    <x:row r="235">
      <x:c r="A235" s="197"/>
    </x:row>
    <x:row r="236">
      <x:c r="A236" s="197"/>
    </x:row>
    <x:row r="237">
      <x:c r="A237" s="197"/>
    </x:row>
    <x:row r="238">
      <x:c r="A238" s="197"/>
    </x:row>
    <x:row r="239">
      <x:c r="A239" s="197"/>
    </x:row>
    <x:row r="240">
      <x:c r="A240" s="197"/>
    </x:row>
  </x:sheetData>
  <x:mergeCells>
    <x:mergeCell ref="A1:H1"/>
  </x:mergeCells>
  <x:dataValidations count="2">
    <x:dataValidation type="list" sqref="E4:E103">
      <x:formula1>"Yes,No"</x:formula1>
    </x:dataValidation>
    <x:dataValidation type="list" sqref="G4:G103">
      <x:formula1>"Draft,Ready,Approved,Sent,Retired"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4" hidden="0" customWidth="1"/>
    <x:col min="4" max="4" width="42" hidden="0" customWidth="1"/>
    <x:col min="5" max="5" width="30" hidden="0" customWidth="1"/>
    <x:col min="6" max="6" width="18" hidden="0" customWidth="1"/>
    <x:col min="7" max="7" width="16" hidden="0" customWidth="1"/>
    <x:col min="8" max="8" width="24" hidden="0" customWidth="1"/>
    <x:col min="9" max="9" width="28" hidden="0" customWidth="1"/>
    <x:col min="10" max="10" width="14" hidden="0" customWidth="1"/>
  </x:cols>
  <x:sheetData>
    <x:row r="1" ht="34" customHeight="1">
      <x:c r="A1" s="196" t="str">
        <x:v>What Happens on Day One?</x:v>
      </x:c>
    </x:row>
    <x:row r="2">
      <x:c r="A2" s="197"/>
    </x:row>
    <x:row r="3" ht="30" customHeight="1">
      <x:c r="A3" s="13" t="str">
        <x:v>Sequence</x:v>
      </x:c>
      <x:c r="B3" s="14" t="str">
        <x:v>When</x:v>
      </x:c>
      <x:c r="C3" s="14" t="str">
        <x:v>State Change</x:v>
      </x:c>
      <x:c r="D3" s="14" t="str">
        <x:v>Executive Question</x:v>
      </x:c>
      <x:c r="E3" s="14" t="str">
        <x:v>Artifact</x:v>
      </x:c>
      <x:c r="F3" s="14" t="str">
        <x:v>Owner</x:v>
      </x:c>
      <x:c r="G3" s="14" t="str">
        <x:v>Status</x:v>
      </x:c>
      <x:c r="H3" s="14" t="str">
        <x:v>Blocker</x:v>
      </x:c>
      <x:c r="I3" s="14" t="str">
        <x:v>Next Action</x:v>
      </x:c>
      <x:c r="J3" s="15" t="str">
        <x:v>Due</x:v>
      </x:c>
    </x:row>
    <x:row r="4">
      <x:c r="A4" s="48" t="n">
        <x:v>1</x:v>
      </x:c>
      <x:c r="B4" s="49" t="str">
        <x:v>0-15 min</x:v>
      </x:c>
      <x:c r="C4" s="49" t="str">
        <x:v>Define economic objective</x:v>
      </x:c>
      <x:c r="D4" s="49" t="str">
        <x:v>What do we sell, who buys, why now, and what is done?</x:v>
      </x:c>
      <x:c r="E4" s="49" t="str">
        <x:v>Commercial Objective Brief</x:v>
      </x:c>
      <x:c r="F4" s="49" t="str"/>
      <x:c r="G4" s="49" t="str">
        <x:v>Not Started</x:v>
      </x:c>
      <x:c r="H4" s="49" t="str"/>
      <x:c r="I4" s="49" t="str"/>
      <x:c r="J4" s="50" t="str"/>
    </x:row>
    <x:row r="5">
      <x:c r="A5" s="51" t="n">
        <x:v>2</x:v>
      </x:c>
      <x:c r="B5" s="52" t="str">
        <x:v>15-30 min</x:v>
      </x:c>
      <x:c r="C5" s="52" t="str">
        <x:v>Authority and risk boundary</x:v>
      </x:c>
      <x:c r="D5" s="52" t="str">
        <x:v>Who approves, what is unacceptable, and what must remain private?</x:v>
      </x:c>
      <x:c r="E5" s="52" t="str">
        <x:v>Buyer / authority / risk map</x:v>
      </x:c>
      <x:c r="F5" s="52" t="str"/>
      <x:c r="G5" s="52" t="str">
        <x:v>Not Started</x:v>
      </x:c>
      <x:c r="H5" s="52" t="str"/>
      <x:c r="I5" s="52" t="str"/>
      <x:c r="J5" s="53" t="str"/>
    </x:row>
    <x:row r="6">
      <x:c r="A6" s="51" t="n">
        <x:v>3</x:v>
      </x:c>
      <x:c r="B6" s="52" t="str">
        <x:v>30-60 min</x:v>
      </x:c>
      <x:c r="C6" s="52" t="str">
        <x:v>Confirm revenue institution</x:v>
      </x:c>
      <x:c r="D6" s="52" t="str">
        <x:v>What are price, target, capacity, recurring offer, and conversion assumptions?</x:v>
      </x:c>
      <x:c r="E6" s="52" t="str">
        <x:v>Confirmed Revenue Institution</x:v>
      </x:c>
      <x:c r="F6" s="52" t="str"/>
      <x:c r="G6" s="52" t="str">
        <x:v>Not Started</x:v>
      </x:c>
      <x:c r="H6" s="52" t="str"/>
      <x:c r="I6" s="52" t="str"/>
      <x:c r="J6" s="53" t="str"/>
    </x:row>
    <x:row r="7">
      <x:c r="A7" s="51" t="n">
        <x:v>4</x:v>
      </x:c>
      <x:c r="B7" s="52" t="str">
        <x:v>Hour 1-2</x:v>
      </x:c>
      <x:c r="C7" s="52" t="str">
        <x:v>Build offer and pipeline</x:v>
      </x:c>
      <x:c r="D7" s="52" t="str">
        <x:v>What offers and funnel are required?</x:v>
      </x:c>
      <x:c r="E7" s="52" t="str">
        <x:v>Offer Ladder + Pipeline Model</x:v>
      </x:c>
      <x:c r="F7" s="52" t="str"/>
      <x:c r="G7" s="52" t="str">
        <x:v>Not Started</x:v>
      </x:c>
      <x:c r="H7" s="52" t="str"/>
      <x:c r="I7" s="52" t="str"/>
      <x:c r="J7" s="53" t="str"/>
    </x:row>
    <x:row r="8">
      <x:c r="A8" s="51" t="n">
        <x:v>5</x:v>
      </x:c>
      <x:c r="B8" s="52" t="str">
        <x:v>Hour 2-4</x:v>
      </x:c>
      <x:c r="C8" s="52" t="str">
        <x:v>Prepare sales system</x:v>
      </x:c>
      <x:c r="D8" s="52" t="str">
        <x:v>What can be drafted and what remains human-approved?</x:v>
      </x:c>
      <x:c r="E8" s="52" t="str">
        <x:v>Sales Assets + Approval Map</x:v>
      </x:c>
      <x:c r="F8" s="52" t="str"/>
      <x:c r="G8" s="52" t="str">
        <x:v>Not Started</x:v>
      </x:c>
      <x:c r="H8" s="52" t="str"/>
      <x:c r="I8" s="52" t="str"/>
      <x:c r="J8" s="53" t="str"/>
    </x:row>
    <x:row r="9">
      <x:c r="A9" s="51" t="n">
        <x:v>6</x:v>
      </x:c>
      <x:c r="B9" s="52" t="str">
        <x:v>Hour 4-8</x:v>
      </x:c>
      <x:c r="C9" s="52" t="str">
        <x:v>Design proof-producing delivery</x:v>
      </x:c>
      <x:c r="D9" s="52" t="str">
        <x:v>What must be proven before the customer acts?</x:v>
      </x:c>
      <x:c r="E9" s="52" t="str">
        <x:v>Mission Contract + Proof Debt + Docket Blueprint</x:v>
      </x:c>
      <x:c r="F9" s="52" t="str"/>
      <x:c r="G9" s="52" t="str">
        <x:v>Not Started</x:v>
      </x:c>
      <x:c r="H9" s="52" t="str"/>
      <x:c r="I9" s="52" t="str"/>
      <x:c r="J9" s="53" t="str"/>
    </x:row>
    <x:row r="10">
      <x:c r="A10" s="51" t="n">
        <x:v>7</x:v>
      </x:c>
      <x:c r="B10" s="52" t="str">
        <x:v>End of day</x:v>
      </x:c>
      <x:c r="C10" s="52" t="str">
        <x:v>Sponsor checkpoint</x:v>
      </x:c>
      <x:c r="D10" s="52" t="str">
        <x:v>What changed, what remains blocked, and what happens next?</x:v>
      </x:c>
      <x:c r="E10" s="52" t="str">
        <x:v>Sponsor Update + Delivery Plan</x:v>
      </x:c>
      <x:c r="F10" s="52" t="str"/>
      <x:c r="G10" s="52" t="str">
        <x:v>Not Started</x:v>
      </x:c>
      <x:c r="H10" s="52" t="str"/>
      <x:c r="I10" s="52" t="str"/>
      <x:c r="J10" s="53" t="str"/>
    </x:row>
    <x:row r="11">
      <x:c r="A11" s="51"/>
      <x:c r="B11" s="52"/>
      <x:c r="C11" s="52"/>
      <x:c r="D11" s="52"/>
      <x:c r="E11" s="52"/>
      <x:c r="F11" s="52"/>
      <x:c r="G11" s="52"/>
      <x:c r="H11" s="52"/>
      <x:c r="I11" s="52"/>
      <x:c r="J11" s="53"/>
    </x:row>
    <x:row r="12">
      <x:c r="A12" s="51"/>
      <x:c r="B12" s="52"/>
      <x:c r="C12" s="52"/>
      <x:c r="D12" s="52"/>
      <x:c r="E12" s="52"/>
      <x:c r="F12" s="52"/>
      <x:c r="G12" s="52"/>
      <x:c r="H12" s="52"/>
      <x:c r="I12" s="52"/>
      <x:c r="J12" s="53"/>
    </x:row>
    <x:row r="13">
      <x:c r="A13" s="51"/>
      <x:c r="B13" s="52"/>
      <x:c r="C13" s="52"/>
      <x:c r="D13" s="52"/>
      <x:c r="E13" s="52"/>
      <x:c r="F13" s="52"/>
      <x:c r="G13" s="52"/>
      <x:c r="H13" s="52"/>
      <x:c r="I13" s="52"/>
      <x:c r="J13" s="53"/>
    </x:row>
    <x:row r="14">
      <x:c r="A14" s="51"/>
      <x:c r="B14" s="52"/>
      <x:c r="C14" s="52"/>
      <x:c r="D14" s="52"/>
      <x:c r="E14" s="52"/>
      <x:c r="F14" s="52"/>
      <x:c r="G14" s="52"/>
      <x:c r="H14" s="52"/>
      <x:c r="I14" s="52"/>
      <x:c r="J14" s="53"/>
    </x:row>
    <x:row r="15">
      <x:c r="A15" s="51"/>
      <x:c r="B15" s="52"/>
      <x:c r="C15" s="52"/>
      <x:c r="D15" s="52"/>
      <x:c r="E15" s="52"/>
      <x:c r="F15" s="52"/>
      <x:c r="G15" s="52"/>
      <x:c r="H15" s="52"/>
      <x:c r="I15" s="52"/>
      <x:c r="J15" s="53"/>
    </x:row>
    <x:row r="16">
      <x:c r="A16" s="51"/>
      <x:c r="B16" s="52"/>
      <x:c r="C16" s="52"/>
      <x:c r="D16" s="52"/>
      <x:c r="E16" s="52"/>
      <x:c r="F16" s="52"/>
      <x:c r="G16" s="52"/>
      <x:c r="H16" s="52"/>
      <x:c r="I16" s="52"/>
      <x:c r="J16" s="53"/>
    </x:row>
    <x:row r="17">
      <x:c r="A17" s="51"/>
      <x:c r="B17" s="52"/>
      <x:c r="C17" s="52"/>
      <x:c r="D17" s="52"/>
      <x:c r="E17" s="52"/>
      <x:c r="F17" s="52"/>
      <x:c r="G17" s="52"/>
      <x:c r="H17" s="52"/>
      <x:c r="I17" s="52"/>
      <x:c r="J17" s="53"/>
    </x:row>
    <x:row r="18">
      <x:c r="A18" s="51"/>
      <x:c r="B18" s="52"/>
      <x:c r="C18" s="52"/>
      <x:c r="D18" s="52"/>
      <x:c r="E18" s="52"/>
      <x:c r="F18" s="52"/>
      <x:c r="G18" s="52"/>
      <x:c r="H18" s="52"/>
      <x:c r="I18" s="52"/>
      <x:c r="J18" s="53"/>
    </x:row>
    <x:row r="19">
      <x:c r="A19" s="51"/>
      <x:c r="B19" s="52"/>
      <x:c r="C19" s="52"/>
      <x:c r="D19" s="52"/>
      <x:c r="E19" s="52"/>
      <x:c r="F19" s="52"/>
      <x:c r="G19" s="52"/>
      <x:c r="H19" s="52"/>
      <x:c r="I19" s="52"/>
      <x:c r="J19" s="53"/>
    </x:row>
    <x:row r="20">
      <x:c r="A20" s="51"/>
      <x:c r="B20" s="52"/>
      <x:c r="C20" s="52"/>
      <x:c r="D20" s="52"/>
      <x:c r="E20" s="52"/>
      <x:c r="F20" s="52"/>
      <x:c r="G20" s="52"/>
      <x:c r="H20" s="52"/>
      <x:c r="I20" s="52"/>
      <x:c r="J20" s="53"/>
    </x:row>
    <x:row r="21">
      <x:c r="A21" s="51"/>
      <x:c r="B21" s="52"/>
      <x:c r="C21" s="52"/>
      <x:c r="D21" s="52"/>
      <x:c r="E21" s="52"/>
      <x:c r="F21" s="52"/>
      <x:c r="G21" s="52"/>
      <x:c r="H21" s="52"/>
      <x:c r="I21" s="52"/>
      <x:c r="J21" s="53"/>
    </x:row>
    <x:row r="22">
      <x:c r="A22" s="51"/>
      <x:c r="B22" s="52"/>
      <x:c r="C22" s="52"/>
      <x:c r="D22" s="52"/>
      <x:c r="E22" s="52"/>
      <x:c r="F22" s="52"/>
      <x:c r="G22" s="52"/>
      <x:c r="H22" s="52"/>
      <x:c r="I22" s="52"/>
      <x:c r="J22" s="53"/>
    </x:row>
    <x:row r="23">
      <x:c r="A23" s="51"/>
      <x:c r="B23" s="52"/>
      <x:c r="C23" s="52"/>
      <x:c r="D23" s="52"/>
      <x:c r="E23" s="52"/>
      <x:c r="F23" s="52"/>
      <x:c r="G23" s="52"/>
      <x:c r="H23" s="52"/>
      <x:c r="I23" s="52"/>
      <x:c r="J23" s="53"/>
    </x:row>
    <x:row r="24">
      <x:c r="A24" s="51"/>
      <x:c r="B24" s="52"/>
      <x:c r="C24" s="52"/>
      <x:c r="D24" s="52"/>
      <x:c r="E24" s="52"/>
      <x:c r="F24" s="52"/>
      <x:c r="G24" s="52"/>
      <x:c r="H24" s="52"/>
      <x:c r="I24" s="52"/>
      <x:c r="J24" s="53"/>
    </x:row>
    <x:row r="25">
      <x:c r="A25" s="51"/>
      <x:c r="B25" s="52"/>
      <x:c r="C25" s="52"/>
      <x:c r="D25" s="52"/>
      <x:c r="E25" s="52"/>
      <x:c r="F25" s="52"/>
      <x:c r="G25" s="52"/>
      <x:c r="H25" s="52"/>
      <x:c r="I25" s="52"/>
      <x:c r="J25" s="53"/>
    </x:row>
    <x:row r="26">
      <x:c r="A26" s="51"/>
      <x:c r="B26" s="52"/>
      <x:c r="C26" s="52"/>
      <x:c r="D26" s="52"/>
      <x:c r="E26" s="52"/>
      <x:c r="F26" s="52"/>
      <x:c r="G26" s="52"/>
      <x:c r="H26" s="52"/>
      <x:c r="I26" s="52"/>
      <x:c r="J26" s="53"/>
    </x:row>
    <x:row r="27">
      <x:c r="A27" s="51"/>
      <x:c r="B27" s="52"/>
      <x:c r="C27" s="52"/>
      <x:c r="D27" s="52"/>
      <x:c r="E27" s="52"/>
      <x:c r="F27" s="52"/>
      <x:c r="G27" s="52"/>
      <x:c r="H27" s="52"/>
      <x:c r="I27" s="52"/>
      <x:c r="J27" s="53"/>
    </x:row>
    <x:row r="28">
      <x:c r="A28" s="51"/>
      <x:c r="B28" s="52"/>
      <x:c r="C28" s="52"/>
      <x:c r="D28" s="52"/>
      <x:c r="E28" s="52"/>
      <x:c r="F28" s="52"/>
      <x:c r="G28" s="52"/>
      <x:c r="H28" s="52"/>
      <x:c r="I28" s="52"/>
      <x:c r="J28" s="53"/>
    </x:row>
    <x:row r="29">
      <x:c r="A29" s="51"/>
      <x:c r="B29" s="52"/>
      <x:c r="C29" s="52"/>
      <x:c r="D29" s="52"/>
      <x:c r="E29" s="52"/>
      <x:c r="F29" s="52"/>
      <x:c r="G29" s="52"/>
      <x:c r="H29" s="52"/>
      <x:c r="I29" s="52"/>
      <x:c r="J29" s="53"/>
    </x:row>
    <x:row r="30">
      <x:c r="A30" s="51"/>
      <x:c r="B30" s="52"/>
      <x:c r="C30" s="52"/>
      <x:c r="D30" s="52"/>
      <x:c r="E30" s="52"/>
      <x:c r="F30" s="52"/>
      <x:c r="G30" s="52"/>
      <x:c r="H30" s="52"/>
      <x:c r="I30" s="52"/>
      <x:c r="J30" s="53"/>
    </x:row>
    <x:row r="31">
      <x:c r="A31" s="51"/>
      <x:c r="B31" s="52"/>
      <x:c r="C31" s="52"/>
      <x:c r="D31" s="52"/>
      <x:c r="E31" s="52"/>
      <x:c r="F31" s="52"/>
      <x:c r="G31" s="52"/>
      <x:c r="H31" s="52"/>
      <x:c r="I31" s="52"/>
      <x:c r="J31" s="53"/>
    </x:row>
    <x:row r="32">
      <x:c r="A32" s="51"/>
      <x:c r="B32" s="52"/>
      <x:c r="C32" s="52"/>
      <x:c r="D32" s="52"/>
      <x:c r="E32" s="52"/>
      <x:c r="F32" s="52"/>
      <x:c r="G32" s="52"/>
      <x:c r="H32" s="52"/>
      <x:c r="I32" s="52"/>
      <x:c r="J32" s="53"/>
    </x:row>
    <x:row r="33">
      <x:c r="A33" s="51"/>
      <x:c r="B33" s="52"/>
      <x:c r="C33" s="52"/>
      <x:c r="D33" s="52"/>
      <x:c r="E33" s="52"/>
      <x:c r="F33" s="52"/>
      <x:c r="G33" s="52"/>
      <x:c r="H33" s="52"/>
      <x:c r="I33" s="52"/>
      <x:c r="J33" s="53"/>
    </x:row>
    <x:row r="34">
      <x:c r="A34" s="51"/>
      <x:c r="B34" s="52"/>
      <x:c r="C34" s="52"/>
      <x:c r="D34" s="52"/>
      <x:c r="E34" s="52"/>
      <x:c r="F34" s="52"/>
      <x:c r="G34" s="52"/>
      <x:c r="H34" s="52"/>
      <x:c r="I34" s="52"/>
      <x:c r="J34" s="53"/>
    </x:row>
    <x:row r="35">
      <x:c r="A35" s="51"/>
      <x:c r="B35" s="52"/>
      <x:c r="C35" s="52"/>
      <x:c r="D35" s="52"/>
      <x:c r="E35" s="52"/>
      <x:c r="F35" s="52"/>
      <x:c r="G35" s="52"/>
      <x:c r="H35" s="52"/>
      <x:c r="I35" s="52"/>
      <x:c r="J35" s="53"/>
    </x:row>
    <x:row r="36">
      <x:c r="A36" s="51"/>
      <x:c r="B36" s="52"/>
      <x:c r="C36" s="52"/>
      <x:c r="D36" s="52"/>
      <x:c r="E36" s="52"/>
      <x:c r="F36" s="52"/>
      <x:c r="G36" s="52"/>
      <x:c r="H36" s="52"/>
      <x:c r="I36" s="52"/>
      <x:c r="J36" s="53"/>
    </x:row>
    <x:row r="37">
      <x:c r="A37" s="51"/>
      <x:c r="B37" s="52"/>
      <x:c r="C37" s="52"/>
      <x:c r="D37" s="52"/>
      <x:c r="E37" s="52"/>
      <x:c r="F37" s="52"/>
      <x:c r="G37" s="52"/>
      <x:c r="H37" s="52"/>
      <x:c r="I37" s="52"/>
      <x:c r="J37" s="53"/>
    </x:row>
    <x:row r="38">
      <x:c r="A38" s="51"/>
      <x:c r="B38" s="52"/>
      <x:c r="C38" s="52"/>
      <x:c r="D38" s="52"/>
      <x:c r="E38" s="52"/>
      <x:c r="F38" s="52"/>
      <x:c r="G38" s="52"/>
      <x:c r="H38" s="52"/>
      <x:c r="I38" s="52"/>
      <x:c r="J38" s="53"/>
    </x:row>
    <x:row r="39">
      <x:c r="A39" s="51"/>
      <x:c r="B39" s="52"/>
      <x:c r="C39" s="52"/>
      <x:c r="D39" s="52"/>
      <x:c r="E39" s="52"/>
      <x:c r="F39" s="52"/>
      <x:c r="G39" s="52"/>
      <x:c r="H39" s="52"/>
      <x:c r="I39" s="52"/>
      <x:c r="J39" s="53"/>
    </x:row>
    <x:row r="40">
      <x:c r="A40" s="51"/>
      <x:c r="B40" s="52"/>
      <x:c r="C40" s="52"/>
      <x:c r="D40" s="52"/>
      <x:c r="E40" s="52"/>
      <x:c r="F40" s="52"/>
      <x:c r="G40" s="52"/>
      <x:c r="H40" s="52"/>
      <x:c r="I40" s="52"/>
      <x:c r="J40" s="53"/>
    </x:row>
    <x:row r="41">
      <x:c r="A41" s="51"/>
      <x:c r="B41" s="52"/>
      <x:c r="C41" s="52"/>
      <x:c r="D41" s="52"/>
      <x:c r="E41" s="52"/>
      <x:c r="F41" s="52"/>
      <x:c r="G41" s="52"/>
      <x:c r="H41" s="52"/>
      <x:c r="I41" s="52"/>
      <x:c r="J41" s="53"/>
    </x:row>
    <x:row r="42">
      <x:c r="A42" s="51"/>
      <x:c r="B42" s="52"/>
      <x:c r="C42" s="52"/>
      <x:c r="D42" s="52"/>
      <x:c r="E42" s="52"/>
      <x:c r="F42" s="52"/>
      <x:c r="G42" s="52"/>
      <x:c r="H42" s="52"/>
      <x:c r="I42" s="52"/>
      <x:c r="J42" s="53"/>
    </x:row>
    <x:row r="43">
      <x:c r="A43" s="51"/>
      <x:c r="B43" s="52"/>
      <x:c r="C43" s="52"/>
      <x:c r="D43" s="52"/>
      <x:c r="E43" s="52"/>
      <x:c r="F43" s="52"/>
      <x:c r="G43" s="52"/>
      <x:c r="H43" s="52"/>
      <x:c r="I43" s="52"/>
      <x:c r="J43" s="53"/>
    </x:row>
    <x:row r="44">
      <x:c r="A44" s="51"/>
      <x:c r="B44" s="52"/>
      <x:c r="C44" s="52"/>
      <x:c r="D44" s="52"/>
      <x:c r="E44" s="52"/>
      <x:c r="F44" s="52"/>
      <x:c r="G44" s="52"/>
      <x:c r="H44" s="52"/>
      <x:c r="I44" s="52"/>
      <x:c r="J44" s="53"/>
    </x:row>
    <x:row r="45">
      <x:c r="A45" s="51"/>
      <x:c r="B45" s="52"/>
      <x:c r="C45" s="52"/>
      <x:c r="D45" s="52"/>
      <x:c r="E45" s="52"/>
      <x:c r="F45" s="52"/>
      <x:c r="G45" s="52"/>
      <x:c r="H45" s="52"/>
      <x:c r="I45" s="52"/>
      <x:c r="J45" s="53"/>
    </x:row>
    <x:row r="46">
      <x:c r="A46" s="51"/>
      <x:c r="B46" s="52"/>
      <x:c r="C46" s="52"/>
      <x:c r="D46" s="52"/>
      <x:c r="E46" s="52"/>
      <x:c r="F46" s="52"/>
      <x:c r="G46" s="52"/>
      <x:c r="H46" s="52"/>
      <x:c r="I46" s="52"/>
      <x:c r="J46" s="53"/>
    </x:row>
    <x:row r="47">
      <x:c r="A47" s="51"/>
      <x:c r="B47" s="52"/>
      <x:c r="C47" s="52"/>
      <x:c r="D47" s="52"/>
      <x:c r="E47" s="52"/>
      <x:c r="F47" s="52"/>
      <x:c r="G47" s="52"/>
      <x:c r="H47" s="52"/>
      <x:c r="I47" s="52"/>
      <x:c r="J47" s="53"/>
    </x:row>
    <x:row r="48">
      <x:c r="A48" s="51"/>
      <x:c r="B48" s="52"/>
      <x:c r="C48" s="52"/>
      <x:c r="D48" s="52"/>
      <x:c r="E48" s="52"/>
      <x:c r="F48" s="52"/>
      <x:c r="G48" s="52"/>
      <x:c r="H48" s="52"/>
      <x:c r="I48" s="52"/>
      <x:c r="J48" s="53"/>
    </x:row>
    <x:row r="49">
      <x:c r="A49" s="51"/>
      <x:c r="B49" s="52"/>
      <x:c r="C49" s="52"/>
      <x:c r="D49" s="52"/>
      <x:c r="E49" s="52"/>
      <x:c r="F49" s="52"/>
      <x:c r="G49" s="52"/>
      <x:c r="H49" s="52"/>
      <x:c r="I49" s="52"/>
      <x:c r="J49" s="53"/>
    </x:row>
    <x:row r="50">
      <x:c r="A50" s="54"/>
      <x:c r="B50" s="55"/>
      <x:c r="C50" s="55"/>
      <x:c r="D50" s="55"/>
      <x:c r="E50" s="55"/>
      <x:c r="F50" s="55"/>
      <x:c r="G50" s="55"/>
      <x:c r="H50" s="55"/>
      <x:c r="I50" s="55"/>
      <x:c r="J50" s="56"/>
    </x:row>
    <x:row r="51">
      <x:c r="A51" s="197"/>
    </x:row>
    <x:row r="52">
      <x:c r="A52" s="197"/>
    </x:row>
    <x:row r="53">
      <x:c r="A53" s="197"/>
    </x:row>
    <x:row r="54">
      <x:c r="A54" s="197"/>
    </x:row>
    <x:row r="55">
      <x:c r="A55" s="197"/>
    </x:row>
    <x:row r="56">
      <x:c r="A56" s="197"/>
    </x:row>
    <x:row r="57">
      <x:c r="A57" s="197"/>
    </x:row>
    <x:row r="58">
      <x:c r="A58" s="197"/>
    </x:row>
    <x:row r="59">
      <x:c r="A59" s="197"/>
    </x:row>
    <x:row r="60">
      <x:c r="A60" s="197"/>
    </x:row>
    <x:row r="61">
      <x:c r="A61" s="197"/>
    </x:row>
    <x:row r="62">
      <x:c r="A62" s="197"/>
    </x:row>
    <x:row r="63">
      <x:c r="A63" s="197"/>
    </x:row>
    <x:row r="64">
      <x:c r="A64" s="197"/>
    </x:row>
    <x:row r="65">
      <x:c r="A65" s="197"/>
    </x:row>
    <x:row r="66">
      <x:c r="A66" s="197"/>
    </x:row>
    <x:row r="67">
      <x:c r="A67" s="197"/>
    </x:row>
    <x:row r="68">
      <x:c r="A68" s="197"/>
    </x:row>
    <x:row r="69">
      <x:c r="A69" s="197"/>
    </x:row>
    <x:row r="70">
      <x:c r="A70" s="197"/>
    </x:row>
    <x:row r="71">
      <x:c r="A71" s="197"/>
    </x:row>
    <x:row r="72">
      <x:c r="A72" s="197"/>
    </x:row>
    <x:row r="73">
      <x:c r="A73" s="197"/>
    </x:row>
    <x:row r="74">
      <x:c r="A74" s="197"/>
    </x:row>
    <x:row r="75">
      <x:c r="A75" s="197"/>
    </x:row>
    <x:row r="76">
      <x:c r="A76" s="197"/>
    </x:row>
    <x:row r="77">
      <x:c r="A77" s="197"/>
    </x:row>
    <x:row r="78">
      <x:c r="A78" s="197"/>
    </x:row>
    <x:row r="79">
      <x:c r="A79" s="197"/>
    </x:row>
    <x:row r="80">
      <x:c r="A80" s="197"/>
    </x:row>
    <x:row r="81">
      <x:c r="A81" s="197"/>
    </x:row>
    <x:row r="82">
      <x:c r="A82" s="197"/>
    </x:row>
    <x:row r="83">
      <x:c r="A83" s="197"/>
    </x:row>
    <x:row r="84">
      <x:c r="A84" s="197"/>
    </x:row>
    <x:row r="85">
      <x:c r="A85" s="197"/>
    </x:row>
    <x:row r="86">
      <x:c r="A86" s="197"/>
    </x:row>
    <x:row r="87">
      <x:c r="A87" s="197"/>
    </x:row>
    <x:row r="88">
      <x:c r="A88" s="197"/>
    </x:row>
    <x:row r="89">
      <x:c r="A89" s="197"/>
    </x:row>
    <x:row r="90">
      <x:c r="A90" s="197"/>
    </x:row>
    <x:row r="91">
      <x:c r="A91" s="197"/>
    </x:row>
    <x:row r="92">
      <x:c r="A92" s="197"/>
    </x:row>
    <x:row r="93">
      <x:c r="A93" s="197"/>
    </x:row>
    <x:row r="94">
      <x:c r="A94" s="197"/>
    </x:row>
    <x:row r="95">
      <x:c r="A95" s="197"/>
    </x:row>
    <x:row r="96">
      <x:c r="A96" s="197"/>
    </x:row>
    <x:row r="97">
      <x:c r="A97" s="197"/>
    </x:row>
    <x:row r="98">
      <x:c r="A98" s="197"/>
    </x:row>
    <x:row r="99">
      <x:c r="A99" s="197"/>
    </x:row>
    <x:row r="100">
      <x:c r="A100" s="197"/>
    </x:row>
    <x:row r="101">
      <x:c r="A101" s="197"/>
    </x:row>
    <x:row r="102">
      <x:c r="A102" s="197"/>
    </x:row>
    <x:row r="103">
      <x:c r="A103" s="197"/>
    </x:row>
    <x:row r="104">
      <x:c r="A104" s="197"/>
    </x:row>
    <x:row r="105">
      <x:c r="A105" s="197"/>
    </x:row>
    <x:row r="106">
      <x:c r="A106" s="197"/>
    </x:row>
    <x:row r="107">
      <x:c r="A107" s="197"/>
    </x:row>
    <x:row r="108">
      <x:c r="A108" s="197"/>
    </x:row>
    <x:row r="109">
      <x:c r="A109" s="197"/>
    </x:row>
    <x:row r="110">
      <x:c r="A110" s="197"/>
    </x:row>
    <x:row r="111">
      <x:c r="A111" s="197"/>
    </x:row>
    <x:row r="112">
      <x:c r="A112" s="197"/>
    </x:row>
    <x:row r="113">
      <x:c r="A113" s="197"/>
    </x:row>
    <x:row r="114">
      <x:c r="A114" s="197"/>
    </x:row>
    <x:row r="115">
      <x:c r="A115" s="197"/>
    </x:row>
    <x:row r="116">
      <x:c r="A116" s="197"/>
    </x:row>
    <x:row r="117">
      <x:c r="A117" s="197"/>
    </x:row>
    <x:row r="118">
      <x:c r="A118" s="197"/>
    </x:row>
    <x:row r="119">
      <x:c r="A119" s="197"/>
    </x:row>
    <x:row r="120">
      <x:c r="A120" s="197"/>
    </x:row>
    <x:row r="121">
      <x:c r="A121" s="197"/>
    </x:row>
    <x:row r="122">
      <x:c r="A122" s="197"/>
    </x:row>
    <x:row r="123">
      <x:c r="A123" s="197"/>
    </x:row>
    <x:row r="124">
      <x:c r="A124" s="197"/>
    </x:row>
    <x:row r="125">
      <x:c r="A125" s="197"/>
    </x:row>
    <x:row r="126">
      <x:c r="A126" s="197"/>
    </x:row>
    <x:row r="127">
      <x:c r="A127" s="197"/>
    </x:row>
    <x:row r="128">
      <x:c r="A128" s="197"/>
    </x:row>
    <x:row r="129">
      <x:c r="A129" s="197"/>
    </x:row>
    <x:row r="130">
      <x:c r="A130" s="197"/>
    </x:row>
    <x:row r="131">
      <x:c r="A131" s="197"/>
    </x:row>
    <x:row r="132">
      <x:c r="A132" s="197"/>
    </x:row>
    <x:row r="133">
      <x:c r="A133" s="197"/>
    </x:row>
    <x:row r="134">
      <x:c r="A134" s="197"/>
    </x:row>
    <x:row r="135">
      <x:c r="A135" s="197"/>
    </x:row>
    <x:row r="136">
      <x:c r="A136" s="197"/>
    </x:row>
    <x:row r="137">
      <x:c r="A137" s="197"/>
    </x:row>
    <x:row r="138">
      <x:c r="A138" s="197"/>
    </x:row>
    <x:row r="139">
      <x:c r="A139" s="197"/>
    </x:row>
    <x:row r="140">
      <x:c r="A140" s="197"/>
    </x:row>
    <x:row r="141">
      <x:c r="A141" s="197"/>
    </x:row>
    <x:row r="142">
      <x:c r="A142" s="197"/>
    </x:row>
    <x:row r="143">
      <x:c r="A143" s="197"/>
    </x:row>
    <x:row r="144">
      <x:c r="A144" s="197"/>
    </x:row>
    <x:row r="145">
      <x:c r="A145" s="197"/>
    </x:row>
    <x:row r="146">
      <x:c r="A146" s="197"/>
    </x:row>
    <x:row r="147">
      <x:c r="A147" s="197"/>
    </x:row>
    <x:row r="148">
      <x:c r="A148" s="197"/>
    </x:row>
    <x:row r="149">
      <x:c r="A149" s="197"/>
    </x:row>
    <x:row r="150">
      <x:c r="A150" s="197"/>
    </x:row>
    <x:row r="151">
      <x:c r="A151" s="197"/>
    </x:row>
    <x:row r="152">
      <x:c r="A152" s="197"/>
    </x:row>
    <x:row r="153">
      <x:c r="A153" s="197"/>
    </x:row>
    <x:row r="154">
      <x:c r="A154" s="197"/>
    </x:row>
    <x:row r="155">
      <x:c r="A155" s="197"/>
    </x:row>
    <x:row r="156">
      <x:c r="A156" s="197"/>
    </x:row>
    <x:row r="157">
      <x:c r="A157" s="197"/>
    </x:row>
    <x:row r="158">
      <x:c r="A158" s="197"/>
    </x:row>
    <x:row r="159">
      <x:c r="A159" s="197"/>
    </x:row>
    <x:row r="160">
      <x:c r="A160" s="197"/>
    </x:row>
    <x:row r="161">
      <x:c r="A161" s="197"/>
    </x:row>
    <x:row r="162">
      <x:c r="A162" s="197"/>
    </x:row>
    <x:row r="163">
      <x:c r="A163" s="197"/>
    </x:row>
    <x:row r="164">
      <x:c r="A164" s="197"/>
    </x:row>
    <x:row r="165">
      <x:c r="A165" s="197"/>
    </x:row>
    <x:row r="166">
      <x:c r="A166" s="197"/>
    </x:row>
    <x:row r="167">
      <x:c r="A167" s="197"/>
    </x:row>
    <x:row r="168">
      <x:c r="A168" s="197"/>
    </x:row>
    <x:row r="169">
      <x:c r="A169" s="197"/>
    </x:row>
    <x:row r="170">
      <x:c r="A170" s="197"/>
    </x:row>
    <x:row r="171">
      <x:c r="A171" s="197"/>
    </x:row>
    <x:row r="172">
      <x:c r="A172" s="197"/>
    </x:row>
    <x:row r="173">
      <x:c r="A173" s="197"/>
    </x:row>
    <x:row r="174">
      <x:c r="A174" s="197"/>
    </x:row>
    <x:row r="175">
      <x:c r="A175" s="197"/>
    </x:row>
    <x:row r="176">
      <x:c r="A176" s="197"/>
    </x:row>
    <x:row r="177">
      <x:c r="A177" s="197"/>
    </x:row>
    <x:row r="178">
      <x:c r="A178" s="197"/>
    </x:row>
    <x:row r="179">
      <x:c r="A179" s="197"/>
    </x:row>
    <x:row r="180">
      <x:c r="A180" s="197"/>
    </x:row>
    <x:row r="181">
      <x:c r="A181" s="197"/>
    </x:row>
    <x:row r="182">
      <x:c r="A182" s="197"/>
    </x:row>
    <x:row r="183">
      <x:c r="A183" s="197"/>
    </x:row>
    <x:row r="184">
      <x:c r="A184" s="197"/>
    </x:row>
    <x:row r="185">
      <x:c r="A185" s="197"/>
    </x:row>
    <x:row r="186">
      <x:c r="A186" s="197"/>
    </x:row>
    <x:row r="187">
      <x:c r="A187" s="197"/>
    </x:row>
    <x:row r="188">
      <x:c r="A188" s="197"/>
    </x:row>
    <x:row r="189">
      <x:c r="A189" s="197"/>
    </x:row>
    <x:row r="190">
      <x:c r="A190" s="197"/>
    </x:row>
    <x:row r="191">
      <x:c r="A191" s="197"/>
    </x:row>
    <x:row r="192">
      <x:c r="A192" s="197"/>
    </x:row>
    <x:row r="193">
      <x:c r="A193" s="197"/>
    </x:row>
    <x:row r="194">
      <x:c r="A194" s="197"/>
    </x:row>
    <x:row r="195">
      <x:c r="A195" s="197"/>
    </x:row>
    <x:row r="196">
      <x:c r="A196" s="197"/>
    </x:row>
    <x:row r="197">
      <x:c r="A197" s="197"/>
    </x:row>
    <x:row r="198">
      <x:c r="A198" s="197"/>
    </x:row>
    <x:row r="199">
      <x:c r="A199" s="197"/>
    </x:row>
    <x:row r="200">
      <x:c r="A200" s="197"/>
    </x:row>
    <x:row r="201">
      <x:c r="A201" s="197"/>
    </x:row>
    <x:row r="202">
      <x:c r="A202" s="197"/>
    </x:row>
    <x:row r="203">
      <x:c r="A203" s="197"/>
    </x:row>
    <x:row r="204">
      <x:c r="A204" s="197"/>
    </x:row>
    <x:row r="205">
      <x:c r="A205" s="197"/>
    </x:row>
    <x:row r="206">
      <x:c r="A206" s="197"/>
    </x:row>
    <x:row r="207">
      <x:c r="A207" s="197"/>
    </x:row>
    <x:row r="208">
      <x:c r="A208" s="197"/>
    </x:row>
    <x:row r="209">
      <x:c r="A209" s="197"/>
    </x:row>
    <x:row r="210">
      <x:c r="A210" s="197"/>
    </x:row>
    <x:row r="211">
      <x:c r="A211" s="197"/>
    </x:row>
    <x:row r="212">
      <x:c r="A212" s="197"/>
    </x:row>
    <x:row r="213">
      <x:c r="A213" s="197"/>
    </x:row>
    <x:row r="214">
      <x:c r="A214" s="197"/>
    </x:row>
    <x:row r="215">
      <x:c r="A215" s="197"/>
    </x:row>
    <x:row r="216">
      <x:c r="A216" s="197"/>
    </x:row>
    <x:row r="217">
      <x:c r="A217" s="197"/>
    </x:row>
    <x:row r="218">
      <x:c r="A218" s="197"/>
    </x:row>
    <x:row r="219">
      <x:c r="A219" s="197"/>
    </x:row>
    <x:row r="220">
      <x:c r="A220" s="197"/>
    </x:row>
    <x:row r="221">
      <x:c r="A221" s="197"/>
    </x:row>
    <x:row r="222">
      <x:c r="A222" s="197"/>
    </x:row>
    <x:row r="223">
      <x:c r="A223" s="197"/>
    </x:row>
    <x:row r="224">
      <x:c r="A224" s="197"/>
    </x:row>
    <x:row r="225">
      <x:c r="A225" s="197"/>
    </x:row>
    <x:row r="226">
      <x:c r="A226" s="197"/>
    </x:row>
    <x:row r="227">
      <x:c r="A227" s="197"/>
    </x:row>
    <x:row r="228">
      <x:c r="A228" s="197"/>
    </x:row>
    <x:row r="229">
      <x:c r="A229" s="197"/>
    </x:row>
    <x:row r="230">
      <x:c r="A230" s="197"/>
    </x:row>
    <x:row r="231">
      <x:c r="A231" s="197"/>
    </x:row>
    <x:row r="232">
      <x:c r="A232" s="197"/>
    </x:row>
    <x:row r="233">
      <x:c r="A233" s="197"/>
    </x:row>
    <x:row r="234">
      <x:c r="A234" s="197"/>
    </x:row>
    <x:row r="235">
      <x:c r="A235" s="197"/>
    </x:row>
    <x:row r="236">
      <x:c r="A236" s="197"/>
    </x:row>
    <x:row r="237">
      <x:c r="A237" s="197"/>
    </x:row>
    <x:row r="238">
      <x:c r="A238" s="197"/>
    </x:row>
    <x:row r="239">
      <x:c r="A239" s="197"/>
    </x:row>
    <x:row r="240">
      <x:c r="A240" s="197"/>
    </x:row>
  </x:sheetData>
  <x:mergeCells>
    <x:mergeCell ref="A1:J1"/>
  </x:mergeCells>
  <x:conditionalFormatting sqref="G4:G50">
    <x:cfRule type="expression" dxfId="0" priority="1">
      <x:formula>G4="Done"</x:formula>
    </x:cfRule>
    <x:cfRule type="expression" dxfId="1" priority="2">
      <x:formula>G4="Blocked"</x:formula>
    </x:cfRule>
  </x:conditionalFormatting>
  <x:dataValidations count="1">
    <x:dataValidation type="list" sqref="G4:G50">
      <x:formula1>"Not Started,In Progress,Blocked,Done,Not Applicable"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8" hidden="0" customWidth="1"/>
  </x:cols>
  <x:sheetData>
    <x:row r="1" ht="34" customHeight="1">
      <x:c r="A1" s="196" t="str">
        <x:v>Mission Contract</x:v>
      </x:c>
    </x:row>
    <x:row r="2">
      <x:c r="A2" s="197"/>
    </x:row>
    <x:row r="3" ht="30" customHeight="1">
      <x:c r="A3" s="13" t="str">
        <x:v>Field</x:v>
      </x:c>
      <x:c r="B3" s="15" t="str">
        <x:v>Value</x:v>
      </x:c>
    </x:row>
    <x:row r="4">
      <x:c r="A4" s="48" t="str">
        <x:v>Mission ID</x:v>
      </x:c>
      <x:c r="B4" s="50" t="str">
        <x:v>MISSION-001</x:v>
      </x:c>
    </x:row>
    <x:row r="5">
      <x:c r="A5" s="51" t="str">
        <x:v>Customer / Organization</x:v>
      </x:c>
      <x:c r="B5" s="53" t="str">
        <x:v>AetherWorks Assurance</x:v>
      </x:c>
    </x:row>
    <x:row r="6">
      <x:c r="A6" s="51" t="str">
        <x:v>Executive Sponsor</x:v>
      </x:c>
      <x:c r="B6" s="53" t="str"/>
    </x:row>
    <x:row r="7">
      <x:c r="A7" s="51" t="str">
        <x:v>Mission Owner</x:v>
      </x:c>
      <x:c r="B7" s="53" t="str"/>
    </x:row>
    <x:row r="8">
      <x:c r="A8" s="51" t="str">
        <x:v>Objective</x:v>
      </x:c>
      <x:c r="B8" s="53" t="str">
        <x:v>Convert an enterprise AI deployment decision into a reviewer-ready governed decision state.</x:v>
      </x:c>
    </x:row>
    <x:row r="9">
      <x:c r="A9" s="51" t="str">
        <x:v>Decision to Support</x:v>
      </x:c>
      <x:c r="B9" s="53" t="str">
        <x:v>Proceed, narrow, repair, or stop? Novelty and confidence do not grant authority.</x:v>
      </x:c>
    </x:row>
    <x:row r="10">
      <x:c r="A10" s="51" t="str">
        <x:v>Proof Level</x:v>
      </x:c>
      <x:c r="B10" s="53" t="str">
        <x:v>L3_EXTERNAL_REVIEW</x:v>
      </x:c>
    </x:row>
    <x:row r="11">
      <x:c r="A11" s="51" t="str">
        <x:v>Risk Class</x:v>
      </x:c>
      <x:c r="B11" s="53" t="str">
        <x:v>High</x:v>
      </x:c>
    </x:row>
    <x:row r="12">
      <x:c r="A12" s="51" t="str">
        <x:v>Success Criteria</x:v>
      </x:c>
      <x:c r="B12" s="53" t="str">
        <x:v>Proof Debt explicit; Evidence Docket reviewable; action and rollback clear.</x:v>
      </x:c>
    </x:row>
    <x:row r="13">
      <x:c r="A13" s="51" t="str">
        <x:v>Failure Criteria</x:v>
      </x:c>
      <x:c r="B13" s="53" t="str">
        <x:v>Unsupported claim enters memory; private data leaks; production authority is implied.</x:v>
      </x:c>
    </x:row>
    <x:row r="14">
      <x:c r="A14" s="51" t="str">
        <x:v>Scope</x:v>
      </x:c>
      <x:c r="B14" s="53" t="str">
        <x:v>AI procurement and deployment readiness.</x:v>
      </x:c>
    </x:row>
    <x:row r="15">
      <x:c r="A15" s="51" t="str">
        <x:v>Excluded Uses</x:v>
      </x:c>
      <x:c r="B15" s="53" t="str">
        <x:v>Legal certification; security certification; medical authority; investment advice.</x:v>
      </x:c>
    </x:row>
    <x:row r="16">
      <x:c r="A16" s="51" t="str">
        <x:v>Allowed Sources and Tools</x:v>
      </x:c>
      <x:c r="B16" s="53" t="str">
        <x:v>Approved customer documents, public primary sources, bounded tests.</x:v>
      </x:c>
    </x:row>
    <x:row r="17">
      <x:c r="A17" s="51" t="str">
        <x:v>Required Validators</x:v>
      </x:c>
      <x:c r="B17" s="53" t="str">
        <x:v>Independent domain reviewer; privacy/security reviewer; executive sponsor.</x:v>
      </x:c>
    </x:row>
    <x:row r="18">
      <x:c r="A18" s="51" t="str">
        <x:v>Blocked Claims</x:v>
      </x:c>
      <x:c r="B18" s="53" t="str">
        <x:v>Certified; guaranteed ROI; production authorized; safe by default.</x:v>
      </x:c>
    </x:row>
    <x:row r="19">
      <x:c r="A19" s="51" t="str">
        <x:v>Data Boundary</x:v>
      </x:c>
      <x:c r="B19" s="53" t="str">
        <x:v>Customer-approved private workspace; public-safe export only.</x:v>
      </x:c>
    </x:row>
    <x:row r="20">
      <x:c r="A20" s="51" t="str">
        <x:v>Budget</x:v>
      </x:c>
      <x:c r="B20" s="53" t="n">
        <x:v>100000</x:v>
      </x:c>
    </x:row>
    <x:row r="21">
      <x:c r="A21" s="51" t="str">
        <x:v>Deadline</x:v>
      </x:c>
      <x:c r="B21" s="90" t="str"/>
    </x:row>
    <x:row r="22">
      <x:c r="A22" s="51" t="str">
        <x:v>Rollback Obligations</x:v>
      </x:c>
      <x:c r="B22" s="53" t="str">
        <x:v>Repair, narrow, quarantine, supersede, or retire capability if evidence or scope fails.</x:v>
      </x:c>
    </x:row>
    <x:row r="23">
      <x:c r="A23" s="54" t="str">
        <x:v>Done Condition</x:v>
      </x:c>
      <x:c r="B23" s="56" t="str">
        <x:v>Human-review-ready governed decision state.</x:v>
      </x:c>
    </x:row>
    <x:row r="24">
      <x:c r="A24" s="197" t="str">
        <x:v>Publication Boundary</x:v>
      </x:c>
      <x:c r="B24" t="str">
        <x:v>No public case without written authorization and supporting evidence.</x:v>
      </x:c>
    </x:row>
    <x:row r="25">
      <x:c r="A25" s="197"/>
    </x:row>
    <x:row r="26">
      <x:c r="A26" s="197"/>
    </x:row>
    <x:row r="27">
      <x:c r="A27" s="197"/>
    </x:row>
    <x:row r="28">
      <x:c r="A28" s="197"/>
    </x:row>
    <x:row r="29">
      <x:c r="A29" s="197"/>
    </x:row>
    <x:row r="30">
      <x:c r="A30" s="197"/>
    </x:row>
    <x:row r="31">
      <x:c r="A31" s="197"/>
    </x:row>
    <x:row r="32">
      <x:c r="A32" s="197"/>
    </x:row>
    <x:row r="33">
      <x:c r="A33" s="197"/>
    </x:row>
    <x:row r="34">
      <x:c r="A34" s="197"/>
    </x:row>
    <x:row r="35">
      <x:c r="A35" s="197"/>
    </x:row>
    <x:row r="36">
      <x:c r="A36" s="197"/>
    </x:row>
    <x:row r="37">
      <x:c r="A37" s="197"/>
    </x:row>
    <x:row r="38">
      <x:c r="A38" s="197"/>
    </x:row>
    <x:row r="39">
      <x:c r="A39" s="197"/>
    </x:row>
    <x:row r="40">
      <x:c r="A40" s="197"/>
    </x:row>
    <x:row r="41">
      <x:c r="A41" s="197"/>
    </x:row>
    <x:row r="42">
      <x:c r="A42" s="197"/>
    </x:row>
    <x:row r="43">
      <x:c r="A43" s="197"/>
    </x:row>
    <x:row r="44">
      <x:c r="A44" s="197"/>
    </x:row>
    <x:row r="45">
      <x:c r="A45" s="197"/>
    </x:row>
    <x:row r="46">
      <x:c r="A46" s="197"/>
    </x:row>
    <x:row r="47">
      <x:c r="A47" s="197"/>
    </x:row>
    <x:row r="48">
      <x:c r="A48" s="197"/>
    </x:row>
    <x:row r="49">
      <x:c r="A49" s="197"/>
    </x:row>
    <x:row r="50">
      <x:c r="A50" s="197"/>
    </x:row>
    <x:row r="51">
      <x:c r="A51" s="197"/>
    </x:row>
    <x:row r="52">
      <x:c r="A52" s="197"/>
    </x:row>
    <x:row r="53">
      <x:c r="A53" s="197"/>
    </x:row>
    <x:row r="54">
      <x:c r="A54" s="197"/>
    </x:row>
    <x:row r="55">
      <x:c r="A55" s="197"/>
    </x:row>
    <x:row r="56">
      <x:c r="A56" s="197"/>
    </x:row>
    <x:row r="57">
      <x:c r="A57" s="197"/>
    </x:row>
    <x:row r="58">
      <x:c r="A58" s="197"/>
    </x:row>
    <x:row r="59">
      <x:c r="A59" s="197"/>
    </x:row>
    <x:row r="60">
      <x:c r="A60" s="197"/>
    </x:row>
    <x:row r="61">
      <x:c r="A61" s="197"/>
    </x:row>
    <x:row r="62">
      <x:c r="A62" s="197"/>
    </x:row>
    <x:row r="63">
      <x:c r="A63" s="197"/>
    </x:row>
    <x:row r="64">
      <x:c r="A64" s="197"/>
    </x:row>
    <x:row r="65">
      <x:c r="A65" s="197"/>
    </x:row>
    <x:row r="66">
      <x:c r="A66" s="197"/>
    </x:row>
    <x:row r="67">
      <x:c r="A67" s="197"/>
    </x:row>
    <x:row r="68">
      <x:c r="A68" s="197"/>
    </x:row>
    <x:row r="69">
      <x:c r="A69" s="197"/>
    </x:row>
    <x:row r="70">
      <x:c r="A70" s="197"/>
    </x:row>
    <x:row r="71">
      <x:c r="A71" s="197"/>
    </x:row>
    <x:row r="72">
      <x:c r="A72" s="197"/>
    </x:row>
    <x:row r="73">
      <x:c r="A73" s="197"/>
    </x:row>
    <x:row r="74">
      <x:c r="A74" s="197"/>
    </x:row>
    <x:row r="75">
      <x:c r="A75" s="197"/>
    </x:row>
    <x:row r="76">
      <x:c r="A76" s="197"/>
    </x:row>
    <x:row r="77">
      <x:c r="A77" s="197"/>
    </x:row>
    <x:row r="78">
      <x:c r="A78" s="197"/>
    </x:row>
    <x:row r="79">
      <x:c r="A79" s="197"/>
    </x:row>
    <x:row r="80">
      <x:c r="A80" s="197"/>
    </x:row>
    <x:row r="81">
      <x:c r="A81" s="197"/>
    </x:row>
    <x:row r="82">
      <x:c r="A82" s="197"/>
    </x:row>
    <x:row r="83">
      <x:c r="A83" s="197"/>
    </x:row>
    <x:row r="84">
      <x:c r="A84" s="197"/>
    </x:row>
    <x:row r="85">
      <x:c r="A85" s="197"/>
    </x:row>
    <x:row r="86">
      <x:c r="A86" s="197"/>
    </x:row>
    <x:row r="87">
      <x:c r="A87" s="197"/>
    </x:row>
    <x:row r="88">
      <x:c r="A88" s="197"/>
    </x:row>
    <x:row r="89">
      <x:c r="A89" s="197"/>
    </x:row>
    <x:row r="90">
      <x:c r="A90" s="197"/>
    </x:row>
    <x:row r="91">
      <x:c r="A91" s="197"/>
    </x:row>
    <x:row r="92">
      <x:c r="A92" s="197"/>
    </x:row>
    <x:row r="93">
      <x:c r="A93" s="197"/>
    </x:row>
    <x:row r="94">
      <x:c r="A94" s="197"/>
    </x:row>
    <x:row r="95">
      <x:c r="A95" s="197"/>
    </x:row>
    <x:row r="96">
      <x:c r="A96" s="197"/>
    </x:row>
    <x:row r="97">
      <x:c r="A97" s="197"/>
    </x:row>
    <x:row r="98">
      <x:c r="A98" s="197"/>
    </x:row>
    <x:row r="99">
      <x:c r="A99" s="197"/>
    </x:row>
    <x:row r="100">
      <x:c r="A100" s="197"/>
    </x:row>
    <x:row r="101">
      <x:c r="A101" s="197"/>
    </x:row>
    <x:row r="102">
      <x:c r="A102" s="197"/>
    </x:row>
    <x:row r="103">
      <x:c r="A103" s="197"/>
    </x:row>
    <x:row r="104">
      <x:c r="A104" s="197"/>
    </x:row>
    <x:row r="105">
      <x:c r="A105" s="197"/>
    </x:row>
    <x:row r="106">
      <x:c r="A106" s="197"/>
    </x:row>
    <x:row r="107">
      <x:c r="A107" s="197"/>
    </x:row>
    <x:row r="108">
      <x:c r="A108" s="197"/>
    </x:row>
    <x:row r="109">
      <x:c r="A109" s="197"/>
    </x:row>
    <x:row r="110">
      <x:c r="A110" s="197"/>
    </x:row>
    <x:row r="111">
      <x:c r="A111" s="197"/>
    </x:row>
    <x:row r="112">
      <x:c r="A112" s="197"/>
    </x:row>
    <x:row r="113">
      <x:c r="A113" s="197"/>
    </x:row>
    <x:row r="114">
      <x:c r="A114" s="197"/>
    </x:row>
    <x:row r="115">
      <x:c r="A115" s="197"/>
    </x:row>
    <x:row r="116">
      <x:c r="A116" s="197"/>
    </x:row>
    <x:row r="117">
      <x:c r="A117" s="197"/>
    </x:row>
    <x:row r="118">
      <x:c r="A118" s="197"/>
    </x:row>
    <x:row r="119">
      <x:c r="A119" s="197"/>
    </x:row>
    <x:row r="120">
      <x:c r="A120" s="197"/>
    </x:row>
    <x:row r="121">
      <x:c r="A121" s="197"/>
    </x:row>
    <x:row r="122">
      <x:c r="A122" s="197"/>
    </x:row>
    <x:row r="123">
      <x:c r="A123" s="197"/>
    </x:row>
    <x:row r="124">
      <x:c r="A124" s="197"/>
    </x:row>
    <x:row r="125">
      <x:c r="A125" s="197"/>
    </x:row>
    <x:row r="126">
      <x:c r="A126" s="197"/>
    </x:row>
    <x:row r="127">
      <x:c r="A127" s="197"/>
    </x:row>
    <x:row r="128">
      <x:c r="A128" s="197"/>
    </x:row>
    <x:row r="129">
      <x:c r="A129" s="197"/>
    </x:row>
    <x:row r="130">
      <x:c r="A130" s="197"/>
    </x:row>
    <x:row r="131">
      <x:c r="A131" s="197"/>
    </x:row>
    <x:row r="132">
      <x:c r="A132" s="197"/>
    </x:row>
    <x:row r="133">
      <x:c r="A133" s="197"/>
    </x:row>
    <x:row r="134">
      <x:c r="A134" s="197"/>
    </x:row>
    <x:row r="135">
      <x:c r="A135" s="197"/>
    </x:row>
    <x:row r="136">
      <x:c r="A136" s="197"/>
    </x:row>
    <x:row r="137">
      <x:c r="A137" s="197"/>
    </x:row>
    <x:row r="138">
      <x:c r="A138" s="197"/>
    </x:row>
    <x:row r="139">
      <x:c r="A139" s="197"/>
    </x:row>
    <x:row r="140">
      <x:c r="A140" s="197"/>
    </x:row>
    <x:row r="141">
      <x:c r="A141" s="197"/>
    </x:row>
    <x:row r="142">
      <x:c r="A142" s="197"/>
    </x:row>
    <x:row r="143">
      <x:c r="A143" s="197"/>
    </x:row>
    <x:row r="144">
      <x:c r="A144" s="197"/>
    </x:row>
    <x:row r="145">
      <x:c r="A145" s="197"/>
    </x:row>
    <x:row r="146">
      <x:c r="A146" s="197"/>
    </x:row>
    <x:row r="147">
      <x:c r="A147" s="197"/>
    </x:row>
    <x:row r="148">
      <x:c r="A148" s="197"/>
    </x:row>
    <x:row r="149">
      <x:c r="A149" s="197"/>
    </x:row>
    <x:row r="150">
      <x:c r="A150" s="197"/>
    </x:row>
    <x:row r="151">
      <x:c r="A151" s="197"/>
    </x:row>
    <x:row r="152">
      <x:c r="A152" s="197"/>
    </x:row>
    <x:row r="153">
      <x:c r="A153" s="197"/>
    </x:row>
    <x:row r="154">
      <x:c r="A154" s="197"/>
    </x:row>
    <x:row r="155">
      <x:c r="A155" s="197"/>
    </x:row>
    <x:row r="156">
      <x:c r="A156" s="197"/>
    </x:row>
    <x:row r="157">
      <x:c r="A157" s="197"/>
    </x:row>
    <x:row r="158">
      <x:c r="A158" s="197"/>
    </x:row>
    <x:row r="159">
      <x:c r="A159" s="197"/>
    </x:row>
    <x:row r="160">
      <x:c r="A160" s="197"/>
    </x:row>
    <x:row r="161">
      <x:c r="A161" s="197"/>
    </x:row>
    <x:row r="162">
      <x:c r="A162" s="197"/>
    </x:row>
    <x:row r="163">
      <x:c r="A163" s="197"/>
    </x:row>
    <x:row r="164">
      <x:c r="A164" s="197"/>
    </x:row>
    <x:row r="165">
      <x:c r="A165" s="197"/>
    </x:row>
    <x:row r="166">
      <x:c r="A166" s="197"/>
    </x:row>
    <x:row r="167">
      <x:c r="A167" s="197"/>
    </x:row>
    <x:row r="168">
      <x:c r="A168" s="197"/>
    </x:row>
    <x:row r="169">
      <x:c r="A169" s="197"/>
    </x:row>
    <x:row r="170">
      <x:c r="A170" s="197"/>
    </x:row>
    <x:row r="171">
      <x:c r="A171" s="197"/>
    </x:row>
    <x:row r="172">
      <x:c r="A172" s="197"/>
    </x:row>
    <x:row r="173">
      <x:c r="A173" s="197"/>
    </x:row>
    <x:row r="174">
      <x:c r="A174" s="197"/>
    </x:row>
    <x:row r="175">
      <x:c r="A175" s="197"/>
    </x:row>
    <x:row r="176">
      <x:c r="A176" s="197"/>
    </x:row>
    <x:row r="177">
      <x:c r="A177" s="197"/>
    </x:row>
    <x:row r="178">
      <x:c r="A178" s="197"/>
    </x:row>
    <x:row r="179">
      <x:c r="A179" s="197"/>
    </x:row>
    <x:row r="180">
      <x:c r="A180" s="197"/>
    </x:row>
    <x:row r="181">
      <x:c r="A181" s="197"/>
    </x:row>
    <x:row r="182">
      <x:c r="A182" s="197"/>
    </x:row>
    <x:row r="183">
      <x:c r="A183" s="197"/>
    </x:row>
    <x:row r="184">
      <x:c r="A184" s="197"/>
    </x:row>
    <x:row r="185">
      <x:c r="A185" s="197"/>
    </x:row>
    <x:row r="186">
      <x:c r="A186" s="197"/>
    </x:row>
    <x:row r="187">
      <x:c r="A187" s="197"/>
    </x:row>
    <x:row r="188">
      <x:c r="A188" s="197"/>
    </x:row>
    <x:row r="189">
      <x:c r="A189" s="197"/>
    </x:row>
    <x:row r="190">
      <x:c r="A190" s="197"/>
    </x:row>
    <x:row r="191">
      <x:c r="A191" s="197"/>
    </x:row>
    <x:row r="192">
      <x:c r="A192" s="197"/>
    </x:row>
    <x:row r="193">
      <x:c r="A193" s="197"/>
    </x:row>
    <x:row r="194">
      <x:c r="A194" s="197"/>
    </x:row>
    <x:row r="195">
      <x:c r="A195" s="197"/>
    </x:row>
    <x:row r="196">
      <x:c r="A196" s="197"/>
    </x:row>
    <x:row r="197">
      <x:c r="A197" s="197"/>
    </x:row>
    <x:row r="198">
      <x:c r="A198" s="197"/>
    </x:row>
    <x:row r="199">
      <x:c r="A199" s="197"/>
    </x:row>
    <x:row r="200">
      <x:c r="A200" s="197"/>
    </x:row>
    <x:row r="201">
      <x:c r="A201" s="197"/>
    </x:row>
    <x:row r="202">
      <x:c r="A202" s="197"/>
    </x:row>
    <x:row r="203">
      <x:c r="A203" s="197"/>
    </x:row>
    <x:row r="204">
      <x:c r="A204" s="197"/>
    </x:row>
    <x:row r="205">
      <x:c r="A205" s="197"/>
    </x:row>
    <x:row r="206">
      <x:c r="A206" s="197"/>
    </x:row>
    <x:row r="207">
      <x:c r="A207" s="197"/>
    </x:row>
    <x:row r="208">
      <x:c r="A208" s="197"/>
    </x:row>
    <x:row r="209">
      <x:c r="A209" s="197"/>
    </x:row>
    <x:row r="210">
      <x:c r="A210" s="197"/>
    </x:row>
    <x:row r="211">
      <x:c r="A211" s="197"/>
    </x:row>
    <x:row r="212">
      <x:c r="A212" s="197"/>
    </x:row>
    <x:row r="213">
      <x:c r="A213" s="197"/>
    </x:row>
    <x:row r="214">
      <x:c r="A214" s="197"/>
    </x:row>
    <x:row r="215">
      <x:c r="A215" s="197"/>
    </x:row>
    <x:row r="216">
      <x:c r="A216" s="197"/>
    </x:row>
    <x:row r="217">
      <x:c r="A217" s="197"/>
    </x:row>
    <x:row r="218">
      <x:c r="A218" s="197"/>
    </x:row>
    <x:row r="219">
      <x:c r="A219" s="197"/>
    </x:row>
    <x:row r="220">
      <x:c r="A220" s="197"/>
    </x:row>
    <x:row r="221">
      <x:c r="A221" s="197"/>
    </x:row>
    <x:row r="222">
      <x:c r="A222" s="197"/>
    </x:row>
    <x:row r="223">
      <x:c r="A223" s="197"/>
    </x:row>
    <x:row r="224">
      <x:c r="A224" s="197"/>
    </x:row>
    <x:row r="225">
      <x:c r="A225" s="197"/>
    </x:row>
    <x:row r="226">
      <x:c r="A226" s="197"/>
    </x:row>
    <x:row r="227">
      <x:c r="A227" s="197"/>
    </x:row>
    <x:row r="228">
      <x:c r="A228" s="197"/>
    </x:row>
    <x:row r="229">
      <x:c r="A229" s="197"/>
    </x:row>
    <x:row r="230">
      <x:c r="A230" s="197"/>
    </x:row>
    <x:row r="231">
      <x:c r="A231" s="197"/>
    </x:row>
    <x:row r="232">
      <x:c r="A232" s="197"/>
    </x:row>
    <x:row r="233">
      <x:c r="A233" s="197"/>
    </x:row>
    <x:row r="234">
      <x:c r="A234" s="197"/>
    </x:row>
    <x:row r="235">
      <x:c r="A235" s="197"/>
    </x:row>
    <x:row r="236">
      <x:c r="A236" s="197"/>
    </x:row>
    <x:row r="237">
      <x:c r="A237" s="197"/>
    </x:row>
    <x:row r="238">
      <x:c r="A238" s="197"/>
    </x:row>
    <x:row r="239">
      <x:c r="A239" s="197"/>
    </x:row>
    <x:row r="240">
      <x:c r="A240" s="197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4" hidden="0" customWidth="1"/>
    <x:col min="3" max="3" width="30" hidden="0" customWidth="1"/>
    <x:col min="4" max="4" width="18" hidden="0" customWidth="1"/>
    <x:col min="5" max="5" width="14" hidden="0" customWidth="1"/>
    <x:col min="6" max="6" width="16" hidden="0" customWidth="1"/>
    <x:col min="7" max="7" width="14" hidden="0" customWidth="1"/>
    <x:col min="8" max="8" width="38" hidden="0" customWidth="1"/>
    <x:col min="9" max="9" width="18" hidden="0" customWidth="1"/>
    <x:col min="10" max="10" width="14" hidden="0" customWidth="1"/>
    <x:col min="11" max="11" width="16" hidden="0" customWidth="1"/>
    <x:col min="12" max="12" width="16" hidden="0" customWidth="1"/>
  </x:cols>
  <x:sheetData>
    <x:row r="1" ht="34" customHeight="1">
      <x:c r="A1" s="196" t="str">
        <x:v>Proof Debt Register</x:v>
      </x:c>
    </x:row>
    <x:row r="2">
      <x:c r="A2" s="197"/>
    </x:row>
    <x:row r="3" ht="30" customHeight="1">
      <x:c r="A3" s="13" t="str">
        <x:v>ID</x:v>
      </x:c>
      <x:c r="B3" s="14" t="str">
        <x:v>Claim / Assumption</x:v>
      </x:c>
      <x:c r="C3" s="14" t="str">
        <x:v>Why It Matters</x:v>
      </x:c>
      <x:c r="D3" s="14" t="str">
        <x:v>Status</x:v>
      </x:c>
      <x:c r="E3" s="14" t="str">
        <x:v>Impact</x:v>
      </x:c>
      <x:c r="F3" s="14" t="str">
        <x:v>Irreversibility</x:v>
      </x:c>
      <x:c r="G3" s="14" t="str">
        <x:v>Reuse Risk</x:v>
      </x:c>
      <x:c r="H3" s="14" t="str">
        <x:v>Evidence Needed</x:v>
      </x:c>
      <x:c r="I3" s="14" t="str">
        <x:v>Owner</x:v>
      </x:c>
      <x:c r="J3" s="14" t="str">
        <x:v>Due</x:v>
      </x:c>
      <x:c r="K3" s="14" t="str">
        <x:v>Decision</x:v>
      </x:c>
      <x:c r="L3" s="15" t="str">
        <x:v>Source Mission</x:v>
      </x:c>
    </x:row>
    <x:row r="4">
      <x:c r="A4" s="48" t="str">
        <x:v>PD-001</x:v>
      </x:c>
      <x:c r="B4" s="49" t="str">
        <x:v>Vendor performance claim is accurate</x:v>
      </x:c>
      <x:c r="C4" s="49" t="str">
        <x:v>Material to purchase decision</x:v>
      </x:c>
      <x:c r="D4" s="49" t="str">
        <x:v>Needs Evidence</x:v>
      </x:c>
      <x:c r="E4" s="49" t="str">
        <x:v>High</x:v>
      </x:c>
      <x:c r="F4" s="49" t="str">
        <x:v>Medium</x:v>
      </x:c>
      <x:c r="G4" s="49" t="str">
        <x:v>High</x:v>
      </x:c>
      <x:c r="H4" s="49" t="str">
        <x:v>Independent benchmark or test</x:v>
      </x:c>
      <x:c r="I4" s="49" t="str"/>
      <x:c r="J4" s="49" t="str"/>
      <x:c r="K4" s="49" t="str">
        <x:v>Open</x:v>
      </x:c>
      <x:c r="L4" s="50" t="str">
        <x:v>MISSION-001</x:v>
      </x:c>
    </x:row>
    <x:row r="5">
      <x:c r="A5" s="51" t="str">
        <x:v>PD-002</x:v>
      </x:c>
      <x:c r="B5" s="52" t="str">
        <x:v>Customer data remains inside approved boundary</x:v>
      </x:c>
      <x:c r="C5" s="52" t="str">
        <x:v>Pilot cannot proceed otherwise</x:v>
      </x:c>
      <x:c r="D5" s="52" t="str">
        <x:v>Needs Reviewer</x:v>
      </x:c>
      <x:c r="E5" s="52" t="str">
        <x:v>Critical</x:v>
      </x:c>
      <x:c r="F5" s="52" t="str">
        <x:v>High</x:v>
      </x:c>
      <x:c r="G5" s="52" t="str">
        <x:v>High</x:v>
      </x:c>
      <x:c r="H5" s="52" t="str">
        <x:v>Privacy/security review</x:v>
      </x:c>
      <x:c r="I5" s="52" t="str"/>
      <x:c r="J5" s="52" t="str"/>
      <x:c r="K5" s="52" t="str">
        <x:v>Open</x:v>
      </x:c>
      <x:c r="L5" s="53" t="str">
        <x:v>MISSION-001</x:v>
      </x:c>
    </x:row>
    <x:row r="6">
      <x:c r="A6" s="51" t="str">
        <x:v>PD-003</x:v>
      </x:c>
      <x:c r="B6" s="52" t="str">
        <x:v>Human review remains meaningful</x:v>
      </x:c>
      <x:c r="C6" s="52" t="str">
        <x:v>Affects safety and accountability</x:v>
      </x:c>
      <x:c r="D6" s="52" t="str">
        <x:v>Needs Replay</x:v>
      </x:c>
      <x:c r="E6" s="52" t="str">
        <x:v>High</x:v>
      </x:c>
      <x:c r="F6" s="52" t="str">
        <x:v>High</x:v>
      </x:c>
      <x:c r="G6" s="52" t="str">
        <x:v>High</x:v>
      </x:c>
      <x:c r="H6" s="52" t="str">
        <x:v>Workflow test and override evidence</x:v>
      </x:c>
      <x:c r="I6" s="52" t="str"/>
      <x:c r="J6" s="52" t="str"/>
      <x:c r="K6" s="52" t="str">
        <x:v>Open</x:v>
      </x:c>
      <x:c r="L6" s="53" t="str">
        <x:v>MISSION-001</x:v>
      </x:c>
    </x:row>
    <x:row r="7">
      <x:c r="A7" s="51" t="str">
        <x:v>PD-004</x:v>
      </x:c>
      <x:c r="B7" s="52" t="str">
        <x:v>ROI assumptions are realistic</x:v>
      </x:c>
      <x:c r="C7" s="52" t="str">
        <x:v>Commercial decision may be overstated</x:v>
      </x:c>
      <x:c r="D7" s="52" t="str">
        <x:v>Needs Boundary</x:v>
      </x:c>
      <x:c r="E7" s="52" t="str">
        <x:v>Medium</x:v>
      </x:c>
      <x:c r="F7" s="52" t="str">
        <x:v>Medium</x:v>
      </x:c>
      <x:c r="G7" s="52" t="str">
        <x:v>Medium</x:v>
      </x:c>
      <x:c r="H7" s="52" t="str">
        <x:v>Baseline, sensitivity analysis, explicit exclusions</x:v>
      </x:c>
      <x:c r="I7" s="52" t="str"/>
      <x:c r="J7" s="52" t="str"/>
      <x:c r="K7" s="52" t="str">
        <x:v>Open</x:v>
      </x:c>
      <x:c r="L7" s="53" t="str">
        <x:v>MISSION-001</x:v>
      </x:c>
    </x:row>
    <x:row r="8">
      <x:c r="A8" s="51"/>
      <x:c r="B8" s="52"/>
      <x:c r="C8" s="52"/>
      <x:c r="D8" s="52"/>
      <x:c r="E8" s="52"/>
      <x:c r="F8" s="52"/>
      <x:c r="G8" s="52"/>
      <x:c r="H8" s="52"/>
      <x:c r="I8" s="52"/>
      <x:c r="J8" s="52"/>
      <x:c r="K8" s="52"/>
      <x:c r="L8" s="53"/>
    </x:row>
    <x:row r="9">
      <x:c r="A9" s="51"/>
      <x:c r="B9" s="52"/>
      <x:c r="C9" s="52"/>
      <x:c r="D9" s="52"/>
      <x:c r="E9" s="52"/>
      <x:c r="F9" s="52"/>
      <x:c r="G9" s="52"/>
      <x:c r="H9" s="52"/>
      <x:c r="I9" s="52"/>
      <x:c r="J9" s="52"/>
      <x:c r="K9" s="52"/>
      <x:c r="L9" s="53"/>
    </x:row>
    <x:row r="10">
      <x:c r="A10" s="51"/>
      <x:c r="B10" s="52"/>
      <x:c r="C10" s="52"/>
      <x:c r="D10" s="52"/>
      <x:c r="E10" s="52"/>
      <x:c r="F10" s="52"/>
      <x:c r="G10" s="52"/>
      <x:c r="H10" s="52"/>
      <x:c r="I10" s="52"/>
      <x:c r="J10" s="52"/>
      <x:c r="K10" s="52"/>
      <x:c r="L10" s="53"/>
    </x:row>
    <x:row r="11">
      <x:c r="A11" s="51"/>
      <x:c r="B11" s="52"/>
      <x:c r="C11" s="52"/>
      <x:c r="D11" s="52"/>
      <x:c r="E11" s="52"/>
      <x:c r="F11" s="52"/>
      <x:c r="G11" s="52"/>
      <x:c r="H11" s="52"/>
      <x:c r="I11" s="52"/>
      <x:c r="J11" s="52"/>
      <x:c r="K11" s="52"/>
      <x:c r="L11" s="53"/>
    </x:row>
    <x:row r="12">
      <x:c r="A12" s="51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3"/>
    </x:row>
    <x:row r="13">
      <x:c r="A13" s="51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3"/>
    </x:row>
    <x:row r="14">
      <x:c r="A14" s="51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3"/>
    </x:row>
    <x:row r="15">
      <x:c r="A15" s="51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3"/>
    </x:row>
    <x:row r="16">
      <x:c r="A16" s="51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3"/>
    </x:row>
    <x:row r="17">
      <x:c r="A17" s="51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3"/>
    </x:row>
    <x:row r="18">
      <x:c r="A18" s="51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3"/>
    </x:row>
    <x:row r="19">
      <x:c r="A19" s="51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3"/>
    </x:row>
    <x:row r="20">
      <x:c r="A20" s="51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3"/>
    </x:row>
    <x:row r="21">
      <x:c r="A21" s="51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3"/>
    </x:row>
    <x:row r="22">
      <x:c r="A22" s="51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3"/>
    </x:row>
    <x:row r="23">
      <x:c r="A23" s="51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3"/>
    </x:row>
    <x:row r="24">
      <x:c r="A24" s="51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3"/>
    </x:row>
    <x:row r="25">
      <x:c r="A25" s="51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3"/>
    </x:row>
    <x:row r="26">
      <x:c r="A26" s="51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3"/>
    </x:row>
    <x:row r="27">
      <x:c r="A27" s="51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3"/>
    </x:row>
    <x:row r="28">
      <x:c r="A28" s="51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3"/>
    </x:row>
    <x:row r="29">
      <x:c r="A29" s="51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3"/>
    </x:row>
    <x:row r="30">
      <x:c r="A30" s="51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3"/>
    </x:row>
    <x:row r="31">
      <x:c r="A31" s="51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3"/>
    </x:row>
    <x:row r="32">
      <x:c r="A32" s="51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3"/>
    </x:row>
    <x:row r="33">
      <x:c r="A33" s="51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3"/>
    </x:row>
    <x:row r="34">
      <x:c r="A34" s="51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3"/>
    </x:row>
    <x:row r="35">
      <x:c r="A35" s="51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3"/>
    </x:row>
    <x:row r="36">
      <x:c r="A36" s="51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3"/>
    </x:row>
    <x:row r="37">
      <x:c r="A37" s="51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3"/>
    </x:row>
    <x:row r="38">
      <x:c r="A38" s="51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3"/>
    </x:row>
    <x:row r="39">
      <x:c r="A39" s="51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3"/>
    </x:row>
    <x:row r="40">
      <x:c r="A40" s="51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3"/>
    </x:row>
    <x:row r="41">
      <x:c r="A41" s="51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3"/>
    </x:row>
    <x:row r="42">
      <x:c r="A42" s="51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3"/>
    </x:row>
    <x:row r="43">
      <x:c r="A43" s="51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3"/>
    </x:row>
    <x:row r="44">
      <x:c r="A44" s="51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3"/>
    </x:row>
    <x:row r="45">
      <x:c r="A45" s="51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3"/>
    </x:row>
    <x:row r="46">
      <x:c r="A46" s="51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3"/>
    </x:row>
    <x:row r="47">
      <x:c r="A47" s="51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3"/>
    </x:row>
    <x:row r="48">
      <x:c r="A48" s="51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3"/>
    </x:row>
    <x:row r="49">
      <x:c r="A49" s="51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3"/>
    </x:row>
    <x:row r="50">
      <x:c r="A50" s="51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3"/>
    </x:row>
    <x:row r="51">
      <x:c r="A51" s="51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3"/>
    </x:row>
    <x:row r="52">
      <x:c r="A52" s="51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3"/>
    </x:row>
    <x:row r="53">
      <x:c r="A53" s="51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3"/>
    </x:row>
    <x:row r="54">
      <x:c r="A54" s="51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3"/>
    </x:row>
    <x:row r="55">
      <x:c r="A55" s="51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3"/>
    </x:row>
    <x:row r="56">
      <x:c r="A56" s="51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3"/>
    </x:row>
    <x:row r="57">
      <x:c r="A57" s="51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3"/>
    </x:row>
    <x:row r="58">
      <x:c r="A58" s="51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3"/>
    </x:row>
    <x:row r="59">
      <x:c r="A59" s="51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3"/>
    </x:row>
    <x:row r="60">
      <x:c r="A60" s="51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3"/>
    </x:row>
    <x:row r="61">
      <x:c r="A61" s="51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3"/>
    </x:row>
    <x:row r="62">
      <x:c r="A62" s="51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3"/>
    </x:row>
    <x:row r="63">
      <x:c r="A63" s="51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3"/>
    </x:row>
    <x:row r="64">
      <x:c r="A64" s="51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3"/>
    </x:row>
    <x:row r="65">
      <x:c r="A65" s="51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3"/>
    </x:row>
    <x:row r="66">
      <x:c r="A66" s="51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3"/>
    </x:row>
    <x:row r="67">
      <x:c r="A67" s="51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3"/>
    </x:row>
    <x:row r="68">
      <x:c r="A68" s="51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3"/>
    </x:row>
    <x:row r="69">
      <x:c r="A69" s="51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3"/>
    </x:row>
    <x:row r="70">
      <x:c r="A70" s="51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3"/>
    </x:row>
    <x:row r="71">
      <x:c r="A71" s="51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3"/>
    </x:row>
    <x:row r="72">
      <x:c r="A72" s="51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3"/>
    </x:row>
    <x:row r="73">
      <x:c r="A73" s="51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3"/>
    </x:row>
    <x:row r="74">
      <x:c r="A74" s="51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3"/>
    </x:row>
    <x:row r="75">
      <x:c r="A75" s="51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3"/>
    </x:row>
    <x:row r="76">
      <x:c r="A76" s="51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3"/>
    </x:row>
    <x:row r="77">
      <x:c r="A77" s="51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3"/>
    </x:row>
    <x:row r="78">
      <x:c r="A78" s="51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3"/>
    </x:row>
    <x:row r="79">
      <x:c r="A79" s="51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3"/>
    </x:row>
    <x:row r="80">
      <x:c r="A80" s="51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3"/>
    </x:row>
    <x:row r="81">
      <x:c r="A81" s="51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3"/>
    </x:row>
    <x:row r="82">
      <x:c r="A82" s="51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3"/>
    </x:row>
    <x:row r="83">
      <x:c r="A83" s="51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3"/>
    </x:row>
    <x:row r="84">
      <x:c r="A84" s="51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3"/>
    </x:row>
    <x:row r="85">
      <x:c r="A85" s="51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3"/>
    </x:row>
    <x:row r="86">
      <x:c r="A86" s="51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3"/>
    </x:row>
    <x:row r="87">
      <x:c r="A87" s="51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3"/>
    </x:row>
    <x:row r="88">
      <x:c r="A88" s="51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3"/>
    </x:row>
    <x:row r="89">
      <x:c r="A89" s="51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3"/>
    </x:row>
    <x:row r="90">
      <x:c r="A90" s="51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3"/>
    </x:row>
    <x:row r="91">
      <x:c r="A91" s="51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3"/>
    </x:row>
    <x:row r="92">
      <x:c r="A92" s="51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3"/>
    </x:row>
    <x:row r="93">
      <x:c r="A93" s="51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3"/>
    </x:row>
    <x:row r="94">
      <x:c r="A94" s="51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3"/>
    </x:row>
    <x:row r="95">
      <x:c r="A95" s="51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3"/>
    </x:row>
    <x:row r="96">
      <x:c r="A96" s="51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3"/>
    </x:row>
    <x:row r="97">
      <x:c r="A97" s="51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3"/>
    </x:row>
    <x:row r="98">
      <x:c r="A98" s="51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3"/>
    </x:row>
    <x:row r="99">
      <x:c r="A99" s="51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3"/>
    </x:row>
    <x:row r="100">
      <x:c r="A100" s="51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3"/>
    </x:row>
    <x:row r="101">
      <x:c r="A101" s="51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3"/>
    </x:row>
    <x:row r="102">
      <x:c r="A102" s="51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3"/>
    </x:row>
    <x:row r="103">
      <x:c r="A103" s="51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  <x:c r="L103" s="53"/>
    </x:row>
    <x:row r="104">
      <x:c r="A104" s="51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  <x:c r="L104" s="53"/>
    </x:row>
    <x:row r="105">
      <x:c r="A105" s="51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  <x:c r="L105" s="53"/>
    </x:row>
    <x:row r="106">
      <x:c r="A106" s="51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  <x:c r="L106" s="53"/>
    </x:row>
    <x:row r="107">
      <x:c r="A107" s="51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  <x:c r="L107" s="53"/>
    </x:row>
    <x:row r="108">
      <x:c r="A108" s="51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  <x:c r="L108" s="53"/>
    </x:row>
    <x:row r="109">
      <x:c r="A109" s="51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  <x:c r="L109" s="53"/>
    </x:row>
    <x:row r="110">
      <x:c r="A110" s="51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  <x:c r="L110" s="53"/>
    </x:row>
    <x:row r="111">
      <x:c r="A111" s="51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  <x:c r="L111" s="53"/>
    </x:row>
    <x:row r="112">
      <x:c r="A112" s="51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  <x:c r="L112" s="53"/>
    </x:row>
    <x:row r="113">
      <x:c r="A113" s="51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  <x:c r="L113" s="53"/>
    </x:row>
    <x:row r="114">
      <x:c r="A114" s="51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  <x:c r="L114" s="53"/>
    </x:row>
    <x:row r="115">
      <x:c r="A115" s="51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  <x:c r="L115" s="53"/>
    </x:row>
    <x:row r="116">
      <x:c r="A116" s="51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  <x:c r="L116" s="53"/>
    </x:row>
    <x:row r="117">
      <x:c r="A117" s="51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  <x:c r="L117" s="53"/>
    </x:row>
    <x:row r="118">
      <x:c r="A118" s="51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  <x:c r="L118" s="53"/>
    </x:row>
    <x:row r="119">
      <x:c r="A119" s="51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  <x:c r="L119" s="53"/>
    </x:row>
    <x:row r="120">
      <x:c r="A120" s="51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  <x:c r="L120" s="53"/>
    </x:row>
    <x:row r="121">
      <x:c r="A121" s="51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2"/>
      <x:c r="L121" s="53"/>
    </x:row>
    <x:row r="122">
      <x:c r="A122" s="51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2"/>
      <x:c r="L122" s="53"/>
    </x:row>
    <x:row r="123">
      <x:c r="A123" s="51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2"/>
      <x:c r="L123" s="53"/>
    </x:row>
    <x:row r="124">
      <x:c r="A124" s="51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2"/>
      <x:c r="L124" s="53"/>
    </x:row>
    <x:row r="125">
      <x:c r="A125" s="51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2"/>
      <x:c r="L125" s="53"/>
    </x:row>
    <x:row r="126">
      <x:c r="A126" s="51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2"/>
      <x:c r="L126" s="53"/>
    </x:row>
    <x:row r="127">
      <x:c r="A127" s="51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2"/>
      <x:c r="L127" s="53"/>
    </x:row>
    <x:row r="128">
      <x:c r="A128" s="51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2"/>
      <x:c r="L128" s="53"/>
    </x:row>
    <x:row r="129">
      <x:c r="A129" s="51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2"/>
      <x:c r="L129" s="53"/>
    </x:row>
    <x:row r="130">
      <x:c r="A130" s="51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2"/>
      <x:c r="L130" s="53"/>
    </x:row>
    <x:row r="131">
      <x:c r="A131" s="51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2"/>
      <x:c r="L131" s="53"/>
    </x:row>
    <x:row r="132">
      <x:c r="A132" s="51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2"/>
      <x:c r="L132" s="53"/>
    </x:row>
    <x:row r="133">
      <x:c r="A133" s="51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2"/>
      <x:c r="L133" s="53"/>
    </x:row>
    <x:row r="134">
      <x:c r="A134" s="51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2"/>
      <x:c r="L134" s="53"/>
    </x:row>
    <x:row r="135">
      <x:c r="A135" s="51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2"/>
      <x:c r="L135" s="53"/>
    </x:row>
    <x:row r="136">
      <x:c r="A136" s="51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2"/>
      <x:c r="L136" s="53"/>
    </x:row>
    <x:row r="137">
      <x:c r="A137" s="51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2"/>
      <x:c r="L137" s="53"/>
    </x:row>
    <x:row r="138">
      <x:c r="A138" s="51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2"/>
      <x:c r="L138" s="53"/>
    </x:row>
    <x:row r="139">
      <x:c r="A139" s="51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2"/>
      <x:c r="L139" s="53"/>
    </x:row>
    <x:row r="140">
      <x:c r="A140" s="51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2"/>
      <x:c r="L140" s="53"/>
    </x:row>
    <x:row r="141">
      <x:c r="A141" s="51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2"/>
      <x:c r="L141" s="53"/>
    </x:row>
    <x:row r="142">
      <x:c r="A142" s="51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2"/>
      <x:c r="L142" s="53"/>
    </x:row>
    <x:row r="143">
      <x:c r="A143" s="51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2"/>
      <x:c r="L143" s="53"/>
    </x:row>
    <x:row r="144">
      <x:c r="A144" s="51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2"/>
      <x:c r="L144" s="53"/>
    </x:row>
    <x:row r="145">
      <x:c r="A145" s="51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2"/>
      <x:c r="L145" s="53"/>
    </x:row>
    <x:row r="146">
      <x:c r="A146" s="51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2"/>
      <x:c r="L146" s="53"/>
    </x:row>
    <x:row r="147">
      <x:c r="A147" s="51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2"/>
      <x:c r="L147" s="53"/>
    </x:row>
    <x:row r="148">
      <x:c r="A148" s="51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2"/>
      <x:c r="L148" s="53"/>
    </x:row>
    <x:row r="149">
      <x:c r="A149" s="51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2"/>
      <x:c r="L149" s="53"/>
    </x:row>
    <x:row r="150">
      <x:c r="A150" s="51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2"/>
      <x:c r="L150" s="53"/>
    </x:row>
    <x:row r="151">
      <x:c r="A151" s="51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2"/>
      <x:c r="L151" s="53"/>
    </x:row>
    <x:row r="152">
      <x:c r="A152" s="51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2"/>
      <x:c r="L152" s="53"/>
    </x:row>
    <x:row r="153">
      <x:c r="A153" s="51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2"/>
      <x:c r="L153" s="53"/>
    </x:row>
    <x:row r="154">
      <x:c r="A154" s="51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2"/>
      <x:c r="L154" s="53"/>
    </x:row>
    <x:row r="155">
      <x:c r="A155" s="51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2"/>
      <x:c r="L155" s="53"/>
    </x:row>
    <x:row r="156">
      <x:c r="A156" s="51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2"/>
      <x:c r="L156" s="53"/>
    </x:row>
    <x:row r="157">
      <x:c r="A157" s="51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2"/>
      <x:c r="L157" s="53"/>
    </x:row>
    <x:row r="158">
      <x:c r="A158" s="51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2"/>
      <x:c r="L158" s="53"/>
    </x:row>
    <x:row r="159">
      <x:c r="A159" s="51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2"/>
      <x:c r="L159" s="53"/>
    </x:row>
    <x:row r="160">
      <x:c r="A160" s="51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2"/>
      <x:c r="L160" s="53"/>
    </x:row>
    <x:row r="161">
      <x:c r="A161" s="51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2"/>
      <x:c r="L161" s="53"/>
    </x:row>
    <x:row r="162">
      <x:c r="A162" s="51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2"/>
      <x:c r="L162" s="53"/>
    </x:row>
    <x:row r="163">
      <x:c r="A163" s="51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2"/>
      <x:c r="L163" s="53"/>
    </x:row>
    <x:row r="164">
      <x:c r="A164" s="51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2"/>
      <x:c r="L164" s="53"/>
    </x:row>
    <x:row r="165">
      <x:c r="A165" s="51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2"/>
      <x:c r="L165" s="53"/>
    </x:row>
    <x:row r="166">
      <x:c r="A166" s="51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2"/>
      <x:c r="L166" s="53"/>
    </x:row>
    <x:row r="167">
      <x:c r="A167" s="51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2"/>
      <x:c r="L167" s="53"/>
    </x:row>
    <x:row r="168">
      <x:c r="A168" s="51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2"/>
      <x:c r="L168" s="53"/>
    </x:row>
    <x:row r="169">
      <x:c r="A169" s="51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2"/>
      <x:c r="L169" s="53"/>
    </x:row>
    <x:row r="170">
      <x:c r="A170" s="51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2"/>
      <x:c r="L170" s="53"/>
    </x:row>
    <x:row r="171">
      <x:c r="A171" s="51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2"/>
      <x:c r="L171" s="53"/>
    </x:row>
    <x:row r="172">
      <x:c r="A172" s="51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2"/>
      <x:c r="L172" s="53"/>
    </x:row>
    <x:row r="173">
      <x:c r="A173" s="51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2"/>
      <x:c r="L173" s="53"/>
    </x:row>
    <x:row r="174">
      <x:c r="A174" s="51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2"/>
      <x:c r="L174" s="53"/>
    </x:row>
    <x:row r="175">
      <x:c r="A175" s="51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2"/>
      <x:c r="L175" s="53"/>
    </x:row>
    <x:row r="176">
      <x:c r="A176" s="51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2"/>
      <x:c r="L176" s="53"/>
    </x:row>
    <x:row r="177">
      <x:c r="A177" s="51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2"/>
      <x:c r="L177" s="53"/>
    </x:row>
    <x:row r="178">
      <x:c r="A178" s="51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2"/>
      <x:c r="L178" s="53"/>
    </x:row>
    <x:row r="179">
      <x:c r="A179" s="51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2"/>
      <x:c r="L179" s="53"/>
    </x:row>
    <x:row r="180">
      <x:c r="A180" s="51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2"/>
      <x:c r="L180" s="53"/>
    </x:row>
    <x:row r="181">
      <x:c r="A181" s="51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2"/>
      <x:c r="L181" s="53"/>
    </x:row>
    <x:row r="182">
      <x:c r="A182" s="51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2"/>
      <x:c r="L182" s="53"/>
    </x:row>
    <x:row r="183">
      <x:c r="A183" s="51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2"/>
      <x:c r="L183" s="53"/>
    </x:row>
    <x:row r="184">
      <x:c r="A184" s="51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2"/>
      <x:c r="L184" s="53"/>
    </x:row>
    <x:row r="185">
      <x:c r="A185" s="51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2"/>
      <x:c r="L185" s="53"/>
    </x:row>
    <x:row r="186">
      <x:c r="A186" s="51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2"/>
      <x:c r="L186" s="53"/>
    </x:row>
    <x:row r="187">
      <x:c r="A187" s="51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2"/>
      <x:c r="L187" s="53"/>
    </x:row>
    <x:row r="188">
      <x:c r="A188" s="51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2"/>
      <x:c r="L188" s="53"/>
    </x:row>
    <x:row r="189">
      <x:c r="A189" s="51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2"/>
      <x:c r="L189" s="53"/>
    </x:row>
    <x:row r="190">
      <x:c r="A190" s="51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2"/>
      <x:c r="L190" s="53"/>
    </x:row>
    <x:row r="191">
      <x:c r="A191" s="51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2"/>
      <x:c r="L191" s="53"/>
    </x:row>
    <x:row r="192">
      <x:c r="A192" s="51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2"/>
      <x:c r="L192" s="53"/>
    </x:row>
    <x:row r="193">
      <x:c r="A193" s="51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2"/>
      <x:c r="L193" s="53"/>
    </x:row>
    <x:row r="194">
      <x:c r="A194" s="51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2"/>
      <x:c r="L194" s="53"/>
    </x:row>
    <x:row r="195">
      <x:c r="A195" s="51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2"/>
      <x:c r="L195" s="53"/>
    </x:row>
    <x:row r="196">
      <x:c r="A196" s="51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2"/>
      <x:c r="L196" s="53"/>
    </x:row>
    <x:row r="197">
      <x:c r="A197" s="51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2"/>
      <x:c r="L197" s="53"/>
    </x:row>
    <x:row r="198">
      <x:c r="A198" s="51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2"/>
      <x:c r="L198" s="53"/>
    </x:row>
    <x:row r="199">
      <x:c r="A199" s="51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2"/>
      <x:c r="L199" s="53"/>
    </x:row>
    <x:row r="200">
      <x:c r="A200" s="51"/>
      <x:c r="B200" s="52"/>
      <x:c r="C200" s="52"/>
      <x:c r="D200" s="52"/>
      <x:c r="E200" s="52"/>
      <x:c r="F200" s="52"/>
      <x:c r="G200" s="52"/>
      <x:c r="H200" s="52"/>
      <x:c r="I200" s="52"/>
      <x:c r="J200" s="52"/>
      <x:c r="K200" s="52"/>
      <x:c r="L200" s="53"/>
    </x:row>
    <x:row r="201">
      <x:c r="A201" s="51"/>
      <x:c r="B201" s="52"/>
      <x:c r="C201" s="52"/>
      <x:c r="D201" s="52"/>
      <x:c r="E201" s="52"/>
      <x:c r="F201" s="52"/>
      <x:c r="G201" s="52"/>
      <x:c r="H201" s="52"/>
      <x:c r="I201" s="52"/>
      <x:c r="J201" s="52"/>
      <x:c r="K201" s="52"/>
      <x:c r="L201" s="53"/>
    </x:row>
    <x:row r="202">
      <x:c r="A202" s="51"/>
      <x:c r="B202" s="52"/>
      <x:c r="C202" s="52"/>
      <x:c r="D202" s="52"/>
      <x:c r="E202" s="52"/>
      <x:c r="F202" s="52"/>
      <x:c r="G202" s="52"/>
      <x:c r="H202" s="52"/>
      <x:c r="I202" s="52"/>
      <x:c r="J202" s="52"/>
      <x:c r="K202" s="52"/>
      <x:c r="L202" s="53"/>
    </x:row>
    <x:row r="203">
      <x:c r="A203" s="54"/>
      <x:c r="B203" s="55"/>
      <x:c r="C203" s="55"/>
      <x:c r="D203" s="55"/>
      <x:c r="E203" s="55"/>
      <x:c r="F203" s="55"/>
      <x:c r="G203" s="55"/>
      <x:c r="H203" s="55"/>
      <x:c r="I203" s="55"/>
      <x:c r="J203" s="55"/>
      <x:c r="K203" s="55"/>
      <x:c r="L203" s="56"/>
    </x:row>
    <x:row r="204">
      <x:c r="A204" s="197"/>
    </x:row>
    <x:row r="205">
      <x:c r="A205" s="197"/>
    </x:row>
    <x:row r="206">
      <x:c r="A206" s="197"/>
    </x:row>
    <x:row r="207">
      <x:c r="A207" s="197"/>
    </x:row>
    <x:row r="208">
      <x:c r="A208" s="197"/>
    </x:row>
    <x:row r="209">
      <x:c r="A209" s="197"/>
    </x:row>
    <x:row r="210">
      <x:c r="A210" s="197"/>
    </x:row>
    <x:row r="211">
      <x:c r="A211" s="197"/>
    </x:row>
    <x:row r="212">
      <x:c r="A212" s="197"/>
    </x:row>
    <x:row r="213">
      <x:c r="A213" s="197"/>
    </x:row>
    <x:row r="214">
      <x:c r="A214" s="197"/>
    </x:row>
    <x:row r="215">
      <x:c r="A215" s="197"/>
    </x:row>
    <x:row r="216">
      <x:c r="A216" s="197"/>
    </x:row>
    <x:row r="217">
      <x:c r="A217" s="197"/>
    </x:row>
    <x:row r="218">
      <x:c r="A218" s="197"/>
    </x:row>
    <x:row r="219">
      <x:c r="A219" s="197"/>
    </x:row>
    <x:row r="220">
      <x:c r="A220" s="197"/>
    </x:row>
    <x:row r="221">
      <x:c r="A221" s="197"/>
    </x:row>
    <x:row r="222">
      <x:c r="A222" s="197"/>
    </x:row>
    <x:row r="223">
      <x:c r="A223" s="197"/>
    </x:row>
    <x:row r="224">
      <x:c r="A224" s="197"/>
    </x:row>
    <x:row r="225">
      <x:c r="A225" s="197"/>
    </x:row>
    <x:row r="226">
      <x:c r="A226" s="197"/>
    </x:row>
    <x:row r="227">
      <x:c r="A227" s="197"/>
    </x:row>
    <x:row r="228">
      <x:c r="A228" s="197"/>
    </x:row>
    <x:row r="229">
      <x:c r="A229" s="197"/>
    </x:row>
    <x:row r="230">
      <x:c r="A230" s="197"/>
    </x:row>
    <x:row r="231">
      <x:c r="A231" s="197"/>
    </x:row>
    <x:row r="232">
      <x:c r="A232" s="197"/>
    </x:row>
    <x:row r="233">
      <x:c r="A233" s="197"/>
    </x:row>
    <x:row r="234">
      <x:c r="A234" s="197"/>
    </x:row>
    <x:row r="235">
      <x:c r="A235" s="197"/>
    </x:row>
    <x:row r="236">
      <x:c r="A236" s="197"/>
    </x:row>
    <x:row r="237">
      <x:c r="A237" s="197"/>
    </x:row>
    <x:row r="238">
      <x:c r="A238" s="197"/>
    </x:row>
    <x:row r="239">
      <x:c r="A239" s="197"/>
    </x:row>
    <x:row r="240">
      <x:c r="A240" s="197"/>
    </x:row>
  </x:sheetData>
  <x:mergeCells>
    <x:mergeCell ref="A1:L1"/>
  </x:mergeCells>
  <x:conditionalFormatting sqref="D4:D203">
    <x:cfRule type="expression" dxfId="2" priority="1">
      <x:formula>D4="Resolved"</x:formula>
    </x:cfRule>
    <x:cfRule type="expression" dxfId="3" priority="2">
      <x:formula>D4="Blocked"</x:formula>
    </x:cfRule>
  </x:conditionalFormatting>
  <x:dataValidations count="2">
    <x:dataValidation type="list" sqref="D4:D203">
      <x:formula1>Lists!$H$2:$H$10</x:formula1>
    </x:dataValidation>
    <x:dataValidation type="list" sqref="E4:G203">
      <x:formula1>Lists!$G$2:$G$6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30" hidden="0" customWidth="1"/>
    <x:col min="4" max="4" width="34" hidden="0" customWidth="1"/>
    <x:col min="5" max="5" width="22" hidden="0" customWidth="1"/>
    <x:col min="6" max="6" width="22" hidden="0" customWidth="1"/>
    <x:col min="7" max="7" width="34" hidden="0" customWidth="1"/>
    <x:col min="8" max="8" width="15" hidden="0" customWidth="1"/>
    <x:col min="9" max="9" width="40" hidden="0" customWidth="1"/>
    <x:col min="10" max="10" width="26" hidden="0" customWidth="1"/>
    <x:col min="11" max="11" width="26" hidden="0" customWidth="1"/>
    <x:col min="12" max="12" width="13" hidden="0" customWidth="1"/>
    <x:col min="13" max="13" width="14" hidden="0" customWidth="1"/>
  </x:cols>
  <x:sheetData>
    <x:row r="1" ht="34" customHeight="1">
      <x:c r="A1" s="196" t="str">
        <x:v>Custom AGI Job Queue</x:v>
      </x:c>
    </x:row>
    <x:row r="2">
      <x:c r="A2" s="197"/>
    </x:row>
    <x:row r="3" ht="30" customHeight="1">
      <x:c r="A3" s="13" t="str">
        <x:v>Job ID</x:v>
      </x:c>
      <x:c r="B3" s="14" t="str">
        <x:v>Proof Debt ID</x:v>
      </x:c>
      <x:c r="C3" s="14" t="str">
        <x:v>Claim / Task</x:v>
      </x:c>
      <x:c r="D3" s="14" t="str">
        <x:v>Why Needed</x:v>
      </x:c>
      <x:c r="E3" s="14" t="str">
        <x:v>Worker</x:v>
      </x:c>
      <x:c r="F3" s="14" t="str">
        <x:v>Validator</x:v>
      </x:c>
      <x:c r="G3" s="14" t="str">
        <x:v>Deliverables</x:v>
      </x:c>
      <x:c r="H3" s="14" t="str">
        <x:v>Status</x:v>
      </x:c>
      <x:c r="I3" s="14" t="str">
        <x:v>Acceptance Tests</x:v>
      </x:c>
      <x:c r="J3" s="14" t="str">
        <x:v>Blocked Claims</x:v>
      </x:c>
      <x:c r="K3" s="14" t="str">
        <x:v>ProofBundle Path</x:v>
      </x:c>
      <x:c r="L3" s="14" t="str">
        <x:v>Budget</x:v>
      </x:c>
      <x:c r="M3" s="15" t="str">
        <x:v>Due</x:v>
      </x:c>
    </x:row>
    <x:row r="4">
      <x:c r="A4" s="48" t="str">
        <x:v>JOB-001</x:v>
      </x:c>
      <x:c r="B4" s="49" t="str">
        <x:v>PD-001</x:v>
      </x:c>
      <x:c r="C4" s="49" t="str">
        <x:v>Verify performance claim</x:v>
      </x:c>
      <x:c r="D4" s="49" t="str">
        <x:v>Decision cannot advance without independent support</x:v>
      </x:c>
      <x:c r="E4" s="49" t="str">
        <x:v>Research / test specialist</x:v>
      </x:c>
      <x:c r="F4" s="49" t="str">
        <x:v>Independent reviewer</x:v>
      </x:c>
      <x:c r="G4" s="49" t="str">
        <x:v>Benchmark report; source pack</x:v>
      </x:c>
      <x:c r="H4" s="49" t="str">
        <x:v>Not Started</x:v>
      </x:c>
      <x:c r="I4" s="49" t="str">
        <x:v>Primary source; reproducible method; limits stated</x:v>
      </x:c>
      <x:c r="J4" s="49" t="str">
        <x:v>Certified; universal performance</x:v>
      </x:c>
      <x:c r="K4" s="49" t="str">
        <x:v>proofbundles/JOB-001</x:v>
      </x:c>
      <x:c r="L4" s="92" t="n">
        <x:v>15000</x:v>
      </x:c>
      <x:c r="M4" s="50" t="str"/>
    </x:row>
    <x:row r="5">
      <x:c r="A5" s="51" t="str">
        <x:v>JOB-002</x:v>
      </x:c>
      <x:c r="B5" s="52" t="str">
        <x:v>PD-002</x:v>
      </x:c>
      <x:c r="C5" s="52" t="str">
        <x:v>Review privacy and security boundary</x:v>
      </x:c>
      <x:c r="D5" s="52" t="str">
        <x:v>Pilot cannot begin until data use is approved</x:v>
      </x:c>
      <x:c r="E5" s="52" t="str">
        <x:v>Privacy/security lead</x:v>
      </x:c>
      <x:c r="F5" s="52" t="str">
        <x:v>CISO or delegate</x:v>
      </x:c>
      <x:c r="G5" s="52" t="str">
        <x:v>Boundary review; risk notes</x:v>
      </x:c>
      <x:c r="H5" s="52" t="str">
        <x:v>Not Started</x:v>
      </x:c>
      <x:c r="I5" s="52" t="str">
        <x:v>Data classes mapped; controls explicit; blocked uses preserved</x:v>
      </x:c>
      <x:c r="J5" s="52" t="str">
        <x:v>Compliant by default</x:v>
      </x:c>
      <x:c r="K5" s="52" t="str">
        <x:v>proofbundles/JOB-002</x:v>
      </x:c>
      <x:c r="L5" s="93" t="n">
        <x:v>20000</x:v>
      </x:c>
      <x:c r="M5" s="53" t="str"/>
    </x:row>
    <x:row r="6">
      <x:c r="A6" s="51" t="str">
        <x:v>JOB-003</x:v>
      </x:c>
      <x:c r="B6" s="52" t="str">
        <x:v>PD-003</x:v>
      </x:c>
      <x:c r="C6" s="52" t="str">
        <x:v>Test human review and override</x:v>
      </x:c>
      <x:c r="D6" s="52" t="str">
        <x:v>Accountability depends on workflow reality</x:v>
      </x:c>
      <x:c r="E6" s="52" t="str">
        <x:v>Workflow operator</x:v>
      </x:c>
      <x:c r="F6" s="52" t="str">
        <x:v>Independent reviewer</x:v>
      </x:c>
      <x:c r="G6" s="52" t="str">
        <x:v>Replay logs; override test</x:v>
      </x:c>
      <x:c r="H6" s="52" t="str">
        <x:v>Not Started</x:v>
      </x:c>
      <x:c r="I6" s="52" t="str">
        <x:v>Reviewer can reconstruct and intervene</x:v>
      </x:c>
      <x:c r="J6" s="52" t="str">
        <x:v>Fully autonomous</x:v>
      </x:c>
      <x:c r="K6" s="52" t="str">
        <x:v>proofbundles/JOB-003</x:v>
      </x:c>
      <x:c r="L6" s="93" t="n">
        <x:v>15000</x:v>
      </x:c>
      <x:c r="M6" s="53" t="str"/>
    </x:row>
    <x:row r="7">
      <x:c r="A7" s="51" t="str">
        <x:v>JOB-004</x:v>
      </x:c>
      <x:c r="B7" s="52" t="str">
        <x:v>PD-004</x:v>
      </x:c>
      <x:c r="C7" s="52" t="str">
        <x:v>Stress-test ROI assumptions</x:v>
      </x:c>
      <x:c r="D7" s="52" t="str">
        <x:v>Commercial claim must remain bounded</x:v>
      </x:c>
      <x:c r="E7" s="52" t="str">
        <x:v>Financial analyst</x:v>
      </x:c>
      <x:c r="F7" s="52" t="str">
        <x:v>Executive sponsor</x:v>
      </x:c>
      <x:c r="G7" s="52" t="str">
        <x:v>Baseline model; sensitivity table</x:v>
      </x:c>
      <x:c r="H7" s="52" t="str">
        <x:v>Not Started</x:v>
      </x:c>
      <x:c r="I7" s="52" t="str">
        <x:v>Assumptions visible; no guarantee</x:v>
      </x:c>
      <x:c r="J7" s="52" t="str">
        <x:v>Guaranteed ROI</x:v>
      </x:c>
      <x:c r="K7" s="52" t="str">
        <x:v>proofbundles/JOB-004</x:v>
      </x:c>
      <x:c r="L7" s="93" t="n">
        <x:v>10000</x:v>
      </x:c>
      <x:c r="M7" s="53" t="str"/>
    </x:row>
    <x:row r="8">
      <x:c r="A8" s="51"/>
      <x:c r="B8" s="52"/>
      <x:c r="C8" s="52"/>
      <x:c r="D8" s="52"/>
      <x:c r="E8" s="52"/>
      <x:c r="F8" s="52"/>
      <x:c r="G8" s="52"/>
      <x:c r="H8" s="52"/>
      <x:c r="I8" s="52"/>
      <x:c r="J8" s="52"/>
      <x:c r="K8" s="52"/>
      <x:c r="L8" s="93"/>
      <x:c r="M8" s="53"/>
    </x:row>
    <x:row r="9">
      <x:c r="A9" s="51"/>
      <x:c r="B9" s="52"/>
      <x:c r="C9" s="52"/>
      <x:c r="D9" s="52"/>
      <x:c r="E9" s="52"/>
      <x:c r="F9" s="52"/>
      <x:c r="G9" s="52"/>
      <x:c r="H9" s="52"/>
      <x:c r="I9" s="52"/>
      <x:c r="J9" s="52"/>
      <x:c r="K9" s="52"/>
      <x:c r="L9" s="93"/>
      <x:c r="M9" s="53"/>
    </x:row>
    <x:row r="10">
      <x:c r="A10" s="51"/>
      <x:c r="B10" s="52"/>
      <x:c r="C10" s="52"/>
      <x:c r="D10" s="52"/>
      <x:c r="E10" s="52"/>
      <x:c r="F10" s="52"/>
      <x:c r="G10" s="52"/>
      <x:c r="H10" s="52"/>
      <x:c r="I10" s="52"/>
      <x:c r="J10" s="52"/>
      <x:c r="K10" s="52"/>
      <x:c r="L10" s="93"/>
      <x:c r="M10" s="53"/>
    </x:row>
    <x:row r="11">
      <x:c r="A11" s="51"/>
      <x:c r="B11" s="52"/>
      <x:c r="C11" s="52"/>
      <x:c r="D11" s="52"/>
      <x:c r="E11" s="52"/>
      <x:c r="F11" s="52"/>
      <x:c r="G11" s="52"/>
      <x:c r="H11" s="52"/>
      <x:c r="I11" s="52"/>
      <x:c r="J11" s="52"/>
      <x:c r="K11" s="52"/>
      <x:c r="L11" s="93"/>
      <x:c r="M11" s="53"/>
    </x:row>
    <x:row r="12">
      <x:c r="A12" s="51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93"/>
      <x:c r="M12" s="53"/>
    </x:row>
    <x:row r="13">
      <x:c r="A13" s="51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93"/>
      <x:c r="M13" s="53"/>
    </x:row>
    <x:row r="14">
      <x:c r="A14" s="51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93"/>
      <x:c r="M14" s="53"/>
    </x:row>
    <x:row r="15">
      <x:c r="A15" s="51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93"/>
      <x:c r="M15" s="53"/>
    </x:row>
    <x:row r="16">
      <x:c r="A16" s="51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93"/>
      <x:c r="M16" s="53"/>
    </x:row>
    <x:row r="17">
      <x:c r="A17" s="51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93"/>
      <x:c r="M17" s="53"/>
    </x:row>
    <x:row r="18">
      <x:c r="A18" s="51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93"/>
      <x:c r="M18" s="53"/>
    </x:row>
    <x:row r="19">
      <x:c r="A19" s="51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93"/>
      <x:c r="M19" s="53"/>
    </x:row>
    <x:row r="20">
      <x:c r="A20" s="51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93"/>
      <x:c r="M20" s="53"/>
    </x:row>
    <x:row r="21">
      <x:c r="A21" s="51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93"/>
      <x:c r="M21" s="53"/>
    </x:row>
    <x:row r="22">
      <x:c r="A22" s="51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93"/>
      <x:c r="M22" s="53"/>
    </x:row>
    <x:row r="23">
      <x:c r="A23" s="51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93"/>
      <x:c r="M23" s="53"/>
    </x:row>
    <x:row r="24">
      <x:c r="A24" s="51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93"/>
      <x:c r="M24" s="53"/>
    </x:row>
    <x:row r="25">
      <x:c r="A25" s="51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93"/>
      <x:c r="M25" s="53"/>
    </x:row>
    <x:row r="26">
      <x:c r="A26" s="51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93"/>
      <x:c r="M26" s="53"/>
    </x:row>
    <x:row r="27">
      <x:c r="A27" s="51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93"/>
      <x:c r="M27" s="53"/>
    </x:row>
    <x:row r="28">
      <x:c r="A28" s="51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93"/>
      <x:c r="M28" s="53"/>
    </x:row>
    <x:row r="29">
      <x:c r="A29" s="51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93"/>
      <x:c r="M29" s="53"/>
    </x:row>
    <x:row r="30">
      <x:c r="A30" s="51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93"/>
      <x:c r="M30" s="53"/>
    </x:row>
    <x:row r="31">
      <x:c r="A31" s="51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93"/>
      <x:c r="M31" s="53"/>
    </x:row>
    <x:row r="32">
      <x:c r="A32" s="51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93"/>
      <x:c r="M32" s="53"/>
    </x:row>
    <x:row r="33">
      <x:c r="A33" s="51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93"/>
      <x:c r="M33" s="53"/>
    </x:row>
    <x:row r="34">
      <x:c r="A34" s="51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93"/>
      <x:c r="M34" s="53"/>
    </x:row>
    <x:row r="35">
      <x:c r="A35" s="51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93"/>
      <x:c r="M35" s="53"/>
    </x:row>
    <x:row r="36">
      <x:c r="A36" s="51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93"/>
      <x:c r="M36" s="53"/>
    </x:row>
    <x:row r="37">
      <x:c r="A37" s="51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93"/>
      <x:c r="M37" s="53"/>
    </x:row>
    <x:row r="38">
      <x:c r="A38" s="51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93"/>
      <x:c r="M38" s="53"/>
    </x:row>
    <x:row r="39">
      <x:c r="A39" s="51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93"/>
      <x:c r="M39" s="53"/>
    </x:row>
    <x:row r="40">
      <x:c r="A40" s="51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93"/>
      <x:c r="M40" s="53"/>
    </x:row>
    <x:row r="41">
      <x:c r="A41" s="51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93"/>
      <x:c r="M41" s="53"/>
    </x:row>
    <x:row r="42">
      <x:c r="A42" s="51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93"/>
      <x:c r="M42" s="53"/>
    </x:row>
    <x:row r="43">
      <x:c r="A43" s="51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93"/>
      <x:c r="M43" s="53"/>
    </x:row>
    <x:row r="44">
      <x:c r="A44" s="51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93"/>
      <x:c r="M44" s="53"/>
    </x:row>
    <x:row r="45">
      <x:c r="A45" s="51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93"/>
      <x:c r="M45" s="53"/>
    </x:row>
    <x:row r="46">
      <x:c r="A46" s="51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93"/>
      <x:c r="M46" s="53"/>
    </x:row>
    <x:row r="47">
      <x:c r="A47" s="51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93"/>
      <x:c r="M47" s="53"/>
    </x:row>
    <x:row r="48">
      <x:c r="A48" s="51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93"/>
      <x:c r="M48" s="53"/>
    </x:row>
    <x:row r="49">
      <x:c r="A49" s="51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93"/>
      <x:c r="M49" s="53"/>
    </x:row>
    <x:row r="50">
      <x:c r="A50" s="51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93"/>
      <x:c r="M50" s="53"/>
    </x:row>
    <x:row r="51">
      <x:c r="A51" s="51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93"/>
      <x:c r="M51" s="53"/>
    </x:row>
    <x:row r="52">
      <x:c r="A52" s="51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93"/>
      <x:c r="M52" s="53"/>
    </x:row>
    <x:row r="53">
      <x:c r="A53" s="51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93"/>
      <x:c r="M53" s="53"/>
    </x:row>
    <x:row r="54">
      <x:c r="A54" s="51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93"/>
      <x:c r="M54" s="53"/>
    </x:row>
    <x:row r="55">
      <x:c r="A55" s="51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93"/>
      <x:c r="M55" s="53"/>
    </x:row>
    <x:row r="56">
      <x:c r="A56" s="51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93"/>
      <x:c r="M56" s="53"/>
    </x:row>
    <x:row r="57">
      <x:c r="A57" s="51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93"/>
      <x:c r="M57" s="53"/>
    </x:row>
    <x:row r="58">
      <x:c r="A58" s="51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93"/>
      <x:c r="M58" s="53"/>
    </x:row>
    <x:row r="59">
      <x:c r="A59" s="51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93"/>
      <x:c r="M59" s="53"/>
    </x:row>
    <x:row r="60">
      <x:c r="A60" s="51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93"/>
      <x:c r="M60" s="53"/>
    </x:row>
    <x:row r="61">
      <x:c r="A61" s="51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93"/>
      <x:c r="M61" s="53"/>
    </x:row>
    <x:row r="62">
      <x:c r="A62" s="51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93"/>
      <x:c r="M62" s="53"/>
    </x:row>
    <x:row r="63">
      <x:c r="A63" s="51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93"/>
      <x:c r="M63" s="53"/>
    </x:row>
    <x:row r="64">
      <x:c r="A64" s="51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93"/>
      <x:c r="M64" s="53"/>
    </x:row>
    <x:row r="65">
      <x:c r="A65" s="51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93"/>
      <x:c r="M65" s="53"/>
    </x:row>
    <x:row r="66">
      <x:c r="A66" s="51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93"/>
      <x:c r="M66" s="53"/>
    </x:row>
    <x:row r="67">
      <x:c r="A67" s="51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93"/>
      <x:c r="M67" s="53"/>
    </x:row>
    <x:row r="68">
      <x:c r="A68" s="51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93"/>
      <x:c r="M68" s="53"/>
    </x:row>
    <x:row r="69">
      <x:c r="A69" s="51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93"/>
      <x:c r="M69" s="53"/>
    </x:row>
    <x:row r="70">
      <x:c r="A70" s="51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93"/>
      <x:c r="M70" s="53"/>
    </x:row>
    <x:row r="71">
      <x:c r="A71" s="51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93"/>
      <x:c r="M71" s="53"/>
    </x:row>
    <x:row r="72">
      <x:c r="A72" s="51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93"/>
      <x:c r="M72" s="53"/>
    </x:row>
    <x:row r="73">
      <x:c r="A73" s="51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93"/>
      <x:c r="M73" s="53"/>
    </x:row>
    <x:row r="74">
      <x:c r="A74" s="51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93"/>
      <x:c r="M74" s="53"/>
    </x:row>
    <x:row r="75">
      <x:c r="A75" s="51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93"/>
      <x:c r="M75" s="53"/>
    </x:row>
    <x:row r="76">
      <x:c r="A76" s="51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93"/>
      <x:c r="M76" s="53"/>
    </x:row>
    <x:row r="77">
      <x:c r="A77" s="51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93"/>
      <x:c r="M77" s="53"/>
    </x:row>
    <x:row r="78">
      <x:c r="A78" s="51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93"/>
      <x:c r="M78" s="53"/>
    </x:row>
    <x:row r="79">
      <x:c r="A79" s="51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93"/>
      <x:c r="M79" s="53"/>
    </x:row>
    <x:row r="80">
      <x:c r="A80" s="51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93"/>
      <x:c r="M80" s="53"/>
    </x:row>
    <x:row r="81">
      <x:c r="A81" s="51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93"/>
      <x:c r="M81" s="53"/>
    </x:row>
    <x:row r="82">
      <x:c r="A82" s="51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93"/>
      <x:c r="M82" s="53"/>
    </x:row>
    <x:row r="83">
      <x:c r="A83" s="51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93"/>
      <x:c r="M83" s="53"/>
    </x:row>
    <x:row r="84">
      <x:c r="A84" s="51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93"/>
      <x:c r="M84" s="53"/>
    </x:row>
    <x:row r="85">
      <x:c r="A85" s="51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93"/>
      <x:c r="M85" s="53"/>
    </x:row>
    <x:row r="86">
      <x:c r="A86" s="51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93"/>
      <x:c r="M86" s="53"/>
    </x:row>
    <x:row r="87">
      <x:c r="A87" s="51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93"/>
      <x:c r="M87" s="53"/>
    </x:row>
    <x:row r="88">
      <x:c r="A88" s="51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93"/>
      <x:c r="M88" s="53"/>
    </x:row>
    <x:row r="89">
      <x:c r="A89" s="51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93"/>
      <x:c r="M89" s="53"/>
    </x:row>
    <x:row r="90">
      <x:c r="A90" s="51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93"/>
      <x:c r="M90" s="53"/>
    </x:row>
    <x:row r="91">
      <x:c r="A91" s="51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93"/>
      <x:c r="M91" s="53"/>
    </x:row>
    <x:row r="92">
      <x:c r="A92" s="51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93"/>
      <x:c r="M92" s="53"/>
    </x:row>
    <x:row r="93">
      <x:c r="A93" s="51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93"/>
      <x:c r="M93" s="53"/>
    </x:row>
    <x:row r="94">
      <x:c r="A94" s="51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93"/>
      <x:c r="M94" s="53"/>
    </x:row>
    <x:row r="95">
      <x:c r="A95" s="51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93"/>
      <x:c r="M95" s="53"/>
    </x:row>
    <x:row r="96">
      <x:c r="A96" s="51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93"/>
      <x:c r="M96" s="53"/>
    </x:row>
    <x:row r="97">
      <x:c r="A97" s="51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93"/>
      <x:c r="M97" s="53"/>
    </x:row>
    <x:row r="98">
      <x:c r="A98" s="51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93"/>
      <x:c r="M98" s="53"/>
    </x:row>
    <x:row r="99">
      <x:c r="A99" s="51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93"/>
      <x:c r="M99" s="53"/>
    </x:row>
    <x:row r="100">
      <x:c r="A100" s="51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93"/>
      <x:c r="M100" s="53"/>
    </x:row>
    <x:row r="101">
      <x:c r="A101" s="51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93"/>
      <x:c r="M101" s="53"/>
    </x:row>
    <x:row r="102">
      <x:c r="A102" s="51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93"/>
      <x:c r="M102" s="53"/>
    </x:row>
    <x:row r="103">
      <x:c r="A103" s="51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  <x:c r="L103" s="93"/>
      <x:c r="M103" s="53"/>
    </x:row>
    <x:row r="104">
      <x:c r="A104" s="51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  <x:c r="L104" s="93"/>
      <x:c r="M104" s="53"/>
    </x:row>
    <x:row r="105">
      <x:c r="A105" s="51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  <x:c r="L105" s="93"/>
      <x:c r="M105" s="53"/>
    </x:row>
    <x:row r="106">
      <x:c r="A106" s="51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  <x:c r="L106" s="93"/>
      <x:c r="M106" s="53"/>
    </x:row>
    <x:row r="107">
      <x:c r="A107" s="51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  <x:c r="L107" s="93"/>
      <x:c r="M107" s="53"/>
    </x:row>
    <x:row r="108">
      <x:c r="A108" s="51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  <x:c r="L108" s="93"/>
      <x:c r="M108" s="53"/>
    </x:row>
    <x:row r="109">
      <x:c r="A109" s="51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  <x:c r="L109" s="93"/>
      <x:c r="M109" s="53"/>
    </x:row>
    <x:row r="110">
      <x:c r="A110" s="51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  <x:c r="L110" s="93"/>
      <x:c r="M110" s="53"/>
    </x:row>
    <x:row r="111">
      <x:c r="A111" s="51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  <x:c r="L111" s="93"/>
      <x:c r="M111" s="53"/>
    </x:row>
    <x:row r="112">
      <x:c r="A112" s="51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  <x:c r="L112" s="93"/>
      <x:c r="M112" s="53"/>
    </x:row>
    <x:row r="113">
      <x:c r="A113" s="51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  <x:c r="L113" s="93"/>
      <x:c r="M113" s="53"/>
    </x:row>
    <x:row r="114">
      <x:c r="A114" s="51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  <x:c r="L114" s="93"/>
      <x:c r="M114" s="53"/>
    </x:row>
    <x:row r="115">
      <x:c r="A115" s="51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  <x:c r="L115" s="93"/>
      <x:c r="M115" s="53"/>
    </x:row>
    <x:row r="116">
      <x:c r="A116" s="51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  <x:c r="L116" s="93"/>
      <x:c r="M116" s="53"/>
    </x:row>
    <x:row r="117">
      <x:c r="A117" s="51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  <x:c r="L117" s="93"/>
      <x:c r="M117" s="53"/>
    </x:row>
    <x:row r="118">
      <x:c r="A118" s="51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  <x:c r="L118" s="93"/>
      <x:c r="M118" s="53"/>
    </x:row>
    <x:row r="119">
      <x:c r="A119" s="51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  <x:c r="L119" s="93"/>
      <x:c r="M119" s="53"/>
    </x:row>
    <x:row r="120">
      <x:c r="A120" s="51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  <x:c r="L120" s="93"/>
      <x:c r="M120" s="53"/>
    </x:row>
    <x:row r="121">
      <x:c r="A121" s="51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2"/>
      <x:c r="L121" s="93"/>
      <x:c r="M121" s="53"/>
    </x:row>
    <x:row r="122">
      <x:c r="A122" s="51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2"/>
      <x:c r="L122" s="93"/>
      <x:c r="M122" s="53"/>
    </x:row>
    <x:row r="123">
      <x:c r="A123" s="51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2"/>
      <x:c r="L123" s="93"/>
      <x:c r="M123" s="53"/>
    </x:row>
    <x:row r="124">
      <x:c r="A124" s="51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2"/>
      <x:c r="L124" s="93"/>
      <x:c r="M124" s="53"/>
    </x:row>
    <x:row r="125">
      <x:c r="A125" s="51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2"/>
      <x:c r="L125" s="93"/>
      <x:c r="M125" s="53"/>
    </x:row>
    <x:row r="126">
      <x:c r="A126" s="51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2"/>
      <x:c r="L126" s="93"/>
      <x:c r="M126" s="53"/>
    </x:row>
    <x:row r="127">
      <x:c r="A127" s="51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2"/>
      <x:c r="L127" s="93"/>
      <x:c r="M127" s="53"/>
    </x:row>
    <x:row r="128">
      <x:c r="A128" s="51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2"/>
      <x:c r="L128" s="93"/>
      <x:c r="M128" s="53"/>
    </x:row>
    <x:row r="129">
      <x:c r="A129" s="51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2"/>
      <x:c r="L129" s="93"/>
      <x:c r="M129" s="53"/>
    </x:row>
    <x:row r="130">
      <x:c r="A130" s="51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2"/>
      <x:c r="L130" s="93"/>
      <x:c r="M130" s="53"/>
    </x:row>
    <x:row r="131">
      <x:c r="A131" s="51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2"/>
      <x:c r="L131" s="93"/>
      <x:c r="M131" s="53"/>
    </x:row>
    <x:row r="132">
      <x:c r="A132" s="51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2"/>
      <x:c r="L132" s="93"/>
      <x:c r="M132" s="53"/>
    </x:row>
    <x:row r="133">
      <x:c r="A133" s="51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2"/>
      <x:c r="L133" s="93"/>
      <x:c r="M133" s="53"/>
    </x:row>
    <x:row r="134">
      <x:c r="A134" s="51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2"/>
      <x:c r="L134" s="93"/>
      <x:c r="M134" s="53"/>
    </x:row>
    <x:row r="135">
      <x:c r="A135" s="51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2"/>
      <x:c r="L135" s="93"/>
      <x:c r="M135" s="53"/>
    </x:row>
    <x:row r="136">
      <x:c r="A136" s="51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2"/>
      <x:c r="L136" s="93"/>
      <x:c r="M136" s="53"/>
    </x:row>
    <x:row r="137">
      <x:c r="A137" s="51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2"/>
      <x:c r="L137" s="93"/>
      <x:c r="M137" s="53"/>
    </x:row>
    <x:row r="138">
      <x:c r="A138" s="51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2"/>
      <x:c r="L138" s="93"/>
      <x:c r="M138" s="53"/>
    </x:row>
    <x:row r="139">
      <x:c r="A139" s="51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2"/>
      <x:c r="L139" s="93"/>
      <x:c r="M139" s="53"/>
    </x:row>
    <x:row r="140">
      <x:c r="A140" s="51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2"/>
      <x:c r="L140" s="93"/>
      <x:c r="M140" s="53"/>
    </x:row>
    <x:row r="141">
      <x:c r="A141" s="51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2"/>
      <x:c r="L141" s="93"/>
      <x:c r="M141" s="53"/>
    </x:row>
    <x:row r="142">
      <x:c r="A142" s="51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2"/>
      <x:c r="L142" s="93"/>
      <x:c r="M142" s="53"/>
    </x:row>
    <x:row r="143">
      <x:c r="A143" s="51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2"/>
      <x:c r="L143" s="93"/>
      <x:c r="M143" s="53"/>
    </x:row>
    <x:row r="144">
      <x:c r="A144" s="51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2"/>
      <x:c r="L144" s="93"/>
      <x:c r="M144" s="53"/>
    </x:row>
    <x:row r="145">
      <x:c r="A145" s="51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2"/>
      <x:c r="L145" s="93"/>
      <x:c r="M145" s="53"/>
    </x:row>
    <x:row r="146">
      <x:c r="A146" s="51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2"/>
      <x:c r="L146" s="93"/>
      <x:c r="M146" s="53"/>
    </x:row>
    <x:row r="147">
      <x:c r="A147" s="51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2"/>
      <x:c r="L147" s="93"/>
      <x:c r="M147" s="53"/>
    </x:row>
    <x:row r="148">
      <x:c r="A148" s="51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2"/>
      <x:c r="L148" s="93"/>
      <x:c r="M148" s="53"/>
    </x:row>
    <x:row r="149">
      <x:c r="A149" s="51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2"/>
      <x:c r="L149" s="93"/>
      <x:c r="M149" s="53"/>
    </x:row>
    <x:row r="150">
      <x:c r="A150" s="51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2"/>
      <x:c r="L150" s="93"/>
      <x:c r="M150" s="53"/>
    </x:row>
    <x:row r="151">
      <x:c r="A151" s="51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2"/>
      <x:c r="L151" s="93"/>
      <x:c r="M151" s="53"/>
    </x:row>
    <x:row r="152">
      <x:c r="A152" s="51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2"/>
      <x:c r="L152" s="93"/>
      <x:c r="M152" s="53"/>
    </x:row>
    <x:row r="153">
      <x:c r="A153" s="51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2"/>
      <x:c r="L153" s="93"/>
      <x:c r="M153" s="53"/>
    </x:row>
    <x:row r="154">
      <x:c r="A154" s="51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2"/>
      <x:c r="L154" s="93"/>
      <x:c r="M154" s="53"/>
    </x:row>
    <x:row r="155">
      <x:c r="A155" s="51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2"/>
      <x:c r="L155" s="93"/>
      <x:c r="M155" s="53"/>
    </x:row>
    <x:row r="156">
      <x:c r="A156" s="51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2"/>
      <x:c r="L156" s="93"/>
      <x:c r="M156" s="53"/>
    </x:row>
    <x:row r="157">
      <x:c r="A157" s="51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2"/>
      <x:c r="L157" s="93"/>
      <x:c r="M157" s="53"/>
    </x:row>
    <x:row r="158">
      <x:c r="A158" s="51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2"/>
      <x:c r="L158" s="93"/>
      <x:c r="M158" s="53"/>
    </x:row>
    <x:row r="159">
      <x:c r="A159" s="51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2"/>
      <x:c r="L159" s="93"/>
      <x:c r="M159" s="53"/>
    </x:row>
    <x:row r="160">
      <x:c r="A160" s="51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2"/>
      <x:c r="L160" s="93"/>
      <x:c r="M160" s="53"/>
    </x:row>
    <x:row r="161">
      <x:c r="A161" s="51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2"/>
      <x:c r="L161" s="93"/>
      <x:c r="M161" s="53"/>
    </x:row>
    <x:row r="162">
      <x:c r="A162" s="51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2"/>
      <x:c r="L162" s="93"/>
      <x:c r="M162" s="53"/>
    </x:row>
    <x:row r="163">
      <x:c r="A163" s="51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2"/>
      <x:c r="L163" s="93"/>
      <x:c r="M163" s="53"/>
    </x:row>
    <x:row r="164">
      <x:c r="A164" s="51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2"/>
      <x:c r="L164" s="93"/>
      <x:c r="M164" s="53"/>
    </x:row>
    <x:row r="165">
      <x:c r="A165" s="51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2"/>
      <x:c r="L165" s="93"/>
      <x:c r="M165" s="53"/>
    </x:row>
    <x:row r="166">
      <x:c r="A166" s="51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2"/>
      <x:c r="L166" s="93"/>
      <x:c r="M166" s="53"/>
    </x:row>
    <x:row r="167">
      <x:c r="A167" s="51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2"/>
      <x:c r="L167" s="93"/>
      <x:c r="M167" s="53"/>
    </x:row>
    <x:row r="168">
      <x:c r="A168" s="51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2"/>
      <x:c r="L168" s="93"/>
      <x:c r="M168" s="53"/>
    </x:row>
    <x:row r="169">
      <x:c r="A169" s="51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2"/>
      <x:c r="L169" s="93"/>
      <x:c r="M169" s="53"/>
    </x:row>
    <x:row r="170">
      <x:c r="A170" s="51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2"/>
      <x:c r="L170" s="93"/>
      <x:c r="M170" s="53"/>
    </x:row>
    <x:row r="171">
      <x:c r="A171" s="51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2"/>
      <x:c r="L171" s="93"/>
      <x:c r="M171" s="53"/>
    </x:row>
    <x:row r="172">
      <x:c r="A172" s="51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2"/>
      <x:c r="L172" s="93"/>
      <x:c r="M172" s="53"/>
    </x:row>
    <x:row r="173">
      <x:c r="A173" s="51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2"/>
      <x:c r="L173" s="93"/>
      <x:c r="M173" s="53"/>
    </x:row>
    <x:row r="174">
      <x:c r="A174" s="51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2"/>
      <x:c r="L174" s="93"/>
      <x:c r="M174" s="53"/>
    </x:row>
    <x:row r="175">
      <x:c r="A175" s="51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2"/>
      <x:c r="L175" s="93"/>
      <x:c r="M175" s="53"/>
    </x:row>
    <x:row r="176">
      <x:c r="A176" s="51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2"/>
      <x:c r="L176" s="93"/>
      <x:c r="M176" s="53"/>
    </x:row>
    <x:row r="177">
      <x:c r="A177" s="51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2"/>
      <x:c r="L177" s="93"/>
      <x:c r="M177" s="53"/>
    </x:row>
    <x:row r="178">
      <x:c r="A178" s="51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2"/>
      <x:c r="L178" s="93"/>
      <x:c r="M178" s="53"/>
    </x:row>
    <x:row r="179">
      <x:c r="A179" s="51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2"/>
      <x:c r="L179" s="93"/>
      <x:c r="M179" s="53"/>
    </x:row>
    <x:row r="180">
      <x:c r="A180" s="51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2"/>
      <x:c r="L180" s="93"/>
      <x:c r="M180" s="53"/>
    </x:row>
    <x:row r="181">
      <x:c r="A181" s="51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2"/>
      <x:c r="L181" s="93"/>
      <x:c r="M181" s="53"/>
    </x:row>
    <x:row r="182">
      <x:c r="A182" s="51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2"/>
      <x:c r="L182" s="93"/>
      <x:c r="M182" s="53"/>
    </x:row>
    <x:row r="183">
      <x:c r="A183" s="51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2"/>
      <x:c r="L183" s="93"/>
      <x:c r="M183" s="53"/>
    </x:row>
    <x:row r="184">
      <x:c r="A184" s="51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2"/>
      <x:c r="L184" s="93"/>
      <x:c r="M184" s="53"/>
    </x:row>
    <x:row r="185">
      <x:c r="A185" s="51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2"/>
      <x:c r="L185" s="93"/>
      <x:c r="M185" s="53"/>
    </x:row>
    <x:row r="186">
      <x:c r="A186" s="51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2"/>
      <x:c r="L186" s="93"/>
      <x:c r="M186" s="53"/>
    </x:row>
    <x:row r="187">
      <x:c r="A187" s="51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2"/>
      <x:c r="L187" s="93"/>
      <x:c r="M187" s="53"/>
    </x:row>
    <x:row r="188">
      <x:c r="A188" s="51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2"/>
      <x:c r="L188" s="93"/>
      <x:c r="M188" s="53"/>
    </x:row>
    <x:row r="189">
      <x:c r="A189" s="51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2"/>
      <x:c r="L189" s="93"/>
      <x:c r="M189" s="53"/>
    </x:row>
    <x:row r="190">
      <x:c r="A190" s="51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2"/>
      <x:c r="L190" s="93"/>
      <x:c r="M190" s="53"/>
    </x:row>
    <x:row r="191">
      <x:c r="A191" s="51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2"/>
      <x:c r="L191" s="93"/>
      <x:c r="M191" s="53"/>
    </x:row>
    <x:row r="192">
      <x:c r="A192" s="51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2"/>
      <x:c r="L192" s="93"/>
      <x:c r="M192" s="53"/>
    </x:row>
    <x:row r="193">
      <x:c r="A193" s="51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2"/>
      <x:c r="L193" s="93"/>
      <x:c r="M193" s="53"/>
    </x:row>
    <x:row r="194">
      <x:c r="A194" s="51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2"/>
      <x:c r="L194" s="93"/>
      <x:c r="M194" s="53"/>
    </x:row>
    <x:row r="195">
      <x:c r="A195" s="51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2"/>
      <x:c r="L195" s="93"/>
      <x:c r="M195" s="53"/>
    </x:row>
    <x:row r="196">
      <x:c r="A196" s="51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2"/>
      <x:c r="L196" s="93"/>
      <x:c r="M196" s="53"/>
    </x:row>
    <x:row r="197">
      <x:c r="A197" s="51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2"/>
      <x:c r="L197" s="93"/>
      <x:c r="M197" s="53"/>
    </x:row>
    <x:row r="198">
      <x:c r="A198" s="51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2"/>
      <x:c r="L198" s="93"/>
      <x:c r="M198" s="53"/>
    </x:row>
    <x:row r="199">
      <x:c r="A199" s="51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2"/>
      <x:c r="L199" s="93"/>
      <x:c r="M199" s="53"/>
    </x:row>
    <x:row r="200">
      <x:c r="A200" s="51"/>
      <x:c r="B200" s="52"/>
      <x:c r="C200" s="52"/>
      <x:c r="D200" s="52"/>
      <x:c r="E200" s="52"/>
      <x:c r="F200" s="52"/>
      <x:c r="G200" s="52"/>
      <x:c r="H200" s="52"/>
      <x:c r="I200" s="52"/>
      <x:c r="J200" s="52"/>
      <x:c r="K200" s="52"/>
      <x:c r="L200" s="93"/>
      <x:c r="M200" s="53"/>
    </x:row>
    <x:row r="201">
      <x:c r="A201" s="51"/>
      <x:c r="B201" s="52"/>
      <x:c r="C201" s="52"/>
      <x:c r="D201" s="52"/>
      <x:c r="E201" s="52"/>
      <x:c r="F201" s="52"/>
      <x:c r="G201" s="52"/>
      <x:c r="H201" s="52"/>
      <x:c r="I201" s="52"/>
      <x:c r="J201" s="52"/>
      <x:c r="K201" s="52"/>
      <x:c r="L201" s="93"/>
      <x:c r="M201" s="53"/>
    </x:row>
    <x:row r="202">
      <x:c r="A202" s="51"/>
      <x:c r="B202" s="52"/>
      <x:c r="C202" s="52"/>
      <x:c r="D202" s="52"/>
      <x:c r="E202" s="52"/>
      <x:c r="F202" s="52"/>
      <x:c r="G202" s="52"/>
      <x:c r="H202" s="52"/>
      <x:c r="I202" s="52"/>
      <x:c r="J202" s="52"/>
      <x:c r="K202" s="52"/>
      <x:c r="L202" s="93"/>
      <x:c r="M202" s="53"/>
    </x:row>
    <x:row r="203">
      <x:c r="A203" s="54"/>
      <x:c r="B203" s="55"/>
      <x:c r="C203" s="55"/>
      <x:c r="D203" s="55"/>
      <x:c r="E203" s="55"/>
      <x:c r="F203" s="55"/>
      <x:c r="G203" s="55"/>
      <x:c r="H203" s="55"/>
      <x:c r="I203" s="55"/>
      <x:c r="J203" s="55"/>
      <x:c r="K203" s="55"/>
      <x:c r="L203" s="94"/>
      <x:c r="M203" s="56"/>
    </x:row>
    <x:row r="204">
      <x:c r="A204" s="197"/>
    </x:row>
    <x:row r="205">
      <x:c r="A205" s="197"/>
    </x:row>
    <x:row r="206">
      <x:c r="A206" s="197"/>
    </x:row>
    <x:row r="207">
      <x:c r="A207" s="197"/>
    </x:row>
    <x:row r="208">
      <x:c r="A208" s="197"/>
    </x:row>
    <x:row r="209">
      <x:c r="A209" s="197"/>
    </x:row>
    <x:row r="210">
      <x:c r="A210" s="197"/>
    </x:row>
    <x:row r="211">
      <x:c r="A211" s="197"/>
    </x:row>
    <x:row r="212">
      <x:c r="A212" s="197"/>
    </x:row>
    <x:row r="213">
      <x:c r="A213" s="197"/>
    </x:row>
    <x:row r="214">
      <x:c r="A214" s="197"/>
    </x:row>
    <x:row r="215">
      <x:c r="A215" s="197"/>
    </x:row>
    <x:row r="216">
      <x:c r="A216" s="197"/>
    </x:row>
    <x:row r="217">
      <x:c r="A217" s="197"/>
    </x:row>
    <x:row r="218">
      <x:c r="A218" s="197"/>
    </x:row>
    <x:row r="219">
      <x:c r="A219" s="197"/>
    </x:row>
    <x:row r="220">
      <x:c r="A220" s="197"/>
    </x:row>
    <x:row r="221">
      <x:c r="A221" s="197"/>
    </x:row>
    <x:row r="222">
      <x:c r="A222" s="197"/>
    </x:row>
    <x:row r="223">
      <x:c r="A223" s="197"/>
    </x:row>
    <x:row r="224">
      <x:c r="A224" s="197"/>
    </x:row>
    <x:row r="225">
      <x:c r="A225" s="197"/>
    </x:row>
    <x:row r="226">
      <x:c r="A226" s="197"/>
    </x:row>
    <x:row r="227">
      <x:c r="A227" s="197"/>
    </x:row>
    <x:row r="228">
      <x:c r="A228" s="197"/>
    </x:row>
    <x:row r="229">
      <x:c r="A229" s="197"/>
    </x:row>
    <x:row r="230">
      <x:c r="A230" s="197"/>
    </x:row>
    <x:row r="231">
      <x:c r="A231" s="197"/>
    </x:row>
    <x:row r="232">
      <x:c r="A232" s="197"/>
    </x:row>
    <x:row r="233">
      <x:c r="A233" s="197"/>
    </x:row>
    <x:row r="234">
      <x:c r="A234" s="197"/>
    </x:row>
    <x:row r="235">
      <x:c r="A235" s="197"/>
    </x:row>
    <x:row r="236">
      <x:c r="A236" s="197"/>
    </x:row>
    <x:row r="237">
      <x:c r="A237" s="197"/>
    </x:row>
    <x:row r="238">
      <x:c r="A238" s="197"/>
    </x:row>
    <x:row r="239">
      <x:c r="A239" s="197"/>
    </x:row>
    <x:row r="240">
      <x:c r="A240" s="197"/>
    </x:row>
  </x:sheetData>
  <x:mergeCells>
    <x:mergeCell ref="A1:M1"/>
  </x:mergeCells>
  <x:dataValidations count="1">
    <x:dataValidation type="list" sqref="H4:H203">
      <x:formula1>Lists!$I$2:$I$8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34" hidden="0" customWidth="1"/>
    <x:col min="4" max="4" width="18" hidden="0" customWidth="1"/>
    <x:col min="5" max="5" width="13" hidden="0" customWidth="1"/>
    <x:col min="6" max="6" width="14" hidden="0" customWidth="1"/>
    <x:col min="7" max="7" width="30" hidden="0" customWidth="1"/>
    <x:col min="8" max="8" width="20" hidden="0" customWidth="1"/>
    <x:col min="9" max="9" width="30" hidden="0" customWidth="1"/>
    <x:col min="10" max="10" width="30" hidden="0" customWidth="1"/>
    <x:col min="11" max="11" width="30" hidden="0" customWidth="1"/>
    <x:col min="12" max="12" width="20" hidden="0" customWidth="1"/>
    <x:col min="13" max="13" width="18" hidden="0" customWidth="1"/>
    <x:col min="14" max="14" width="16" hidden="0" customWidth="1"/>
  </x:cols>
  <x:sheetData>
    <x:row r="1" ht="34" customHeight="1">
      <x:c r="A1" s="196" t="str">
        <x:v>Evidence Docket</x:v>
      </x:c>
    </x:row>
    <x:row r="2">
      <x:c r="A2" s="197"/>
    </x:row>
    <x:row r="3" ht="30" customHeight="1">
      <x:c r="A3" s="13" t="str">
        <x:v>Evidence ID</x:v>
      </x:c>
      <x:c r="B3" s="14" t="str">
        <x:v>Claim / Debt ID</x:v>
      </x:c>
      <x:c r="C3" s="14" t="str">
        <x:v>Source / Artifact</x:v>
      </x:c>
      <x:c r="D3" s="14" t="str">
        <x:v>Source Type</x:v>
      </x:c>
      <x:c r="E3" s="14" t="str">
        <x:v>Date</x:v>
      </x:c>
      <x:c r="F3" s="14" t="str">
        <x:v>Freshness</x:v>
      </x:c>
      <x:c r="G3" s="14" t="str">
        <x:v>Provenance</x:v>
      </x:c>
      <x:c r="H3" s="14" t="str">
        <x:v>Support Status</x:v>
      </x:c>
      <x:c r="I3" s="14" t="str">
        <x:v>Contradictions</x:v>
      </x:c>
      <x:c r="J3" s="14" t="str">
        <x:v>Replay / Audit Path</x:v>
      </x:c>
      <x:c r="K3" s="14" t="str">
        <x:v>Risk Notes</x:v>
      </x:c>
      <x:c r="L3" s="14" t="str">
        <x:v>Reviewer</x:v>
      </x:c>
      <x:c r="M3" s="14" t="str">
        <x:v>Public / Private</x:v>
      </x:c>
      <x:c r="N3" s="15" t="str">
        <x:v>Mission</x:v>
      </x:c>
    </x:row>
    <x:row r="4">
      <x:c r="A4" s="48" t="str">
        <x:v>EV-001</x:v>
      </x:c>
      <x:c r="B4" s="49" t="str">
        <x:v>PD-001</x:v>
      </x:c>
      <x:c r="C4" s="49" t="str"/>
      <x:c r="D4" s="49" t="str">
        <x:v>Primary source</x:v>
      </x:c>
      <x:c r="E4" s="49" t="str"/>
      <x:c r="F4" s="49" t="str">
        <x:v>Current</x:v>
      </x:c>
      <x:c r="G4" s="49" t="str"/>
      <x:c r="H4" s="49" t="str">
        <x:v>Unreviewed</x:v>
      </x:c>
      <x:c r="I4" s="49" t="str"/>
      <x:c r="J4" s="49" t="str"/>
      <x:c r="K4" s="49" t="str"/>
      <x:c r="L4" s="49" t="str"/>
      <x:c r="M4" s="49" t="str">
        <x:v>Private</x:v>
      </x:c>
      <x:c r="N4" s="50" t="str">
        <x:v>MISSION-001</x:v>
      </x:c>
    </x:row>
    <x:row r="5">
      <x:c r="A5" s="51" t="str">
        <x:v>EV-002</x:v>
      </x:c>
      <x:c r="B5" s="52" t="str">
        <x:v>PD-002</x:v>
      </x:c>
      <x:c r="C5" s="52" t="str"/>
      <x:c r="D5" s="52" t="str">
        <x:v>Internal review</x:v>
      </x:c>
      <x:c r="E5" s="52" t="str"/>
      <x:c r="F5" s="52" t="str">
        <x:v>Current</x:v>
      </x:c>
      <x:c r="G5" s="52" t="str"/>
      <x:c r="H5" s="52" t="str">
        <x:v>Unreviewed</x:v>
      </x:c>
      <x:c r="I5" s="52" t="str"/>
      <x:c r="J5" s="52" t="str"/>
      <x:c r="K5" s="52" t="str"/>
      <x:c r="L5" s="52" t="str"/>
      <x:c r="M5" s="52" t="str">
        <x:v>Private</x:v>
      </x:c>
      <x:c r="N5" s="53" t="str">
        <x:v>MISSION-001</x:v>
      </x:c>
    </x:row>
    <x:row r="6">
      <x:c r="A6" s="51" t="str">
        <x:v>EV-003</x:v>
      </x:c>
      <x:c r="B6" s="52" t="str">
        <x:v>PD-003</x:v>
      </x:c>
      <x:c r="C6" s="52" t="str"/>
      <x:c r="D6" s="52" t="str">
        <x:v>Test / replay</x:v>
      </x:c>
      <x:c r="E6" s="52" t="str"/>
      <x:c r="F6" s="52" t="str">
        <x:v>Current</x:v>
      </x:c>
      <x:c r="G6" s="52" t="str"/>
      <x:c r="H6" s="52" t="str">
        <x:v>Unreviewed</x:v>
      </x:c>
      <x:c r="I6" s="52" t="str"/>
      <x:c r="J6" s="52" t="str"/>
      <x:c r="K6" s="52" t="str"/>
      <x:c r="L6" s="52" t="str"/>
      <x:c r="M6" s="52" t="str">
        <x:v>Private</x:v>
      </x:c>
      <x:c r="N6" s="53" t="str">
        <x:v>MISSION-001</x:v>
      </x:c>
    </x:row>
    <x:row r="7">
      <x:c r="A7" s="51" t="str">
        <x:v>EV-004</x:v>
      </x:c>
      <x:c r="B7" s="52" t="str">
        <x:v>PD-004</x:v>
      </x:c>
      <x:c r="C7" s="52" t="str"/>
      <x:c r="D7" s="52" t="str">
        <x:v>Financial model</x:v>
      </x:c>
      <x:c r="E7" s="52" t="str"/>
      <x:c r="F7" s="52" t="str">
        <x:v>Current</x:v>
      </x:c>
      <x:c r="G7" s="52" t="str"/>
      <x:c r="H7" s="52" t="str">
        <x:v>Unreviewed</x:v>
      </x:c>
      <x:c r="I7" s="52" t="str"/>
      <x:c r="J7" s="52" t="str"/>
      <x:c r="K7" s="52" t="str"/>
      <x:c r="L7" s="52" t="str"/>
      <x:c r="M7" s="52" t="str">
        <x:v>Public-safe</x:v>
      </x:c>
      <x:c r="N7" s="53" t="str">
        <x:v>MISSION-001</x:v>
      </x:c>
    </x:row>
    <x:row r="8">
      <x:c r="A8" s="51"/>
      <x:c r="B8" s="52"/>
      <x:c r="C8" s="52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3"/>
    </x:row>
    <x:row r="9">
      <x:c r="A9" s="51"/>
      <x:c r="B9" s="52"/>
      <x:c r="C9" s="52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3"/>
    </x:row>
    <x:row r="10">
      <x:c r="A10" s="51"/>
      <x:c r="B10" s="52"/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3"/>
    </x:row>
    <x:row r="11">
      <x:c r="A11" s="51"/>
      <x:c r="B11" s="52"/>
      <x:c r="C11" s="52"/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3"/>
    </x:row>
    <x:row r="12">
      <x:c r="A12" s="51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3"/>
    </x:row>
    <x:row r="13">
      <x:c r="A13" s="51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3"/>
    </x:row>
    <x:row r="14">
      <x:c r="A14" s="51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3"/>
    </x:row>
    <x:row r="15">
      <x:c r="A15" s="51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3"/>
    </x:row>
    <x:row r="16">
      <x:c r="A16" s="51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3"/>
    </x:row>
    <x:row r="17">
      <x:c r="A17" s="51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3"/>
    </x:row>
    <x:row r="18">
      <x:c r="A18" s="51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3"/>
    </x:row>
    <x:row r="19">
      <x:c r="A19" s="51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3"/>
    </x:row>
    <x:row r="20">
      <x:c r="A20" s="51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3"/>
    </x:row>
    <x:row r="21">
      <x:c r="A21" s="51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3"/>
    </x:row>
    <x:row r="22">
      <x:c r="A22" s="51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3"/>
    </x:row>
    <x:row r="23">
      <x:c r="A23" s="51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3"/>
    </x:row>
    <x:row r="24">
      <x:c r="A24" s="51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3"/>
    </x:row>
    <x:row r="25">
      <x:c r="A25" s="51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3"/>
    </x:row>
    <x:row r="26">
      <x:c r="A26" s="51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3"/>
    </x:row>
    <x:row r="27">
      <x:c r="A27" s="51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3"/>
    </x:row>
    <x:row r="28">
      <x:c r="A28" s="51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3"/>
    </x:row>
    <x:row r="29">
      <x:c r="A29" s="51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3"/>
    </x:row>
    <x:row r="30">
      <x:c r="A30" s="51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3"/>
    </x:row>
    <x:row r="31">
      <x:c r="A31" s="51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3"/>
    </x:row>
    <x:row r="32">
      <x:c r="A32" s="51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3"/>
    </x:row>
    <x:row r="33">
      <x:c r="A33" s="51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3"/>
    </x:row>
    <x:row r="34">
      <x:c r="A34" s="51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3"/>
    </x:row>
    <x:row r="35">
      <x:c r="A35" s="51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3"/>
    </x:row>
    <x:row r="36">
      <x:c r="A36" s="51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3"/>
    </x:row>
    <x:row r="37">
      <x:c r="A37" s="51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3"/>
    </x:row>
    <x:row r="38">
      <x:c r="A38" s="51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3"/>
    </x:row>
    <x:row r="39">
      <x:c r="A39" s="51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3"/>
    </x:row>
    <x:row r="40">
      <x:c r="A40" s="51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3"/>
    </x:row>
    <x:row r="41">
      <x:c r="A41" s="51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3"/>
    </x:row>
    <x:row r="42">
      <x:c r="A42" s="51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3"/>
    </x:row>
    <x:row r="43">
      <x:c r="A43" s="51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3"/>
    </x:row>
    <x:row r="44">
      <x:c r="A44" s="51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3"/>
    </x:row>
    <x:row r="45">
      <x:c r="A45" s="51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3"/>
    </x:row>
    <x:row r="46">
      <x:c r="A46" s="51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3"/>
    </x:row>
    <x:row r="47">
      <x:c r="A47" s="51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3"/>
    </x:row>
    <x:row r="48">
      <x:c r="A48" s="51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3"/>
    </x:row>
    <x:row r="49">
      <x:c r="A49" s="51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3"/>
    </x:row>
    <x:row r="50">
      <x:c r="A50" s="51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3"/>
    </x:row>
    <x:row r="51">
      <x:c r="A51" s="51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3"/>
    </x:row>
    <x:row r="52">
      <x:c r="A52" s="51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3"/>
    </x:row>
    <x:row r="53">
      <x:c r="A53" s="51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3"/>
    </x:row>
    <x:row r="54">
      <x:c r="A54" s="51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3"/>
    </x:row>
    <x:row r="55">
      <x:c r="A55" s="51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3"/>
    </x:row>
    <x:row r="56">
      <x:c r="A56" s="51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3"/>
    </x:row>
    <x:row r="57">
      <x:c r="A57" s="51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3"/>
    </x:row>
    <x:row r="58">
      <x:c r="A58" s="51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3"/>
    </x:row>
    <x:row r="59">
      <x:c r="A59" s="51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3"/>
    </x:row>
    <x:row r="60">
      <x:c r="A60" s="51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3"/>
    </x:row>
    <x:row r="61">
      <x:c r="A61" s="51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3"/>
    </x:row>
    <x:row r="62">
      <x:c r="A62" s="51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3"/>
    </x:row>
    <x:row r="63">
      <x:c r="A63" s="51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3"/>
    </x:row>
    <x:row r="64">
      <x:c r="A64" s="51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3"/>
    </x:row>
    <x:row r="65">
      <x:c r="A65" s="51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3"/>
    </x:row>
    <x:row r="66">
      <x:c r="A66" s="51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3"/>
    </x:row>
    <x:row r="67">
      <x:c r="A67" s="51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3"/>
    </x:row>
    <x:row r="68">
      <x:c r="A68" s="51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3"/>
    </x:row>
    <x:row r="69">
      <x:c r="A69" s="51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3"/>
    </x:row>
    <x:row r="70">
      <x:c r="A70" s="51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3"/>
    </x:row>
    <x:row r="71">
      <x:c r="A71" s="51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3"/>
    </x:row>
    <x:row r="72">
      <x:c r="A72" s="51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3"/>
    </x:row>
    <x:row r="73">
      <x:c r="A73" s="51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3"/>
    </x:row>
    <x:row r="74">
      <x:c r="A74" s="51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3"/>
    </x:row>
    <x:row r="75">
      <x:c r="A75" s="51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3"/>
    </x:row>
    <x:row r="76">
      <x:c r="A76" s="51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3"/>
    </x:row>
    <x:row r="77">
      <x:c r="A77" s="51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3"/>
    </x:row>
    <x:row r="78">
      <x:c r="A78" s="51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3"/>
    </x:row>
    <x:row r="79">
      <x:c r="A79" s="51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3"/>
    </x:row>
    <x:row r="80">
      <x:c r="A80" s="51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3"/>
    </x:row>
    <x:row r="81">
      <x:c r="A81" s="51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3"/>
    </x:row>
    <x:row r="82">
      <x:c r="A82" s="51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3"/>
    </x:row>
    <x:row r="83">
      <x:c r="A83" s="51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3"/>
    </x:row>
    <x:row r="84">
      <x:c r="A84" s="51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3"/>
    </x:row>
    <x:row r="85">
      <x:c r="A85" s="51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3"/>
    </x:row>
    <x:row r="86">
      <x:c r="A86" s="51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3"/>
    </x:row>
    <x:row r="87">
      <x:c r="A87" s="51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3"/>
    </x:row>
    <x:row r="88">
      <x:c r="A88" s="51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3"/>
    </x:row>
    <x:row r="89">
      <x:c r="A89" s="51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3"/>
    </x:row>
    <x:row r="90">
      <x:c r="A90" s="51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3"/>
    </x:row>
    <x:row r="91">
      <x:c r="A91" s="51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3"/>
    </x:row>
    <x:row r="92">
      <x:c r="A92" s="51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3"/>
    </x:row>
    <x:row r="93">
      <x:c r="A93" s="51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3"/>
    </x:row>
    <x:row r="94">
      <x:c r="A94" s="51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3"/>
    </x:row>
    <x:row r="95">
      <x:c r="A95" s="51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3"/>
    </x:row>
    <x:row r="96">
      <x:c r="A96" s="51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3"/>
    </x:row>
    <x:row r="97">
      <x:c r="A97" s="51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3"/>
    </x:row>
    <x:row r="98">
      <x:c r="A98" s="51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3"/>
    </x:row>
    <x:row r="99">
      <x:c r="A99" s="51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3"/>
    </x:row>
    <x:row r="100">
      <x:c r="A100" s="51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3"/>
    </x:row>
    <x:row r="101">
      <x:c r="A101" s="51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2"/>
      <x:c r="M101" s="52"/>
      <x:c r="N101" s="53"/>
    </x:row>
    <x:row r="102">
      <x:c r="A102" s="51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2"/>
      <x:c r="M102" s="52"/>
      <x:c r="N102" s="53"/>
    </x:row>
    <x:row r="103">
      <x:c r="A103" s="51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  <x:c r="L103" s="52"/>
      <x:c r="M103" s="52"/>
      <x:c r="N103" s="53"/>
    </x:row>
    <x:row r="104">
      <x:c r="A104" s="51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  <x:c r="L104" s="52"/>
      <x:c r="M104" s="52"/>
      <x:c r="N104" s="53"/>
    </x:row>
    <x:row r="105">
      <x:c r="A105" s="51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  <x:c r="L105" s="52"/>
      <x:c r="M105" s="52"/>
      <x:c r="N105" s="53"/>
    </x:row>
    <x:row r="106">
      <x:c r="A106" s="51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  <x:c r="L106" s="52"/>
      <x:c r="M106" s="52"/>
      <x:c r="N106" s="53"/>
    </x:row>
    <x:row r="107">
      <x:c r="A107" s="51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  <x:c r="L107" s="52"/>
      <x:c r="M107" s="52"/>
      <x:c r="N107" s="53"/>
    </x:row>
    <x:row r="108">
      <x:c r="A108" s="51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  <x:c r="L108" s="52"/>
      <x:c r="M108" s="52"/>
      <x:c r="N108" s="53"/>
    </x:row>
    <x:row r="109">
      <x:c r="A109" s="51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  <x:c r="L109" s="52"/>
      <x:c r="M109" s="52"/>
      <x:c r="N109" s="53"/>
    </x:row>
    <x:row r="110">
      <x:c r="A110" s="51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  <x:c r="L110" s="52"/>
      <x:c r="M110" s="52"/>
      <x:c r="N110" s="53"/>
    </x:row>
    <x:row r="111">
      <x:c r="A111" s="51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  <x:c r="L111" s="52"/>
      <x:c r="M111" s="52"/>
      <x:c r="N111" s="53"/>
    </x:row>
    <x:row r="112">
      <x:c r="A112" s="51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  <x:c r="L112" s="52"/>
      <x:c r="M112" s="52"/>
      <x:c r="N112" s="53"/>
    </x:row>
    <x:row r="113">
      <x:c r="A113" s="51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  <x:c r="L113" s="52"/>
      <x:c r="M113" s="52"/>
      <x:c r="N113" s="53"/>
    </x:row>
    <x:row r="114">
      <x:c r="A114" s="51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  <x:c r="L114" s="52"/>
      <x:c r="M114" s="52"/>
      <x:c r="N114" s="53"/>
    </x:row>
    <x:row r="115">
      <x:c r="A115" s="51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  <x:c r="L115" s="52"/>
      <x:c r="M115" s="52"/>
      <x:c r="N115" s="53"/>
    </x:row>
    <x:row r="116">
      <x:c r="A116" s="51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  <x:c r="L116" s="52"/>
      <x:c r="M116" s="52"/>
      <x:c r="N116" s="53"/>
    </x:row>
    <x:row r="117">
      <x:c r="A117" s="51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  <x:c r="L117" s="52"/>
      <x:c r="M117" s="52"/>
      <x:c r="N117" s="53"/>
    </x:row>
    <x:row r="118">
      <x:c r="A118" s="51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  <x:c r="L118" s="52"/>
      <x:c r="M118" s="52"/>
      <x:c r="N118" s="53"/>
    </x:row>
    <x:row r="119">
      <x:c r="A119" s="51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  <x:c r="L119" s="52"/>
      <x:c r="M119" s="52"/>
      <x:c r="N119" s="53"/>
    </x:row>
    <x:row r="120">
      <x:c r="A120" s="51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  <x:c r="L120" s="52"/>
      <x:c r="M120" s="52"/>
      <x:c r="N120" s="53"/>
    </x:row>
    <x:row r="121">
      <x:c r="A121" s="51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2"/>
      <x:c r="L121" s="52"/>
      <x:c r="M121" s="52"/>
      <x:c r="N121" s="53"/>
    </x:row>
    <x:row r="122">
      <x:c r="A122" s="51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2"/>
      <x:c r="L122" s="52"/>
      <x:c r="M122" s="52"/>
      <x:c r="N122" s="53"/>
    </x:row>
    <x:row r="123">
      <x:c r="A123" s="51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2"/>
      <x:c r="L123" s="52"/>
      <x:c r="M123" s="52"/>
      <x:c r="N123" s="53"/>
    </x:row>
    <x:row r="124">
      <x:c r="A124" s="51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2"/>
      <x:c r="L124" s="52"/>
      <x:c r="M124" s="52"/>
      <x:c r="N124" s="53"/>
    </x:row>
    <x:row r="125">
      <x:c r="A125" s="51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2"/>
      <x:c r="L125" s="52"/>
      <x:c r="M125" s="52"/>
      <x:c r="N125" s="53"/>
    </x:row>
    <x:row r="126">
      <x:c r="A126" s="51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2"/>
      <x:c r="L126" s="52"/>
      <x:c r="M126" s="52"/>
      <x:c r="N126" s="53"/>
    </x:row>
    <x:row r="127">
      <x:c r="A127" s="51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2"/>
      <x:c r="L127" s="52"/>
      <x:c r="M127" s="52"/>
      <x:c r="N127" s="53"/>
    </x:row>
    <x:row r="128">
      <x:c r="A128" s="51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2"/>
      <x:c r="L128" s="52"/>
      <x:c r="M128" s="52"/>
      <x:c r="N128" s="53"/>
    </x:row>
    <x:row r="129">
      <x:c r="A129" s="51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2"/>
      <x:c r="L129" s="52"/>
      <x:c r="M129" s="52"/>
      <x:c r="N129" s="53"/>
    </x:row>
    <x:row r="130">
      <x:c r="A130" s="51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2"/>
      <x:c r="L130" s="52"/>
      <x:c r="M130" s="52"/>
      <x:c r="N130" s="53"/>
    </x:row>
    <x:row r="131">
      <x:c r="A131" s="51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2"/>
      <x:c r="L131" s="52"/>
      <x:c r="M131" s="52"/>
      <x:c r="N131" s="53"/>
    </x:row>
    <x:row r="132">
      <x:c r="A132" s="51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2"/>
      <x:c r="L132" s="52"/>
      <x:c r="M132" s="52"/>
      <x:c r="N132" s="53"/>
    </x:row>
    <x:row r="133">
      <x:c r="A133" s="51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2"/>
      <x:c r="L133" s="52"/>
      <x:c r="M133" s="52"/>
      <x:c r="N133" s="53"/>
    </x:row>
    <x:row r="134">
      <x:c r="A134" s="51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2"/>
      <x:c r="L134" s="52"/>
      <x:c r="M134" s="52"/>
      <x:c r="N134" s="53"/>
    </x:row>
    <x:row r="135">
      <x:c r="A135" s="51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2"/>
      <x:c r="L135" s="52"/>
      <x:c r="M135" s="52"/>
      <x:c r="N135" s="53"/>
    </x:row>
    <x:row r="136">
      <x:c r="A136" s="51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2"/>
      <x:c r="L136" s="52"/>
      <x:c r="M136" s="52"/>
      <x:c r="N136" s="53"/>
    </x:row>
    <x:row r="137">
      <x:c r="A137" s="51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2"/>
      <x:c r="L137" s="52"/>
      <x:c r="M137" s="52"/>
      <x:c r="N137" s="53"/>
    </x:row>
    <x:row r="138">
      <x:c r="A138" s="51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2"/>
      <x:c r="L138" s="52"/>
      <x:c r="M138" s="52"/>
      <x:c r="N138" s="53"/>
    </x:row>
    <x:row r="139">
      <x:c r="A139" s="51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2"/>
      <x:c r="L139" s="52"/>
      <x:c r="M139" s="52"/>
      <x:c r="N139" s="53"/>
    </x:row>
    <x:row r="140">
      <x:c r="A140" s="51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2"/>
      <x:c r="L140" s="52"/>
      <x:c r="M140" s="52"/>
      <x:c r="N140" s="53"/>
    </x:row>
    <x:row r="141">
      <x:c r="A141" s="51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2"/>
      <x:c r="L141" s="52"/>
      <x:c r="M141" s="52"/>
      <x:c r="N141" s="53"/>
    </x:row>
    <x:row r="142">
      <x:c r="A142" s="51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2"/>
      <x:c r="L142" s="52"/>
      <x:c r="M142" s="52"/>
      <x:c r="N142" s="53"/>
    </x:row>
    <x:row r="143">
      <x:c r="A143" s="51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2"/>
      <x:c r="L143" s="52"/>
      <x:c r="M143" s="52"/>
      <x:c r="N143" s="53"/>
    </x:row>
    <x:row r="144">
      <x:c r="A144" s="51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2"/>
      <x:c r="L144" s="52"/>
      <x:c r="M144" s="52"/>
      <x:c r="N144" s="53"/>
    </x:row>
    <x:row r="145">
      <x:c r="A145" s="51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2"/>
      <x:c r="L145" s="52"/>
      <x:c r="M145" s="52"/>
      <x:c r="N145" s="53"/>
    </x:row>
    <x:row r="146">
      <x:c r="A146" s="51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2"/>
      <x:c r="L146" s="52"/>
      <x:c r="M146" s="52"/>
      <x:c r="N146" s="53"/>
    </x:row>
    <x:row r="147">
      <x:c r="A147" s="51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2"/>
      <x:c r="L147" s="52"/>
      <x:c r="M147" s="52"/>
      <x:c r="N147" s="53"/>
    </x:row>
    <x:row r="148">
      <x:c r="A148" s="51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2"/>
      <x:c r="L148" s="52"/>
      <x:c r="M148" s="52"/>
      <x:c r="N148" s="53"/>
    </x:row>
    <x:row r="149">
      <x:c r="A149" s="51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2"/>
      <x:c r="L149" s="52"/>
      <x:c r="M149" s="52"/>
      <x:c r="N149" s="53"/>
    </x:row>
    <x:row r="150">
      <x:c r="A150" s="51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2"/>
      <x:c r="L150" s="52"/>
      <x:c r="M150" s="52"/>
      <x:c r="N150" s="53"/>
    </x:row>
    <x:row r="151">
      <x:c r="A151" s="51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2"/>
      <x:c r="L151" s="52"/>
      <x:c r="M151" s="52"/>
      <x:c r="N151" s="53"/>
    </x:row>
    <x:row r="152">
      <x:c r="A152" s="51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2"/>
      <x:c r="L152" s="52"/>
      <x:c r="M152" s="52"/>
      <x:c r="N152" s="53"/>
    </x:row>
    <x:row r="153">
      <x:c r="A153" s="51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2"/>
      <x:c r="L153" s="52"/>
      <x:c r="M153" s="52"/>
      <x:c r="N153" s="53"/>
    </x:row>
    <x:row r="154">
      <x:c r="A154" s="51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2"/>
      <x:c r="L154" s="52"/>
      <x:c r="M154" s="52"/>
      <x:c r="N154" s="53"/>
    </x:row>
    <x:row r="155">
      <x:c r="A155" s="51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2"/>
      <x:c r="L155" s="52"/>
      <x:c r="M155" s="52"/>
      <x:c r="N155" s="53"/>
    </x:row>
    <x:row r="156">
      <x:c r="A156" s="51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2"/>
      <x:c r="L156" s="52"/>
      <x:c r="M156" s="52"/>
      <x:c r="N156" s="53"/>
    </x:row>
    <x:row r="157">
      <x:c r="A157" s="51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2"/>
      <x:c r="L157" s="52"/>
      <x:c r="M157" s="52"/>
      <x:c r="N157" s="53"/>
    </x:row>
    <x:row r="158">
      <x:c r="A158" s="51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2"/>
      <x:c r="L158" s="52"/>
      <x:c r="M158" s="52"/>
      <x:c r="N158" s="53"/>
    </x:row>
    <x:row r="159">
      <x:c r="A159" s="51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2"/>
      <x:c r="L159" s="52"/>
      <x:c r="M159" s="52"/>
      <x:c r="N159" s="53"/>
    </x:row>
    <x:row r="160">
      <x:c r="A160" s="51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2"/>
      <x:c r="L160" s="52"/>
      <x:c r="M160" s="52"/>
      <x:c r="N160" s="53"/>
    </x:row>
    <x:row r="161">
      <x:c r="A161" s="51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2"/>
      <x:c r="L161" s="52"/>
      <x:c r="M161" s="52"/>
      <x:c r="N161" s="53"/>
    </x:row>
    <x:row r="162">
      <x:c r="A162" s="51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2"/>
      <x:c r="L162" s="52"/>
      <x:c r="M162" s="52"/>
      <x:c r="N162" s="53"/>
    </x:row>
    <x:row r="163">
      <x:c r="A163" s="51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2"/>
      <x:c r="L163" s="52"/>
      <x:c r="M163" s="52"/>
      <x:c r="N163" s="53"/>
    </x:row>
    <x:row r="164">
      <x:c r="A164" s="51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2"/>
      <x:c r="L164" s="52"/>
      <x:c r="M164" s="52"/>
      <x:c r="N164" s="53"/>
    </x:row>
    <x:row r="165">
      <x:c r="A165" s="51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2"/>
      <x:c r="L165" s="52"/>
      <x:c r="M165" s="52"/>
      <x:c r="N165" s="53"/>
    </x:row>
    <x:row r="166">
      <x:c r="A166" s="51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2"/>
      <x:c r="L166" s="52"/>
      <x:c r="M166" s="52"/>
      <x:c r="N166" s="53"/>
    </x:row>
    <x:row r="167">
      <x:c r="A167" s="51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2"/>
      <x:c r="L167" s="52"/>
      <x:c r="M167" s="52"/>
      <x:c r="N167" s="53"/>
    </x:row>
    <x:row r="168">
      <x:c r="A168" s="51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2"/>
      <x:c r="L168" s="52"/>
      <x:c r="M168" s="52"/>
      <x:c r="N168" s="53"/>
    </x:row>
    <x:row r="169">
      <x:c r="A169" s="51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2"/>
      <x:c r="L169" s="52"/>
      <x:c r="M169" s="52"/>
      <x:c r="N169" s="53"/>
    </x:row>
    <x:row r="170">
      <x:c r="A170" s="51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2"/>
      <x:c r="L170" s="52"/>
      <x:c r="M170" s="52"/>
      <x:c r="N170" s="53"/>
    </x:row>
    <x:row r="171">
      <x:c r="A171" s="51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2"/>
      <x:c r="L171" s="52"/>
      <x:c r="M171" s="52"/>
      <x:c r="N171" s="53"/>
    </x:row>
    <x:row r="172">
      <x:c r="A172" s="51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2"/>
      <x:c r="L172" s="52"/>
      <x:c r="M172" s="52"/>
      <x:c r="N172" s="53"/>
    </x:row>
    <x:row r="173">
      <x:c r="A173" s="51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2"/>
      <x:c r="L173" s="52"/>
      <x:c r="M173" s="52"/>
      <x:c r="N173" s="53"/>
    </x:row>
    <x:row r="174">
      <x:c r="A174" s="51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2"/>
      <x:c r="L174" s="52"/>
      <x:c r="M174" s="52"/>
      <x:c r="N174" s="53"/>
    </x:row>
    <x:row r="175">
      <x:c r="A175" s="51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2"/>
      <x:c r="L175" s="52"/>
      <x:c r="M175" s="52"/>
      <x:c r="N175" s="53"/>
    </x:row>
    <x:row r="176">
      <x:c r="A176" s="51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2"/>
      <x:c r="L176" s="52"/>
      <x:c r="M176" s="52"/>
      <x:c r="N176" s="53"/>
    </x:row>
    <x:row r="177">
      <x:c r="A177" s="51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2"/>
      <x:c r="L177" s="52"/>
      <x:c r="M177" s="52"/>
      <x:c r="N177" s="53"/>
    </x:row>
    <x:row r="178">
      <x:c r="A178" s="51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2"/>
      <x:c r="L178" s="52"/>
      <x:c r="M178" s="52"/>
      <x:c r="N178" s="53"/>
    </x:row>
    <x:row r="179">
      <x:c r="A179" s="51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2"/>
      <x:c r="L179" s="52"/>
      <x:c r="M179" s="52"/>
      <x:c r="N179" s="53"/>
    </x:row>
    <x:row r="180">
      <x:c r="A180" s="51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2"/>
      <x:c r="L180" s="52"/>
      <x:c r="M180" s="52"/>
      <x:c r="N180" s="53"/>
    </x:row>
    <x:row r="181">
      <x:c r="A181" s="51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2"/>
      <x:c r="L181" s="52"/>
      <x:c r="M181" s="52"/>
      <x:c r="N181" s="53"/>
    </x:row>
    <x:row r="182">
      <x:c r="A182" s="51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2"/>
      <x:c r="L182" s="52"/>
      <x:c r="M182" s="52"/>
      <x:c r="N182" s="53"/>
    </x:row>
    <x:row r="183">
      <x:c r="A183" s="51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2"/>
      <x:c r="L183" s="52"/>
      <x:c r="M183" s="52"/>
      <x:c r="N183" s="53"/>
    </x:row>
    <x:row r="184">
      <x:c r="A184" s="51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2"/>
      <x:c r="L184" s="52"/>
      <x:c r="M184" s="52"/>
      <x:c r="N184" s="53"/>
    </x:row>
    <x:row r="185">
      <x:c r="A185" s="51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2"/>
      <x:c r="L185" s="52"/>
      <x:c r="M185" s="52"/>
      <x:c r="N185" s="53"/>
    </x:row>
    <x:row r="186">
      <x:c r="A186" s="51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2"/>
      <x:c r="L186" s="52"/>
      <x:c r="M186" s="52"/>
      <x:c r="N186" s="53"/>
    </x:row>
    <x:row r="187">
      <x:c r="A187" s="51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2"/>
      <x:c r="L187" s="52"/>
      <x:c r="M187" s="52"/>
      <x:c r="N187" s="53"/>
    </x:row>
    <x:row r="188">
      <x:c r="A188" s="51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2"/>
      <x:c r="L188" s="52"/>
      <x:c r="M188" s="52"/>
      <x:c r="N188" s="53"/>
    </x:row>
    <x:row r="189">
      <x:c r="A189" s="51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2"/>
      <x:c r="L189" s="52"/>
      <x:c r="M189" s="52"/>
      <x:c r="N189" s="53"/>
    </x:row>
    <x:row r="190">
      <x:c r="A190" s="51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2"/>
      <x:c r="L190" s="52"/>
      <x:c r="M190" s="52"/>
      <x:c r="N190" s="53"/>
    </x:row>
    <x:row r="191">
      <x:c r="A191" s="51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2"/>
      <x:c r="L191" s="52"/>
      <x:c r="M191" s="52"/>
      <x:c r="N191" s="53"/>
    </x:row>
    <x:row r="192">
      <x:c r="A192" s="51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2"/>
      <x:c r="L192" s="52"/>
      <x:c r="M192" s="52"/>
      <x:c r="N192" s="53"/>
    </x:row>
    <x:row r="193">
      <x:c r="A193" s="51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2"/>
      <x:c r="L193" s="52"/>
      <x:c r="M193" s="52"/>
      <x:c r="N193" s="53"/>
    </x:row>
    <x:row r="194">
      <x:c r="A194" s="51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2"/>
      <x:c r="L194" s="52"/>
      <x:c r="M194" s="52"/>
      <x:c r="N194" s="53"/>
    </x:row>
    <x:row r="195">
      <x:c r="A195" s="51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2"/>
      <x:c r="L195" s="52"/>
      <x:c r="M195" s="52"/>
      <x:c r="N195" s="53"/>
    </x:row>
    <x:row r="196">
      <x:c r="A196" s="51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2"/>
      <x:c r="L196" s="52"/>
      <x:c r="M196" s="52"/>
      <x:c r="N196" s="53"/>
    </x:row>
    <x:row r="197">
      <x:c r="A197" s="51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2"/>
      <x:c r="L197" s="52"/>
      <x:c r="M197" s="52"/>
      <x:c r="N197" s="53"/>
    </x:row>
    <x:row r="198">
      <x:c r="A198" s="51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2"/>
      <x:c r="L198" s="52"/>
      <x:c r="M198" s="52"/>
      <x:c r="N198" s="53"/>
    </x:row>
    <x:row r="199">
      <x:c r="A199" s="51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2"/>
      <x:c r="L199" s="52"/>
      <x:c r="M199" s="52"/>
      <x:c r="N199" s="53"/>
    </x:row>
    <x:row r="200">
      <x:c r="A200" s="51"/>
      <x:c r="B200" s="52"/>
      <x:c r="C200" s="52"/>
      <x:c r="D200" s="52"/>
      <x:c r="E200" s="52"/>
      <x:c r="F200" s="52"/>
      <x:c r="G200" s="52"/>
      <x:c r="H200" s="52"/>
      <x:c r="I200" s="52"/>
      <x:c r="J200" s="52"/>
      <x:c r="K200" s="52"/>
      <x:c r="L200" s="52"/>
      <x:c r="M200" s="52"/>
      <x:c r="N200" s="53"/>
    </x:row>
    <x:row r="201">
      <x:c r="A201" s="51"/>
      <x:c r="B201" s="52"/>
      <x:c r="C201" s="52"/>
      <x:c r="D201" s="52"/>
      <x:c r="E201" s="52"/>
      <x:c r="F201" s="52"/>
      <x:c r="G201" s="52"/>
      <x:c r="H201" s="52"/>
      <x:c r="I201" s="52"/>
      <x:c r="J201" s="52"/>
      <x:c r="K201" s="52"/>
      <x:c r="L201" s="52"/>
      <x:c r="M201" s="52"/>
      <x:c r="N201" s="53"/>
    </x:row>
    <x:row r="202">
      <x:c r="A202" s="51"/>
      <x:c r="B202" s="52"/>
      <x:c r="C202" s="52"/>
      <x:c r="D202" s="52"/>
      <x:c r="E202" s="52"/>
      <x:c r="F202" s="52"/>
      <x:c r="G202" s="52"/>
      <x:c r="H202" s="52"/>
      <x:c r="I202" s="52"/>
      <x:c r="J202" s="52"/>
      <x:c r="K202" s="52"/>
      <x:c r="L202" s="52"/>
      <x:c r="M202" s="52"/>
      <x:c r="N202" s="53"/>
    </x:row>
    <x:row r="203">
      <x:c r="A203" s="54"/>
      <x:c r="B203" s="55"/>
      <x:c r="C203" s="55"/>
      <x:c r="D203" s="55"/>
      <x:c r="E203" s="55"/>
      <x:c r="F203" s="55"/>
      <x:c r="G203" s="55"/>
      <x:c r="H203" s="55"/>
      <x:c r="I203" s="55"/>
      <x:c r="J203" s="55"/>
      <x:c r="K203" s="55"/>
      <x:c r="L203" s="55"/>
      <x:c r="M203" s="55"/>
      <x:c r="N203" s="56"/>
    </x:row>
    <x:row r="204">
      <x:c r="A204" s="197"/>
    </x:row>
    <x:row r="205">
      <x:c r="A205" s="197"/>
    </x:row>
    <x:row r="206">
      <x:c r="A206" s="197"/>
    </x:row>
    <x:row r="207">
      <x:c r="A207" s="197"/>
    </x:row>
    <x:row r="208">
      <x:c r="A208" s="197"/>
    </x:row>
    <x:row r="209">
      <x:c r="A209" s="197"/>
    </x:row>
    <x:row r="210">
      <x:c r="A210" s="197"/>
    </x:row>
    <x:row r="211">
      <x:c r="A211" s="197"/>
    </x:row>
    <x:row r="212">
      <x:c r="A212" s="197"/>
    </x:row>
    <x:row r="213">
      <x:c r="A213" s="197"/>
    </x:row>
    <x:row r="214">
      <x:c r="A214" s="197"/>
    </x:row>
    <x:row r="215">
      <x:c r="A215" s="197"/>
    </x:row>
    <x:row r="216">
      <x:c r="A216" s="197"/>
    </x:row>
    <x:row r="217">
      <x:c r="A217" s="197"/>
    </x:row>
    <x:row r="218">
      <x:c r="A218" s="197"/>
    </x:row>
    <x:row r="219">
      <x:c r="A219" s="197"/>
    </x:row>
    <x:row r="220">
      <x:c r="A220" s="197"/>
    </x:row>
    <x:row r="221">
      <x:c r="A221" s="197"/>
    </x:row>
    <x:row r="222">
      <x:c r="A222" s="197"/>
    </x:row>
    <x:row r="223">
      <x:c r="A223" s="197"/>
    </x:row>
    <x:row r="224">
      <x:c r="A224" s="197"/>
    </x:row>
    <x:row r="225">
      <x:c r="A225" s="197"/>
    </x:row>
    <x:row r="226">
      <x:c r="A226" s="197"/>
    </x:row>
    <x:row r="227">
      <x:c r="A227" s="197"/>
    </x:row>
    <x:row r="228">
      <x:c r="A228" s="197"/>
    </x:row>
    <x:row r="229">
      <x:c r="A229" s="197"/>
    </x:row>
    <x:row r="230">
      <x:c r="A230" s="197"/>
    </x:row>
    <x:row r="231">
      <x:c r="A231" s="197"/>
    </x:row>
    <x:row r="232">
      <x:c r="A232" s="197"/>
    </x:row>
    <x:row r="233">
      <x:c r="A233" s="197"/>
    </x:row>
    <x:row r="234">
      <x:c r="A234" s="197"/>
    </x:row>
    <x:row r="235">
      <x:c r="A235" s="197"/>
    </x:row>
    <x:row r="236">
      <x:c r="A236" s="197"/>
    </x:row>
    <x:row r="237">
      <x:c r="A237" s="197"/>
    </x:row>
    <x:row r="238">
      <x:c r="A238" s="197"/>
    </x:row>
    <x:row r="239">
      <x:c r="A239" s="197"/>
    </x:row>
    <x:row r="240">
      <x:c r="A240" s="197"/>
    </x:row>
  </x:sheetData>
  <x:mergeCells>
    <x:mergeCell ref="A1:N1"/>
  </x:mergeCells>
  <x:conditionalFormatting sqref="H4:H203">
    <x:cfRule type="expression" dxfId="4" priority="1">
      <x:formula>H4="Accepted"</x:formula>
    </x:cfRule>
    <x:cfRule type="expression" dxfId="5" priority="2">
      <x:formula>H4="Contradicted"</x:formula>
    </x:cfRule>
  </x:conditionalFormatting>
  <x:dataValidations count="1">
    <x:dataValidation type="list" sqref="H4:H203">
      <x:formula1>Lists!$J$2:$J$8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4" hidden="0" customWidth="1"/>
    <x:col min="4" max="4" width="16" hidden="0" customWidth="1"/>
    <x:col min="5" max="5" width="20" hidden="0" customWidth="1"/>
    <x:col min="6" max="6" width="24" hidden="0" customWidth="1"/>
    <x:col min="7" max="7" width="20" hidden="0" customWidth="1"/>
    <x:col min="8" max="8" width="20" hidden="0" customWidth="1"/>
    <x:col min="9" max="9" width="16" hidden="0" customWidth="1"/>
    <x:col min="10" max="10" width="34" hidden="0" customWidth="1"/>
  </x:cols>
  <x:sheetData>
    <x:row r="1" ht="34" customHeight="1">
      <x:c r="A1" s="196" t="str">
        <x:v>Reviewer and Validator Roster</x:v>
      </x:c>
    </x:row>
    <x:row r="2">
      <x:c r="A2" s="197"/>
    </x:row>
    <x:row r="3" ht="30" customHeight="1">
      <x:c r="A3" s="13" t="str">
        <x:v>Name / ID</x:v>
      </x:c>
      <x:c r="B3" s="14" t="str">
        <x:v>Role</x:v>
      </x:c>
      <x:c r="C3" s="14" t="str">
        <x:v>Domain</x:v>
      </x:c>
      <x:c r="D3" s="14" t="str">
        <x:v>Independence</x:v>
      </x:c>
      <x:c r="E3" s="14" t="str">
        <x:v>Conflict Check</x:v>
      </x:c>
      <x:c r="F3" s="14" t="str">
        <x:v>Assigned Jobs</x:v>
      </x:c>
      <x:c r="G3" s="14" t="str">
        <x:v>Rate / Terms</x:v>
      </x:c>
      <x:c r="H3" s="14" t="str">
        <x:v>Verdict</x:v>
      </x:c>
      <x:c r="I3" s="14" t="str">
        <x:v>Status</x:v>
      </x:c>
      <x:c r="J3" s="15" t="str">
        <x:v>Notes</x:v>
      </x:c>
    </x:row>
    <x:row r="4">
      <x:c r="A4" s="48" t="str"/>
      <x:c r="B4" s="49" t="str">
        <x:v>Lead reviewer</x:v>
      </x:c>
      <x:c r="C4" s="49" t="str">
        <x:v>Enterprise AI</x:v>
      </x:c>
      <x:c r="D4" s="49" t="str">
        <x:v>External</x:v>
      </x:c>
      <x:c r="E4" s="49" t="str"/>
      <x:c r="F4" s="49" t="str"/>
      <x:c r="G4" s="49" t="str"/>
      <x:c r="H4" s="49" t="str">
        <x:v>Pending</x:v>
      </x:c>
      <x:c r="I4" s="49" t="str">
        <x:v>Prospect</x:v>
      </x:c>
      <x:c r="J4" s="50" t="str"/>
    </x:row>
    <x:row r="5">
      <x:c r="A5" s="51" t="str"/>
      <x:c r="B5" s="52" t="str">
        <x:v>Privacy / security reviewer</x:v>
      </x:c>
      <x:c r="C5" s="52" t="str">
        <x:v>Security / privacy</x:v>
      </x:c>
      <x:c r="D5" s="52" t="str">
        <x:v>External</x:v>
      </x:c>
      <x:c r="E5" s="52" t="str"/>
      <x:c r="F5" s="52" t="str"/>
      <x:c r="G5" s="52" t="str"/>
      <x:c r="H5" s="52" t="str">
        <x:v>Pending</x:v>
      </x:c>
      <x:c r="I5" s="52" t="str">
        <x:v>Prospect</x:v>
      </x:c>
      <x:c r="J5" s="53" t="str"/>
    </x:row>
    <x:row r="6">
      <x:c r="A6" s="51" t="str"/>
      <x:c r="B6" s="52" t="str">
        <x:v>Commercial reviewer</x:v>
      </x:c>
      <x:c r="C6" s="52" t="str">
        <x:v>Finance / procurement</x:v>
      </x:c>
      <x:c r="D6" s="52" t="str">
        <x:v>Independent</x:v>
      </x:c>
      <x:c r="E6" s="52" t="str"/>
      <x:c r="F6" s="52" t="str"/>
      <x:c r="G6" s="52" t="str"/>
      <x:c r="H6" s="52" t="str">
        <x:v>Pending</x:v>
      </x:c>
      <x:c r="I6" s="52" t="str">
        <x:v>Prospect</x:v>
      </x:c>
      <x:c r="J6" s="53" t="str"/>
    </x:row>
    <x:row r="7">
      <x:c r="A7" s="51" t="str"/>
      <x:c r="B7" s="52" t="str">
        <x:v>Executive sponsor</x:v>
      </x:c>
      <x:c r="C7" s="52" t="str">
        <x:v>Decision authority</x:v>
      </x:c>
      <x:c r="D7" s="52" t="str">
        <x:v>Internal</x:v>
      </x:c>
      <x:c r="E7" s="52" t="str"/>
      <x:c r="F7" s="52" t="str"/>
      <x:c r="G7" s="52" t="str"/>
      <x:c r="H7" s="52" t="str">
        <x:v>Pending</x:v>
      </x:c>
      <x:c r="I7" s="52" t="str">
        <x:v>Active</x:v>
      </x:c>
      <x:c r="J7" s="53" t="str"/>
    </x:row>
    <x:row r="8">
      <x:c r="A8" s="51" t="str"/>
      <x:c r="B8" s="52" t="str">
        <x:v>Boundary sentinel</x:v>
      </x:c>
      <x:c r="C8" s="52" t="str">
        <x:v>Claim and scope control</x:v>
      </x:c>
      <x:c r="D8" s="52" t="str">
        <x:v>Internal</x:v>
      </x:c>
      <x:c r="E8" s="52" t="str"/>
      <x:c r="F8" s="52" t="str"/>
      <x:c r="G8" s="52" t="str"/>
      <x:c r="H8" s="52" t="str">
        <x:v>Pending</x:v>
      </x:c>
      <x:c r="I8" s="52" t="str">
        <x:v>Active</x:v>
      </x:c>
      <x:c r="J8" s="53" t="str"/>
    </x:row>
    <x:row r="9">
      <x:c r="A9" s="51"/>
      <x:c r="B9" s="52"/>
      <x:c r="C9" s="52"/>
      <x:c r="D9" s="52"/>
      <x:c r="E9" s="52"/>
      <x:c r="F9" s="52"/>
      <x:c r="G9" s="52"/>
      <x:c r="H9" s="52"/>
      <x:c r="I9" s="52"/>
      <x:c r="J9" s="53"/>
    </x:row>
    <x:row r="10">
      <x:c r="A10" s="51"/>
      <x:c r="B10" s="52"/>
      <x:c r="C10" s="52"/>
      <x:c r="D10" s="52"/>
      <x:c r="E10" s="52"/>
      <x:c r="F10" s="52"/>
      <x:c r="G10" s="52"/>
      <x:c r="H10" s="52"/>
      <x:c r="I10" s="52"/>
      <x:c r="J10" s="53"/>
    </x:row>
    <x:row r="11">
      <x:c r="A11" s="51"/>
      <x:c r="B11" s="52"/>
      <x:c r="C11" s="52"/>
      <x:c r="D11" s="52"/>
      <x:c r="E11" s="52"/>
      <x:c r="F11" s="52"/>
      <x:c r="G11" s="52"/>
      <x:c r="H11" s="52"/>
      <x:c r="I11" s="52"/>
      <x:c r="J11" s="53"/>
    </x:row>
    <x:row r="12">
      <x:c r="A12" s="51"/>
      <x:c r="B12" s="52"/>
      <x:c r="C12" s="52"/>
      <x:c r="D12" s="52"/>
      <x:c r="E12" s="52"/>
      <x:c r="F12" s="52"/>
      <x:c r="G12" s="52"/>
      <x:c r="H12" s="52"/>
      <x:c r="I12" s="52"/>
      <x:c r="J12" s="53"/>
    </x:row>
    <x:row r="13">
      <x:c r="A13" s="51"/>
      <x:c r="B13" s="52"/>
      <x:c r="C13" s="52"/>
      <x:c r="D13" s="52"/>
      <x:c r="E13" s="52"/>
      <x:c r="F13" s="52"/>
      <x:c r="G13" s="52"/>
      <x:c r="H13" s="52"/>
      <x:c r="I13" s="52"/>
      <x:c r="J13" s="53"/>
    </x:row>
    <x:row r="14">
      <x:c r="A14" s="51"/>
      <x:c r="B14" s="52"/>
      <x:c r="C14" s="52"/>
      <x:c r="D14" s="52"/>
      <x:c r="E14" s="52"/>
      <x:c r="F14" s="52"/>
      <x:c r="G14" s="52"/>
      <x:c r="H14" s="52"/>
      <x:c r="I14" s="52"/>
      <x:c r="J14" s="53"/>
    </x:row>
    <x:row r="15">
      <x:c r="A15" s="51"/>
      <x:c r="B15" s="52"/>
      <x:c r="C15" s="52"/>
      <x:c r="D15" s="52"/>
      <x:c r="E15" s="52"/>
      <x:c r="F15" s="52"/>
      <x:c r="G15" s="52"/>
      <x:c r="H15" s="52"/>
      <x:c r="I15" s="52"/>
      <x:c r="J15" s="53"/>
    </x:row>
    <x:row r="16">
      <x:c r="A16" s="51"/>
      <x:c r="B16" s="52"/>
      <x:c r="C16" s="52"/>
      <x:c r="D16" s="52"/>
      <x:c r="E16" s="52"/>
      <x:c r="F16" s="52"/>
      <x:c r="G16" s="52"/>
      <x:c r="H16" s="52"/>
      <x:c r="I16" s="52"/>
      <x:c r="J16" s="53"/>
    </x:row>
    <x:row r="17">
      <x:c r="A17" s="51"/>
      <x:c r="B17" s="52"/>
      <x:c r="C17" s="52"/>
      <x:c r="D17" s="52"/>
      <x:c r="E17" s="52"/>
      <x:c r="F17" s="52"/>
      <x:c r="G17" s="52"/>
      <x:c r="H17" s="52"/>
      <x:c r="I17" s="52"/>
      <x:c r="J17" s="53"/>
    </x:row>
    <x:row r="18">
      <x:c r="A18" s="51"/>
      <x:c r="B18" s="52"/>
      <x:c r="C18" s="52"/>
      <x:c r="D18" s="52"/>
      <x:c r="E18" s="52"/>
      <x:c r="F18" s="52"/>
      <x:c r="G18" s="52"/>
      <x:c r="H18" s="52"/>
      <x:c r="I18" s="52"/>
      <x:c r="J18" s="53"/>
    </x:row>
    <x:row r="19">
      <x:c r="A19" s="51"/>
      <x:c r="B19" s="52"/>
      <x:c r="C19" s="52"/>
      <x:c r="D19" s="52"/>
      <x:c r="E19" s="52"/>
      <x:c r="F19" s="52"/>
      <x:c r="G19" s="52"/>
      <x:c r="H19" s="52"/>
      <x:c r="I19" s="52"/>
      <x:c r="J19" s="53"/>
    </x:row>
    <x:row r="20">
      <x:c r="A20" s="51"/>
      <x:c r="B20" s="52"/>
      <x:c r="C20" s="52"/>
      <x:c r="D20" s="52"/>
      <x:c r="E20" s="52"/>
      <x:c r="F20" s="52"/>
      <x:c r="G20" s="52"/>
      <x:c r="H20" s="52"/>
      <x:c r="I20" s="52"/>
      <x:c r="J20" s="53"/>
    </x:row>
    <x:row r="21">
      <x:c r="A21" s="51"/>
      <x:c r="B21" s="52"/>
      <x:c r="C21" s="52"/>
      <x:c r="D21" s="52"/>
      <x:c r="E21" s="52"/>
      <x:c r="F21" s="52"/>
      <x:c r="G21" s="52"/>
      <x:c r="H21" s="52"/>
      <x:c r="I21" s="52"/>
      <x:c r="J21" s="53"/>
    </x:row>
    <x:row r="22">
      <x:c r="A22" s="51"/>
      <x:c r="B22" s="52"/>
      <x:c r="C22" s="52"/>
      <x:c r="D22" s="52"/>
      <x:c r="E22" s="52"/>
      <x:c r="F22" s="52"/>
      <x:c r="G22" s="52"/>
      <x:c r="H22" s="52"/>
      <x:c r="I22" s="52"/>
      <x:c r="J22" s="53"/>
    </x:row>
    <x:row r="23">
      <x:c r="A23" s="51"/>
      <x:c r="B23" s="52"/>
      <x:c r="C23" s="52"/>
      <x:c r="D23" s="52"/>
      <x:c r="E23" s="52"/>
      <x:c r="F23" s="52"/>
      <x:c r="G23" s="52"/>
      <x:c r="H23" s="52"/>
      <x:c r="I23" s="52"/>
      <x:c r="J23" s="53"/>
    </x:row>
    <x:row r="24">
      <x:c r="A24" s="51"/>
      <x:c r="B24" s="52"/>
      <x:c r="C24" s="52"/>
      <x:c r="D24" s="52"/>
      <x:c r="E24" s="52"/>
      <x:c r="F24" s="52"/>
      <x:c r="G24" s="52"/>
      <x:c r="H24" s="52"/>
      <x:c r="I24" s="52"/>
      <x:c r="J24" s="53"/>
    </x:row>
    <x:row r="25">
      <x:c r="A25" s="51"/>
      <x:c r="B25" s="52"/>
      <x:c r="C25" s="52"/>
      <x:c r="D25" s="52"/>
      <x:c r="E25" s="52"/>
      <x:c r="F25" s="52"/>
      <x:c r="G25" s="52"/>
      <x:c r="H25" s="52"/>
      <x:c r="I25" s="52"/>
      <x:c r="J25" s="53"/>
    </x:row>
    <x:row r="26">
      <x:c r="A26" s="51"/>
      <x:c r="B26" s="52"/>
      <x:c r="C26" s="52"/>
      <x:c r="D26" s="52"/>
      <x:c r="E26" s="52"/>
      <x:c r="F26" s="52"/>
      <x:c r="G26" s="52"/>
      <x:c r="H26" s="52"/>
      <x:c r="I26" s="52"/>
      <x:c r="J26" s="53"/>
    </x:row>
    <x:row r="27">
      <x:c r="A27" s="51"/>
      <x:c r="B27" s="52"/>
      <x:c r="C27" s="52"/>
      <x:c r="D27" s="52"/>
      <x:c r="E27" s="52"/>
      <x:c r="F27" s="52"/>
      <x:c r="G27" s="52"/>
      <x:c r="H27" s="52"/>
      <x:c r="I27" s="52"/>
      <x:c r="J27" s="53"/>
    </x:row>
    <x:row r="28">
      <x:c r="A28" s="51"/>
      <x:c r="B28" s="52"/>
      <x:c r="C28" s="52"/>
      <x:c r="D28" s="52"/>
      <x:c r="E28" s="52"/>
      <x:c r="F28" s="52"/>
      <x:c r="G28" s="52"/>
      <x:c r="H28" s="52"/>
      <x:c r="I28" s="52"/>
      <x:c r="J28" s="53"/>
    </x:row>
    <x:row r="29">
      <x:c r="A29" s="51"/>
      <x:c r="B29" s="52"/>
      <x:c r="C29" s="52"/>
      <x:c r="D29" s="52"/>
      <x:c r="E29" s="52"/>
      <x:c r="F29" s="52"/>
      <x:c r="G29" s="52"/>
      <x:c r="H29" s="52"/>
      <x:c r="I29" s="52"/>
      <x:c r="J29" s="53"/>
    </x:row>
    <x:row r="30">
      <x:c r="A30" s="51"/>
      <x:c r="B30" s="52"/>
      <x:c r="C30" s="52"/>
      <x:c r="D30" s="52"/>
      <x:c r="E30" s="52"/>
      <x:c r="F30" s="52"/>
      <x:c r="G30" s="52"/>
      <x:c r="H30" s="52"/>
      <x:c r="I30" s="52"/>
      <x:c r="J30" s="53"/>
    </x:row>
    <x:row r="31">
      <x:c r="A31" s="51"/>
      <x:c r="B31" s="52"/>
      <x:c r="C31" s="52"/>
      <x:c r="D31" s="52"/>
      <x:c r="E31" s="52"/>
      <x:c r="F31" s="52"/>
      <x:c r="G31" s="52"/>
      <x:c r="H31" s="52"/>
      <x:c r="I31" s="52"/>
      <x:c r="J31" s="53"/>
    </x:row>
    <x:row r="32">
      <x:c r="A32" s="51"/>
      <x:c r="B32" s="52"/>
      <x:c r="C32" s="52"/>
      <x:c r="D32" s="52"/>
      <x:c r="E32" s="52"/>
      <x:c r="F32" s="52"/>
      <x:c r="G32" s="52"/>
      <x:c r="H32" s="52"/>
      <x:c r="I32" s="52"/>
      <x:c r="J32" s="53"/>
    </x:row>
    <x:row r="33">
      <x:c r="A33" s="51"/>
      <x:c r="B33" s="52"/>
      <x:c r="C33" s="52"/>
      <x:c r="D33" s="52"/>
      <x:c r="E33" s="52"/>
      <x:c r="F33" s="52"/>
      <x:c r="G33" s="52"/>
      <x:c r="H33" s="52"/>
      <x:c r="I33" s="52"/>
      <x:c r="J33" s="53"/>
    </x:row>
    <x:row r="34">
      <x:c r="A34" s="51"/>
      <x:c r="B34" s="52"/>
      <x:c r="C34" s="52"/>
      <x:c r="D34" s="52"/>
      <x:c r="E34" s="52"/>
      <x:c r="F34" s="52"/>
      <x:c r="G34" s="52"/>
      <x:c r="H34" s="52"/>
      <x:c r="I34" s="52"/>
      <x:c r="J34" s="53"/>
    </x:row>
    <x:row r="35">
      <x:c r="A35" s="51"/>
      <x:c r="B35" s="52"/>
      <x:c r="C35" s="52"/>
      <x:c r="D35" s="52"/>
      <x:c r="E35" s="52"/>
      <x:c r="F35" s="52"/>
      <x:c r="G35" s="52"/>
      <x:c r="H35" s="52"/>
      <x:c r="I35" s="52"/>
      <x:c r="J35" s="53"/>
    </x:row>
    <x:row r="36">
      <x:c r="A36" s="51"/>
      <x:c r="B36" s="52"/>
      <x:c r="C36" s="52"/>
      <x:c r="D36" s="52"/>
      <x:c r="E36" s="52"/>
      <x:c r="F36" s="52"/>
      <x:c r="G36" s="52"/>
      <x:c r="H36" s="52"/>
      <x:c r="I36" s="52"/>
      <x:c r="J36" s="53"/>
    </x:row>
    <x:row r="37">
      <x:c r="A37" s="51"/>
      <x:c r="B37" s="52"/>
      <x:c r="C37" s="52"/>
      <x:c r="D37" s="52"/>
      <x:c r="E37" s="52"/>
      <x:c r="F37" s="52"/>
      <x:c r="G37" s="52"/>
      <x:c r="H37" s="52"/>
      <x:c r="I37" s="52"/>
      <x:c r="J37" s="53"/>
    </x:row>
    <x:row r="38">
      <x:c r="A38" s="51"/>
      <x:c r="B38" s="52"/>
      <x:c r="C38" s="52"/>
      <x:c r="D38" s="52"/>
      <x:c r="E38" s="52"/>
      <x:c r="F38" s="52"/>
      <x:c r="G38" s="52"/>
      <x:c r="H38" s="52"/>
      <x:c r="I38" s="52"/>
      <x:c r="J38" s="53"/>
    </x:row>
    <x:row r="39">
      <x:c r="A39" s="51"/>
      <x:c r="B39" s="52"/>
      <x:c r="C39" s="52"/>
      <x:c r="D39" s="52"/>
      <x:c r="E39" s="52"/>
      <x:c r="F39" s="52"/>
      <x:c r="G39" s="52"/>
      <x:c r="H39" s="52"/>
      <x:c r="I39" s="52"/>
      <x:c r="J39" s="53"/>
    </x:row>
    <x:row r="40">
      <x:c r="A40" s="51"/>
      <x:c r="B40" s="52"/>
      <x:c r="C40" s="52"/>
      <x:c r="D40" s="52"/>
      <x:c r="E40" s="52"/>
      <x:c r="F40" s="52"/>
      <x:c r="G40" s="52"/>
      <x:c r="H40" s="52"/>
      <x:c r="I40" s="52"/>
      <x:c r="J40" s="53"/>
    </x:row>
    <x:row r="41">
      <x:c r="A41" s="51"/>
      <x:c r="B41" s="52"/>
      <x:c r="C41" s="52"/>
      <x:c r="D41" s="52"/>
      <x:c r="E41" s="52"/>
      <x:c r="F41" s="52"/>
      <x:c r="G41" s="52"/>
      <x:c r="H41" s="52"/>
      <x:c r="I41" s="52"/>
      <x:c r="J41" s="53"/>
    </x:row>
    <x:row r="42">
      <x:c r="A42" s="51"/>
      <x:c r="B42" s="52"/>
      <x:c r="C42" s="52"/>
      <x:c r="D42" s="52"/>
      <x:c r="E42" s="52"/>
      <x:c r="F42" s="52"/>
      <x:c r="G42" s="52"/>
      <x:c r="H42" s="52"/>
      <x:c r="I42" s="52"/>
      <x:c r="J42" s="53"/>
    </x:row>
    <x:row r="43">
      <x:c r="A43" s="51"/>
      <x:c r="B43" s="52"/>
      <x:c r="C43" s="52"/>
      <x:c r="D43" s="52"/>
      <x:c r="E43" s="52"/>
      <x:c r="F43" s="52"/>
      <x:c r="G43" s="52"/>
      <x:c r="H43" s="52"/>
      <x:c r="I43" s="52"/>
      <x:c r="J43" s="53"/>
    </x:row>
    <x:row r="44">
      <x:c r="A44" s="51"/>
      <x:c r="B44" s="52"/>
      <x:c r="C44" s="52"/>
      <x:c r="D44" s="52"/>
      <x:c r="E44" s="52"/>
      <x:c r="F44" s="52"/>
      <x:c r="G44" s="52"/>
      <x:c r="H44" s="52"/>
      <x:c r="I44" s="52"/>
      <x:c r="J44" s="53"/>
    </x:row>
    <x:row r="45">
      <x:c r="A45" s="51"/>
      <x:c r="B45" s="52"/>
      <x:c r="C45" s="52"/>
      <x:c r="D45" s="52"/>
      <x:c r="E45" s="52"/>
      <x:c r="F45" s="52"/>
      <x:c r="G45" s="52"/>
      <x:c r="H45" s="52"/>
      <x:c r="I45" s="52"/>
      <x:c r="J45" s="53"/>
    </x:row>
    <x:row r="46">
      <x:c r="A46" s="51"/>
      <x:c r="B46" s="52"/>
      <x:c r="C46" s="52"/>
      <x:c r="D46" s="52"/>
      <x:c r="E46" s="52"/>
      <x:c r="F46" s="52"/>
      <x:c r="G46" s="52"/>
      <x:c r="H46" s="52"/>
      <x:c r="I46" s="52"/>
      <x:c r="J46" s="53"/>
    </x:row>
    <x:row r="47">
      <x:c r="A47" s="51"/>
      <x:c r="B47" s="52"/>
      <x:c r="C47" s="52"/>
      <x:c r="D47" s="52"/>
      <x:c r="E47" s="52"/>
      <x:c r="F47" s="52"/>
      <x:c r="G47" s="52"/>
      <x:c r="H47" s="52"/>
      <x:c r="I47" s="52"/>
      <x:c r="J47" s="53"/>
    </x:row>
    <x:row r="48">
      <x:c r="A48" s="51"/>
      <x:c r="B48" s="52"/>
      <x:c r="C48" s="52"/>
      <x:c r="D48" s="52"/>
      <x:c r="E48" s="52"/>
      <x:c r="F48" s="52"/>
      <x:c r="G48" s="52"/>
      <x:c r="H48" s="52"/>
      <x:c r="I48" s="52"/>
      <x:c r="J48" s="53"/>
    </x:row>
    <x:row r="49">
      <x:c r="A49" s="51"/>
      <x:c r="B49" s="52"/>
      <x:c r="C49" s="52"/>
      <x:c r="D49" s="52"/>
      <x:c r="E49" s="52"/>
      <x:c r="F49" s="52"/>
      <x:c r="G49" s="52"/>
      <x:c r="H49" s="52"/>
      <x:c r="I49" s="52"/>
      <x:c r="J49" s="53"/>
    </x:row>
    <x:row r="50">
      <x:c r="A50" s="51"/>
      <x:c r="B50" s="52"/>
      <x:c r="C50" s="52"/>
      <x:c r="D50" s="52"/>
      <x:c r="E50" s="52"/>
      <x:c r="F50" s="52"/>
      <x:c r="G50" s="52"/>
      <x:c r="H50" s="52"/>
      <x:c r="I50" s="52"/>
      <x:c r="J50" s="53"/>
    </x:row>
    <x:row r="51">
      <x:c r="A51" s="51"/>
      <x:c r="B51" s="52"/>
      <x:c r="C51" s="52"/>
      <x:c r="D51" s="52"/>
      <x:c r="E51" s="52"/>
      <x:c r="F51" s="52"/>
      <x:c r="G51" s="52"/>
      <x:c r="H51" s="52"/>
      <x:c r="I51" s="52"/>
      <x:c r="J51" s="53"/>
    </x:row>
    <x:row r="52">
      <x:c r="A52" s="51"/>
      <x:c r="B52" s="52"/>
      <x:c r="C52" s="52"/>
      <x:c r="D52" s="52"/>
      <x:c r="E52" s="52"/>
      <x:c r="F52" s="52"/>
      <x:c r="G52" s="52"/>
      <x:c r="H52" s="52"/>
      <x:c r="I52" s="52"/>
      <x:c r="J52" s="53"/>
    </x:row>
    <x:row r="53">
      <x:c r="A53" s="51"/>
      <x:c r="B53" s="52"/>
      <x:c r="C53" s="52"/>
      <x:c r="D53" s="52"/>
      <x:c r="E53" s="52"/>
      <x:c r="F53" s="52"/>
      <x:c r="G53" s="52"/>
      <x:c r="H53" s="52"/>
      <x:c r="I53" s="52"/>
      <x:c r="J53" s="53"/>
    </x:row>
    <x:row r="54">
      <x:c r="A54" s="51"/>
      <x:c r="B54" s="52"/>
      <x:c r="C54" s="52"/>
      <x:c r="D54" s="52"/>
      <x:c r="E54" s="52"/>
      <x:c r="F54" s="52"/>
      <x:c r="G54" s="52"/>
      <x:c r="H54" s="52"/>
      <x:c r="I54" s="52"/>
      <x:c r="J54" s="53"/>
    </x:row>
    <x:row r="55">
      <x:c r="A55" s="51"/>
      <x:c r="B55" s="52"/>
      <x:c r="C55" s="52"/>
      <x:c r="D55" s="52"/>
      <x:c r="E55" s="52"/>
      <x:c r="F55" s="52"/>
      <x:c r="G55" s="52"/>
      <x:c r="H55" s="52"/>
      <x:c r="I55" s="52"/>
      <x:c r="J55" s="53"/>
    </x:row>
    <x:row r="56">
      <x:c r="A56" s="51"/>
      <x:c r="B56" s="52"/>
      <x:c r="C56" s="52"/>
      <x:c r="D56" s="52"/>
      <x:c r="E56" s="52"/>
      <x:c r="F56" s="52"/>
      <x:c r="G56" s="52"/>
      <x:c r="H56" s="52"/>
      <x:c r="I56" s="52"/>
      <x:c r="J56" s="53"/>
    </x:row>
    <x:row r="57">
      <x:c r="A57" s="51"/>
      <x:c r="B57" s="52"/>
      <x:c r="C57" s="52"/>
      <x:c r="D57" s="52"/>
      <x:c r="E57" s="52"/>
      <x:c r="F57" s="52"/>
      <x:c r="G57" s="52"/>
      <x:c r="H57" s="52"/>
      <x:c r="I57" s="52"/>
      <x:c r="J57" s="53"/>
    </x:row>
    <x:row r="58">
      <x:c r="A58" s="51"/>
      <x:c r="B58" s="52"/>
      <x:c r="C58" s="52"/>
      <x:c r="D58" s="52"/>
      <x:c r="E58" s="52"/>
      <x:c r="F58" s="52"/>
      <x:c r="G58" s="52"/>
      <x:c r="H58" s="52"/>
      <x:c r="I58" s="52"/>
      <x:c r="J58" s="53"/>
    </x:row>
    <x:row r="59">
      <x:c r="A59" s="51"/>
      <x:c r="B59" s="52"/>
      <x:c r="C59" s="52"/>
      <x:c r="D59" s="52"/>
      <x:c r="E59" s="52"/>
      <x:c r="F59" s="52"/>
      <x:c r="G59" s="52"/>
      <x:c r="H59" s="52"/>
      <x:c r="I59" s="52"/>
      <x:c r="J59" s="53"/>
    </x:row>
    <x:row r="60">
      <x:c r="A60" s="51"/>
      <x:c r="B60" s="52"/>
      <x:c r="C60" s="52"/>
      <x:c r="D60" s="52"/>
      <x:c r="E60" s="52"/>
      <x:c r="F60" s="52"/>
      <x:c r="G60" s="52"/>
      <x:c r="H60" s="52"/>
      <x:c r="I60" s="52"/>
      <x:c r="J60" s="53"/>
    </x:row>
    <x:row r="61">
      <x:c r="A61" s="51"/>
      <x:c r="B61" s="52"/>
      <x:c r="C61" s="52"/>
      <x:c r="D61" s="52"/>
      <x:c r="E61" s="52"/>
      <x:c r="F61" s="52"/>
      <x:c r="G61" s="52"/>
      <x:c r="H61" s="52"/>
      <x:c r="I61" s="52"/>
      <x:c r="J61" s="53"/>
    </x:row>
    <x:row r="62">
      <x:c r="A62" s="51"/>
      <x:c r="B62" s="52"/>
      <x:c r="C62" s="52"/>
      <x:c r="D62" s="52"/>
      <x:c r="E62" s="52"/>
      <x:c r="F62" s="52"/>
      <x:c r="G62" s="52"/>
      <x:c r="H62" s="52"/>
      <x:c r="I62" s="52"/>
      <x:c r="J62" s="53"/>
    </x:row>
    <x:row r="63">
      <x:c r="A63" s="51"/>
      <x:c r="B63" s="52"/>
      <x:c r="C63" s="52"/>
      <x:c r="D63" s="52"/>
      <x:c r="E63" s="52"/>
      <x:c r="F63" s="52"/>
      <x:c r="G63" s="52"/>
      <x:c r="H63" s="52"/>
      <x:c r="I63" s="52"/>
      <x:c r="J63" s="53"/>
    </x:row>
    <x:row r="64">
      <x:c r="A64" s="51"/>
      <x:c r="B64" s="52"/>
      <x:c r="C64" s="52"/>
      <x:c r="D64" s="52"/>
      <x:c r="E64" s="52"/>
      <x:c r="F64" s="52"/>
      <x:c r="G64" s="52"/>
      <x:c r="H64" s="52"/>
      <x:c r="I64" s="52"/>
      <x:c r="J64" s="53"/>
    </x:row>
    <x:row r="65">
      <x:c r="A65" s="51"/>
      <x:c r="B65" s="52"/>
      <x:c r="C65" s="52"/>
      <x:c r="D65" s="52"/>
      <x:c r="E65" s="52"/>
      <x:c r="F65" s="52"/>
      <x:c r="G65" s="52"/>
      <x:c r="H65" s="52"/>
      <x:c r="I65" s="52"/>
      <x:c r="J65" s="53"/>
    </x:row>
    <x:row r="66">
      <x:c r="A66" s="51"/>
      <x:c r="B66" s="52"/>
      <x:c r="C66" s="52"/>
      <x:c r="D66" s="52"/>
      <x:c r="E66" s="52"/>
      <x:c r="F66" s="52"/>
      <x:c r="G66" s="52"/>
      <x:c r="H66" s="52"/>
      <x:c r="I66" s="52"/>
      <x:c r="J66" s="53"/>
    </x:row>
    <x:row r="67">
      <x:c r="A67" s="51"/>
      <x:c r="B67" s="52"/>
      <x:c r="C67" s="52"/>
      <x:c r="D67" s="52"/>
      <x:c r="E67" s="52"/>
      <x:c r="F67" s="52"/>
      <x:c r="G67" s="52"/>
      <x:c r="H67" s="52"/>
      <x:c r="I67" s="52"/>
      <x:c r="J67" s="53"/>
    </x:row>
    <x:row r="68">
      <x:c r="A68" s="51"/>
      <x:c r="B68" s="52"/>
      <x:c r="C68" s="52"/>
      <x:c r="D68" s="52"/>
      <x:c r="E68" s="52"/>
      <x:c r="F68" s="52"/>
      <x:c r="G68" s="52"/>
      <x:c r="H68" s="52"/>
      <x:c r="I68" s="52"/>
      <x:c r="J68" s="53"/>
    </x:row>
    <x:row r="69">
      <x:c r="A69" s="51"/>
      <x:c r="B69" s="52"/>
      <x:c r="C69" s="52"/>
      <x:c r="D69" s="52"/>
      <x:c r="E69" s="52"/>
      <x:c r="F69" s="52"/>
      <x:c r="G69" s="52"/>
      <x:c r="H69" s="52"/>
      <x:c r="I69" s="52"/>
      <x:c r="J69" s="53"/>
    </x:row>
    <x:row r="70">
      <x:c r="A70" s="51"/>
      <x:c r="B70" s="52"/>
      <x:c r="C70" s="52"/>
      <x:c r="D70" s="52"/>
      <x:c r="E70" s="52"/>
      <x:c r="F70" s="52"/>
      <x:c r="G70" s="52"/>
      <x:c r="H70" s="52"/>
      <x:c r="I70" s="52"/>
      <x:c r="J70" s="53"/>
    </x:row>
    <x:row r="71">
      <x:c r="A71" s="51"/>
      <x:c r="B71" s="52"/>
      <x:c r="C71" s="52"/>
      <x:c r="D71" s="52"/>
      <x:c r="E71" s="52"/>
      <x:c r="F71" s="52"/>
      <x:c r="G71" s="52"/>
      <x:c r="H71" s="52"/>
      <x:c r="I71" s="52"/>
      <x:c r="J71" s="53"/>
    </x:row>
    <x:row r="72">
      <x:c r="A72" s="51"/>
      <x:c r="B72" s="52"/>
      <x:c r="C72" s="52"/>
      <x:c r="D72" s="52"/>
      <x:c r="E72" s="52"/>
      <x:c r="F72" s="52"/>
      <x:c r="G72" s="52"/>
      <x:c r="H72" s="52"/>
      <x:c r="I72" s="52"/>
      <x:c r="J72" s="53"/>
    </x:row>
    <x:row r="73">
      <x:c r="A73" s="51"/>
      <x:c r="B73" s="52"/>
      <x:c r="C73" s="52"/>
      <x:c r="D73" s="52"/>
      <x:c r="E73" s="52"/>
      <x:c r="F73" s="52"/>
      <x:c r="G73" s="52"/>
      <x:c r="H73" s="52"/>
      <x:c r="I73" s="52"/>
      <x:c r="J73" s="53"/>
    </x:row>
    <x:row r="74">
      <x:c r="A74" s="51"/>
      <x:c r="B74" s="52"/>
      <x:c r="C74" s="52"/>
      <x:c r="D74" s="52"/>
      <x:c r="E74" s="52"/>
      <x:c r="F74" s="52"/>
      <x:c r="G74" s="52"/>
      <x:c r="H74" s="52"/>
      <x:c r="I74" s="52"/>
      <x:c r="J74" s="53"/>
    </x:row>
    <x:row r="75">
      <x:c r="A75" s="51"/>
      <x:c r="B75" s="52"/>
      <x:c r="C75" s="52"/>
      <x:c r="D75" s="52"/>
      <x:c r="E75" s="52"/>
      <x:c r="F75" s="52"/>
      <x:c r="G75" s="52"/>
      <x:c r="H75" s="52"/>
      <x:c r="I75" s="52"/>
      <x:c r="J75" s="53"/>
    </x:row>
    <x:row r="76">
      <x:c r="A76" s="51"/>
      <x:c r="B76" s="52"/>
      <x:c r="C76" s="52"/>
      <x:c r="D76" s="52"/>
      <x:c r="E76" s="52"/>
      <x:c r="F76" s="52"/>
      <x:c r="G76" s="52"/>
      <x:c r="H76" s="52"/>
      <x:c r="I76" s="52"/>
      <x:c r="J76" s="53"/>
    </x:row>
    <x:row r="77">
      <x:c r="A77" s="51"/>
      <x:c r="B77" s="52"/>
      <x:c r="C77" s="52"/>
      <x:c r="D77" s="52"/>
      <x:c r="E77" s="52"/>
      <x:c r="F77" s="52"/>
      <x:c r="G77" s="52"/>
      <x:c r="H77" s="52"/>
      <x:c r="I77" s="52"/>
      <x:c r="J77" s="53"/>
    </x:row>
    <x:row r="78">
      <x:c r="A78" s="51"/>
      <x:c r="B78" s="52"/>
      <x:c r="C78" s="52"/>
      <x:c r="D78" s="52"/>
      <x:c r="E78" s="52"/>
      <x:c r="F78" s="52"/>
      <x:c r="G78" s="52"/>
      <x:c r="H78" s="52"/>
      <x:c r="I78" s="52"/>
      <x:c r="J78" s="53"/>
    </x:row>
    <x:row r="79">
      <x:c r="A79" s="51"/>
      <x:c r="B79" s="52"/>
      <x:c r="C79" s="52"/>
      <x:c r="D79" s="52"/>
      <x:c r="E79" s="52"/>
      <x:c r="F79" s="52"/>
      <x:c r="G79" s="52"/>
      <x:c r="H79" s="52"/>
      <x:c r="I79" s="52"/>
      <x:c r="J79" s="53"/>
    </x:row>
    <x:row r="80">
      <x:c r="A80" s="51"/>
      <x:c r="B80" s="52"/>
      <x:c r="C80" s="52"/>
      <x:c r="D80" s="52"/>
      <x:c r="E80" s="52"/>
      <x:c r="F80" s="52"/>
      <x:c r="G80" s="52"/>
      <x:c r="H80" s="52"/>
      <x:c r="I80" s="52"/>
      <x:c r="J80" s="53"/>
    </x:row>
    <x:row r="81">
      <x:c r="A81" s="51"/>
      <x:c r="B81" s="52"/>
      <x:c r="C81" s="52"/>
      <x:c r="D81" s="52"/>
      <x:c r="E81" s="52"/>
      <x:c r="F81" s="52"/>
      <x:c r="G81" s="52"/>
      <x:c r="H81" s="52"/>
      <x:c r="I81" s="52"/>
      <x:c r="J81" s="53"/>
    </x:row>
    <x:row r="82">
      <x:c r="A82" s="51"/>
      <x:c r="B82" s="52"/>
      <x:c r="C82" s="52"/>
      <x:c r="D82" s="52"/>
      <x:c r="E82" s="52"/>
      <x:c r="F82" s="52"/>
      <x:c r="G82" s="52"/>
      <x:c r="H82" s="52"/>
      <x:c r="I82" s="52"/>
      <x:c r="J82" s="53"/>
    </x:row>
    <x:row r="83">
      <x:c r="A83" s="51"/>
      <x:c r="B83" s="52"/>
      <x:c r="C83" s="52"/>
      <x:c r="D83" s="52"/>
      <x:c r="E83" s="52"/>
      <x:c r="F83" s="52"/>
      <x:c r="G83" s="52"/>
      <x:c r="H83" s="52"/>
      <x:c r="I83" s="52"/>
      <x:c r="J83" s="53"/>
    </x:row>
    <x:row r="84">
      <x:c r="A84" s="51"/>
      <x:c r="B84" s="52"/>
      <x:c r="C84" s="52"/>
      <x:c r="D84" s="52"/>
      <x:c r="E84" s="52"/>
      <x:c r="F84" s="52"/>
      <x:c r="G84" s="52"/>
      <x:c r="H84" s="52"/>
      <x:c r="I84" s="52"/>
      <x:c r="J84" s="53"/>
    </x:row>
    <x:row r="85">
      <x:c r="A85" s="51"/>
      <x:c r="B85" s="52"/>
      <x:c r="C85" s="52"/>
      <x:c r="D85" s="52"/>
      <x:c r="E85" s="52"/>
      <x:c r="F85" s="52"/>
      <x:c r="G85" s="52"/>
      <x:c r="H85" s="52"/>
      <x:c r="I85" s="52"/>
      <x:c r="J85" s="53"/>
    </x:row>
    <x:row r="86">
      <x:c r="A86" s="51"/>
      <x:c r="B86" s="52"/>
      <x:c r="C86" s="52"/>
      <x:c r="D86" s="52"/>
      <x:c r="E86" s="52"/>
      <x:c r="F86" s="52"/>
      <x:c r="G86" s="52"/>
      <x:c r="H86" s="52"/>
      <x:c r="I86" s="52"/>
      <x:c r="J86" s="53"/>
    </x:row>
    <x:row r="87">
      <x:c r="A87" s="51"/>
      <x:c r="B87" s="52"/>
      <x:c r="C87" s="52"/>
      <x:c r="D87" s="52"/>
      <x:c r="E87" s="52"/>
      <x:c r="F87" s="52"/>
      <x:c r="G87" s="52"/>
      <x:c r="H87" s="52"/>
      <x:c r="I87" s="52"/>
      <x:c r="J87" s="53"/>
    </x:row>
    <x:row r="88">
      <x:c r="A88" s="51"/>
      <x:c r="B88" s="52"/>
      <x:c r="C88" s="52"/>
      <x:c r="D88" s="52"/>
      <x:c r="E88" s="52"/>
      <x:c r="F88" s="52"/>
      <x:c r="G88" s="52"/>
      <x:c r="H88" s="52"/>
      <x:c r="I88" s="52"/>
      <x:c r="J88" s="53"/>
    </x:row>
    <x:row r="89">
      <x:c r="A89" s="51"/>
      <x:c r="B89" s="52"/>
      <x:c r="C89" s="52"/>
      <x:c r="D89" s="52"/>
      <x:c r="E89" s="52"/>
      <x:c r="F89" s="52"/>
      <x:c r="G89" s="52"/>
      <x:c r="H89" s="52"/>
      <x:c r="I89" s="52"/>
      <x:c r="J89" s="53"/>
    </x:row>
    <x:row r="90">
      <x:c r="A90" s="51"/>
      <x:c r="B90" s="52"/>
      <x:c r="C90" s="52"/>
      <x:c r="D90" s="52"/>
      <x:c r="E90" s="52"/>
      <x:c r="F90" s="52"/>
      <x:c r="G90" s="52"/>
      <x:c r="H90" s="52"/>
      <x:c r="I90" s="52"/>
      <x:c r="J90" s="53"/>
    </x:row>
    <x:row r="91">
      <x:c r="A91" s="51"/>
      <x:c r="B91" s="52"/>
      <x:c r="C91" s="52"/>
      <x:c r="D91" s="52"/>
      <x:c r="E91" s="52"/>
      <x:c r="F91" s="52"/>
      <x:c r="G91" s="52"/>
      <x:c r="H91" s="52"/>
      <x:c r="I91" s="52"/>
      <x:c r="J91" s="53"/>
    </x:row>
    <x:row r="92">
      <x:c r="A92" s="51"/>
      <x:c r="B92" s="52"/>
      <x:c r="C92" s="52"/>
      <x:c r="D92" s="52"/>
      <x:c r="E92" s="52"/>
      <x:c r="F92" s="52"/>
      <x:c r="G92" s="52"/>
      <x:c r="H92" s="52"/>
      <x:c r="I92" s="52"/>
      <x:c r="J92" s="53"/>
    </x:row>
    <x:row r="93">
      <x:c r="A93" s="51"/>
      <x:c r="B93" s="52"/>
      <x:c r="C93" s="52"/>
      <x:c r="D93" s="52"/>
      <x:c r="E93" s="52"/>
      <x:c r="F93" s="52"/>
      <x:c r="G93" s="52"/>
      <x:c r="H93" s="52"/>
      <x:c r="I93" s="52"/>
      <x:c r="J93" s="53"/>
    </x:row>
    <x:row r="94">
      <x:c r="A94" s="51"/>
      <x:c r="B94" s="52"/>
      <x:c r="C94" s="52"/>
      <x:c r="D94" s="52"/>
      <x:c r="E94" s="52"/>
      <x:c r="F94" s="52"/>
      <x:c r="G94" s="52"/>
      <x:c r="H94" s="52"/>
      <x:c r="I94" s="52"/>
      <x:c r="J94" s="53"/>
    </x:row>
    <x:row r="95">
      <x:c r="A95" s="51"/>
      <x:c r="B95" s="52"/>
      <x:c r="C95" s="52"/>
      <x:c r="D95" s="52"/>
      <x:c r="E95" s="52"/>
      <x:c r="F95" s="52"/>
      <x:c r="G95" s="52"/>
      <x:c r="H95" s="52"/>
      <x:c r="I95" s="52"/>
      <x:c r="J95" s="53"/>
    </x:row>
    <x:row r="96">
      <x:c r="A96" s="51"/>
      <x:c r="B96" s="52"/>
      <x:c r="C96" s="52"/>
      <x:c r="D96" s="52"/>
      <x:c r="E96" s="52"/>
      <x:c r="F96" s="52"/>
      <x:c r="G96" s="52"/>
      <x:c r="H96" s="52"/>
      <x:c r="I96" s="52"/>
      <x:c r="J96" s="53"/>
    </x:row>
    <x:row r="97">
      <x:c r="A97" s="51"/>
      <x:c r="B97" s="52"/>
      <x:c r="C97" s="52"/>
      <x:c r="D97" s="52"/>
      <x:c r="E97" s="52"/>
      <x:c r="F97" s="52"/>
      <x:c r="G97" s="52"/>
      <x:c r="H97" s="52"/>
      <x:c r="I97" s="52"/>
      <x:c r="J97" s="53"/>
    </x:row>
    <x:row r="98">
      <x:c r="A98" s="51"/>
      <x:c r="B98" s="52"/>
      <x:c r="C98" s="52"/>
      <x:c r="D98" s="52"/>
      <x:c r="E98" s="52"/>
      <x:c r="F98" s="52"/>
      <x:c r="G98" s="52"/>
      <x:c r="H98" s="52"/>
      <x:c r="I98" s="52"/>
      <x:c r="J98" s="53"/>
    </x:row>
    <x:row r="99">
      <x:c r="A99" s="51"/>
      <x:c r="B99" s="52"/>
      <x:c r="C99" s="52"/>
      <x:c r="D99" s="52"/>
      <x:c r="E99" s="52"/>
      <x:c r="F99" s="52"/>
      <x:c r="G99" s="52"/>
      <x:c r="H99" s="52"/>
      <x:c r="I99" s="52"/>
      <x:c r="J99" s="53"/>
    </x:row>
    <x:row r="100">
      <x:c r="A100" s="51"/>
      <x:c r="B100" s="52"/>
      <x:c r="C100" s="52"/>
      <x:c r="D100" s="52"/>
      <x:c r="E100" s="52"/>
      <x:c r="F100" s="52"/>
      <x:c r="G100" s="52"/>
      <x:c r="H100" s="52"/>
      <x:c r="I100" s="52"/>
      <x:c r="J100" s="53"/>
    </x:row>
    <x:row r="101">
      <x:c r="A101" s="51"/>
      <x:c r="B101" s="52"/>
      <x:c r="C101" s="52"/>
      <x:c r="D101" s="52"/>
      <x:c r="E101" s="52"/>
      <x:c r="F101" s="52"/>
      <x:c r="G101" s="52"/>
      <x:c r="H101" s="52"/>
      <x:c r="I101" s="52"/>
      <x:c r="J101" s="53"/>
    </x:row>
    <x:row r="102">
      <x:c r="A102" s="51"/>
      <x:c r="B102" s="52"/>
      <x:c r="C102" s="52"/>
      <x:c r="D102" s="52"/>
      <x:c r="E102" s="52"/>
      <x:c r="F102" s="52"/>
      <x:c r="G102" s="52"/>
      <x:c r="H102" s="52"/>
      <x:c r="I102" s="52"/>
      <x:c r="J102" s="53"/>
    </x:row>
    <x:row r="103">
      <x:c r="A103" s="54"/>
      <x:c r="B103" s="55"/>
      <x:c r="C103" s="55"/>
      <x:c r="D103" s="55"/>
      <x:c r="E103" s="55"/>
      <x:c r="F103" s="55"/>
      <x:c r="G103" s="55"/>
      <x:c r="H103" s="55"/>
      <x:c r="I103" s="55"/>
      <x:c r="J103" s="56"/>
    </x:row>
    <x:row r="104">
      <x:c r="A104" s="197"/>
    </x:row>
    <x:row r="105">
      <x:c r="A105" s="197"/>
    </x:row>
    <x:row r="106">
      <x:c r="A106" s="197"/>
    </x:row>
    <x:row r="107">
      <x:c r="A107" s="197"/>
    </x:row>
    <x:row r="108">
      <x:c r="A108" s="197"/>
    </x:row>
    <x:row r="109">
      <x:c r="A109" s="197"/>
    </x:row>
    <x:row r="110">
      <x:c r="A110" s="197"/>
    </x:row>
    <x:row r="111">
      <x:c r="A111" s="197"/>
    </x:row>
    <x:row r="112">
      <x:c r="A112" s="197"/>
    </x:row>
    <x:row r="113">
      <x:c r="A113" s="197"/>
    </x:row>
    <x:row r="114">
      <x:c r="A114" s="197"/>
    </x:row>
    <x:row r="115">
      <x:c r="A115" s="197"/>
    </x:row>
    <x:row r="116">
      <x:c r="A116" s="197"/>
    </x:row>
    <x:row r="117">
      <x:c r="A117" s="197"/>
    </x:row>
    <x:row r="118">
      <x:c r="A118" s="197"/>
    </x:row>
    <x:row r="119">
      <x:c r="A119" s="197"/>
    </x:row>
    <x:row r="120">
      <x:c r="A120" s="197"/>
    </x:row>
    <x:row r="121">
      <x:c r="A121" s="197"/>
    </x:row>
    <x:row r="122">
      <x:c r="A122" s="197"/>
    </x:row>
    <x:row r="123">
      <x:c r="A123" s="197"/>
    </x:row>
    <x:row r="124">
      <x:c r="A124" s="197"/>
    </x:row>
    <x:row r="125">
      <x:c r="A125" s="197"/>
    </x:row>
    <x:row r="126">
      <x:c r="A126" s="197"/>
    </x:row>
    <x:row r="127">
      <x:c r="A127" s="197"/>
    </x:row>
    <x:row r="128">
      <x:c r="A128" s="197"/>
    </x:row>
    <x:row r="129">
      <x:c r="A129" s="197"/>
    </x:row>
    <x:row r="130">
      <x:c r="A130" s="197"/>
    </x:row>
    <x:row r="131">
      <x:c r="A131" s="197"/>
    </x:row>
    <x:row r="132">
      <x:c r="A132" s="197"/>
    </x:row>
    <x:row r="133">
      <x:c r="A133" s="197"/>
    </x:row>
    <x:row r="134">
      <x:c r="A134" s="197"/>
    </x:row>
    <x:row r="135">
      <x:c r="A135" s="197"/>
    </x:row>
    <x:row r="136">
      <x:c r="A136" s="197"/>
    </x:row>
    <x:row r="137">
      <x:c r="A137" s="197"/>
    </x:row>
    <x:row r="138">
      <x:c r="A138" s="197"/>
    </x:row>
    <x:row r="139">
      <x:c r="A139" s="197"/>
    </x:row>
    <x:row r="140">
      <x:c r="A140" s="197"/>
    </x:row>
    <x:row r="141">
      <x:c r="A141" s="197"/>
    </x:row>
    <x:row r="142">
      <x:c r="A142" s="197"/>
    </x:row>
    <x:row r="143">
      <x:c r="A143" s="197"/>
    </x:row>
    <x:row r="144">
      <x:c r="A144" s="197"/>
    </x:row>
    <x:row r="145">
      <x:c r="A145" s="197"/>
    </x:row>
    <x:row r="146">
      <x:c r="A146" s="197"/>
    </x:row>
    <x:row r="147">
      <x:c r="A147" s="197"/>
    </x:row>
    <x:row r="148">
      <x:c r="A148" s="197"/>
    </x:row>
    <x:row r="149">
      <x:c r="A149" s="197"/>
    </x:row>
    <x:row r="150">
      <x:c r="A150" s="197"/>
    </x:row>
    <x:row r="151">
      <x:c r="A151" s="197"/>
    </x:row>
    <x:row r="152">
      <x:c r="A152" s="197"/>
    </x:row>
    <x:row r="153">
      <x:c r="A153" s="197"/>
    </x:row>
    <x:row r="154">
      <x:c r="A154" s="197"/>
    </x:row>
    <x:row r="155">
      <x:c r="A155" s="197"/>
    </x:row>
    <x:row r="156">
      <x:c r="A156" s="197"/>
    </x:row>
    <x:row r="157">
      <x:c r="A157" s="197"/>
    </x:row>
    <x:row r="158">
      <x:c r="A158" s="197"/>
    </x:row>
    <x:row r="159">
      <x:c r="A159" s="197"/>
    </x:row>
    <x:row r="160">
      <x:c r="A160" s="197"/>
    </x:row>
    <x:row r="161">
      <x:c r="A161" s="197"/>
    </x:row>
    <x:row r="162">
      <x:c r="A162" s="197"/>
    </x:row>
    <x:row r="163">
      <x:c r="A163" s="197"/>
    </x:row>
    <x:row r="164">
      <x:c r="A164" s="197"/>
    </x:row>
    <x:row r="165">
      <x:c r="A165" s="197"/>
    </x:row>
    <x:row r="166">
      <x:c r="A166" s="197"/>
    </x:row>
    <x:row r="167">
      <x:c r="A167" s="197"/>
    </x:row>
    <x:row r="168">
      <x:c r="A168" s="197"/>
    </x:row>
    <x:row r="169">
      <x:c r="A169" s="197"/>
    </x:row>
    <x:row r="170">
      <x:c r="A170" s="197"/>
    </x:row>
    <x:row r="171">
      <x:c r="A171" s="197"/>
    </x:row>
    <x:row r="172">
      <x:c r="A172" s="197"/>
    </x:row>
    <x:row r="173">
      <x:c r="A173" s="197"/>
    </x:row>
    <x:row r="174">
      <x:c r="A174" s="197"/>
    </x:row>
    <x:row r="175">
      <x:c r="A175" s="197"/>
    </x:row>
    <x:row r="176">
      <x:c r="A176" s="197"/>
    </x:row>
    <x:row r="177">
      <x:c r="A177" s="197"/>
    </x:row>
    <x:row r="178">
      <x:c r="A178" s="197"/>
    </x:row>
    <x:row r="179">
      <x:c r="A179" s="197"/>
    </x:row>
    <x:row r="180">
      <x:c r="A180" s="197"/>
    </x:row>
    <x:row r="181">
      <x:c r="A181" s="197"/>
    </x:row>
    <x:row r="182">
      <x:c r="A182" s="197"/>
    </x:row>
    <x:row r="183">
      <x:c r="A183" s="197"/>
    </x:row>
    <x:row r="184">
      <x:c r="A184" s="197"/>
    </x:row>
    <x:row r="185">
      <x:c r="A185" s="197"/>
    </x:row>
    <x:row r="186">
      <x:c r="A186" s="197"/>
    </x:row>
    <x:row r="187">
      <x:c r="A187" s="197"/>
    </x:row>
    <x:row r="188">
      <x:c r="A188" s="197"/>
    </x:row>
    <x:row r="189">
      <x:c r="A189" s="197"/>
    </x:row>
    <x:row r="190">
      <x:c r="A190" s="197"/>
    </x:row>
    <x:row r="191">
      <x:c r="A191" s="197"/>
    </x:row>
    <x:row r="192">
      <x:c r="A192" s="197"/>
    </x:row>
    <x:row r="193">
      <x:c r="A193" s="197"/>
    </x:row>
    <x:row r="194">
      <x:c r="A194" s="197"/>
    </x:row>
    <x:row r="195">
      <x:c r="A195" s="197"/>
    </x:row>
    <x:row r="196">
      <x:c r="A196" s="197"/>
    </x:row>
    <x:row r="197">
      <x:c r="A197" s="197"/>
    </x:row>
    <x:row r="198">
      <x:c r="A198" s="197"/>
    </x:row>
    <x:row r="199">
      <x:c r="A199" s="197"/>
    </x:row>
    <x:row r="200">
      <x:c r="A200" s="197"/>
    </x:row>
    <x:row r="201">
      <x:c r="A201" s="197"/>
    </x:row>
    <x:row r="202">
      <x:c r="A202" s="197"/>
    </x:row>
    <x:row r="203">
      <x:c r="A203" s="197"/>
    </x:row>
    <x:row r="204">
      <x:c r="A204" s="197"/>
    </x:row>
    <x:row r="205">
      <x:c r="A205" s="197"/>
    </x:row>
    <x:row r="206">
      <x:c r="A206" s="197"/>
    </x:row>
    <x:row r="207">
      <x:c r="A207" s="197"/>
    </x:row>
    <x:row r="208">
      <x:c r="A208" s="197"/>
    </x:row>
    <x:row r="209">
      <x:c r="A209" s="197"/>
    </x:row>
    <x:row r="210">
      <x:c r="A210" s="197"/>
    </x:row>
    <x:row r="211">
      <x:c r="A211" s="197"/>
    </x:row>
    <x:row r="212">
      <x:c r="A212" s="197"/>
    </x:row>
    <x:row r="213">
      <x:c r="A213" s="197"/>
    </x:row>
    <x:row r="214">
      <x:c r="A214" s="197"/>
    </x:row>
    <x:row r="215">
      <x:c r="A215" s="197"/>
    </x:row>
    <x:row r="216">
      <x:c r="A216" s="197"/>
    </x:row>
    <x:row r="217">
      <x:c r="A217" s="197"/>
    </x:row>
    <x:row r="218">
      <x:c r="A218" s="197"/>
    </x:row>
    <x:row r="219">
      <x:c r="A219" s="197"/>
    </x:row>
    <x:row r="220">
      <x:c r="A220" s="197"/>
    </x:row>
    <x:row r="221">
      <x:c r="A221" s="197"/>
    </x:row>
    <x:row r="222">
      <x:c r="A222" s="197"/>
    </x:row>
    <x:row r="223">
      <x:c r="A223" s="197"/>
    </x:row>
    <x:row r="224">
      <x:c r="A224" s="197"/>
    </x:row>
    <x:row r="225">
      <x:c r="A225" s="197"/>
    </x:row>
    <x:row r="226">
      <x:c r="A226" s="197"/>
    </x:row>
    <x:row r="227">
      <x:c r="A227" s="197"/>
    </x:row>
    <x:row r="228">
      <x:c r="A228" s="197"/>
    </x:row>
    <x:row r="229">
      <x:c r="A229" s="197"/>
    </x:row>
    <x:row r="230">
      <x:c r="A230" s="197"/>
    </x:row>
    <x:row r="231">
      <x:c r="A231" s="197"/>
    </x:row>
    <x:row r="232">
      <x:c r="A232" s="197"/>
    </x:row>
    <x:row r="233">
      <x:c r="A233" s="197"/>
    </x:row>
    <x:row r="234">
      <x:c r="A234" s="197"/>
    </x:row>
    <x:row r="235">
      <x:c r="A235" s="197"/>
    </x:row>
    <x:row r="236">
      <x:c r="A236" s="197"/>
    </x:row>
    <x:row r="237">
      <x:c r="A237" s="197"/>
    </x:row>
    <x:row r="238">
      <x:c r="A238" s="197"/>
    </x:row>
    <x:row r="239">
      <x:c r="A239" s="197"/>
    </x:row>
    <x:row r="240">
      <x:c r="A240" s="197"/>
    </x:row>
  </x:sheetData>
  <x:mergeCells>
    <x:mergeCell ref="A1:J1"/>
  </x:mergeCells>
  <x:dataValidations count="2">
    <x:dataValidation type="list" sqref="H4:H103">
      <x:formula1>"Pending,Support,Support with Limits,Reject,Needs More Proof"</x:formula1>
    </x:dataValidation>
    <x:dataValidation type="list" sqref="I4:I103">
      <x:formula1>"Prospect,Active,Unavailable,Retired"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34" hidden="0" customWidth="1"/>
    <x:col min="5" max="5" width="34" hidden="0" customWidth="1"/>
    <x:col min="6" max="6" width="38" hidden="0" customWidth="1"/>
    <x:col min="7" max="7" width="24" hidden="0" customWidth="1"/>
    <x:col min="8" max="8" width="32" hidden="0" customWidth="1"/>
    <x:col min="9" max="9" width="22" hidden="0" customWidth="1"/>
    <x:col min="10" max="10" width="30" hidden="0" customWidth="1"/>
    <x:col min="11" max="11" width="12" hidden="0" customWidth="1"/>
    <x:col min="12" max="12" width="28" hidden="0" customWidth="1"/>
    <x:col min="13" max="13" width="20" hidden="0" customWidth="1"/>
    <x:col min="14" max="14" width="22" hidden="0" customWidth="1"/>
    <x:col min="15" max="15" width="20" hidden="0" customWidth="1"/>
  </x:cols>
  <x:sheetData>
    <x:row r="1" ht="34" customHeight="1">
      <x:c r="A1" s="196" t="str">
        <x:v>Chronicle Decisions and Validated Skill Register</x:v>
      </x:c>
    </x:row>
    <x:row r="2">
      <x:c r="A2" s="197"/>
    </x:row>
    <x:row r="3" ht="30" customHeight="1">
      <x:c r="A3" s="13" t="str">
        <x:v>Skill ID</x:v>
      </x:c>
      <x:c r="B3" s="14" t="str">
        <x:v>Name</x:v>
      </x:c>
      <x:c r="C3" s="14" t="str">
        <x:v>Domain</x:v>
      </x:c>
      <x:c r="D3" s="14" t="str">
        <x:v>Allowed Uses</x:v>
      </x:c>
      <x:c r="E3" s="14" t="str">
        <x:v>Excluded Uses</x:v>
      </x:c>
      <x:c r="F3" s="14" t="str">
        <x:v>Method Summary</x:v>
      </x:c>
      <x:c r="G3" s="14" t="str">
        <x:v>Evidence Refs</x:v>
      </x:c>
      <x:c r="H3" s="14" t="str">
        <x:v>Acceptance Tests</x:v>
      </x:c>
      <x:c r="I3" s="14" t="str">
        <x:v>Validators</x:v>
      </x:c>
      <x:c r="J3" s="14" t="str">
        <x:v>Risk Boundaries</x:v>
      </x:c>
      <x:c r="K3" s="14" t="str">
        <x:v>Version</x:v>
      </x:c>
      <x:c r="L3" s="14" t="str">
        <x:v>Rollback</x:v>
      </x:c>
      <x:c r="M3" s="14" t="str">
        <x:v>Utility / Lift</x:v>
      </x:c>
      <x:c r="N3" s="14" t="str">
        <x:v>Commercial Disposition</x:v>
      </x:c>
      <x:c r="O3" s="15" t="str">
        <x:v>Chronicle Decision</x:v>
      </x:c>
    </x:row>
    <x:row r="4">
      <x:c r="A4" s="48" t="str">
        <x:v>SKILL-001</x:v>
      </x:c>
      <x:c r="B4" s="49" t="str">
        <x:v>Convert AI vendor claims into a buyer-ready deployment proof room</x:v>
      </x:c>
      <x:c r="C4" s="49" t="str">
        <x:v>AI procurement</x:v>
      </x:c>
      <x:c r="D4" s="49" t="str">
        <x:v>Claims matrix; Evidence Docket; reviewer room; action graph</x:v>
      </x:c>
      <x:c r="E4" s="49" t="str">
        <x:v>Legal/security certification; investment advice; guaranteed ROI</x:v>
      </x:c>
      <x:c r="F4" s="49" t="str"/>
      <x:c r="G4" s="49" t="str"/>
      <x:c r="H4" s="49" t="str"/>
      <x:c r="I4" s="49" t="str"/>
      <x:c r="J4" s="49" t="str"/>
      <x:c r="K4" s="49" t="str">
        <x:v>1.0.0</x:v>
      </x:c>
      <x:c r="L4" s="49" t="str"/>
      <x:c r="M4" s="49" t="str"/>
      <x:c r="N4" s="49" t="str">
        <x:v>Reuse Internally</x:v>
      </x:c>
      <x:c r="O4" s="50" t="str">
        <x:v>Pending</x:v>
      </x:c>
    </x:row>
    <x:row r="5">
      <x:c r="A5" s="51"/>
      <x:c r="B5" s="52"/>
      <x:c r="C5" s="52"/>
      <x:c r="D5" s="52"/>
      <x:c r="E5" s="52"/>
      <x:c r="F5" s="52"/>
      <x:c r="G5" s="52"/>
      <x:c r="H5" s="52"/>
      <x:c r="I5" s="52"/>
      <x:c r="J5" s="52"/>
      <x:c r="K5" s="52"/>
      <x:c r="L5" s="52"/>
      <x:c r="M5" s="52"/>
      <x:c r="N5" s="52"/>
      <x:c r="O5" s="53"/>
    </x:row>
    <x:row r="6">
      <x:c r="A6" s="51"/>
      <x:c r="B6" s="52"/>
      <x:c r="C6" s="52"/>
      <x:c r="D6" s="52"/>
      <x:c r="E6" s="52"/>
      <x:c r="F6" s="52"/>
      <x:c r="G6" s="52"/>
      <x:c r="H6" s="52"/>
      <x:c r="I6" s="52"/>
      <x:c r="J6" s="52"/>
      <x:c r="K6" s="52"/>
      <x:c r="L6" s="52"/>
      <x:c r="M6" s="52"/>
      <x:c r="N6" s="52"/>
      <x:c r="O6" s="53"/>
    </x:row>
    <x:row r="7">
      <x:c r="A7" s="51"/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  <x:c r="O7" s="53"/>
    </x:row>
    <x:row r="8">
      <x:c r="A8" s="51"/>
      <x:c r="B8" s="52"/>
      <x:c r="C8" s="52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  <x:c r="O8" s="53"/>
    </x:row>
    <x:row r="9">
      <x:c r="A9" s="51"/>
      <x:c r="B9" s="52"/>
      <x:c r="C9" s="52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/>
      <x:c r="O9" s="53"/>
    </x:row>
    <x:row r="10">
      <x:c r="A10" s="51"/>
      <x:c r="B10" s="52"/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  <x:c r="O10" s="53"/>
    </x:row>
    <x:row r="11">
      <x:c r="A11" s="51"/>
      <x:c r="B11" s="52"/>
      <x:c r="C11" s="52"/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  <x:c r="O11" s="53"/>
    </x:row>
    <x:row r="12">
      <x:c r="A12" s="51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  <x:c r="O12" s="53"/>
    </x:row>
    <x:row r="13">
      <x:c r="A13" s="51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  <x:c r="O13" s="53"/>
    </x:row>
    <x:row r="14">
      <x:c r="A14" s="51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  <x:c r="O14" s="53"/>
    </x:row>
    <x:row r="15">
      <x:c r="A15" s="51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3"/>
    </x:row>
    <x:row r="16">
      <x:c r="A16" s="51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  <x:c r="O16" s="53"/>
    </x:row>
    <x:row r="17">
      <x:c r="A17" s="51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  <x:c r="O17" s="53"/>
    </x:row>
    <x:row r="18">
      <x:c r="A18" s="51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3"/>
    </x:row>
    <x:row r="19">
      <x:c r="A19" s="51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3"/>
    </x:row>
    <x:row r="20">
      <x:c r="A20" s="51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3"/>
    </x:row>
    <x:row r="21">
      <x:c r="A21" s="51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3"/>
    </x:row>
    <x:row r="22">
      <x:c r="A22" s="51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3"/>
    </x:row>
    <x:row r="23">
      <x:c r="A23" s="51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3"/>
    </x:row>
    <x:row r="24">
      <x:c r="A24" s="51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3"/>
    </x:row>
    <x:row r="25">
      <x:c r="A25" s="51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3"/>
    </x:row>
    <x:row r="26">
      <x:c r="A26" s="51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3"/>
    </x:row>
    <x:row r="27">
      <x:c r="A27" s="51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3"/>
    </x:row>
    <x:row r="28">
      <x:c r="A28" s="51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3"/>
    </x:row>
    <x:row r="29">
      <x:c r="A29" s="51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3"/>
    </x:row>
    <x:row r="30">
      <x:c r="A30" s="51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3"/>
    </x:row>
    <x:row r="31">
      <x:c r="A31" s="51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3"/>
    </x:row>
    <x:row r="32">
      <x:c r="A32" s="51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3"/>
    </x:row>
    <x:row r="33">
      <x:c r="A33" s="51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3"/>
    </x:row>
    <x:row r="34">
      <x:c r="A34" s="51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3"/>
    </x:row>
    <x:row r="35">
      <x:c r="A35" s="51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3"/>
    </x:row>
    <x:row r="36">
      <x:c r="A36" s="51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3"/>
    </x:row>
    <x:row r="37">
      <x:c r="A37" s="51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3"/>
    </x:row>
    <x:row r="38">
      <x:c r="A38" s="51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3"/>
    </x:row>
    <x:row r="39">
      <x:c r="A39" s="51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3"/>
    </x:row>
    <x:row r="40">
      <x:c r="A40" s="51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3"/>
    </x:row>
    <x:row r="41">
      <x:c r="A41" s="51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3"/>
    </x:row>
    <x:row r="42">
      <x:c r="A42" s="51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3"/>
    </x:row>
    <x:row r="43">
      <x:c r="A43" s="51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3"/>
    </x:row>
    <x:row r="44">
      <x:c r="A44" s="51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3"/>
    </x:row>
    <x:row r="45">
      <x:c r="A45" s="51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3"/>
    </x:row>
    <x:row r="46">
      <x:c r="A46" s="51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3"/>
    </x:row>
    <x:row r="47">
      <x:c r="A47" s="51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3"/>
    </x:row>
    <x:row r="48">
      <x:c r="A48" s="51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3"/>
    </x:row>
    <x:row r="49">
      <x:c r="A49" s="51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3"/>
    </x:row>
    <x:row r="50">
      <x:c r="A50" s="51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3"/>
    </x:row>
    <x:row r="51">
      <x:c r="A51" s="51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3"/>
    </x:row>
    <x:row r="52">
      <x:c r="A52" s="51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3"/>
    </x:row>
    <x:row r="53">
      <x:c r="A53" s="51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3"/>
    </x:row>
    <x:row r="54">
      <x:c r="A54" s="51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3"/>
    </x:row>
    <x:row r="55">
      <x:c r="A55" s="51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3"/>
    </x:row>
    <x:row r="56">
      <x:c r="A56" s="51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  <x:c r="O56" s="53"/>
    </x:row>
    <x:row r="57">
      <x:c r="A57" s="51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3"/>
    </x:row>
    <x:row r="58">
      <x:c r="A58" s="51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3"/>
    </x:row>
    <x:row r="59">
      <x:c r="A59" s="51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3"/>
    </x:row>
    <x:row r="60">
      <x:c r="A60" s="51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3"/>
    </x:row>
    <x:row r="61">
      <x:c r="A61" s="51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3"/>
    </x:row>
    <x:row r="62">
      <x:c r="A62" s="51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3"/>
    </x:row>
    <x:row r="63">
      <x:c r="A63" s="51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3"/>
    </x:row>
    <x:row r="64">
      <x:c r="A64" s="51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3"/>
    </x:row>
    <x:row r="65">
      <x:c r="A65" s="51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3"/>
    </x:row>
    <x:row r="66">
      <x:c r="A66" s="51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3"/>
    </x:row>
    <x:row r="67">
      <x:c r="A67" s="51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3"/>
    </x:row>
    <x:row r="68">
      <x:c r="A68" s="51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3"/>
    </x:row>
    <x:row r="69">
      <x:c r="A69" s="51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3"/>
    </x:row>
    <x:row r="70">
      <x:c r="A70" s="51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3"/>
    </x:row>
    <x:row r="71">
      <x:c r="A71" s="51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3"/>
    </x:row>
    <x:row r="72">
      <x:c r="A72" s="51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3"/>
    </x:row>
    <x:row r="73">
      <x:c r="A73" s="51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3"/>
    </x:row>
    <x:row r="74">
      <x:c r="A74" s="51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3"/>
    </x:row>
    <x:row r="75">
      <x:c r="A75" s="51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3"/>
    </x:row>
    <x:row r="76">
      <x:c r="A76" s="51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3"/>
    </x:row>
    <x:row r="77">
      <x:c r="A77" s="51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3"/>
    </x:row>
    <x:row r="78">
      <x:c r="A78" s="51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3"/>
    </x:row>
    <x:row r="79">
      <x:c r="A79" s="51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3"/>
    </x:row>
    <x:row r="80">
      <x:c r="A80" s="51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3"/>
    </x:row>
    <x:row r="81">
      <x:c r="A81" s="51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3"/>
    </x:row>
    <x:row r="82">
      <x:c r="A82" s="51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3"/>
    </x:row>
    <x:row r="83">
      <x:c r="A83" s="51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3"/>
    </x:row>
    <x:row r="84">
      <x:c r="A84" s="51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3"/>
    </x:row>
    <x:row r="85">
      <x:c r="A85" s="51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3"/>
    </x:row>
    <x:row r="86">
      <x:c r="A86" s="51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3"/>
    </x:row>
    <x:row r="87">
      <x:c r="A87" s="51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3"/>
    </x:row>
    <x:row r="88">
      <x:c r="A88" s="51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3"/>
    </x:row>
    <x:row r="89">
      <x:c r="A89" s="51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3"/>
    </x:row>
    <x:row r="90">
      <x:c r="A90" s="51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3"/>
    </x:row>
    <x:row r="91">
      <x:c r="A91" s="51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3"/>
    </x:row>
    <x:row r="92">
      <x:c r="A92" s="51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3"/>
    </x:row>
    <x:row r="93">
      <x:c r="A93" s="51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3"/>
    </x:row>
    <x:row r="94">
      <x:c r="A94" s="51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3"/>
    </x:row>
    <x:row r="95">
      <x:c r="A95" s="51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3"/>
    </x:row>
    <x:row r="96">
      <x:c r="A96" s="51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3"/>
    </x:row>
    <x:row r="97">
      <x:c r="A97" s="51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3"/>
    </x:row>
    <x:row r="98">
      <x:c r="A98" s="51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3"/>
    </x:row>
    <x:row r="99">
      <x:c r="A99" s="51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3"/>
    </x:row>
    <x:row r="100">
      <x:c r="A100" s="51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3"/>
    </x:row>
    <x:row r="101">
      <x:c r="A101" s="51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3"/>
    </x:row>
    <x:row r="102">
      <x:c r="A102" s="51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3"/>
    </x:row>
    <x:row r="103">
      <x:c r="A103" s="54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6"/>
    </x:row>
    <x:row r="104">
      <x:c r="A104" s="197"/>
    </x:row>
    <x:row r="105">
      <x:c r="A105" s="197"/>
    </x:row>
    <x:row r="106">
      <x:c r="A106" s="197"/>
    </x:row>
    <x:row r="107">
      <x:c r="A107" s="197"/>
    </x:row>
    <x:row r="108">
      <x:c r="A108" s="197"/>
    </x:row>
    <x:row r="109">
      <x:c r="A109" s="197"/>
    </x:row>
    <x:row r="110">
      <x:c r="A110" s="197"/>
    </x:row>
    <x:row r="111">
      <x:c r="A111" s="197"/>
    </x:row>
    <x:row r="112">
      <x:c r="A112" s="197"/>
    </x:row>
    <x:row r="113">
      <x:c r="A113" s="197"/>
    </x:row>
    <x:row r="114">
      <x:c r="A114" s="197"/>
    </x:row>
    <x:row r="115">
      <x:c r="A115" s="197"/>
    </x:row>
    <x:row r="116">
      <x:c r="A116" s="197"/>
    </x:row>
    <x:row r="117">
      <x:c r="A117" s="197"/>
    </x:row>
    <x:row r="118">
      <x:c r="A118" s="197"/>
    </x:row>
    <x:row r="119">
      <x:c r="A119" s="197"/>
    </x:row>
    <x:row r="120">
      <x:c r="A120" s="197"/>
    </x:row>
    <x:row r="121">
      <x:c r="A121" s="197"/>
    </x:row>
    <x:row r="122">
      <x:c r="A122" s="197"/>
    </x:row>
    <x:row r="123">
      <x:c r="A123" s="197"/>
    </x:row>
    <x:row r="124">
      <x:c r="A124" s="197"/>
    </x:row>
    <x:row r="125">
      <x:c r="A125" s="197"/>
    </x:row>
    <x:row r="126">
      <x:c r="A126" s="197"/>
    </x:row>
    <x:row r="127">
      <x:c r="A127" s="197"/>
    </x:row>
    <x:row r="128">
      <x:c r="A128" s="197"/>
    </x:row>
    <x:row r="129">
      <x:c r="A129" s="197"/>
    </x:row>
    <x:row r="130">
      <x:c r="A130" s="197"/>
    </x:row>
    <x:row r="131">
      <x:c r="A131" s="197"/>
    </x:row>
    <x:row r="132">
      <x:c r="A132" s="197"/>
    </x:row>
    <x:row r="133">
      <x:c r="A133" s="197"/>
    </x:row>
    <x:row r="134">
      <x:c r="A134" s="197"/>
    </x:row>
    <x:row r="135">
      <x:c r="A135" s="197"/>
    </x:row>
    <x:row r="136">
      <x:c r="A136" s="197"/>
    </x:row>
    <x:row r="137">
      <x:c r="A137" s="197"/>
    </x:row>
    <x:row r="138">
      <x:c r="A138" s="197"/>
    </x:row>
    <x:row r="139">
      <x:c r="A139" s="197"/>
    </x:row>
    <x:row r="140">
      <x:c r="A140" s="197"/>
    </x:row>
    <x:row r="141">
      <x:c r="A141" s="197"/>
    </x:row>
    <x:row r="142">
      <x:c r="A142" s="197"/>
    </x:row>
    <x:row r="143">
      <x:c r="A143" s="197"/>
    </x:row>
    <x:row r="144">
      <x:c r="A144" s="197"/>
    </x:row>
    <x:row r="145">
      <x:c r="A145" s="197"/>
    </x:row>
    <x:row r="146">
      <x:c r="A146" s="197"/>
    </x:row>
    <x:row r="147">
      <x:c r="A147" s="197"/>
    </x:row>
    <x:row r="148">
      <x:c r="A148" s="197"/>
    </x:row>
    <x:row r="149">
      <x:c r="A149" s="197"/>
    </x:row>
    <x:row r="150">
      <x:c r="A150" s="197"/>
    </x:row>
    <x:row r="151">
      <x:c r="A151" s="197"/>
    </x:row>
    <x:row r="152">
      <x:c r="A152" s="197"/>
    </x:row>
    <x:row r="153">
      <x:c r="A153" s="197"/>
    </x:row>
    <x:row r="154">
      <x:c r="A154" s="197"/>
    </x:row>
    <x:row r="155">
      <x:c r="A155" s="197"/>
    </x:row>
    <x:row r="156">
      <x:c r="A156" s="197"/>
    </x:row>
    <x:row r="157">
      <x:c r="A157" s="197"/>
    </x:row>
    <x:row r="158">
      <x:c r="A158" s="197"/>
    </x:row>
    <x:row r="159">
      <x:c r="A159" s="197"/>
    </x:row>
    <x:row r="160">
      <x:c r="A160" s="197"/>
    </x:row>
    <x:row r="161">
      <x:c r="A161" s="197"/>
    </x:row>
    <x:row r="162">
      <x:c r="A162" s="197"/>
    </x:row>
    <x:row r="163">
      <x:c r="A163" s="197"/>
    </x:row>
    <x:row r="164">
      <x:c r="A164" s="197"/>
    </x:row>
    <x:row r="165">
      <x:c r="A165" s="197"/>
    </x:row>
    <x:row r="166">
      <x:c r="A166" s="197"/>
    </x:row>
    <x:row r="167">
      <x:c r="A167" s="197"/>
    </x:row>
    <x:row r="168">
      <x:c r="A168" s="197"/>
    </x:row>
    <x:row r="169">
      <x:c r="A169" s="197"/>
    </x:row>
    <x:row r="170">
      <x:c r="A170" s="197"/>
    </x:row>
    <x:row r="171">
      <x:c r="A171" s="197"/>
    </x:row>
    <x:row r="172">
      <x:c r="A172" s="197"/>
    </x:row>
    <x:row r="173">
      <x:c r="A173" s="197"/>
    </x:row>
    <x:row r="174">
      <x:c r="A174" s="197"/>
    </x:row>
    <x:row r="175">
      <x:c r="A175" s="197"/>
    </x:row>
    <x:row r="176">
      <x:c r="A176" s="197"/>
    </x:row>
    <x:row r="177">
      <x:c r="A177" s="197"/>
    </x:row>
    <x:row r="178">
      <x:c r="A178" s="197"/>
    </x:row>
    <x:row r="179">
      <x:c r="A179" s="197"/>
    </x:row>
    <x:row r="180">
      <x:c r="A180" s="197"/>
    </x:row>
    <x:row r="181">
      <x:c r="A181" s="197"/>
    </x:row>
    <x:row r="182">
      <x:c r="A182" s="197"/>
    </x:row>
    <x:row r="183">
      <x:c r="A183" s="197"/>
    </x:row>
    <x:row r="184">
      <x:c r="A184" s="197"/>
    </x:row>
    <x:row r="185">
      <x:c r="A185" s="197"/>
    </x:row>
    <x:row r="186">
      <x:c r="A186" s="197"/>
    </x:row>
    <x:row r="187">
      <x:c r="A187" s="197"/>
    </x:row>
    <x:row r="188">
      <x:c r="A188" s="197"/>
    </x:row>
    <x:row r="189">
      <x:c r="A189" s="197"/>
    </x:row>
    <x:row r="190">
      <x:c r="A190" s="197"/>
    </x:row>
    <x:row r="191">
      <x:c r="A191" s="197"/>
    </x:row>
    <x:row r="192">
      <x:c r="A192" s="197"/>
    </x:row>
    <x:row r="193">
      <x:c r="A193" s="197"/>
    </x:row>
    <x:row r="194">
      <x:c r="A194" s="197"/>
    </x:row>
    <x:row r="195">
      <x:c r="A195" s="197"/>
    </x:row>
    <x:row r="196">
      <x:c r="A196" s="197"/>
    </x:row>
    <x:row r="197">
      <x:c r="A197" s="197"/>
    </x:row>
    <x:row r="198">
      <x:c r="A198" s="197"/>
    </x:row>
    <x:row r="199">
      <x:c r="A199" s="197"/>
    </x:row>
    <x:row r="200">
      <x:c r="A200" s="197"/>
    </x:row>
    <x:row r="201">
      <x:c r="A201" s="197"/>
    </x:row>
    <x:row r="202">
      <x:c r="A202" s="197"/>
    </x:row>
    <x:row r="203">
      <x:c r="A203" s="197"/>
    </x:row>
    <x:row r="204">
      <x:c r="A204" s="197"/>
    </x:row>
    <x:row r="205">
      <x:c r="A205" s="197"/>
    </x:row>
    <x:row r="206">
      <x:c r="A206" s="197"/>
    </x:row>
    <x:row r="207">
      <x:c r="A207" s="197"/>
    </x:row>
    <x:row r="208">
      <x:c r="A208" s="197"/>
    </x:row>
    <x:row r="209">
      <x:c r="A209" s="197"/>
    </x:row>
    <x:row r="210">
      <x:c r="A210" s="197"/>
    </x:row>
    <x:row r="211">
      <x:c r="A211" s="197"/>
    </x:row>
    <x:row r="212">
      <x:c r="A212" s="197"/>
    </x:row>
    <x:row r="213">
      <x:c r="A213" s="197"/>
    </x:row>
    <x:row r="214">
      <x:c r="A214" s="197"/>
    </x:row>
    <x:row r="215">
      <x:c r="A215" s="197"/>
    </x:row>
    <x:row r="216">
      <x:c r="A216" s="197"/>
    </x:row>
    <x:row r="217">
      <x:c r="A217" s="197"/>
    </x:row>
    <x:row r="218">
      <x:c r="A218" s="197"/>
    </x:row>
    <x:row r="219">
      <x:c r="A219" s="197"/>
    </x:row>
    <x:row r="220">
      <x:c r="A220" s="197"/>
    </x:row>
    <x:row r="221">
      <x:c r="A221" s="197"/>
    </x:row>
    <x:row r="222">
      <x:c r="A222" s="197"/>
    </x:row>
    <x:row r="223">
      <x:c r="A223" s="197"/>
    </x:row>
    <x:row r="224">
      <x:c r="A224" s="197"/>
    </x:row>
    <x:row r="225">
      <x:c r="A225" s="197"/>
    </x:row>
    <x:row r="226">
      <x:c r="A226" s="197"/>
    </x:row>
    <x:row r="227">
      <x:c r="A227" s="197"/>
    </x:row>
    <x:row r="228">
      <x:c r="A228" s="197"/>
    </x:row>
    <x:row r="229">
      <x:c r="A229" s="197"/>
    </x:row>
    <x:row r="230">
      <x:c r="A230" s="197"/>
    </x:row>
    <x:row r="231">
      <x:c r="A231" s="197"/>
    </x:row>
    <x:row r="232">
      <x:c r="A232" s="197"/>
    </x:row>
    <x:row r="233">
      <x:c r="A233" s="197"/>
    </x:row>
    <x:row r="234">
      <x:c r="A234" s="197"/>
    </x:row>
    <x:row r="235">
      <x:c r="A235" s="197"/>
    </x:row>
    <x:row r="236">
      <x:c r="A236" s="197"/>
    </x:row>
    <x:row r="237">
      <x:c r="A237" s="197"/>
    </x:row>
    <x:row r="238">
      <x:c r="A238" s="197"/>
    </x:row>
    <x:row r="239">
      <x:c r="A239" s="197"/>
    </x:row>
    <x:row r="240">
      <x:c r="A240" s="197"/>
    </x:row>
  </x:sheetData>
  <x:mergeCells>
    <x:mergeCell ref="A1:O1"/>
  </x:mergeCells>
  <x:conditionalFormatting sqref="O4:O103">
    <x:cfRule type="expression" dxfId="6" priority="1">
      <x:formula>O4="Admit"</x:formula>
    </x:cfRule>
    <x:cfRule type="expression" dxfId="7" priority="2">
      <x:formula>O4="Reject"</x:formula>
    </x:cfRule>
  </x:conditionalFormatting>
  <x:dataValidations count="2">
    <x:dataValidation type="list" sqref="N4:N103">
      <x:formula1>Lists!$L$2:$L$9</x:formula1>
    </x:dataValidation>
    <x:dataValidation type="list" sqref="O4:O103">
      <x:formula1>Lists!$K$2:$K$9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10" hidden="0" customWidth="1"/>
    <x:col min="4" max="4" width="16" hidden="0" customWidth="1"/>
    <x:col min="5" max="5" width="16" hidden="0" customWidth="1"/>
    <x:col min="6" max="6" width="18" hidden="0" customWidth="1"/>
    <x:col min="7" max="7" width="10" hidden="0" customWidth="1"/>
    <x:col min="8" max="8" width="10" hidden="0" customWidth="1"/>
    <x:col min="9" max="9" width="22" hidden="0" customWidth="1"/>
    <x:col min="10" max="10" width="42" hidden="0" customWidth="1"/>
  </x:cols>
  <x:sheetData>
    <x:row r="1" ht="34" customHeight="1">
      <x:c r="A1" s="196" t="str">
        <x:v>Capability Monetization Boundary</x:v>
      </x:c>
    </x:row>
    <x:row r="2">
      <x:c r="A2" s="197"/>
    </x:row>
    <x:row r="3" ht="30" customHeight="1">
      <x:c r="A3" s="13" t="str">
        <x:v>Capability / Skill</x:v>
      </x:c>
      <x:c r="B3" s="14" t="str">
        <x:v>Sell</x:v>
      </x:c>
      <x:c r="C3" s="14" t="str">
        <x:v>License</x:v>
      </x:c>
      <x:c r="D3" s="14" t="str">
        <x:v>Reuse Internally</x:v>
      </x:c>
      <x:c r="E3" s="14" t="str">
        <x:v>Retain as Asset</x:v>
      </x:c>
      <x:c r="F3" s="14" t="str">
        <x:v>Open / Standardize</x:v>
      </x:c>
      <x:c r="G3" s="14" t="str">
        <x:v>Sandbox</x:v>
      </x:c>
      <x:c r="H3" s="14" t="str">
        <x:v>Retire</x:v>
      </x:c>
      <x:c r="I3" s="14" t="str">
        <x:v>Decision</x:v>
      </x:c>
      <x:c r="J3" s="15" t="str">
        <x:v>Rationale</x:v>
      </x:c>
    </x:row>
    <x:row r="4">
      <x:c r="A4" s="48" t="str">
        <x:v>AI deployment proof room</x:v>
      </x:c>
      <x:c r="B4" s="49" t="str">
        <x:v>Yes</x:v>
      </x:c>
      <x:c r="C4" s="49" t="str">
        <x:v>Yes</x:v>
      </x:c>
      <x:c r="D4" s="49" t="str">
        <x:v>Yes</x:v>
      </x:c>
      <x:c r="E4" s="49" t="str">
        <x:v>Yes</x:v>
      </x:c>
      <x:c r="F4" s="49" t="str">
        <x:v>Maybe</x:v>
      </x:c>
      <x:c r="G4" s="49" t="str">
        <x:v>No</x:v>
      </x:c>
      <x:c r="H4" s="49" t="str">
        <x:v>No</x:v>
      </x:c>
      <x:c r="I4" s="49" t="str">
        <x:v>Pending</x:v>
      </x:c>
      <x:c r="J4" s="50" t="str">
        <x:v>Choose after customer, IP, and market evidence.</x:v>
      </x:c>
    </x:row>
    <x:row r="5">
      <x:c r="A5" s="51" t="str">
        <x:v>Proof Debt taxonomy</x:v>
      </x:c>
      <x:c r="B5" s="52" t="str">
        <x:v>Yes</x:v>
      </x:c>
      <x:c r="C5" s="52" t="str">
        <x:v>Yes</x:v>
      </x:c>
      <x:c r="D5" s="52" t="str">
        <x:v>Yes</x:v>
      </x:c>
      <x:c r="E5" s="52" t="str">
        <x:v>Yes</x:v>
      </x:c>
      <x:c r="F5" s="52" t="str">
        <x:v>Yes</x:v>
      </x:c>
      <x:c r="G5" s="52" t="str">
        <x:v>No</x:v>
      </x:c>
      <x:c r="H5" s="52" t="str">
        <x:v>No</x:v>
      </x:c>
      <x:c r="I5" s="52" t="str">
        <x:v>Pending</x:v>
      </x:c>
      <x:c r="J5" s="53" t="str">
        <x:v>Potential standard and training asset.</x:v>
      </x:c>
    </x:row>
    <x:row r="6">
      <x:c r="A6" s="51" t="str">
        <x:v>Reviewer routing method</x:v>
      </x:c>
      <x:c r="B6" s="52" t="str">
        <x:v>Yes</x:v>
      </x:c>
      <x:c r="C6" s="52" t="str">
        <x:v>Yes</x:v>
      </x:c>
      <x:c r="D6" s="52" t="str">
        <x:v>Yes</x:v>
      </x:c>
      <x:c r="E6" s="52" t="str">
        <x:v>Yes</x:v>
      </x:c>
      <x:c r="F6" s="52" t="str">
        <x:v>Maybe</x:v>
      </x:c>
      <x:c r="G6" s="52" t="str">
        <x:v>No</x:v>
      </x:c>
      <x:c r="H6" s="52" t="str">
        <x:v>No</x:v>
      </x:c>
      <x:c r="I6" s="52" t="str">
        <x:v>Pending</x:v>
      </x:c>
      <x:c r="J6" s="53" t="str">
        <x:v>Value depends on reviewer network and quality.</x:v>
      </x:c>
    </x:row>
    <x:row r="7">
      <x:c r="A7" s="51" t="str">
        <x:v>Customer-specific confidential data</x:v>
      </x:c>
      <x:c r="B7" s="52" t="str">
        <x:v>No</x:v>
      </x:c>
      <x:c r="C7" s="52" t="str">
        <x:v>No</x:v>
      </x:c>
      <x:c r="D7" s="52" t="str">
        <x:v>Scoped only</x:v>
      </x:c>
      <x:c r="E7" s="52" t="str">
        <x:v>Yes</x:v>
      </x:c>
      <x:c r="F7" s="52" t="str">
        <x:v>No</x:v>
      </x:c>
      <x:c r="G7" s="52" t="str">
        <x:v>Yes</x:v>
      </x:c>
      <x:c r="H7" s="52" t="str">
        <x:v>Yes</x:v>
      </x:c>
      <x:c r="I7" s="52" t="str">
        <x:v>Retain / protect</x:v>
      </x:c>
      <x:c r="J7" s="53" t="str">
        <x:v>Customer data remains inside agreed boundary.</x:v>
      </x:c>
    </x:row>
    <x:row r="8">
      <x:c r="A8" s="51"/>
      <x:c r="B8" s="52"/>
      <x:c r="C8" s="52"/>
      <x:c r="D8" s="52"/>
      <x:c r="E8" s="52"/>
      <x:c r="F8" s="52"/>
      <x:c r="G8" s="52"/>
      <x:c r="H8" s="52"/>
      <x:c r="I8" s="52"/>
      <x:c r="J8" s="53"/>
    </x:row>
    <x:row r="9">
      <x:c r="A9" s="51"/>
      <x:c r="B9" s="52"/>
      <x:c r="C9" s="52"/>
      <x:c r="D9" s="52"/>
      <x:c r="E9" s="52"/>
      <x:c r="F9" s="52"/>
      <x:c r="G9" s="52"/>
      <x:c r="H9" s="52"/>
      <x:c r="I9" s="52"/>
      <x:c r="J9" s="53"/>
    </x:row>
    <x:row r="10">
      <x:c r="A10" s="51"/>
      <x:c r="B10" s="52"/>
      <x:c r="C10" s="52"/>
      <x:c r="D10" s="52"/>
      <x:c r="E10" s="52"/>
      <x:c r="F10" s="52"/>
      <x:c r="G10" s="52"/>
      <x:c r="H10" s="52"/>
      <x:c r="I10" s="52"/>
      <x:c r="J10" s="53"/>
    </x:row>
    <x:row r="11">
      <x:c r="A11" s="51"/>
      <x:c r="B11" s="52"/>
      <x:c r="C11" s="52"/>
      <x:c r="D11" s="52"/>
      <x:c r="E11" s="52"/>
      <x:c r="F11" s="52"/>
      <x:c r="G11" s="52"/>
      <x:c r="H11" s="52"/>
      <x:c r="I11" s="52"/>
      <x:c r="J11" s="53"/>
    </x:row>
    <x:row r="12">
      <x:c r="A12" s="51"/>
      <x:c r="B12" s="52"/>
      <x:c r="C12" s="52"/>
      <x:c r="D12" s="52"/>
      <x:c r="E12" s="52"/>
      <x:c r="F12" s="52"/>
      <x:c r="G12" s="52"/>
      <x:c r="H12" s="52"/>
      <x:c r="I12" s="52"/>
      <x:c r="J12" s="53"/>
    </x:row>
    <x:row r="13">
      <x:c r="A13" s="51"/>
      <x:c r="B13" s="52"/>
      <x:c r="C13" s="52"/>
      <x:c r="D13" s="52"/>
      <x:c r="E13" s="52"/>
      <x:c r="F13" s="52"/>
      <x:c r="G13" s="52"/>
      <x:c r="H13" s="52"/>
      <x:c r="I13" s="52"/>
      <x:c r="J13" s="53"/>
    </x:row>
    <x:row r="14">
      <x:c r="A14" s="51"/>
      <x:c r="B14" s="52"/>
      <x:c r="C14" s="52"/>
      <x:c r="D14" s="52"/>
      <x:c r="E14" s="52"/>
      <x:c r="F14" s="52"/>
      <x:c r="G14" s="52"/>
      <x:c r="H14" s="52"/>
      <x:c r="I14" s="52"/>
      <x:c r="J14" s="53"/>
    </x:row>
    <x:row r="15">
      <x:c r="A15" s="51"/>
      <x:c r="B15" s="52"/>
      <x:c r="C15" s="52"/>
      <x:c r="D15" s="52"/>
      <x:c r="E15" s="52"/>
      <x:c r="F15" s="52"/>
      <x:c r="G15" s="52"/>
      <x:c r="H15" s="52"/>
      <x:c r="I15" s="52"/>
      <x:c r="J15" s="53"/>
    </x:row>
    <x:row r="16">
      <x:c r="A16" s="51"/>
      <x:c r="B16" s="52"/>
      <x:c r="C16" s="52"/>
      <x:c r="D16" s="52"/>
      <x:c r="E16" s="52"/>
      <x:c r="F16" s="52"/>
      <x:c r="G16" s="52"/>
      <x:c r="H16" s="52"/>
      <x:c r="I16" s="52"/>
      <x:c r="J16" s="53"/>
    </x:row>
    <x:row r="17">
      <x:c r="A17" s="51"/>
      <x:c r="B17" s="52"/>
      <x:c r="C17" s="52"/>
      <x:c r="D17" s="52"/>
      <x:c r="E17" s="52"/>
      <x:c r="F17" s="52"/>
      <x:c r="G17" s="52"/>
      <x:c r="H17" s="52"/>
      <x:c r="I17" s="52"/>
      <x:c r="J17" s="53"/>
    </x:row>
    <x:row r="18">
      <x:c r="A18" s="51"/>
      <x:c r="B18" s="52"/>
      <x:c r="C18" s="52"/>
      <x:c r="D18" s="52"/>
      <x:c r="E18" s="52"/>
      <x:c r="F18" s="52"/>
      <x:c r="G18" s="52"/>
      <x:c r="H18" s="52"/>
      <x:c r="I18" s="52"/>
      <x:c r="J18" s="53"/>
    </x:row>
    <x:row r="19">
      <x:c r="A19" s="51"/>
      <x:c r="B19" s="52"/>
      <x:c r="C19" s="52"/>
      <x:c r="D19" s="52"/>
      <x:c r="E19" s="52"/>
      <x:c r="F19" s="52"/>
      <x:c r="G19" s="52"/>
      <x:c r="H19" s="52"/>
      <x:c r="I19" s="52"/>
      <x:c r="J19" s="53"/>
    </x:row>
    <x:row r="20">
      <x:c r="A20" s="51"/>
      <x:c r="B20" s="52"/>
      <x:c r="C20" s="52"/>
      <x:c r="D20" s="52"/>
      <x:c r="E20" s="52"/>
      <x:c r="F20" s="52"/>
      <x:c r="G20" s="52"/>
      <x:c r="H20" s="52"/>
      <x:c r="I20" s="52"/>
      <x:c r="J20" s="53"/>
    </x:row>
    <x:row r="21">
      <x:c r="A21" s="51"/>
      <x:c r="B21" s="52"/>
      <x:c r="C21" s="52"/>
      <x:c r="D21" s="52"/>
      <x:c r="E21" s="52"/>
      <x:c r="F21" s="52"/>
      <x:c r="G21" s="52"/>
      <x:c r="H21" s="52"/>
      <x:c r="I21" s="52"/>
      <x:c r="J21" s="53"/>
    </x:row>
    <x:row r="22">
      <x:c r="A22" s="51"/>
      <x:c r="B22" s="52"/>
      <x:c r="C22" s="52"/>
      <x:c r="D22" s="52"/>
      <x:c r="E22" s="52"/>
      <x:c r="F22" s="52"/>
      <x:c r="G22" s="52"/>
      <x:c r="H22" s="52"/>
      <x:c r="I22" s="52"/>
      <x:c r="J22" s="53"/>
    </x:row>
    <x:row r="23">
      <x:c r="A23" s="51"/>
      <x:c r="B23" s="52"/>
      <x:c r="C23" s="52"/>
      <x:c r="D23" s="52"/>
      <x:c r="E23" s="52"/>
      <x:c r="F23" s="52"/>
      <x:c r="G23" s="52"/>
      <x:c r="H23" s="52"/>
      <x:c r="I23" s="52"/>
      <x:c r="J23" s="53"/>
    </x:row>
    <x:row r="24">
      <x:c r="A24" s="51"/>
      <x:c r="B24" s="52"/>
      <x:c r="C24" s="52"/>
      <x:c r="D24" s="52"/>
      <x:c r="E24" s="52"/>
      <x:c r="F24" s="52"/>
      <x:c r="G24" s="52"/>
      <x:c r="H24" s="52"/>
      <x:c r="I24" s="52"/>
      <x:c r="J24" s="53"/>
    </x:row>
    <x:row r="25">
      <x:c r="A25" s="51"/>
      <x:c r="B25" s="52"/>
      <x:c r="C25" s="52"/>
      <x:c r="D25" s="52"/>
      <x:c r="E25" s="52"/>
      <x:c r="F25" s="52"/>
      <x:c r="G25" s="52"/>
      <x:c r="H25" s="52"/>
      <x:c r="I25" s="52"/>
      <x:c r="J25" s="53"/>
    </x:row>
    <x:row r="26">
      <x:c r="A26" s="51"/>
      <x:c r="B26" s="52"/>
      <x:c r="C26" s="52"/>
      <x:c r="D26" s="52"/>
      <x:c r="E26" s="52"/>
      <x:c r="F26" s="52"/>
      <x:c r="G26" s="52"/>
      <x:c r="H26" s="52"/>
      <x:c r="I26" s="52"/>
      <x:c r="J26" s="53"/>
    </x:row>
    <x:row r="27">
      <x:c r="A27" s="51"/>
      <x:c r="B27" s="52"/>
      <x:c r="C27" s="52"/>
      <x:c r="D27" s="52"/>
      <x:c r="E27" s="52"/>
      <x:c r="F27" s="52"/>
      <x:c r="G27" s="52"/>
      <x:c r="H27" s="52"/>
      <x:c r="I27" s="52"/>
      <x:c r="J27" s="53"/>
    </x:row>
    <x:row r="28">
      <x:c r="A28" s="51"/>
      <x:c r="B28" s="52"/>
      <x:c r="C28" s="52"/>
      <x:c r="D28" s="52"/>
      <x:c r="E28" s="52"/>
      <x:c r="F28" s="52"/>
      <x:c r="G28" s="52"/>
      <x:c r="H28" s="52"/>
      <x:c r="I28" s="52"/>
      <x:c r="J28" s="53"/>
    </x:row>
    <x:row r="29">
      <x:c r="A29" s="51"/>
      <x:c r="B29" s="52"/>
      <x:c r="C29" s="52"/>
      <x:c r="D29" s="52"/>
      <x:c r="E29" s="52"/>
      <x:c r="F29" s="52"/>
      <x:c r="G29" s="52"/>
      <x:c r="H29" s="52"/>
      <x:c r="I29" s="52"/>
      <x:c r="J29" s="53"/>
    </x:row>
    <x:row r="30">
      <x:c r="A30" s="51"/>
      <x:c r="B30" s="52"/>
      <x:c r="C30" s="52"/>
      <x:c r="D30" s="52"/>
      <x:c r="E30" s="52"/>
      <x:c r="F30" s="52"/>
      <x:c r="G30" s="52"/>
      <x:c r="H30" s="52"/>
      <x:c r="I30" s="52"/>
      <x:c r="J30" s="53"/>
    </x:row>
    <x:row r="31">
      <x:c r="A31" s="51"/>
      <x:c r="B31" s="52"/>
      <x:c r="C31" s="52"/>
      <x:c r="D31" s="52"/>
      <x:c r="E31" s="52"/>
      <x:c r="F31" s="52"/>
      <x:c r="G31" s="52"/>
      <x:c r="H31" s="52"/>
      <x:c r="I31" s="52"/>
      <x:c r="J31" s="53"/>
    </x:row>
    <x:row r="32">
      <x:c r="A32" s="51"/>
      <x:c r="B32" s="52"/>
      <x:c r="C32" s="52"/>
      <x:c r="D32" s="52"/>
      <x:c r="E32" s="52"/>
      <x:c r="F32" s="52"/>
      <x:c r="G32" s="52"/>
      <x:c r="H32" s="52"/>
      <x:c r="I32" s="52"/>
      <x:c r="J32" s="53"/>
    </x:row>
    <x:row r="33">
      <x:c r="A33" s="51"/>
      <x:c r="B33" s="52"/>
      <x:c r="C33" s="52"/>
      <x:c r="D33" s="52"/>
      <x:c r="E33" s="52"/>
      <x:c r="F33" s="52"/>
      <x:c r="G33" s="52"/>
      <x:c r="H33" s="52"/>
      <x:c r="I33" s="52"/>
      <x:c r="J33" s="53"/>
    </x:row>
    <x:row r="34">
      <x:c r="A34" s="51"/>
      <x:c r="B34" s="52"/>
      <x:c r="C34" s="52"/>
      <x:c r="D34" s="52"/>
      <x:c r="E34" s="52"/>
      <x:c r="F34" s="52"/>
      <x:c r="G34" s="52"/>
      <x:c r="H34" s="52"/>
      <x:c r="I34" s="52"/>
      <x:c r="J34" s="53"/>
    </x:row>
    <x:row r="35">
      <x:c r="A35" s="51"/>
      <x:c r="B35" s="52"/>
      <x:c r="C35" s="52"/>
      <x:c r="D35" s="52"/>
      <x:c r="E35" s="52"/>
      <x:c r="F35" s="52"/>
      <x:c r="G35" s="52"/>
      <x:c r="H35" s="52"/>
      <x:c r="I35" s="52"/>
      <x:c r="J35" s="53"/>
    </x:row>
    <x:row r="36">
      <x:c r="A36" s="51"/>
      <x:c r="B36" s="52"/>
      <x:c r="C36" s="52"/>
      <x:c r="D36" s="52"/>
      <x:c r="E36" s="52"/>
      <x:c r="F36" s="52"/>
      <x:c r="G36" s="52"/>
      <x:c r="H36" s="52"/>
      <x:c r="I36" s="52"/>
      <x:c r="J36" s="53"/>
    </x:row>
    <x:row r="37">
      <x:c r="A37" s="51"/>
      <x:c r="B37" s="52"/>
      <x:c r="C37" s="52"/>
      <x:c r="D37" s="52"/>
      <x:c r="E37" s="52"/>
      <x:c r="F37" s="52"/>
      <x:c r="G37" s="52"/>
      <x:c r="H37" s="52"/>
      <x:c r="I37" s="52"/>
      <x:c r="J37" s="53"/>
    </x:row>
    <x:row r="38">
      <x:c r="A38" s="51"/>
      <x:c r="B38" s="52"/>
      <x:c r="C38" s="52"/>
      <x:c r="D38" s="52"/>
      <x:c r="E38" s="52"/>
      <x:c r="F38" s="52"/>
      <x:c r="G38" s="52"/>
      <x:c r="H38" s="52"/>
      <x:c r="I38" s="52"/>
      <x:c r="J38" s="53"/>
    </x:row>
    <x:row r="39">
      <x:c r="A39" s="51"/>
      <x:c r="B39" s="52"/>
      <x:c r="C39" s="52"/>
      <x:c r="D39" s="52"/>
      <x:c r="E39" s="52"/>
      <x:c r="F39" s="52"/>
      <x:c r="G39" s="52"/>
      <x:c r="H39" s="52"/>
      <x:c r="I39" s="52"/>
      <x:c r="J39" s="53"/>
    </x:row>
    <x:row r="40">
      <x:c r="A40" s="51"/>
      <x:c r="B40" s="52"/>
      <x:c r="C40" s="52"/>
      <x:c r="D40" s="52"/>
      <x:c r="E40" s="52"/>
      <x:c r="F40" s="52"/>
      <x:c r="G40" s="52"/>
      <x:c r="H40" s="52"/>
      <x:c r="I40" s="52"/>
      <x:c r="J40" s="53"/>
    </x:row>
    <x:row r="41">
      <x:c r="A41" s="51"/>
      <x:c r="B41" s="52"/>
      <x:c r="C41" s="52"/>
      <x:c r="D41" s="52"/>
      <x:c r="E41" s="52"/>
      <x:c r="F41" s="52"/>
      <x:c r="G41" s="52"/>
      <x:c r="H41" s="52"/>
      <x:c r="I41" s="52"/>
      <x:c r="J41" s="53"/>
    </x:row>
    <x:row r="42">
      <x:c r="A42" s="51"/>
      <x:c r="B42" s="52"/>
      <x:c r="C42" s="52"/>
      <x:c r="D42" s="52"/>
      <x:c r="E42" s="52"/>
      <x:c r="F42" s="52"/>
      <x:c r="G42" s="52"/>
      <x:c r="H42" s="52"/>
      <x:c r="I42" s="52"/>
      <x:c r="J42" s="53"/>
    </x:row>
    <x:row r="43">
      <x:c r="A43" s="51"/>
      <x:c r="B43" s="52"/>
      <x:c r="C43" s="52"/>
      <x:c r="D43" s="52"/>
      <x:c r="E43" s="52"/>
      <x:c r="F43" s="52"/>
      <x:c r="G43" s="52"/>
      <x:c r="H43" s="52"/>
      <x:c r="I43" s="52"/>
      <x:c r="J43" s="53"/>
    </x:row>
    <x:row r="44">
      <x:c r="A44" s="51"/>
      <x:c r="B44" s="52"/>
      <x:c r="C44" s="52"/>
      <x:c r="D44" s="52"/>
      <x:c r="E44" s="52"/>
      <x:c r="F44" s="52"/>
      <x:c r="G44" s="52"/>
      <x:c r="H44" s="52"/>
      <x:c r="I44" s="52"/>
      <x:c r="J44" s="53"/>
    </x:row>
    <x:row r="45">
      <x:c r="A45" s="51"/>
      <x:c r="B45" s="52"/>
      <x:c r="C45" s="52"/>
      <x:c r="D45" s="52"/>
      <x:c r="E45" s="52"/>
      <x:c r="F45" s="52"/>
      <x:c r="G45" s="52"/>
      <x:c r="H45" s="52"/>
      <x:c r="I45" s="52"/>
      <x:c r="J45" s="53"/>
    </x:row>
    <x:row r="46">
      <x:c r="A46" s="51"/>
      <x:c r="B46" s="52"/>
      <x:c r="C46" s="52"/>
      <x:c r="D46" s="52"/>
      <x:c r="E46" s="52"/>
      <x:c r="F46" s="52"/>
      <x:c r="G46" s="52"/>
      <x:c r="H46" s="52"/>
      <x:c r="I46" s="52"/>
      <x:c r="J46" s="53"/>
    </x:row>
    <x:row r="47">
      <x:c r="A47" s="51"/>
      <x:c r="B47" s="52"/>
      <x:c r="C47" s="52"/>
      <x:c r="D47" s="52"/>
      <x:c r="E47" s="52"/>
      <x:c r="F47" s="52"/>
      <x:c r="G47" s="52"/>
      <x:c r="H47" s="52"/>
      <x:c r="I47" s="52"/>
      <x:c r="J47" s="53"/>
    </x:row>
    <x:row r="48">
      <x:c r="A48" s="51"/>
      <x:c r="B48" s="52"/>
      <x:c r="C48" s="52"/>
      <x:c r="D48" s="52"/>
      <x:c r="E48" s="52"/>
      <x:c r="F48" s="52"/>
      <x:c r="G48" s="52"/>
      <x:c r="H48" s="52"/>
      <x:c r="I48" s="52"/>
      <x:c r="J48" s="53"/>
    </x:row>
    <x:row r="49">
      <x:c r="A49" s="51"/>
      <x:c r="B49" s="52"/>
      <x:c r="C49" s="52"/>
      <x:c r="D49" s="52"/>
      <x:c r="E49" s="52"/>
      <x:c r="F49" s="52"/>
      <x:c r="G49" s="52"/>
      <x:c r="H49" s="52"/>
      <x:c r="I49" s="52"/>
      <x:c r="J49" s="53"/>
    </x:row>
    <x:row r="50">
      <x:c r="A50" s="51"/>
      <x:c r="B50" s="52"/>
      <x:c r="C50" s="52"/>
      <x:c r="D50" s="52"/>
      <x:c r="E50" s="52"/>
      <x:c r="F50" s="52"/>
      <x:c r="G50" s="52"/>
      <x:c r="H50" s="52"/>
      <x:c r="I50" s="52"/>
      <x:c r="J50" s="53"/>
    </x:row>
    <x:row r="51">
      <x:c r="A51" s="51"/>
      <x:c r="B51" s="52"/>
      <x:c r="C51" s="52"/>
      <x:c r="D51" s="52"/>
      <x:c r="E51" s="52"/>
      <x:c r="F51" s="52"/>
      <x:c r="G51" s="52"/>
      <x:c r="H51" s="52"/>
      <x:c r="I51" s="52"/>
      <x:c r="J51" s="53"/>
    </x:row>
    <x:row r="52">
      <x:c r="A52" s="51"/>
      <x:c r="B52" s="52"/>
      <x:c r="C52" s="52"/>
      <x:c r="D52" s="52"/>
      <x:c r="E52" s="52"/>
      <x:c r="F52" s="52"/>
      <x:c r="G52" s="52"/>
      <x:c r="H52" s="52"/>
      <x:c r="I52" s="52"/>
      <x:c r="J52" s="53"/>
    </x:row>
    <x:row r="53">
      <x:c r="A53" s="51"/>
      <x:c r="B53" s="52"/>
      <x:c r="C53" s="52"/>
      <x:c r="D53" s="52"/>
      <x:c r="E53" s="52"/>
      <x:c r="F53" s="52"/>
      <x:c r="G53" s="52"/>
      <x:c r="H53" s="52"/>
      <x:c r="I53" s="52"/>
      <x:c r="J53" s="53"/>
    </x:row>
    <x:row r="54">
      <x:c r="A54" s="51"/>
      <x:c r="B54" s="52"/>
      <x:c r="C54" s="52"/>
      <x:c r="D54" s="52"/>
      <x:c r="E54" s="52"/>
      <x:c r="F54" s="52"/>
      <x:c r="G54" s="52"/>
      <x:c r="H54" s="52"/>
      <x:c r="I54" s="52"/>
      <x:c r="J54" s="53"/>
    </x:row>
    <x:row r="55">
      <x:c r="A55" s="51"/>
      <x:c r="B55" s="52"/>
      <x:c r="C55" s="52"/>
      <x:c r="D55" s="52"/>
      <x:c r="E55" s="52"/>
      <x:c r="F55" s="52"/>
      <x:c r="G55" s="52"/>
      <x:c r="H55" s="52"/>
      <x:c r="I55" s="52"/>
      <x:c r="J55" s="53"/>
    </x:row>
    <x:row r="56">
      <x:c r="A56" s="51"/>
      <x:c r="B56" s="52"/>
      <x:c r="C56" s="52"/>
      <x:c r="D56" s="52"/>
      <x:c r="E56" s="52"/>
      <x:c r="F56" s="52"/>
      <x:c r="G56" s="52"/>
      <x:c r="H56" s="52"/>
      <x:c r="I56" s="52"/>
      <x:c r="J56" s="53"/>
    </x:row>
    <x:row r="57">
      <x:c r="A57" s="51"/>
      <x:c r="B57" s="52"/>
      <x:c r="C57" s="52"/>
      <x:c r="D57" s="52"/>
      <x:c r="E57" s="52"/>
      <x:c r="F57" s="52"/>
      <x:c r="G57" s="52"/>
      <x:c r="H57" s="52"/>
      <x:c r="I57" s="52"/>
      <x:c r="J57" s="53"/>
    </x:row>
    <x:row r="58">
      <x:c r="A58" s="51"/>
      <x:c r="B58" s="52"/>
      <x:c r="C58" s="52"/>
      <x:c r="D58" s="52"/>
      <x:c r="E58" s="52"/>
      <x:c r="F58" s="52"/>
      <x:c r="G58" s="52"/>
      <x:c r="H58" s="52"/>
      <x:c r="I58" s="52"/>
      <x:c r="J58" s="53"/>
    </x:row>
    <x:row r="59">
      <x:c r="A59" s="51"/>
      <x:c r="B59" s="52"/>
      <x:c r="C59" s="52"/>
      <x:c r="D59" s="52"/>
      <x:c r="E59" s="52"/>
      <x:c r="F59" s="52"/>
      <x:c r="G59" s="52"/>
      <x:c r="H59" s="52"/>
      <x:c r="I59" s="52"/>
      <x:c r="J59" s="53"/>
    </x:row>
    <x:row r="60">
      <x:c r="A60" s="51"/>
      <x:c r="B60" s="52"/>
      <x:c r="C60" s="52"/>
      <x:c r="D60" s="52"/>
      <x:c r="E60" s="52"/>
      <x:c r="F60" s="52"/>
      <x:c r="G60" s="52"/>
      <x:c r="H60" s="52"/>
      <x:c r="I60" s="52"/>
      <x:c r="J60" s="53"/>
    </x:row>
    <x:row r="61">
      <x:c r="A61" s="51"/>
      <x:c r="B61" s="52"/>
      <x:c r="C61" s="52"/>
      <x:c r="D61" s="52"/>
      <x:c r="E61" s="52"/>
      <x:c r="F61" s="52"/>
      <x:c r="G61" s="52"/>
      <x:c r="H61" s="52"/>
      <x:c r="I61" s="52"/>
      <x:c r="J61" s="53"/>
    </x:row>
    <x:row r="62">
      <x:c r="A62" s="51"/>
      <x:c r="B62" s="52"/>
      <x:c r="C62" s="52"/>
      <x:c r="D62" s="52"/>
      <x:c r="E62" s="52"/>
      <x:c r="F62" s="52"/>
      <x:c r="G62" s="52"/>
      <x:c r="H62" s="52"/>
      <x:c r="I62" s="52"/>
      <x:c r="J62" s="53"/>
    </x:row>
    <x:row r="63">
      <x:c r="A63" s="51"/>
      <x:c r="B63" s="52"/>
      <x:c r="C63" s="52"/>
      <x:c r="D63" s="52"/>
      <x:c r="E63" s="52"/>
      <x:c r="F63" s="52"/>
      <x:c r="G63" s="52"/>
      <x:c r="H63" s="52"/>
      <x:c r="I63" s="52"/>
      <x:c r="J63" s="53"/>
    </x:row>
    <x:row r="64">
      <x:c r="A64" s="51"/>
      <x:c r="B64" s="52"/>
      <x:c r="C64" s="52"/>
      <x:c r="D64" s="52"/>
      <x:c r="E64" s="52"/>
      <x:c r="F64" s="52"/>
      <x:c r="G64" s="52"/>
      <x:c r="H64" s="52"/>
      <x:c r="I64" s="52"/>
      <x:c r="J64" s="53"/>
    </x:row>
    <x:row r="65">
      <x:c r="A65" s="51"/>
      <x:c r="B65" s="52"/>
      <x:c r="C65" s="52"/>
      <x:c r="D65" s="52"/>
      <x:c r="E65" s="52"/>
      <x:c r="F65" s="52"/>
      <x:c r="G65" s="52"/>
      <x:c r="H65" s="52"/>
      <x:c r="I65" s="52"/>
      <x:c r="J65" s="53"/>
    </x:row>
    <x:row r="66">
      <x:c r="A66" s="51"/>
      <x:c r="B66" s="52"/>
      <x:c r="C66" s="52"/>
      <x:c r="D66" s="52"/>
      <x:c r="E66" s="52"/>
      <x:c r="F66" s="52"/>
      <x:c r="G66" s="52"/>
      <x:c r="H66" s="52"/>
      <x:c r="I66" s="52"/>
      <x:c r="J66" s="53"/>
    </x:row>
    <x:row r="67">
      <x:c r="A67" s="51"/>
      <x:c r="B67" s="52"/>
      <x:c r="C67" s="52"/>
      <x:c r="D67" s="52"/>
      <x:c r="E67" s="52"/>
      <x:c r="F67" s="52"/>
      <x:c r="G67" s="52"/>
      <x:c r="H67" s="52"/>
      <x:c r="I67" s="52"/>
      <x:c r="J67" s="53"/>
    </x:row>
    <x:row r="68">
      <x:c r="A68" s="51"/>
      <x:c r="B68" s="52"/>
      <x:c r="C68" s="52"/>
      <x:c r="D68" s="52"/>
      <x:c r="E68" s="52"/>
      <x:c r="F68" s="52"/>
      <x:c r="G68" s="52"/>
      <x:c r="H68" s="52"/>
      <x:c r="I68" s="52"/>
      <x:c r="J68" s="53"/>
    </x:row>
    <x:row r="69">
      <x:c r="A69" s="51"/>
      <x:c r="B69" s="52"/>
      <x:c r="C69" s="52"/>
      <x:c r="D69" s="52"/>
      <x:c r="E69" s="52"/>
      <x:c r="F69" s="52"/>
      <x:c r="G69" s="52"/>
      <x:c r="H69" s="52"/>
      <x:c r="I69" s="52"/>
      <x:c r="J69" s="53"/>
    </x:row>
    <x:row r="70">
      <x:c r="A70" s="51"/>
      <x:c r="B70" s="52"/>
      <x:c r="C70" s="52"/>
      <x:c r="D70" s="52"/>
      <x:c r="E70" s="52"/>
      <x:c r="F70" s="52"/>
      <x:c r="G70" s="52"/>
      <x:c r="H70" s="52"/>
      <x:c r="I70" s="52"/>
      <x:c r="J70" s="53"/>
    </x:row>
    <x:row r="71">
      <x:c r="A71" s="51"/>
      <x:c r="B71" s="52"/>
      <x:c r="C71" s="52"/>
      <x:c r="D71" s="52"/>
      <x:c r="E71" s="52"/>
      <x:c r="F71" s="52"/>
      <x:c r="G71" s="52"/>
      <x:c r="H71" s="52"/>
      <x:c r="I71" s="52"/>
      <x:c r="J71" s="53"/>
    </x:row>
    <x:row r="72">
      <x:c r="A72" s="51"/>
      <x:c r="B72" s="52"/>
      <x:c r="C72" s="52"/>
      <x:c r="D72" s="52"/>
      <x:c r="E72" s="52"/>
      <x:c r="F72" s="52"/>
      <x:c r="G72" s="52"/>
      <x:c r="H72" s="52"/>
      <x:c r="I72" s="52"/>
      <x:c r="J72" s="53"/>
    </x:row>
    <x:row r="73">
      <x:c r="A73" s="51"/>
      <x:c r="B73" s="52"/>
      <x:c r="C73" s="52"/>
      <x:c r="D73" s="52"/>
      <x:c r="E73" s="52"/>
      <x:c r="F73" s="52"/>
      <x:c r="G73" s="52"/>
      <x:c r="H73" s="52"/>
      <x:c r="I73" s="52"/>
      <x:c r="J73" s="53"/>
    </x:row>
    <x:row r="74">
      <x:c r="A74" s="51"/>
      <x:c r="B74" s="52"/>
      <x:c r="C74" s="52"/>
      <x:c r="D74" s="52"/>
      <x:c r="E74" s="52"/>
      <x:c r="F74" s="52"/>
      <x:c r="G74" s="52"/>
      <x:c r="H74" s="52"/>
      <x:c r="I74" s="52"/>
      <x:c r="J74" s="53"/>
    </x:row>
    <x:row r="75">
      <x:c r="A75" s="51"/>
      <x:c r="B75" s="52"/>
      <x:c r="C75" s="52"/>
      <x:c r="D75" s="52"/>
      <x:c r="E75" s="52"/>
      <x:c r="F75" s="52"/>
      <x:c r="G75" s="52"/>
      <x:c r="H75" s="52"/>
      <x:c r="I75" s="52"/>
      <x:c r="J75" s="53"/>
    </x:row>
    <x:row r="76">
      <x:c r="A76" s="51"/>
      <x:c r="B76" s="52"/>
      <x:c r="C76" s="52"/>
      <x:c r="D76" s="52"/>
      <x:c r="E76" s="52"/>
      <x:c r="F76" s="52"/>
      <x:c r="G76" s="52"/>
      <x:c r="H76" s="52"/>
      <x:c r="I76" s="52"/>
      <x:c r="J76" s="53"/>
    </x:row>
    <x:row r="77">
      <x:c r="A77" s="51"/>
      <x:c r="B77" s="52"/>
      <x:c r="C77" s="52"/>
      <x:c r="D77" s="52"/>
      <x:c r="E77" s="52"/>
      <x:c r="F77" s="52"/>
      <x:c r="G77" s="52"/>
      <x:c r="H77" s="52"/>
      <x:c r="I77" s="52"/>
      <x:c r="J77" s="53"/>
    </x:row>
    <x:row r="78">
      <x:c r="A78" s="51"/>
      <x:c r="B78" s="52"/>
      <x:c r="C78" s="52"/>
      <x:c r="D78" s="52"/>
      <x:c r="E78" s="52"/>
      <x:c r="F78" s="52"/>
      <x:c r="G78" s="52"/>
      <x:c r="H78" s="52"/>
      <x:c r="I78" s="52"/>
      <x:c r="J78" s="53"/>
    </x:row>
    <x:row r="79">
      <x:c r="A79" s="51"/>
      <x:c r="B79" s="52"/>
      <x:c r="C79" s="52"/>
      <x:c r="D79" s="52"/>
      <x:c r="E79" s="52"/>
      <x:c r="F79" s="52"/>
      <x:c r="G79" s="52"/>
      <x:c r="H79" s="52"/>
      <x:c r="I79" s="52"/>
      <x:c r="J79" s="53"/>
    </x:row>
    <x:row r="80">
      <x:c r="A80" s="51"/>
      <x:c r="B80" s="52"/>
      <x:c r="C80" s="52"/>
      <x:c r="D80" s="52"/>
      <x:c r="E80" s="52"/>
      <x:c r="F80" s="52"/>
      <x:c r="G80" s="52"/>
      <x:c r="H80" s="52"/>
      <x:c r="I80" s="52"/>
      <x:c r="J80" s="53"/>
    </x:row>
    <x:row r="81">
      <x:c r="A81" s="51"/>
      <x:c r="B81" s="52"/>
      <x:c r="C81" s="52"/>
      <x:c r="D81" s="52"/>
      <x:c r="E81" s="52"/>
      <x:c r="F81" s="52"/>
      <x:c r="G81" s="52"/>
      <x:c r="H81" s="52"/>
      <x:c r="I81" s="52"/>
      <x:c r="J81" s="53"/>
    </x:row>
    <x:row r="82">
      <x:c r="A82" s="51"/>
      <x:c r="B82" s="52"/>
      <x:c r="C82" s="52"/>
      <x:c r="D82" s="52"/>
      <x:c r="E82" s="52"/>
      <x:c r="F82" s="52"/>
      <x:c r="G82" s="52"/>
      <x:c r="H82" s="52"/>
      <x:c r="I82" s="52"/>
      <x:c r="J82" s="53"/>
    </x:row>
    <x:row r="83">
      <x:c r="A83" s="51"/>
      <x:c r="B83" s="52"/>
      <x:c r="C83" s="52"/>
      <x:c r="D83" s="52"/>
      <x:c r="E83" s="52"/>
      <x:c r="F83" s="52"/>
      <x:c r="G83" s="52"/>
      <x:c r="H83" s="52"/>
      <x:c r="I83" s="52"/>
      <x:c r="J83" s="53"/>
    </x:row>
    <x:row r="84">
      <x:c r="A84" s="51"/>
      <x:c r="B84" s="52"/>
      <x:c r="C84" s="52"/>
      <x:c r="D84" s="52"/>
      <x:c r="E84" s="52"/>
      <x:c r="F84" s="52"/>
      <x:c r="G84" s="52"/>
      <x:c r="H84" s="52"/>
      <x:c r="I84" s="52"/>
      <x:c r="J84" s="53"/>
    </x:row>
    <x:row r="85">
      <x:c r="A85" s="51"/>
      <x:c r="B85" s="52"/>
      <x:c r="C85" s="52"/>
      <x:c r="D85" s="52"/>
      <x:c r="E85" s="52"/>
      <x:c r="F85" s="52"/>
      <x:c r="G85" s="52"/>
      <x:c r="H85" s="52"/>
      <x:c r="I85" s="52"/>
      <x:c r="J85" s="53"/>
    </x:row>
    <x:row r="86">
      <x:c r="A86" s="51"/>
      <x:c r="B86" s="52"/>
      <x:c r="C86" s="52"/>
      <x:c r="D86" s="52"/>
      <x:c r="E86" s="52"/>
      <x:c r="F86" s="52"/>
      <x:c r="G86" s="52"/>
      <x:c r="H86" s="52"/>
      <x:c r="I86" s="52"/>
      <x:c r="J86" s="53"/>
    </x:row>
    <x:row r="87">
      <x:c r="A87" s="51"/>
      <x:c r="B87" s="52"/>
      <x:c r="C87" s="52"/>
      <x:c r="D87" s="52"/>
      <x:c r="E87" s="52"/>
      <x:c r="F87" s="52"/>
      <x:c r="G87" s="52"/>
      <x:c r="H87" s="52"/>
      <x:c r="I87" s="52"/>
      <x:c r="J87" s="53"/>
    </x:row>
    <x:row r="88">
      <x:c r="A88" s="51"/>
      <x:c r="B88" s="52"/>
      <x:c r="C88" s="52"/>
      <x:c r="D88" s="52"/>
      <x:c r="E88" s="52"/>
      <x:c r="F88" s="52"/>
      <x:c r="G88" s="52"/>
      <x:c r="H88" s="52"/>
      <x:c r="I88" s="52"/>
      <x:c r="J88" s="53"/>
    </x:row>
    <x:row r="89">
      <x:c r="A89" s="51"/>
      <x:c r="B89" s="52"/>
      <x:c r="C89" s="52"/>
      <x:c r="D89" s="52"/>
      <x:c r="E89" s="52"/>
      <x:c r="F89" s="52"/>
      <x:c r="G89" s="52"/>
      <x:c r="H89" s="52"/>
      <x:c r="I89" s="52"/>
      <x:c r="J89" s="53"/>
    </x:row>
    <x:row r="90">
      <x:c r="A90" s="51"/>
      <x:c r="B90" s="52"/>
      <x:c r="C90" s="52"/>
      <x:c r="D90" s="52"/>
      <x:c r="E90" s="52"/>
      <x:c r="F90" s="52"/>
      <x:c r="G90" s="52"/>
      <x:c r="H90" s="52"/>
      <x:c r="I90" s="52"/>
      <x:c r="J90" s="53"/>
    </x:row>
    <x:row r="91">
      <x:c r="A91" s="51"/>
      <x:c r="B91" s="52"/>
      <x:c r="C91" s="52"/>
      <x:c r="D91" s="52"/>
      <x:c r="E91" s="52"/>
      <x:c r="F91" s="52"/>
      <x:c r="G91" s="52"/>
      <x:c r="H91" s="52"/>
      <x:c r="I91" s="52"/>
      <x:c r="J91" s="53"/>
    </x:row>
    <x:row r="92">
      <x:c r="A92" s="51"/>
      <x:c r="B92" s="52"/>
      <x:c r="C92" s="52"/>
      <x:c r="D92" s="52"/>
      <x:c r="E92" s="52"/>
      <x:c r="F92" s="52"/>
      <x:c r="G92" s="52"/>
      <x:c r="H92" s="52"/>
      <x:c r="I92" s="52"/>
      <x:c r="J92" s="53"/>
    </x:row>
    <x:row r="93">
      <x:c r="A93" s="51"/>
      <x:c r="B93" s="52"/>
      <x:c r="C93" s="52"/>
      <x:c r="D93" s="52"/>
      <x:c r="E93" s="52"/>
      <x:c r="F93" s="52"/>
      <x:c r="G93" s="52"/>
      <x:c r="H93" s="52"/>
      <x:c r="I93" s="52"/>
      <x:c r="J93" s="53"/>
    </x:row>
    <x:row r="94">
      <x:c r="A94" s="51"/>
      <x:c r="B94" s="52"/>
      <x:c r="C94" s="52"/>
      <x:c r="D94" s="52"/>
      <x:c r="E94" s="52"/>
      <x:c r="F94" s="52"/>
      <x:c r="G94" s="52"/>
      <x:c r="H94" s="52"/>
      <x:c r="I94" s="52"/>
      <x:c r="J94" s="53"/>
    </x:row>
    <x:row r="95">
      <x:c r="A95" s="51"/>
      <x:c r="B95" s="52"/>
      <x:c r="C95" s="52"/>
      <x:c r="D95" s="52"/>
      <x:c r="E95" s="52"/>
      <x:c r="F95" s="52"/>
      <x:c r="G95" s="52"/>
      <x:c r="H95" s="52"/>
      <x:c r="I95" s="52"/>
      <x:c r="J95" s="53"/>
    </x:row>
    <x:row r="96">
      <x:c r="A96" s="51"/>
      <x:c r="B96" s="52"/>
      <x:c r="C96" s="52"/>
      <x:c r="D96" s="52"/>
      <x:c r="E96" s="52"/>
      <x:c r="F96" s="52"/>
      <x:c r="G96" s="52"/>
      <x:c r="H96" s="52"/>
      <x:c r="I96" s="52"/>
      <x:c r="J96" s="53"/>
    </x:row>
    <x:row r="97">
      <x:c r="A97" s="51"/>
      <x:c r="B97" s="52"/>
      <x:c r="C97" s="52"/>
      <x:c r="D97" s="52"/>
      <x:c r="E97" s="52"/>
      <x:c r="F97" s="52"/>
      <x:c r="G97" s="52"/>
      <x:c r="H97" s="52"/>
      <x:c r="I97" s="52"/>
      <x:c r="J97" s="53"/>
    </x:row>
    <x:row r="98">
      <x:c r="A98" s="51"/>
      <x:c r="B98" s="52"/>
      <x:c r="C98" s="52"/>
      <x:c r="D98" s="52"/>
      <x:c r="E98" s="52"/>
      <x:c r="F98" s="52"/>
      <x:c r="G98" s="52"/>
      <x:c r="H98" s="52"/>
      <x:c r="I98" s="52"/>
      <x:c r="J98" s="53"/>
    </x:row>
    <x:row r="99">
      <x:c r="A99" s="51"/>
      <x:c r="B99" s="52"/>
      <x:c r="C99" s="52"/>
      <x:c r="D99" s="52"/>
      <x:c r="E99" s="52"/>
      <x:c r="F99" s="52"/>
      <x:c r="G99" s="52"/>
      <x:c r="H99" s="52"/>
      <x:c r="I99" s="52"/>
      <x:c r="J99" s="53"/>
    </x:row>
    <x:row r="100">
      <x:c r="A100" s="51"/>
      <x:c r="B100" s="52"/>
      <x:c r="C100" s="52"/>
      <x:c r="D100" s="52"/>
      <x:c r="E100" s="52"/>
      <x:c r="F100" s="52"/>
      <x:c r="G100" s="52"/>
      <x:c r="H100" s="52"/>
      <x:c r="I100" s="52"/>
      <x:c r="J100" s="53"/>
    </x:row>
    <x:row r="101">
      <x:c r="A101" s="51"/>
      <x:c r="B101" s="52"/>
      <x:c r="C101" s="52"/>
      <x:c r="D101" s="52"/>
      <x:c r="E101" s="52"/>
      <x:c r="F101" s="52"/>
      <x:c r="G101" s="52"/>
      <x:c r="H101" s="52"/>
      <x:c r="I101" s="52"/>
      <x:c r="J101" s="53"/>
    </x:row>
    <x:row r="102">
      <x:c r="A102" s="51"/>
      <x:c r="B102" s="52"/>
      <x:c r="C102" s="52"/>
      <x:c r="D102" s="52"/>
      <x:c r="E102" s="52"/>
      <x:c r="F102" s="52"/>
      <x:c r="G102" s="52"/>
      <x:c r="H102" s="52"/>
      <x:c r="I102" s="52"/>
      <x:c r="J102" s="53"/>
    </x:row>
    <x:row r="103">
      <x:c r="A103" s="54"/>
      <x:c r="B103" s="55"/>
      <x:c r="C103" s="55"/>
      <x:c r="D103" s="55"/>
      <x:c r="E103" s="55"/>
      <x:c r="F103" s="55"/>
      <x:c r="G103" s="55"/>
      <x:c r="H103" s="55"/>
      <x:c r="I103" s="55"/>
      <x:c r="J103" s="56"/>
    </x:row>
    <x:row r="104">
      <x:c r="A104" s="197"/>
    </x:row>
    <x:row r="105">
      <x:c r="A105" s="197"/>
    </x:row>
    <x:row r="106">
      <x:c r="A106" s="197"/>
    </x:row>
    <x:row r="107">
      <x:c r="A107" s="197"/>
    </x:row>
    <x:row r="108">
      <x:c r="A108" s="197"/>
    </x:row>
    <x:row r="109">
      <x:c r="A109" s="197"/>
    </x:row>
    <x:row r="110">
      <x:c r="A110" s="197"/>
    </x:row>
    <x:row r="111">
      <x:c r="A111" s="197"/>
    </x:row>
    <x:row r="112">
      <x:c r="A112" s="197"/>
    </x:row>
    <x:row r="113">
      <x:c r="A113" s="197"/>
    </x:row>
    <x:row r="114">
      <x:c r="A114" s="197"/>
    </x:row>
    <x:row r="115">
      <x:c r="A115" s="197"/>
    </x:row>
    <x:row r="116">
      <x:c r="A116" s="197"/>
    </x:row>
    <x:row r="117">
      <x:c r="A117" s="197"/>
    </x:row>
    <x:row r="118">
      <x:c r="A118" s="197"/>
    </x:row>
    <x:row r="119">
      <x:c r="A119" s="197"/>
    </x:row>
    <x:row r="120">
      <x:c r="A120" s="197"/>
    </x:row>
    <x:row r="121">
      <x:c r="A121" s="197"/>
    </x:row>
    <x:row r="122">
      <x:c r="A122" s="197"/>
    </x:row>
    <x:row r="123">
      <x:c r="A123" s="197"/>
    </x:row>
    <x:row r="124">
      <x:c r="A124" s="197"/>
    </x:row>
    <x:row r="125">
      <x:c r="A125" s="197"/>
    </x:row>
    <x:row r="126">
      <x:c r="A126" s="197"/>
    </x:row>
    <x:row r="127">
      <x:c r="A127" s="197"/>
    </x:row>
    <x:row r="128">
      <x:c r="A128" s="197"/>
    </x:row>
    <x:row r="129">
      <x:c r="A129" s="197"/>
    </x:row>
    <x:row r="130">
      <x:c r="A130" s="197"/>
    </x:row>
    <x:row r="131">
      <x:c r="A131" s="197"/>
    </x:row>
    <x:row r="132">
      <x:c r="A132" s="197"/>
    </x:row>
    <x:row r="133">
      <x:c r="A133" s="197"/>
    </x:row>
    <x:row r="134">
      <x:c r="A134" s="197"/>
    </x:row>
    <x:row r="135">
      <x:c r="A135" s="197"/>
    </x:row>
    <x:row r="136">
      <x:c r="A136" s="197"/>
    </x:row>
    <x:row r="137">
      <x:c r="A137" s="197"/>
    </x:row>
    <x:row r="138">
      <x:c r="A138" s="197"/>
    </x:row>
    <x:row r="139">
      <x:c r="A139" s="197"/>
    </x:row>
    <x:row r="140">
      <x:c r="A140" s="197"/>
    </x:row>
    <x:row r="141">
      <x:c r="A141" s="197"/>
    </x:row>
    <x:row r="142">
      <x:c r="A142" s="197"/>
    </x:row>
    <x:row r="143">
      <x:c r="A143" s="197"/>
    </x:row>
    <x:row r="144">
      <x:c r="A144" s="197"/>
    </x:row>
    <x:row r="145">
      <x:c r="A145" s="197"/>
    </x:row>
    <x:row r="146">
      <x:c r="A146" s="197"/>
    </x:row>
    <x:row r="147">
      <x:c r="A147" s="197"/>
    </x:row>
    <x:row r="148">
      <x:c r="A148" s="197"/>
    </x:row>
    <x:row r="149">
      <x:c r="A149" s="197"/>
    </x:row>
    <x:row r="150">
      <x:c r="A150" s="197"/>
    </x:row>
    <x:row r="151">
      <x:c r="A151" s="197"/>
    </x:row>
    <x:row r="152">
      <x:c r="A152" s="197"/>
    </x:row>
    <x:row r="153">
      <x:c r="A153" s="197"/>
    </x:row>
    <x:row r="154">
      <x:c r="A154" s="197"/>
    </x:row>
    <x:row r="155">
      <x:c r="A155" s="197"/>
    </x:row>
    <x:row r="156">
      <x:c r="A156" s="197"/>
    </x:row>
    <x:row r="157">
      <x:c r="A157" s="197"/>
    </x:row>
    <x:row r="158">
      <x:c r="A158" s="197"/>
    </x:row>
    <x:row r="159">
      <x:c r="A159" s="197"/>
    </x:row>
    <x:row r="160">
      <x:c r="A160" s="197"/>
    </x:row>
    <x:row r="161">
      <x:c r="A161" s="197"/>
    </x:row>
    <x:row r="162">
      <x:c r="A162" s="197"/>
    </x:row>
    <x:row r="163">
      <x:c r="A163" s="197"/>
    </x:row>
    <x:row r="164">
      <x:c r="A164" s="197"/>
    </x:row>
    <x:row r="165">
      <x:c r="A165" s="197"/>
    </x:row>
    <x:row r="166">
      <x:c r="A166" s="197"/>
    </x:row>
    <x:row r="167">
      <x:c r="A167" s="197"/>
    </x:row>
    <x:row r="168">
      <x:c r="A168" s="197"/>
    </x:row>
    <x:row r="169">
      <x:c r="A169" s="197"/>
    </x:row>
    <x:row r="170">
      <x:c r="A170" s="197"/>
    </x:row>
    <x:row r="171">
      <x:c r="A171" s="197"/>
    </x:row>
    <x:row r="172">
      <x:c r="A172" s="197"/>
    </x:row>
    <x:row r="173">
      <x:c r="A173" s="197"/>
    </x:row>
    <x:row r="174">
      <x:c r="A174" s="197"/>
    </x:row>
    <x:row r="175">
      <x:c r="A175" s="197"/>
    </x:row>
    <x:row r="176">
      <x:c r="A176" s="197"/>
    </x:row>
    <x:row r="177">
      <x:c r="A177" s="197"/>
    </x:row>
    <x:row r="178">
      <x:c r="A178" s="197"/>
    </x:row>
    <x:row r="179">
      <x:c r="A179" s="197"/>
    </x:row>
    <x:row r="180">
      <x:c r="A180" s="197"/>
    </x:row>
    <x:row r="181">
      <x:c r="A181" s="197"/>
    </x:row>
    <x:row r="182">
      <x:c r="A182" s="197"/>
    </x:row>
    <x:row r="183">
      <x:c r="A183" s="197"/>
    </x:row>
    <x:row r="184">
      <x:c r="A184" s="197"/>
    </x:row>
    <x:row r="185">
      <x:c r="A185" s="197"/>
    </x:row>
    <x:row r="186">
      <x:c r="A186" s="197"/>
    </x:row>
    <x:row r="187">
      <x:c r="A187" s="197"/>
    </x:row>
    <x:row r="188">
      <x:c r="A188" s="197"/>
    </x:row>
    <x:row r="189">
      <x:c r="A189" s="197"/>
    </x:row>
    <x:row r="190">
      <x:c r="A190" s="197"/>
    </x:row>
    <x:row r="191">
      <x:c r="A191" s="197"/>
    </x:row>
    <x:row r="192">
      <x:c r="A192" s="197"/>
    </x:row>
    <x:row r="193">
      <x:c r="A193" s="197"/>
    </x:row>
    <x:row r="194">
      <x:c r="A194" s="197"/>
    </x:row>
    <x:row r="195">
      <x:c r="A195" s="197"/>
    </x:row>
    <x:row r="196">
      <x:c r="A196" s="197"/>
    </x:row>
    <x:row r="197">
      <x:c r="A197" s="197"/>
    </x:row>
    <x:row r="198">
      <x:c r="A198" s="197"/>
    </x:row>
    <x:row r="199">
      <x:c r="A199" s="197"/>
    </x:row>
    <x:row r="200">
      <x:c r="A200" s="197"/>
    </x:row>
    <x:row r="201">
      <x:c r="A201" s="197"/>
    </x:row>
    <x:row r="202">
      <x:c r="A202" s="197"/>
    </x:row>
    <x:row r="203">
      <x:c r="A203" s="197"/>
    </x:row>
    <x:row r="204">
      <x:c r="A204" s="197"/>
    </x:row>
    <x:row r="205">
      <x:c r="A205" s="197"/>
    </x:row>
    <x:row r="206">
      <x:c r="A206" s="197"/>
    </x:row>
    <x:row r="207">
      <x:c r="A207" s="197"/>
    </x:row>
    <x:row r="208">
      <x:c r="A208" s="197"/>
    </x:row>
    <x:row r="209">
      <x:c r="A209" s="197"/>
    </x:row>
    <x:row r="210">
      <x:c r="A210" s="197"/>
    </x:row>
    <x:row r="211">
      <x:c r="A211" s="197"/>
    </x:row>
    <x:row r="212">
      <x:c r="A212" s="197"/>
    </x:row>
    <x:row r="213">
      <x:c r="A213" s="197"/>
    </x:row>
    <x:row r="214">
      <x:c r="A214" s="197"/>
    </x:row>
    <x:row r="215">
      <x:c r="A215" s="197"/>
    </x:row>
    <x:row r="216">
      <x:c r="A216" s="197"/>
    </x:row>
    <x:row r="217">
      <x:c r="A217" s="197"/>
    </x:row>
    <x:row r="218">
      <x:c r="A218" s="197"/>
    </x:row>
    <x:row r="219">
      <x:c r="A219" s="197"/>
    </x:row>
    <x:row r="220">
      <x:c r="A220" s="197"/>
    </x:row>
    <x:row r="221">
      <x:c r="A221" s="197"/>
    </x:row>
    <x:row r="222">
      <x:c r="A222" s="197"/>
    </x:row>
    <x:row r="223">
      <x:c r="A223" s="197"/>
    </x:row>
    <x:row r="224">
      <x:c r="A224" s="197"/>
    </x:row>
    <x:row r="225">
      <x:c r="A225" s="197"/>
    </x:row>
    <x:row r="226">
      <x:c r="A226" s="197"/>
    </x:row>
    <x:row r="227">
      <x:c r="A227" s="197"/>
    </x:row>
    <x:row r="228">
      <x:c r="A228" s="197"/>
    </x:row>
    <x:row r="229">
      <x:c r="A229" s="197"/>
    </x:row>
    <x:row r="230">
      <x:c r="A230" s="197"/>
    </x:row>
    <x:row r="231">
      <x:c r="A231" s="197"/>
    </x:row>
    <x:row r="232">
      <x:c r="A232" s="197"/>
    </x:row>
    <x:row r="233">
      <x:c r="A233" s="197"/>
    </x:row>
    <x:row r="234">
      <x:c r="A234" s="197"/>
    </x:row>
    <x:row r="235">
      <x:c r="A235" s="197"/>
    </x:row>
    <x:row r="236">
      <x:c r="A236" s="197"/>
    </x:row>
    <x:row r="237">
      <x:c r="A237" s="197"/>
    </x:row>
    <x:row r="238">
      <x:c r="A238" s="197"/>
    </x:row>
    <x:row r="239">
      <x:c r="A239" s="197"/>
    </x:row>
    <x:row r="240">
      <x:c r="A240" s="197"/>
    </x:row>
  </x:sheetData>
  <x:mergeCells>
    <x:mergeCell ref="A1:J1"/>
  </x:mergeCells>
  <x:dataValidations count="2">
    <x:dataValidation type="list" sqref="B4:H103">
      <x:formula1>"Yes,No,Maybe,Scoped only"</x:formula1>
    </x:dataValidation>
    <x:dataValidation type="list" sqref="I4:I103">
      <x:formula1>Lists!$L$2:$L$9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48" hidden="0" customWidth="1"/>
    <x:col min="5" max="5" width="26" hidden="0" customWidth="1"/>
    <x:col min="6" max="6" width="14" hidden="0" customWidth="1"/>
    <x:col min="7" max="7" width="16" hidden="0" customWidth="1"/>
    <x:col min="8" max="8" width="20" hidden="0" customWidth="1"/>
    <x:col min="9" max="9" width="38" hidden="0" customWidth="1"/>
  </x:cols>
  <x:sheetData>
    <x:row r="1" ht="34" customHeight="1">
      <x:c r="A1" s="196" t="str">
        <x:v>Treasury Reinvestment and Capacity Allocation</x:v>
      </x:c>
    </x:row>
    <x:row r="2">
      <x:c r="A2" s="197"/>
    </x:row>
    <x:row r="3" ht="24" customHeight="1">
      <x:c r="A3" s="13" t="str">
        <x:v>Input / Metric</x:v>
      </x:c>
      <x:c r="B3" s="14" t="str">
        <x:v>Value</x:v>
      </x:c>
      <x:c r="C3" s="15" t="str">
        <x:v>Notes</x:v>
      </x:c>
      <x:c r="E3" s="109" t="str">
        <x:v>Allocation Plan</x:v>
      </x:c>
    </x:row>
    <x:row r="4" ht="30" customHeight="1">
      <x:c r="A4" s="48" t="str">
        <x:v>Verified Cash Gain</x:v>
      </x:c>
      <x:c r="B4" s="92" t="n">
        <x:v>0</x:v>
      </x:c>
      <x:c r="C4" s="50" t="str">
        <x:v>Cash collected after direct delivery costs</x:v>
      </x:c>
      <x:c r="E4" s="13" t="str">
        <x:v>Use of Gains</x:v>
      </x:c>
      <x:c r="F4" s="14" t="str">
        <x:v>Allocation %</x:v>
      </x:c>
      <x:c r="G4" s="14" t="str">
        <x:v>Amount</x:v>
      </x:c>
      <x:c r="H4" s="14" t="str">
        <x:v>Owner</x:v>
      </x:c>
      <x:c r="I4" s="15" t="str">
        <x:v>Purpose</x:v>
      </x:c>
    </x:row>
    <x:row r="5">
      <x:c r="A5" s="51" t="str">
        <x:v>Customer Savings / Value</x:v>
      </x:c>
      <x:c r="B5" s="93" t="n">
        <x:v>0</x:v>
      </x:c>
      <x:c r="C5" s="53" t="str">
        <x:v>Measured customer benefit</x:v>
      </x:c>
      <x:c r="E5" s="48" t="str">
        <x:v>Compute + Data</x:v>
      </x:c>
      <x:c r="F5" s="118" t="n">
        <x:v>0.25</x:v>
      </x:c>
      <x:c r="G5" s="92" t="n">
        <x:f>$B$9*F5</x:f>
        <x:v>0</x:v>
      </x:c>
      <x:c r="H5" s="49" t="str"/>
      <x:c r="I5" s="50" t="str"/>
    </x:row>
    <x:row r="6">
      <x:c r="A6" s="51" t="str">
        <x:v>Reusable Asset Value</x:v>
      </x:c>
      <x:c r="B6" s="93" t="n">
        <x:v>0</x:v>
      </x:c>
      <x:c r="C6" s="53" t="str">
        <x:v>Estimated value of validated capability</x:v>
      </x:c>
      <x:c r="E6" s="51" t="str">
        <x:v>Tools + Product</x:v>
      </x:c>
      <x:c r="F6" s="112" t="n">
        <x:v>0.2</x:v>
      </x:c>
      <x:c r="G6" s="93" t="n">
        <x:f>$B$9*F6</x:f>
        <x:v>0</x:v>
      </x:c>
      <x:c r="H6" s="52" t="str"/>
      <x:c r="I6" s="53" t="str"/>
    </x:row>
    <x:row r="7">
      <x:c r="A7" s="51" t="str">
        <x:v>Strategic Option Value</x:v>
      </x:c>
      <x:c r="B7" s="93" t="n">
        <x:v>0</x:v>
      </x:c>
      <x:c r="C7" s="53" t="str">
        <x:v>Partnership, product, or market option</x:v>
      </x:c>
      <x:c r="E7" s="51" t="str">
        <x:v>Validators + Assurance</x:v>
      </x:c>
      <x:c r="F7" s="112" t="n">
        <x:v>0.15</x:v>
      </x:c>
      <x:c r="G7" s="93" t="n">
        <x:f>$B$9*F7</x:f>
        <x:v>0</x:v>
      </x:c>
      <x:c r="H7" s="52" t="str"/>
      <x:c r="I7" s="53" t="str"/>
    </x:row>
    <x:row r="8">
      <x:c r="A8" s="51" t="str">
        <x:v>Risk / Reserve</x:v>
      </x:c>
      <x:c r="B8" s="93" t="n">
        <x:v>0</x:v>
      </x:c>
      <x:c r="C8" s="53" t="str">
        <x:v>Legal, safety, security, dispute, concentration</x:v>
      </x:c>
      <x:c r="E8" s="51" t="str">
        <x:v>Sales + Customer Success</x:v>
      </x:c>
      <x:c r="F8" s="112" t="n">
        <x:v>0.2</x:v>
      </x:c>
      <x:c r="G8" s="93" t="n">
        <x:f>$B$9*F8</x:f>
        <x:v>0</x:v>
      </x:c>
      <x:c r="H8" s="52" t="str"/>
      <x:c r="I8" s="53" t="str"/>
    </x:row>
    <x:row r="9">
      <x:c r="A9" s="51" t="str">
        <x:v>Net Allocable Value</x:v>
      </x:c>
      <x:c r="B9" s="93" t="n">
        <x:f>SUM(B4:B7)-B8</x:f>
        <x:v>0</x:v>
      </x:c>
      <x:c r="C9" s="53" t="str">
        <x:v>Verified gains minus risk reserve</x:v>
      </x:c>
      <x:c r="E9" s="51" t="str">
        <x:v>Security + Compliance</x:v>
      </x:c>
      <x:c r="F9" s="112" t="n">
        <x:v>0.1</x:v>
      </x:c>
      <x:c r="G9" s="93" t="n">
        <x:f>$B$9*F9</x:f>
        <x:v>0</x:v>
      </x:c>
      <x:c r="H9" s="52" t="str"/>
      <x:c r="I9" s="53" t="str"/>
    </x:row>
    <x:row r="10">
      <x:c r="A10" s="51" t="str">
        <x:v>Compute + Data %</x:v>
      </x:c>
      <x:c r="B10" s="112" t="n">
        <x:v>0.25</x:v>
      </x:c>
      <x:c r="C10" s="53" t="str"/>
      <x:c r="E10" s="54" t="str">
        <x:v>Invention Reserve</x:v>
      </x:c>
      <x:c r="F10" s="113" t="n">
        <x:v>0.1</x:v>
      </x:c>
      <x:c r="G10" s="94" t="n">
        <x:f>$B$9*F10</x:f>
        <x:v>0</x:v>
      </x:c>
      <x:c r="H10" s="55" t="str"/>
      <x:c r="I10" s="56" t="str"/>
    </x:row>
    <x:row r="11">
      <x:c r="A11" s="51" t="str">
        <x:v>Tools + Product %</x:v>
      </x:c>
      <x:c r="B11" s="112" t="n">
        <x:v>0.2</x:v>
      </x:c>
      <x:c r="C11" s="53" t="str"/>
    </x:row>
    <x:row r="12">
      <x:c r="A12" s="51" t="str">
        <x:v>Validators + Assurance %</x:v>
      </x:c>
      <x:c r="B12" s="112" t="n">
        <x:v>0.15</x:v>
      </x:c>
      <x:c r="C12" s="53" t="str"/>
    </x:row>
    <x:row r="13">
      <x:c r="A13" s="54" t="str">
        <x:v>Sales + Customer Success %</x:v>
      </x:c>
      <x:c r="B13" s="113" t="n">
        <x:v>0.2</x:v>
      </x:c>
      <x:c r="C13" s="56" t="str"/>
    </x:row>
    <x:row r="14">
      <x:c r="A14" s="197" t="str">
        <x:v>Security + Compliance %</x:v>
      </x:c>
      <x:c r="B14" s="114" t="n">
        <x:v>0.1</x:v>
      </x:c>
      <x:c r="C14" t="str"/>
    </x:row>
    <x:row r="15">
      <x:c r="A15" s="197" t="str">
        <x:v>Invention Reserve %</x:v>
      </x:c>
      <x:c r="B15" s="114" t="n">
        <x:v>0.1</x:v>
      </x:c>
      <x:c r="C15" t="str"/>
    </x:row>
    <x:row r="16">
      <x:c r="A16" s="197"/>
    </x:row>
    <x:row r="17">
      <x:c r="A17" s="197"/>
    </x:row>
    <x:row r="18">
      <x:c r="A18" s="197"/>
    </x:row>
    <x:row r="19">
      <x:c r="A19" s="197"/>
    </x:row>
    <x:row r="20">
      <x:c r="A20" s="197"/>
    </x:row>
    <x:row r="21">
      <x:c r="A21" s="197"/>
    </x:row>
    <x:row r="22">
      <x:c r="A22" s="197"/>
    </x:row>
    <x:row r="23">
      <x:c r="A23" s="197"/>
    </x:row>
    <x:row r="24">
      <x:c r="A24" s="197"/>
    </x:row>
    <x:row r="25">
      <x:c r="A25" s="197"/>
    </x:row>
    <x:row r="26">
      <x:c r="A26" s="197"/>
    </x:row>
    <x:row r="27">
      <x:c r="A27" s="197"/>
    </x:row>
    <x:row r="28">
      <x:c r="A28" s="197"/>
    </x:row>
    <x:row r="29">
      <x:c r="A29" s="197"/>
    </x:row>
    <x:row r="30">
      <x:c r="A30" s="197"/>
    </x:row>
    <x:row r="31">
      <x:c r="A31" s="197"/>
    </x:row>
    <x:row r="32">
      <x:c r="A32" s="197"/>
    </x:row>
    <x:row r="33">
      <x:c r="A33" s="197"/>
    </x:row>
    <x:row r="34">
      <x:c r="A34" s="197"/>
    </x:row>
    <x:row r="35">
      <x:c r="A35" s="197"/>
    </x:row>
    <x:row r="36">
      <x:c r="A36" s="197"/>
    </x:row>
    <x:row r="37">
      <x:c r="A37" s="197"/>
    </x:row>
    <x:row r="38">
      <x:c r="A38" s="197"/>
    </x:row>
    <x:row r="39">
      <x:c r="A39" s="197"/>
    </x:row>
    <x:row r="40">
      <x:c r="A40" s="197"/>
    </x:row>
    <x:row r="41">
      <x:c r="A41" s="197"/>
    </x:row>
    <x:row r="42">
      <x:c r="A42" s="197"/>
    </x:row>
    <x:row r="43">
      <x:c r="A43" s="197"/>
    </x:row>
    <x:row r="44">
      <x:c r="A44" s="197"/>
    </x:row>
    <x:row r="45">
      <x:c r="A45" s="197"/>
    </x:row>
    <x:row r="46">
      <x:c r="A46" s="197"/>
    </x:row>
    <x:row r="47">
      <x:c r="A47" s="197"/>
    </x:row>
    <x:row r="48">
      <x:c r="A48" s="197"/>
    </x:row>
    <x:row r="49">
      <x:c r="A49" s="197"/>
    </x:row>
    <x:row r="50">
      <x:c r="A50" s="197"/>
    </x:row>
    <x:row r="51">
      <x:c r="A51" s="197"/>
    </x:row>
    <x:row r="52">
      <x:c r="A52" s="197"/>
    </x:row>
    <x:row r="53">
      <x:c r="A53" s="197"/>
    </x:row>
    <x:row r="54">
      <x:c r="A54" s="197"/>
    </x:row>
    <x:row r="55">
      <x:c r="A55" s="197"/>
    </x:row>
    <x:row r="56">
      <x:c r="A56" s="197"/>
    </x:row>
    <x:row r="57">
      <x:c r="A57" s="197"/>
    </x:row>
    <x:row r="58">
      <x:c r="A58" s="197"/>
    </x:row>
    <x:row r="59">
      <x:c r="A59" s="197"/>
    </x:row>
    <x:row r="60">
      <x:c r="A60" s="197"/>
    </x:row>
    <x:row r="61">
      <x:c r="A61" s="197"/>
    </x:row>
    <x:row r="62">
      <x:c r="A62" s="197"/>
    </x:row>
    <x:row r="63">
      <x:c r="A63" s="197"/>
    </x:row>
    <x:row r="64">
      <x:c r="A64" s="197"/>
    </x:row>
    <x:row r="65">
      <x:c r="A65" s="197"/>
    </x:row>
    <x:row r="66">
      <x:c r="A66" s="197"/>
    </x:row>
    <x:row r="67">
      <x:c r="A67" s="197"/>
    </x:row>
    <x:row r="68">
      <x:c r="A68" s="197"/>
    </x:row>
    <x:row r="69">
      <x:c r="A69" s="197"/>
    </x:row>
    <x:row r="70">
      <x:c r="A70" s="197"/>
    </x:row>
    <x:row r="71">
      <x:c r="A71" s="197"/>
    </x:row>
    <x:row r="72">
      <x:c r="A72" s="197"/>
    </x:row>
    <x:row r="73">
      <x:c r="A73" s="197"/>
    </x:row>
    <x:row r="74">
      <x:c r="A74" s="197"/>
    </x:row>
    <x:row r="75">
      <x:c r="A75" s="197"/>
    </x:row>
    <x:row r="76">
      <x:c r="A76" s="197"/>
    </x:row>
    <x:row r="77">
      <x:c r="A77" s="197"/>
    </x:row>
    <x:row r="78">
      <x:c r="A78" s="197"/>
    </x:row>
    <x:row r="79">
      <x:c r="A79" s="197"/>
    </x:row>
    <x:row r="80">
      <x:c r="A80" s="197"/>
    </x:row>
    <x:row r="81">
      <x:c r="A81" s="197"/>
    </x:row>
    <x:row r="82">
      <x:c r="A82" s="197"/>
    </x:row>
    <x:row r="83">
      <x:c r="A83" s="197"/>
    </x:row>
    <x:row r="84">
      <x:c r="A84" s="197"/>
    </x:row>
    <x:row r="85">
      <x:c r="A85" s="197"/>
    </x:row>
    <x:row r="86">
      <x:c r="A86" s="197"/>
    </x:row>
    <x:row r="87">
      <x:c r="A87" s="197"/>
    </x:row>
    <x:row r="88">
      <x:c r="A88" s="197"/>
    </x:row>
    <x:row r="89">
      <x:c r="A89" s="197"/>
    </x:row>
    <x:row r="90">
      <x:c r="A90" s="197"/>
    </x:row>
    <x:row r="91">
      <x:c r="A91" s="197"/>
    </x:row>
    <x:row r="92">
      <x:c r="A92" s="197"/>
    </x:row>
    <x:row r="93">
      <x:c r="A93" s="197"/>
    </x:row>
    <x:row r="94">
      <x:c r="A94" s="197"/>
    </x:row>
    <x:row r="95">
      <x:c r="A95" s="197"/>
    </x:row>
    <x:row r="96">
      <x:c r="A96" s="197"/>
    </x:row>
    <x:row r="97">
      <x:c r="A97" s="197"/>
    </x:row>
    <x:row r="98">
      <x:c r="A98" s="197"/>
    </x:row>
    <x:row r="99">
      <x:c r="A99" s="197"/>
    </x:row>
    <x:row r="100">
      <x:c r="A100" s="197"/>
    </x:row>
    <x:row r="101">
      <x:c r="A101" s="197"/>
    </x:row>
    <x:row r="102">
      <x:c r="A102" s="197"/>
    </x:row>
    <x:row r="103">
      <x:c r="A103" s="197"/>
    </x:row>
    <x:row r="104">
      <x:c r="A104" s="197"/>
    </x:row>
    <x:row r="105">
      <x:c r="A105" s="197"/>
    </x:row>
    <x:row r="106">
      <x:c r="A106" s="197"/>
    </x:row>
    <x:row r="107">
      <x:c r="A107" s="197"/>
    </x:row>
    <x:row r="108">
      <x:c r="A108" s="197"/>
    </x:row>
    <x:row r="109">
      <x:c r="A109" s="197"/>
    </x:row>
    <x:row r="110">
      <x:c r="A110" s="197"/>
    </x:row>
    <x:row r="111">
      <x:c r="A111" s="197"/>
    </x:row>
    <x:row r="112">
      <x:c r="A112" s="197"/>
    </x:row>
    <x:row r="113">
      <x:c r="A113" s="197"/>
    </x:row>
    <x:row r="114">
      <x:c r="A114" s="197"/>
    </x:row>
    <x:row r="115">
      <x:c r="A115" s="197"/>
    </x:row>
    <x:row r="116">
      <x:c r="A116" s="197"/>
    </x:row>
    <x:row r="117">
      <x:c r="A117" s="197"/>
    </x:row>
    <x:row r="118">
      <x:c r="A118" s="197"/>
    </x:row>
    <x:row r="119">
      <x:c r="A119" s="197"/>
    </x:row>
    <x:row r="120">
      <x:c r="A120" s="197"/>
    </x:row>
    <x:row r="121">
      <x:c r="A121" s="197"/>
    </x:row>
    <x:row r="122">
      <x:c r="A122" s="197"/>
    </x:row>
    <x:row r="123">
      <x:c r="A123" s="197"/>
    </x:row>
    <x:row r="124">
      <x:c r="A124" s="197"/>
    </x:row>
    <x:row r="125">
      <x:c r="A125" s="197"/>
    </x:row>
    <x:row r="126">
      <x:c r="A126" s="197"/>
    </x:row>
    <x:row r="127">
      <x:c r="A127" s="197"/>
    </x:row>
    <x:row r="128">
      <x:c r="A128" s="197"/>
    </x:row>
    <x:row r="129">
      <x:c r="A129" s="197"/>
    </x:row>
    <x:row r="130">
      <x:c r="A130" s="197"/>
    </x:row>
    <x:row r="131">
      <x:c r="A131" s="197"/>
    </x:row>
    <x:row r="132">
      <x:c r="A132" s="197"/>
    </x:row>
    <x:row r="133">
      <x:c r="A133" s="197"/>
    </x:row>
    <x:row r="134">
      <x:c r="A134" s="197"/>
    </x:row>
    <x:row r="135">
      <x:c r="A135" s="197"/>
    </x:row>
    <x:row r="136">
      <x:c r="A136" s="197"/>
    </x:row>
    <x:row r="137">
      <x:c r="A137" s="197"/>
    </x:row>
    <x:row r="138">
      <x:c r="A138" s="197"/>
    </x:row>
    <x:row r="139">
      <x:c r="A139" s="197"/>
    </x:row>
    <x:row r="140">
      <x:c r="A140" s="197"/>
    </x:row>
    <x:row r="141">
      <x:c r="A141" s="197"/>
    </x:row>
    <x:row r="142">
      <x:c r="A142" s="197"/>
    </x:row>
    <x:row r="143">
      <x:c r="A143" s="197"/>
    </x:row>
    <x:row r="144">
      <x:c r="A144" s="197"/>
    </x:row>
    <x:row r="145">
      <x:c r="A145" s="197"/>
    </x:row>
    <x:row r="146">
      <x:c r="A146" s="197"/>
    </x:row>
    <x:row r="147">
      <x:c r="A147" s="197"/>
    </x:row>
    <x:row r="148">
      <x:c r="A148" s="197"/>
    </x:row>
    <x:row r="149">
      <x:c r="A149" s="197"/>
    </x:row>
    <x:row r="150">
      <x:c r="A150" s="197"/>
    </x:row>
    <x:row r="151">
      <x:c r="A151" s="197"/>
    </x:row>
    <x:row r="152">
      <x:c r="A152" s="197"/>
    </x:row>
    <x:row r="153">
      <x:c r="A153" s="197"/>
    </x:row>
    <x:row r="154">
      <x:c r="A154" s="197"/>
    </x:row>
    <x:row r="155">
      <x:c r="A155" s="197"/>
    </x:row>
    <x:row r="156">
      <x:c r="A156" s="197"/>
    </x:row>
    <x:row r="157">
      <x:c r="A157" s="197"/>
    </x:row>
    <x:row r="158">
      <x:c r="A158" s="197"/>
    </x:row>
    <x:row r="159">
      <x:c r="A159" s="197"/>
    </x:row>
    <x:row r="160">
      <x:c r="A160" s="197"/>
    </x:row>
    <x:row r="161">
      <x:c r="A161" s="197"/>
    </x:row>
    <x:row r="162">
      <x:c r="A162" s="197"/>
    </x:row>
    <x:row r="163">
      <x:c r="A163" s="197"/>
    </x:row>
    <x:row r="164">
      <x:c r="A164" s="197"/>
    </x:row>
    <x:row r="165">
      <x:c r="A165" s="197"/>
    </x:row>
    <x:row r="166">
      <x:c r="A166" s="197"/>
    </x:row>
    <x:row r="167">
      <x:c r="A167" s="197"/>
    </x:row>
    <x:row r="168">
      <x:c r="A168" s="197"/>
    </x:row>
    <x:row r="169">
      <x:c r="A169" s="197"/>
    </x:row>
    <x:row r="170">
      <x:c r="A170" s="197"/>
    </x:row>
    <x:row r="171">
      <x:c r="A171" s="197"/>
    </x:row>
    <x:row r="172">
      <x:c r="A172" s="197"/>
    </x:row>
    <x:row r="173">
      <x:c r="A173" s="197"/>
    </x:row>
    <x:row r="174">
      <x:c r="A174" s="197"/>
    </x:row>
    <x:row r="175">
      <x:c r="A175" s="197"/>
    </x:row>
    <x:row r="176">
      <x:c r="A176" s="197"/>
    </x:row>
    <x:row r="177">
      <x:c r="A177" s="197"/>
    </x:row>
    <x:row r="178">
      <x:c r="A178" s="197"/>
    </x:row>
    <x:row r="179">
      <x:c r="A179" s="197"/>
    </x:row>
    <x:row r="180">
      <x:c r="A180" s="197"/>
    </x:row>
    <x:row r="181">
      <x:c r="A181" s="197"/>
    </x:row>
    <x:row r="182">
      <x:c r="A182" s="197"/>
    </x:row>
    <x:row r="183">
      <x:c r="A183" s="197"/>
    </x:row>
    <x:row r="184">
      <x:c r="A184" s="197"/>
    </x:row>
    <x:row r="185">
      <x:c r="A185" s="197"/>
    </x:row>
    <x:row r="186">
      <x:c r="A186" s="197"/>
    </x:row>
    <x:row r="187">
      <x:c r="A187" s="197"/>
    </x:row>
    <x:row r="188">
      <x:c r="A188" s="197"/>
    </x:row>
    <x:row r="189">
      <x:c r="A189" s="197"/>
    </x:row>
    <x:row r="190">
      <x:c r="A190" s="197"/>
    </x:row>
    <x:row r="191">
      <x:c r="A191" s="197"/>
    </x:row>
    <x:row r="192">
      <x:c r="A192" s="197"/>
    </x:row>
    <x:row r="193">
      <x:c r="A193" s="197"/>
    </x:row>
    <x:row r="194">
      <x:c r="A194" s="197"/>
    </x:row>
    <x:row r="195">
      <x:c r="A195" s="197"/>
    </x:row>
    <x:row r="196">
      <x:c r="A196" s="197"/>
    </x:row>
    <x:row r="197">
      <x:c r="A197" s="197"/>
    </x:row>
    <x:row r="198">
      <x:c r="A198" s="197"/>
    </x:row>
    <x:row r="199">
      <x:c r="A199" s="197"/>
    </x:row>
    <x:row r="200">
      <x:c r="A200" s="197"/>
    </x:row>
    <x:row r="201">
      <x:c r="A201" s="197"/>
    </x:row>
    <x:row r="202">
      <x:c r="A202" s="197"/>
    </x:row>
    <x:row r="203">
      <x:c r="A203" s="197"/>
    </x:row>
    <x:row r="204">
      <x:c r="A204" s="197"/>
    </x:row>
    <x:row r="205">
      <x:c r="A205" s="197"/>
    </x:row>
    <x:row r="206">
      <x:c r="A206" s="197"/>
    </x:row>
    <x:row r="207">
      <x:c r="A207" s="197"/>
    </x:row>
    <x:row r="208">
      <x:c r="A208" s="197"/>
    </x:row>
    <x:row r="209">
      <x:c r="A209" s="197"/>
    </x:row>
    <x:row r="210">
      <x:c r="A210" s="197"/>
    </x:row>
    <x:row r="211">
      <x:c r="A211" s="197"/>
    </x:row>
    <x:row r="212">
      <x:c r="A212" s="197"/>
    </x:row>
    <x:row r="213">
      <x:c r="A213" s="197"/>
    </x:row>
    <x:row r="214">
      <x:c r="A214" s="197"/>
    </x:row>
    <x:row r="215">
      <x:c r="A215" s="197"/>
    </x:row>
    <x:row r="216">
      <x:c r="A216" s="197"/>
    </x:row>
    <x:row r="217">
      <x:c r="A217" s="197"/>
    </x:row>
    <x:row r="218">
      <x:c r="A218" s="197"/>
    </x:row>
    <x:row r="219">
      <x:c r="A219" s="197"/>
    </x:row>
    <x:row r="220">
      <x:c r="A220" s="197"/>
    </x:row>
    <x:row r="221">
      <x:c r="A221" s="197"/>
    </x:row>
    <x:row r="222">
      <x:c r="A222" s="197"/>
    </x:row>
    <x:row r="223">
      <x:c r="A223" s="197"/>
    </x:row>
    <x:row r="224">
      <x:c r="A224" s="197"/>
    </x:row>
    <x:row r="225">
      <x:c r="A225" s="197"/>
    </x:row>
    <x:row r="226">
      <x:c r="A226" s="197"/>
    </x:row>
    <x:row r="227">
      <x:c r="A227" s="197"/>
    </x:row>
    <x:row r="228">
      <x:c r="A228" s="197"/>
    </x:row>
    <x:row r="229">
      <x:c r="A229" s="197"/>
    </x:row>
    <x:row r="230">
      <x:c r="A230" s="197"/>
    </x:row>
    <x:row r="231">
      <x:c r="A231" s="197"/>
    </x:row>
    <x:row r="232">
      <x:c r="A232" s="197"/>
    </x:row>
    <x:row r="233">
      <x:c r="A233" s="197"/>
    </x:row>
    <x:row r="234">
      <x:c r="A234" s="197"/>
    </x:row>
    <x:row r="235">
      <x:c r="A235" s="197"/>
    </x:row>
    <x:row r="236">
      <x:c r="A236" s="197"/>
    </x:row>
    <x:row r="237">
      <x:c r="A237" s="197"/>
    </x:row>
    <x:row r="238">
      <x:c r="A238" s="197"/>
    </x:row>
    <x:row r="239">
      <x:c r="A239" s="197"/>
    </x:row>
    <x:row r="240">
      <x:c r="A240" s="197"/>
    </x:row>
  </x:sheetData>
  <x:mergeCells>
    <x:mergeCell ref="A1:I1"/>
    <x:mergeCell ref="E3:I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3" hidden="0" customWidth="1"/>
    <x:col min="5" max="5" width="13" hidden="0" customWidth="1"/>
    <x:col min="6" max="6" width="14" hidden="0" customWidth="1"/>
    <x:col min="7" max="7" width="12" hidden="0" customWidth="1"/>
    <x:col min="8" max="8" width="30" hidden="0" customWidth="1"/>
    <x:col min="9" max="9" width="18" hidden="0" customWidth="1"/>
    <x:col min="10" max="10" width="18" hidden="0" customWidth="1"/>
    <x:col min="11" max="11" width="18" hidden="0" customWidth="1"/>
    <x:col min="12" max="12" width="22" hidden="0" customWidth="1"/>
    <x:col min="13" max="13" width="20" hidden="0" customWidth="1"/>
  </x:cols>
  <x:sheetData>
    <x:row r="1" ht="34" customHeight="1">
      <x:c r="A1" s="196" t="str">
        <x:v>Mission 2 Reuse and Compounding Test</x:v>
      </x:c>
    </x:row>
    <x:row r="2">
      <x:c r="A2" s="197"/>
    </x:row>
    <x:row r="3" ht="30" customHeight="1">
      <x:c r="A3" s="13" t="str">
        <x:v>Metric</x:v>
      </x:c>
      <x:c r="B3" s="14" t="str">
        <x:v>Baseline Mission</x:v>
      </x:c>
      <x:c r="C3" s="14" t="str">
        <x:v>Mission with Skill</x:v>
      </x:c>
      <x:c r="D3" s="14" t="str">
        <x:v>Delta</x:v>
      </x:c>
      <x:c r="E3" s="14" t="str">
        <x:v>Delta %</x:v>
      </x:c>
      <x:c r="F3" s="14" t="str">
        <x:v>Target</x:v>
      </x:c>
      <x:c r="G3" s="14" t="str">
        <x:v>Pass?</x:v>
      </x:c>
      <x:c r="H3" s="14" t="str">
        <x:v>Evidence</x:v>
      </x:c>
      <x:c r="I3" s="14" t="str">
        <x:v>Reviewer</x:v>
      </x:c>
      <x:c r="J3" s="14" t="str">
        <x:v>Scope Violations</x:v>
      </x:c>
      <x:c r="K3" s="14" t="str">
        <x:v>Privacy Incidents</x:v>
      </x:c>
      <x:c r="L3" s="14" t="str">
        <x:v>Unsupported Claim Leakage</x:v>
      </x:c>
      <x:c r="M3" s="15" t="str">
        <x:v>Decision</x:v>
      </x:c>
    </x:row>
    <x:row r="4">
      <x:c r="A4" s="48" t="str">
        <x:v>Time to reviewer-ready package</x:v>
      </x:c>
      <x:c r="B4" s="49" t="n">
        <x:v>60</x:v>
      </x:c>
      <x:c r="C4" s="49" t="n">
        <x:v>42</x:v>
      </x:c>
      <x:c r="D4" s="49" t="n">
        <x:f>C4-B4</x:f>
        <x:v>-18</x:v>
      </x:c>
      <x:c r="E4" s="120" t="n">
        <x:f>IFERROR(D4/B4,0)</x:f>
        <x:v>-0.3</x:v>
      </x:c>
      <x:c r="F4" s="49" t="str">
        <x:v>&lt;= 48 min</x:v>
      </x:c>
      <x:c r="G4" s="49" t="str"/>
      <x:c r="H4" s="49" t="str"/>
      <x:c r="I4" s="49" t="str"/>
      <x:c r="J4" s="49" t="str">
        <x:v>0</x:v>
      </x:c>
      <x:c r="K4" s="49" t="str">
        <x:v>0</x:v>
      </x:c>
      <x:c r="L4" s="49" t="str">
        <x:v>0</x:v>
      </x:c>
      <x:c r="M4" s="50" t="str"/>
    </x:row>
    <x:row r="5">
      <x:c r="A5" s="51" t="str">
        <x:v>Delivery cost</x:v>
      </x:c>
      <x:c r="B5" s="52" t="n">
        <x:v>10000</x:v>
      </x:c>
      <x:c r="C5" s="52" t="n">
        <x:v>7500</x:v>
      </x:c>
      <x:c r="D5" s="52" t="n">
        <x:f>C5-B5</x:f>
        <x:v>-2500</x:v>
      </x:c>
      <x:c r="E5" s="121" t="n">
        <x:f>IFERROR(D5/B5,0)</x:f>
        <x:v>-0.25</x:v>
      </x:c>
      <x:c r="F5" s="52" t="str">
        <x:v>&lt;= $8,000</x:v>
      </x:c>
      <x:c r="G5" s="52" t="str"/>
      <x:c r="H5" s="52" t="str"/>
      <x:c r="I5" s="52" t="str"/>
      <x:c r="J5" s="52" t="str">
        <x:v>0</x:v>
      </x:c>
      <x:c r="K5" s="52" t="str">
        <x:v>0</x:v>
      </x:c>
      <x:c r="L5" s="52" t="str">
        <x:v>0</x:v>
      </x:c>
      <x:c r="M5" s="53" t="str"/>
    </x:row>
    <x:row r="6">
      <x:c r="A6" s="51" t="str">
        <x:v>Quality score</x:v>
      </x:c>
      <x:c r="B6" s="52" t="n">
        <x:v>72</x:v>
      </x:c>
      <x:c r="C6" s="52" t="n">
        <x:v>84</x:v>
      </x:c>
      <x:c r="D6" s="52" t="n">
        <x:f>C6-B6</x:f>
        <x:v>12</x:v>
      </x:c>
      <x:c r="E6" s="121" t="n">
        <x:f>IFERROR(D6/B6,0)</x:f>
        <x:v>0.16666666666666666</x:v>
      </x:c>
      <x:c r="F6" s="52" t="str">
        <x:v>&gt;= 80</x:v>
      </x:c>
      <x:c r="G6" s="52" t="str"/>
      <x:c r="H6" s="52" t="str"/>
      <x:c r="I6" s="52" t="str"/>
      <x:c r="J6" s="52" t="str">
        <x:v>0</x:v>
      </x:c>
      <x:c r="K6" s="52" t="str">
        <x:v>0</x:v>
      </x:c>
      <x:c r="L6" s="52" t="str">
        <x:v>0</x:v>
      </x:c>
      <x:c r="M6" s="53" t="str"/>
    </x:row>
    <x:row r="7">
      <x:c r="A7" s="51" t="str">
        <x:v>Reviewer burden (hours)</x:v>
      </x:c>
      <x:c r="B7" s="52" t="n">
        <x:v>8</x:v>
      </x:c>
      <x:c r="C7" s="52" t="n">
        <x:v>6</x:v>
      </x:c>
      <x:c r="D7" s="52" t="n">
        <x:f>C7-B7</x:f>
        <x:v>-2</x:v>
      </x:c>
      <x:c r="E7" s="121" t="n">
        <x:f>IFERROR(D7/B7,0)</x:f>
        <x:v>-0.25</x:v>
      </x:c>
      <x:c r="F7" s="52" t="str">
        <x:v>&lt;= 7</x:v>
      </x:c>
      <x:c r="G7" s="52" t="str"/>
      <x:c r="H7" s="52" t="str"/>
      <x:c r="I7" s="52" t="str"/>
      <x:c r="J7" s="52" t="str">
        <x:v>0</x:v>
      </x:c>
      <x:c r="K7" s="52" t="str">
        <x:v>0</x:v>
      </x:c>
      <x:c r="L7" s="52" t="str">
        <x:v>0</x:v>
      </x:c>
      <x:c r="M7" s="53" t="str"/>
    </x:row>
    <x:row r="8">
      <x:c r="A8" s="51" t="str">
        <x:v>Proof Debt retired</x:v>
      </x:c>
      <x:c r="B8" s="52" t="n">
        <x:v>12</x:v>
      </x:c>
      <x:c r="C8" s="52" t="n">
        <x:v>18</x:v>
      </x:c>
      <x:c r="D8" s="52" t="n">
        <x:f>C8-B8</x:f>
        <x:v>6</x:v>
      </x:c>
      <x:c r="E8" s="121" t="n">
        <x:f>IFERROR(D8/B8,0)</x:f>
        <x:v>0.5</x:v>
      </x:c>
      <x:c r="F8" s="52" t="str">
        <x:v>&gt;= 16</x:v>
      </x:c>
      <x:c r="G8" s="52" t="str"/>
      <x:c r="H8" s="52" t="str"/>
      <x:c r="I8" s="52" t="str"/>
      <x:c r="J8" s="52" t="str">
        <x:v>0</x:v>
      </x:c>
      <x:c r="K8" s="52" t="str">
        <x:v>0</x:v>
      </x:c>
      <x:c r="L8" s="52" t="str">
        <x:v>0</x:v>
      </x:c>
      <x:c r="M8" s="53" t="str"/>
    </x:row>
    <x:row r="9">
      <x:c r="A9" s="51"/>
      <x:c r="B9" s="52"/>
      <x:c r="C9" s="52"/>
      <x:c r="D9" s="52"/>
      <x:c r="E9" s="52"/>
      <x:c r="F9" s="52"/>
      <x:c r="G9" s="52"/>
      <x:c r="H9" s="52"/>
      <x:c r="I9" s="52"/>
      <x:c r="J9" s="52"/>
      <x:c r="K9" s="52"/>
      <x:c r="L9" s="52"/>
      <x:c r="M9" s="53"/>
    </x:row>
    <x:row r="10">
      <x:c r="A10" s="51"/>
      <x:c r="B10" s="52"/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  <x:c r="M10" s="53"/>
    </x:row>
    <x:row r="11">
      <x:c r="A11" s="51"/>
      <x:c r="B11" s="52"/>
      <x:c r="C11" s="52"/>
      <x:c r="D11" s="52"/>
      <x:c r="E11" s="52"/>
      <x:c r="F11" s="52"/>
      <x:c r="G11" s="52"/>
      <x:c r="H11" s="52"/>
      <x:c r="I11" s="52"/>
      <x:c r="J11" s="52"/>
      <x:c r="K11" s="52"/>
      <x:c r="L11" s="52"/>
      <x:c r="M11" s="53"/>
    </x:row>
    <x:row r="12">
      <x:c r="A12" s="51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3"/>
    </x:row>
    <x:row r="13">
      <x:c r="A13" s="51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3"/>
    </x:row>
    <x:row r="14">
      <x:c r="A14" s="51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3"/>
    </x:row>
    <x:row r="15">
      <x:c r="A15" s="51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3"/>
    </x:row>
    <x:row r="16">
      <x:c r="A16" s="51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3"/>
    </x:row>
    <x:row r="17">
      <x:c r="A17" s="51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3"/>
    </x:row>
    <x:row r="18">
      <x:c r="A18" s="51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3"/>
    </x:row>
    <x:row r="19">
      <x:c r="A19" s="51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3"/>
    </x:row>
    <x:row r="20">
      <x:c r="A20" s="51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3"/>
    </x:row>
    <x:row r="21">
      <x:c r="A21" s="51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3"/>
    </x:row>
    <x:row r="22">
      <x:c r="A22" s="51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3"/>
    </x:row>
    <x:row r="23">
      <x:c r="A23" s="51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3"/>
    </x:row>
    <x:row r="24">
      <x:c r="A24" s="51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3"/>
    </x:row>
    <x:row r="25">
      <x:c r="A25" s="51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3"/>
    </x:row>
    <x:row r="26">
      <x:c r="A26" s="51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3"/>
    </x:row>
    <x:row r="27">
      <x:c r="A27" s="51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3"/>
    </x:row>
    <x:row r="28">
      <x:c r="A28" s="51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3"/>
    </x:row>
    <x:row r="29">
      <x:c r="A29" s="51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3"/>
    </x:row>
    <x:row r="30">
      <x:c r="A30" s="51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3"/>
    </x:row>
    <x:row r="31">
      <x:c r="A31" s="51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3"/>
    </x:row>
    <x:row r="32">
      <x:c r="A32" s="51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3"/>
    </x:row>
    <x:row r="33">
      <x:c r="A33" s="51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3"/>
    </x:row>
    <x:row r="34">
      <x:c r="A34" s="51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3"/>
    </x:row>
    <x:row r="35">
      <x:c r="A35" s="51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3"/>
    </x:row>
    <x:row r="36">
      <x:c r="A36" s="51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3"/>
    </x:row>
    <x:row r="37">
      <x:c r="A37" s="51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3"/>
    </x:row>
    <x:row r="38">
      <x:c r="A38" s="51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3"/>
    </x:row>
    <x:row r="39">
      <x:c r="A39" s="51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3"/>
    </x:row>
    <x:row r="40">
      <x:c r="A40" s="51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3"/>
    </x:row>
    <x:row r="41">
      <x:c r="A41" s="51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3"/>
    </x:row>
    <x:row r="42">
      <x:c r="A42" s="51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3"/>
    </x:row>
    <x:row r="43">
      <x:c r="A43" s="51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3"/>
    </x:row>
    <x:row r="44">
      <x:c r="A44" s="51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3"/>
    </x:row>
    <x:row r="45">
      <x:c r="A45" s="51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3"/>
    </x:row>
    <x:row r="46">
      <x:c r="A46" s="51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3"/>
    </x:row>
    <x:row r="47">
      <x:c r="A47" s="51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3"/>
    </x:row>
    <x:row r="48">
      <x:c r="A48" s="51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3"/>
    </x:row>
    <x:row r="49">
      <x:c r="A49" s="51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3"/>
    </x:row>
    <x:row r="50">
      <x:c r="A50" s="51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3"/>
    </x:row>
    <x:row r="51">
      <x:c r="A51" s="51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3"/>
    </x:row>
    <x:row r="52">
      <x:c r="A52" s="51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3"/>
    </x:row>
    <x:row r="53">
      <x:c r="A53" s="51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3"/>
    </x:row>
    <x:row r="54">
      <x:c r="A54" s="51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3"/>
    </x:row>
    <x:row r="55">
      <x:c r="A55" s="51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3"/>
    </x:row>
    <x:row r="56">
      <x:c r="A56" s="51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3"/>
    </x:row>
    <x:row r="57">
      <x:c r="A57" s="51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3"/>
    </x:row>
    <x:row r="58">
      <x:c r="A58" s="51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3"/>
    </x:row>
    <x:row r="59">
      <x:c r="A59" s="51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3"/>
    </x:row>
    <x:row r="60">
      <x:c r="A60" s="51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3"/>
    </x:row>
    <x:row r="61">
      <x:c r="A61" s="51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3"/>
    </x:row>
    <x:row r="62">
      <x:c r="A62" s="51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3"/>
    </x:row>
    <x:row r="63">
      <x:c r="A63" s="51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3"/>
    </x:row>
    <x:row r="64">
      <x:c r="A64" s="51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3"/>
    </x:row>
    <x:row r="65">
      <x:c r="A65" s="51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3"/>
    </x:row>
    <x:row r="66">
      <x:c r="A66" s="51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3"/>
    </x:row>
    <x:row r="67">
      <x:c r="A67" s="51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3"/>
    </x:row>
    <x:row r="68">
      <x:c r="A68" s="51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3"/>
    </x:row>
    <x:row r="69">
      <x:c r="A69" s="51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3"/>
    </x:row>
    <x:row r="70">
      <x:c r="A70" s="51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3"/>
    </x:row>
    <x:row r="71">
      <x:c r="A71" s="51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3"/>
    </x:row>
    <x:row r="72">
      <x:c r="A72" s="51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3"/>
    </x:row>
    <x:row r="73">
      <x:c r="A73" s="51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3"/>
    </x:row>
    <x:row r="74">
      <x:c r="A74" s="51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3"/>
    </x:row>
    <x:row r="75">
      <x:c r="A75" s="51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3"/>
    </x:row>
    <x:row r="76">
      <x:c r="A76" s="51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3"/>
    </x:row>
    <x:row r="77">
      <x:c r="A77" s="51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3"/>
    </x:row>
    <x:row r="78">
      <x:c r="A78" s="51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3"/>
    </x:row>
    <x:row r="79">
      <x:c r="A79" s="51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3"/>
    </x:row>
    <x:row r="80">
      <x:c r="A80" s="51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3"/>
    </x:row>
    <x:row r="81">
      <x:c r="A81" s="51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3"/>
    </x:row>
    <x:row r="82">
      <x:c r="A82" s="51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3"/>
    </x:row>
    <x:row r="83">
      <x:c r="A83" s="51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3"/>
    </x:row>
    <x:row r="84">
      <x:c r="A84" s="51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3"/>
    </x:row>
    <x:row r="85">
      <x:c r="A85" s="51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3"/>
    </x:row>
    <x:row r="86">
      <x:c r="A86" s="51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3"/>
    </x:row>
    <x:row r="87">
      <x:c r="A87" s="51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3"/>
    </x:row>
    <x:row r="88">
      <x:c r="A88" s="51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3"/>
    </x:row>
    <x:row r="89">
      <x:c r="A89" s="51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3"/>
    </x:row>
    <x:row r="90">
      <x:c r="A90" s="51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3"/>
    </x:row>
    <x:row r="91">
      <x:c r="A91" s="51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3"/>
    </x:row>
    <x:row r="92">
      <x:c r="A92" s="51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3"/>
    </x:row>
    <x:row r="93">
      <x:c r="A93" s="51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3"/>
    </x:row>
    <x:row r="94">
      <x:c r="A94" s="51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3"/>
    </x:row>
    <x:row r="95">
      <x:c r="A95" s="51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3"/>
    </x:row>
    <x:row r="96">
      <x:c r="A96" s="51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3"/>
    </x:row>
    <x:row r="97">
      <x:c r="A97" s="51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3"/>
    </x:row>
    <x:row r="98">
      <x:c r="A98" s="51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3"/>
    </x:row>
    <x:row r="99">
      <x:c r="A99" s="51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3"/>
    </x:row>
    <x:row r="100">
      <x:c r="A100" s="51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3"/>
    </x:row>
    <x:row r="101">
      <x:c r="A101" s="51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2"/>
      <x:c r="M101" s="53"/>
    </x:row>
    <x:row r="102">
      <x:c r="A102" s="51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2"/>
      <x:c r="M102" s="53"/>
    </x:row>
    <x:row r="103">
      <x:c r="A103" s="54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6"/>
    </x:row>
    <x:row r="104">
      <x:c r="A104" s="197"/>
    </x:row>
    <x:row r="105">
      <x:c r="A105" s="197"/>
    </x:row>
    <x:row r="106">
      <x:c r="A106" s="197"/>
    </x:row>
    <x:row r="107">
      <x:c r="A107" s="197"/>
    </x:row>
    <x:row r="108">
      <x:c r="A108" s="197"/>
    </x:row>
    <x:row r="109">
      <x:c r="A109" s="197"/>
    </x:row>
    <x:row r="110">
      <x:c r="A110" s="197"/>
    </x:row>
    <x:row r="111">
      <x:c r="A111" s="197"/>
    </x:row>
    <x:row r="112">
      <x:c r="A112" s="197"/>
    </x:row>
    <x:row r="113">
      <x:c r="A113" s="197"/>
    </x:row>
    <x:row r="114">
      <x:c r="A114" s="197"/>
    </x:row>
    <x:row r="115">
      <x:c r="A115" s="197"/>
    </x:row>
    <x:row r="116">
      <x:c r="A116" s="197"/>
    </x:row>
    <x:row r="117">
      <x:c r="A117" s="197"/>
    </x:row>
    <x:row r="118">
      <x:c r="A118" s="197"/>
    </x:row>
    <x:row r="119">
      <x:c r="A119" s="197"/>
    </x:row>
    <x:row r="120">
      <x:c r="A120" s="197"/>
    </x:row>
    <x:row r="121">
      <x:c r="A121" s="197"/>
    </x:row>
    <x:row r="122">
      <x:c r="A122" s="197"/>
    </x:row>
    <x:row r="123">
      <x:c r="A123" s="197"/>
    </x:row>
    <x:row r="124">
      <x:c r="A124" s="197"/>
    </x:row>
    <x:row r="125">
      <x:c r="A125" s="197"/>
    </x:row>
    <x:row r="126">
      <x:c r="A126" s="197"/>
    </x:row>
    <x:row r="127">
      <x:c r="A127" s="197"/>
    </x:row>
    <x:row r="128">
      <x:c r="A128" s="197"/>
    </x:row>
    <x:row r="129">
      <x:c r="A129" s="197"/>
    </x:row>
    <x:row r="130">
      <x:c r="A130" s="197"/>
    </x:row>
    <x:row r="131">
      <x:c r="A131" s="197"/>
    </x:row>
    <x:row r="132">
      <x:c r="A132" s="197"/>
    </x:row>
    <x:row r="133">
      <x:c r="A133" s="197"/>
    </x:row>
    <x:row r="134">
      <x:c r="A134" s="197"/>
    </x:row>
    <x:row r="135">
      <x:c r="A135" s="197"/>
    </x:row>
    <x:row r="136">
      <x:c r="A136" s="197"/>
    </x:row>
    <x:row r="137">
      <x:c r="A137" s="197"/>
    </x:row>
    <x:row r="138">
      <x:c r="A138" s="197"/>
    </x:row>
    <x:row r="139">
      <x:c r="A139" s="197"/>
    </x:row>
    <x:row r="140">
      <x:c r="A140" s="197"/>
    </x:row>
    <x:row r="141">
      <x:c r="A141" s="197"/>
    </x:row>
    <x:row r="142">
      <x:c r="A142" s="197"/>
    </x:row>
    <x:row r="143">
      <x:c r="A143" s="197"/>
    </x:row>
    <x:row r="144">
      <x:c r="A144" s="197"/>
    </x:row>
    <x:row r="145">
      <x:c r="A145" s="197"/>
    </x:row>
    <x:row r="146">
      <x:c r="A146" s="197"/>
    </x:row>
    <x:row r="147">
      <x:c r="A147" s="197"/>
    </x:row>
    <x:row r="148">
      <x:c r="A148" s="197"/>
    </x:row>
    <x:row r="149">
      <x:c r="A149" s="197"/>
    </x:row>
    <x:row r="150">
      <x:c r="A150" s="197"/>
    </x:row>
    <x:row r="151">
      <x:c r="A151" s="197"/>
    </x:row>
    <x:row r="152">
      <x:c r="A152" s="197"/>
    </x:row>
    <x:row r="153">
      <x:c r="A153" s="197"/>
    </x:row>
    <x:row r="154">
      <x:c r="A154" s="197"/>
    </x:row>
    <x:row r="155">
      <x:c r="A155" s="197"/>
    </x:row>
    <x:row r="156">
      <x:c r="A156" s="197"/>
    </x:row>
    <x:row r="157">
      <x:c r="A157" s="197"/>
    </x:row>
    <x:row r="158">
      <x:c r="A158" s="197"/>
    </x:row>
    <x:row r="159">
      <x:c r="A159" s="197"/>
    </x:row>
    <x:row r="160">
      <x:c r="A160" s="197"/>
    </x:row>
    <x:row r="161">
      <x:c r="A161" s="197"/>
    </x:row>
    <x:row r="162">
      <x:c r="A162" s="197"/>
    </x:row>
    <x:row r="163">
      <x:c r="A163" s="197"/>
    </x:row>
    <x:row r="164">
      <x:c r="A164" s="197"/>
    </x:row>
    <x:row r="165">
      <x:c r="A165" s="197"/>
    </x:row>
    <x:row r="166">
      <x:c r="A166" s="197"/>
    </x:row>
    <x:row r="167">
      <x:c r="A167" s="197"/>
    </x:row>
    <x:row r="168">
      <x:c r="A168" s="197"/>
    </x:row>
    <x:row r="169">
      <x:c r="A169" s="197"/>
    </x:row>
    <x:row r="170">
      <x:c r="A170" s="197"/>
    </x:row>
    <x:row r="171">
      <x:c r="A171" s="197"/>
    </x:row>
    <x:row r="172">
      <x:c r="A172" s="197"/>
    </x:row>
    <x:row r="173">
      <x:c r="A173" s="197"/>
    </x:row>
    <x:row r="174">
      <x:c r="A174" s="197"/>
    </x:row>
    <x:row r="175">
      <x:c r="A175" s="197"/>
    </x:row>
    <x:row r="176">
      <x:c r="A176" s="197"/>
    </x:row>
    <x:row r="177">
      <x:c r="A177" s="197"/>
    </x:row>
    <x:row r="178">
      <x:c r="A178" s="197"/>
    </x:row>
    <x:row r="179">
      <x:c r="A179" s="197"/>
    </x:row>
    <x:row r="180">
      <x:c r="A180" s="197"/>
    </x:row>
    <x:row r="181">
      <x:c r="A181" s="197"/>
    </x:row>
    <x:row r="182">
      <x:c r="A182" s="197"/>
    </x:row>
    <x:row r="183">
      <x:c r="A183" s="197"/>
    </x:row>
    <x:row r="184">
      <x:c r="A184" s="197"/>
    </x:row>
    <x:row r="185">
      <x:c r="A185" s="197"/>
    </x:row>
    <x:row r="186">
      <x:c r="A186" s="197"/>
    </x:row>
    <x:row r="187">
      <x:c r="A187" s="197"/>
    </x:row>
    <x:row r="188">
      <x:c r="A188" s="197"/>
    </x:row>
    <x:row r="189">
      <x:c r="A189" s="197"/>
    </x:row>
    <x:row r="190">
      <x:c r="A190" s="197"/>
    </x:row>
    <x:row r="191">
      <x:c r="A191" s="197"/>
    </x:row>
    <x:row r="192">
      <x:c r="A192" s="197"/>
    </x:row>
    <x:row r="193">
      <x:c r="A193" s="197"/>
    </x:row>
    <x:row r="194">
      <x:c r="A194" s="197"/>
    </x:row>
    <x:row r="195">
      <x:c r="A195" s="197"/>
    </x:row>
    <x:row r="196">
      <x:c r="A196" s="197"/>
    </x:row>
    <x:row r="197">
      <x:c r="A197" s="197"/>
    </x:row>
    <x:row r="198">
      <x:c r="A198" s="197"/>
    </x:row>
    <x:row r="199">
      <x:c r="A199" s="197"/>
    </x:row>
    <x:row r="200">
      <x:c r="A200" s="197"/>
    </x:row>
    <x:row r="201">
      <x:c r="A201" s="197"/>
    </x:row>
    <x:row r="202">
      <x:c r="A202" s="197"/>
    </x:row>
    <x:row r="203">
      <x:c r="A203" s="197"/>
    </x:row>
    <x:row r="204">
      <x:c r="A204" s="197"/>
    </x:row>
    <x:row r="205">
      <x:c r="A205" s="197"/>
    </x:row>
    <x:row r="206">
      <x:c r="A206" s="197"/>
    </x:row>
    <x:row r="207">
      <x:c r="A207" s="197"/>
    </x:row>
    <x:row r="208">
      <x:c r="A208" s="197"/>
    </x:row>
    <x:row r="209">
      <x:c r="A209" s="197"/>
    </x:row>
    <x:row r="210">
      <x:c r="A210" s="197"/>
    </x:row>
    <x:row r="211">
      <x:c r="A211" s="197"/>
    </x:row>
    <x:row r="212">
      <x:c r="A212" s="197"/>
    </x:row>
    <x:row r="213">
      <x:c r="A213" s="197"/>
    </x:row>
    <x:row r="214">
      <x:c r="A214" s="197"/>
    </x:row>
    <x:row r="215">
      <x:c r="A215" s="197"/>
    </x:row>
    <x:row r="216">
      <x:c r="A216" s="197"/>
    </x:row>
    <x:row r="217">
      <x:c r="A217" s="197"/>
    </x:row>
    <x:row r="218">
      <x:c r="A218" s="197"/>
    </x:row>
    <x:row r="219">
      <x:c r="A219" s="197"/>
    </x:row>
    <x:row r="220">
      <x:c r="A220" s="197"/>
    </x:row>
    <x:row r="221">
      <x:c r="A221" s="197"/>
    </x:row>
    <x:row r="222">
      <x:c r="A222" s="197"/>
    </x:row>
    <x:row r="223">
      <x:c r="A223" s="197"/>
    </x:row>
    <x:row r="224">
      <x:c r="A224" s="197"/>
    </x:row>
    <x:row r="225">
      <x:c r="A225" s="197"/>
    </x:row>
    <x:row r="226">
      <x:c r="A226" s="197"/>
    </x:row>
    <x:row r="227">
      <x:c r="A227" s="197"/>
    </x:row>
    <x:row r="228">
      <x:c r="A228" s="197"/>
    </x:row>
    <x:row r="229">
      <x:c r="A229" s="197"/>
    </x:row>
    <x:row r="230">
      <x:c r="A230" s="197"/>
    </x:row>
    <x:row r="231">
      <x:c r="A231" s="197"/>
    </x:row>
    <x:row r="232">
      <x:c r="A232" s="197"/>
    </x:row>
    <x:row r="233">
      <x:c r="A233" s="197"/>
    </x:row>
    <x:row r="234">
      <x:c r="A234" s="197"/>
    </x:row>
    <x:row r="235">
      <x:c r="A235" s="197"/>
    </x:row>
    <x:row r="236">
      <x:c r="A236" s="197"/>
    </x:row>
    <x:row r="237">
      <x:c r="A237" s="197"/>
    </x:row>
    <x:row r="238">
      <x:c r="A238" s="197"/>
    </x:row>
    <x:row r="239">
      <x:c r="A239" s="197"/>
    </x:row>
    <x:row r="240">
      <x:c r="A240" s="197"/>
    </x:row>
  </x:sheetData>
  <x:mergeCells>
    <x:mergeCell ref="A1:M1"/>
  </x:mergeCells>
  <x:dataValidations count="2">
    <x:dataValidation type="list" sqref="G4:G103">
      <x:formula1>"Pending,Pass,Fail,Repair"</x:formula1>
    </x:dataValidation>
    <x:dataValidation type="list" sqref="M4:M103">
      <x:formula1>"Expand,Admit with Scope,Repair,Quarantine,Retire,Pending"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0" hidden="0" customWidth="1"/>
    <x:col min="4" max="4" width="38" hidden="0" customWidth="1"/>
    <x:col min="5" max="5" width="16" hidden="0" customWidth="1"/>
    <x:col min="6" max="6" width="14" hidden="0" customWidth="1"/>
    <x:col min="7" max="7" width="16" hidden="0" customWidth="1"/>
    <x:col min="8" max="8" width="14" hidden="0" customWidth="1"/>
    <x:col min="9" max="9" width="20" hidden="0" customWidth="1"/>
    <x:col min="10" max="10" width="16" hidden="0" customWidth="1"/>
    <x:col min="11" max="11" width="15" hidden="0" customWidth="1"/>
    <x:col min="12" max="12" width="12" hidden="0" customWidth="1"/>
    <x:col min="13" max="13" width="18" hidden="0" customWidth="1"/>
    <x:col min="14" max="14" width="16" hidden="0" customWidth="1"/>
    <x:col min="15" max="15" width="30" hidden="0" customWidth="1"/>
    <x:col min="16" max="16" width="18" hidden="0" customWidth="1"/>
  </x:cols>
  <x:sheetData>
    <x:row r="1" ht="34" customHeight="1">
      <x:c r="A1" s="196" t="str">
        <x:v>Mission Opportunity Register</x:v>
      </x:c>
    </x:row>
    <x:row r="2">
      <x:c r="A2" s="197"/>
    </x:row>
    <x:row r="3" ht="30" customHeight="1">
      <x:c r="A3" s="13" t="str">
        <x:v>Opportunity ID</x:v>
      </x:c>
      <x:c r="B3" s="14" t="str">
        <x:v>Organization</x:v>
      </x:c>
      <x:c r="C3" s="14" t="str">
        <x:v>Sponsor</x:v>
      </x:c>
      <x:c r="D3" s="14" t="str">
        <x:v>Objective</x:v>
      </x:c>
      <x:c r="E3" s="14" t="str">
        <x:v>Decision Value</x:v>
      </x:c>
      <x:c r="F3" s="14" t="str">
        <x:v>Deadline</x:v>
      </x:c>
      <x:c r="G3" s="14" t="str">
        <x:v>Proof Burden</x:v>
      </x:c>
      <x:c r="H3" s="14" t="str">
        <x:v>Data Access</x:v>
      </x:c>
      <x:c r="I3" s="14" t="str">
        <x:v>Reviewer Path</x:v>
      </x:c>
      <x:c r="J3" s="14" t="str">
        <x:v>Reuse Potential</x:v>
      </x:c>
      <x:c r="K3" s="14" t="str">
        <x:v>Budget</x:v>
      </x:c>
      <x:c r="L3" s="14" t="str">
        <x:v>Fit Score</x:v>
      </x:c>
      <x:c r="M3" s="14" t="str">
        <x:v>Fit Class</x:v>
      </x:c>
      <x:c r="N3" s="14" t="str">
        <x:v>Status</x:v>
      </x:c>
      <x:c r="O3" s="14" t="str">
        <x:v>Recommended Next Action</x:v>
      </x:c>
      <x:c r="P3" s="15" t="str">
        <x:v>Owner</x:v>
      </x:c>
    </x:row>
    <x:row r="4">
      <x:c r="A4" s="48" t="str">
        <x:v>OPP-001</x:v>
      </x:c>
      <x:c r="B4" s="49" t="str">
        <x:v>AetherWorks Assurance</x:v>
      </x:c>
      <x:c r="C4" s="49" t="str"/>
      <x:c r="D4" s="49" t="str">
        <x:v>Assess an enterprise AI deployment before approval</x:v>
      </x:c>
      <x:c r="E4" s="92" t="n">
        <x:v>500000</x:v>
      </x:c>
      <x:c r="F4" s="49" t="str"/>
      <x:c r="G4" s="49" t="str">
        <x:v>High</x:v>
      </x:c>
      <x:c r="H4" s="49" t="str">
        <x:v>Medium</x:v>
      </x:c>
      <x:c r="I4" s="49" t="str">
        <x:v>Available</x:v>
      </x:c>
      <x:c r="J4" s="49" t="str">
        <x:v>High</x:v>
      </x:c>
      <x:c r="K4" s="92" t="n">
        <x:v>100000</x:v>
      </x:c>
      <x:c r="L4" s="49" t="n">
        <x:v>85</x:v>
      </x:c>
      <x:c r="M4" s="49" t="str">
        <x:v>Mission-Ready</x:v>
      </x:c>
      <x:c r="N4" s="49" t="str">
        <x:v>Open</x:v>
      </x:c>
      <x:c r="O4" s="49" t="str">
        <x:v>Propose Proof-to-Revenue Run</x:v>
      </x:c>
      <x:c r="P4" s="50" t="str"/>
    </x:row>
    <x:row r="5">
      <x:c r="A5" s="51" t="str">
        <x:v>OPP-002</x:v>
      </x:c>
      <x:c r="B5" s="52" t="str"/>
      <x:c r="C5" s="52" t="str"/>
      <x:c r="D5" s="52" t="str"/>
      <x:c r="E5" s="93" t="str"/>
      <x:c r="F5" s="52" t="str"/>
      <x:c r="G5" s="52" t="str"/>
      <x:c r="H5" s="52" t="str"/>
      <x:c r="I5" s="52" t="str"/>
      <x:c r="J5" s="52" t="str"/>
      <x:c r="K5" s="93" t="str"/>
      <x:c r="L5" s="52" t="n">
        <x:v>0</x:v>
      </x:c>
      <x:c r="M5" s="52" t="str">
        <x:v>Not Ready</x:v>
      </x:c>
      <x:c r="N5" s="52" t="str">
        <x:v>Open</x:v>
      </x:c>
      <x:c r="O5" s="52" t="str">
        <x:v>Discovery call</x:v>
      </x:c>
      <x:c r="P5" s="53" t="str"/>
    </x:row>
    <x:row r="6">
      <x:c r="A6" s="51" t="str">
        <x:v>OPP-003</x:v>
      </x:c>
      <x:c r="B6" s="52" t="str"/>
      <x:c r="C6" s="52" t="str"/>
      <x:c r="D6" s="52" t="str"/>
      <x:c r="E6" s="93" t="str"/>
      <x:c r="F6" s="52" t="str"/>
      <x:c r="G6" s="52" t="str"/>
      <x:c r="H6" s="52" t="str"/>
      <x:c r="I6" s="52" t="str"/>
      <x:c r="J6" s="52" t="str"/>
      <x:c r="K6" s="93" t="str"/>
      <x:c r="L6" s="52" t="n">
        <x:v>0</x:v>
      </x:c>
      <x:c r="M6" s="52" t="str">
        <x:v>Not Ready</x:v>
      </x:c>
      <x:c r="N6" s="52" t="str">
        <x:v>Open</x:v>
      </x:c>
      <x:c r="O6" s="52" t="str">
        <x:v>Discovery call</x:v>
      </x:c>
      <x:c r="P6" s="53" t="str"/>
    </x:row>
    <x:row r="7">
      <x:c r="A7" s="51"/>
      <x:c r="B7" s="52"/>
      <x:c r="C7" s="52"/>
      <x:c r="D7" s="52"/>
      <x:c r="E7" s="93"/>
      <x:c r="F7" s="52"/>
      <x:c r="G7" s="52"/>
      <x:c r="H7" s="52"/>
      <x:c r="I7" s="52"/>
      <x:c r="J7" s="52"/>
      <x:c r="K7" s="93"/>
      <x:c r="L7" s="52"/>
      <x:c r="M7" s="52"/>
      <x:c r="N7" s="52"/>
      <x:c r="O7" s="52"/>
      <x:c r="P7" s="53"/>
    </x:row>
    <x:row r="8">
      <x:c r="A8" s="51"/>
      <x:c r="B8" s="52"/>
      <x:c r="C8" s="52"/>
      <x:c r="D8" s="52"/>
      <x:c r="E8" s="93"/>
      <x:c r="F8" s="52"/>
      <x:c r="G8" s="52"/>
      <x:c r="H8" s="52"/>
      <x:c r="I8" s="52"/>
      <x:c r="J8" s="52"/>
      <x:c r="K8" s="93"/>
      <x:c r="L8" s="52"/>
      <x:c r="M8" s="52"/>
      <x:c r="N8" s="52"/>
      <x:c r="O8" s="52"/>
      <x:c r="P8" s="53"/>
    </x:row>
    <x:row r="9">
      <x:c r="A9" s="51"/>
      <x:c r="B9" s="52"/>
      <x:c r="C9" s="52"/>
      <x:c r="D9" s="52"/>
      <x:c r="E9" s="93"/>
      <x:c r="F9" s="52"/>
      <x:c r="G9" s="52"/>
      <x:c r="H9" s="52"/>
      <x:c r="I9" s="52"/>
      <x:c r="J9" s="52"/>
      <x:c r="K9" s="93"/>
      <x:c r="L9" s="52"/>
      <x:c r="M9" s="52"/>
      <x:c r="N9" s="52"/>
      <x:c r="O9" s="52"/>
      <x:c r="P9" s="53"/>
    </x:row>
    <x:row r="10">
      <x:c r="A10" s="51"/>
      <x:c r="B10" s="52"/>
      <x:c r="C10" s="52"/>
      <x:c r="D10" s="52"/>
      <x:c r="E10" s="93"/>
      <x:c r="F10" s="52"/>
      <x:c r="G10" s="52"/>
      <x:c r="H10" s="52"/>
      <x:c r="I10" s="52"/>
      <x:c r="J10" s="52"/>
      <x:c r="K10" s="93"/>
      <x:c r="L10" s="52"/>
      <x:c r="M10" s="52"/>
      <x:c r="N10" s="52"/>
      <x:c r="O10" s="52"/>
      <x:c r="P10" s="53"/>
    </x:row>
    <x:row r="11">
      <x:c r="A11" s="51"/>
      <x:c r="B11" s="52"/>
      <x:c r="C11" s="52"/>
      <x:c r="D11" s="52"/>
      <x:c r="E11" s="93"/>
      <x:c r="F11" s="52"/>
      <x:c r="G11" s="52"/>
      <x:c r="H11" s="52"/>
      <x:c r="I11" s="52"/>
      <x:c r="J11" s="52"/>
      <x:c r="K11" s="93"/>
      <x:c r="L11" s="52"/>
      <x:c r="M11" s="52"/>
      <x:c r="N11" s="52"/>
      <x:c r="O11" s="52"/>
      <x:c r="P11" s="53"/>
    </x:row>
    <x:row r="12">
      <x:c r="A12" s="51"/>
      <x:c r="B12" s="52"/>
      <x:c r="C12" s="52"/>
      <x:c r="D12" s="52"/>
      <x:c r="E12" s="93"/>
      <x:c r="F12" s="52"/>
      <x:c r="G12" s="52"/>
      <x:c r="H12" s="52"/>
      <x:c r="I12" s="52"/>
      <x:c r="J12" s="52"/>
      <x:c r="K12" s="93"/>
      <x:c r="L12" s="52"/>
      <x:c r="M12" s="52"/>
      <x:c r="N12" s="52"/>
      <x:c r="O12" s="52"/>
      <x:c r="P12" s="53"/>
    </x:row>
    <x:row r="13">
      <x:c r="A13" s="51"/>
      <x:c r="B13" s="52"/>
      <x:c r="C13" s="52"/>
      <x:c r="D13" s="52"/>
      <x:c r="E13" s="93"/>
      <x:c r="F13" s="52"/>
      <x:c r="G13" s="52"/>
      <x:c r="H13" s="52"/>
      <x:c r="I13" s="52"/>
      <x:c r="J13" s="52"/>
      <x:c r="K13" s="93"/>
      <x:c r="L13" s="52"/>
      <x:c r="M13" s="52"/>
      <x:c r="N13" s="52"/>
      <x:c r="O13" s="52"/>
      <x:c r="P13" s="53"/>
    </x:row>
    <x:row r="14">
      <x:c r="A14" s="51"/>
      <x:c r="B14" s="52"/>
      <x:c r="C14" s="52"/>
      <x:c r="D14" s="52"/>
      <x:c r="E14" s="93"/>
      <x:c r="F14" s="52"/>
      <x:c r="G14" s="52"/>
      <x:c r="H14" s="52"/>
      <x:c r="I14" s="52"/>
      <x:c r="J14" s="52"/>
      <x:c r="K14" s="93"/>
      <x:c r="L14" s="52"/>
      <x:c r="M14" s="52"/>
      <x:c r="N14" s="52"/>
      <x:c r="O14" s="52"/>
      <x:c r="P14" s="53"/>
    </x:row>
    <x:row r="15">
      <x:c r="A15" s="51"/>
      <x:c r="B15" s="52"/>
      <x:c r="C15" s="52"/>
      <x:c r="D15" s="52"/>
      <x:c r="E15" s="93"/>
      <x:c r="F15" s="52"/>
      <x:c r="G15" s="52"/>
      <x:c r="H15" s="52"/>
      <x:c r="I15" s="52"/>
      <x:c r="J15" s="52"/>
      <x:c r="K15" s="93"/>
      <x:c r="L15" s="52"/>
      <x:c r="M15" s="52"/>
      <x:c r="N15" s="52"/>
      <x:c r="O15" s="52"/>
      <x:c r="P15" s="53"/>
    </x:row>
    <x:row r="16">
      <x:c r="A16" s="51"/>
      <x:c r="B16" s="52"/>
      <x:c r="C16" s="52"/>
      <x:c r="D16" s="52"/>
      <x:c r="E16" s="93"/>
      <x:c r="F16" s="52"/>
      <x:c r="G16" s="52"/>
      <x:c r="H16" s="52"/>
      <x:c r="I16" s="52"/>
      <x:c r="J16" s="52"/>
      <x:c r="K16" s="93"/>
      <x:c r="L16" s="52"/>
      <x:c r="M16" s="52"/>
      <x:c r="N16" s="52"/>
      <x:c r="O16" s="52"/>
      <x:c r="P16" s="53"/>
    </x:row>
    <x:row r="17">
      <x:c r="A17" s="51"/>
      <x:c r="B17" s="52"/>
      <x:c r="C17" s="52"/>
      <x:c r="D17" s="52"/>
      <x:c r="E17" s="93"/>
      <x:c r="F17" s="52"/>
      <x:c r="G17" s="52"/>
      <x:c r="H17" s="52"/>
      <x:c r="I17" s="52"/>
      <x:c r="J17" s="52"/>
      <x:c r="K17" s="93"/>
      <x:c r="L17" s="52"/>
      <x:c r="M17" s="52"/>
      <x:c r="N17" s="52"/>
      <x:c r="O17" s="52"/>
      <x:c r="P17" s="53"/>
    </x:row>
    <x:row r="18">
      <x:c r="A18" s="51"/>
      <x:c r="B18" s="52"/>
      <x:c r="C18" s="52"/>
      <x:c r="D18" s="52"/>
      <x:c r="E18" s="93"/>
      <x:c r="F18" s="52"/>
      <x:c r="G18" s="52"/>
      <x:c r="H18" s="52"/>
      <x:c r="I18" s="52"/>
      <x:c r="J18" s="52"/>
      <x:c r="K18" s="93"/>
      <x:c r="L18" s="52"/>
      <x:c r="M18" s="52"/>
      <x:c r="N18" s="52"/>
      <x:c r="O18" s="52"/>
      <x:c r="P18" s="53"/>
    </x:row>
    <x:row r="19">
      <x:c r="A19" s="51"/>
      <x:c r="B19" s="52"/>
      <x:c r="C19" s="52"/>
      <x:c r="D19" s="52"/>
      <x:c r="E19" s="93"/>
      <x:c r="F19" s="52"/>
      <x:c r="G19" s="52"/>
      <x:c r="H19" s="52"/>
      <x:c r="I19" s="52"/>
      <x:c r="J19" s="52"/>
      <x:c r="K19" s="93"/>
      <x:c r="L19" s="52"/>
      <x:c r="M19" s="52"/>
      <x:c r="N19" s="52"/>
      <x:c r="O19" s="52"/>
      <x:c r="P19" s="53"/>
    </x:row>
    <x:row r="20">
      <x:c r="A20" s="51"/>
      <x:c r="B20" s="52"/>
      <x:c r="C20" s="52"/>
      <x:c r="D20" s="52"/>
      <x:c r="E20" s="93"/>
      <x:c r="F20" s="52"/>
      <x:c r="G20" s="52"/>
      <x:c r="H20" s="52"/>
      <x:c r="I20" s="52"/>
      <x:c r="J20" s="52"/>
      <x:c r="K20" s="93"/>
      <x:c r="L20" s="52"/>
      <x:c r="M20" s="52"/>
      <x:c r="N20" s="52"/>
      <x:c r="O20" s="52"/>
      <x:c r="P20" s="53"/>
    </x:row>
    <x:row r="21">
      <x:c r="A21" s="51"/>
      <x:c r="B21" s="52"/>
      <x:c r="C21" s="52"/>
      <x:c r="D21" s="52"/>
      <x:c r="E21" s="93"/>
      <x:c r="F21" s="52"/>
      <x:c r="G21" s="52"/>
      <x:c r="H21" s="52"/>
      <x:c r="I21" s="52"/>
      <x:c r="J21" s="52"/>
      <x:c r="K21" s="93"/>
      <x:c r="L21" s="52"/>
      <x:c r="M21" s="52"/>
      <x:c r="N21" s="52"/>
      <x:c r="O21" s="52"/>
      <x:c r="P21" s="53"/>
    </x:row>
    <x:row r="22">
      <x:c r="A22" s="51"/>
      <x:c r="B22" s="52"/>
      <x:c r="C22" s="52"/>
      <x:c r="D22" s="52"/>
      <x:c r="E22" s="93"/>
      <x:c r="F22" s="52"/>
      <x:c r="G22" s="52"/>
      <x:c r="H22" s="52"/>
      <x:c r="I22" s="52"/>
      <x:c r="J22" s="52"/>
      <x:c r="K22" s="93"/>
      <x:c r="L22" s="52"/>
      <x:c r="M22" s="52"/>
      <x:c r="N22" s="52"/>
      <x:c r="O22" s="52"/>
      <x:c r="P22" s="53"/>
    </x:row>
    <x:row r="23">
      <x:c r="A23" s="51"/>
      <x:c r="B23" s="52"/>
      <x:c r="C23" s="52"/>
      <x:c r="D23" s="52"/>
      <x:c r="E23" s="93"/>
      <x:c r="F23" s="52"/>
      <x:c r="G23" s="52"/>
      <x:c r="H23" s="52"/>
      <x:c r="I23" s="52"/>
      <x:c r="J23" s="52"/>
      <x:c r="K23" s="93"/>
      <x:c r="L23" s="52"/>
      <x:c r="M23" s="52"/>
      <x:c r="N23" s="52"/>
      <x:c r="O23" s="52"/>
      <x:c r="P23" s="53"/>
    </x:row>
    <x:row r="24">
      <x:c r="A24" s="51"/>
      <x:c r="B24" s="52"/>
      <x:c r="C24" s="52"/>
      <x:c r="D24" s="52"/>
      <x:c r="E24" s="93"/>
      <x:c r="F24" s="52"/>
      <x:c r="G24" s="52"/>
      <x:c r="H24" s="52"/>
      <x:c r="I24" s="52"/>
      <x:c r="J24" s="52"/>
      <x:c r="K24" s="93"/>
      <x:c r="L24" s="52"/>
      <x:c r="M24" s="52"/>
      <x:c r="N24" s="52"/>
      <x:c r="O24" s="52"/>
      <x:c r="P24" s="53"/>
    </x:row>
    <x:row r="25">
      <x:c r="A25" s="51"/>
      <x:c r="B25" s="52"/>
      <x:c r="C25" s="52"/>
      <x:c r="D25" s="52"/>
      <x:c r="E25" s="93"/>
      <x:c r="F25" s="52"/>
      <x:c r="G25" s="52"/>
      <x:c r="H25" s="52"/>
      <x:c r="I25" s="52"/>
      <x:c r="J25" s="52"/>
      <x:c r="K25" s="93"/>
      <x:c r="L25" s="52"/>
      <x:c r="M25" s="52"/>
      <x:c r="N25" s="52"/>
      <x:c r="O25" s="52"/>
      <x:c r="P25" s="53"/>
    </x:row>
    <x:row r="26">
      <x:c r="A26" s="51"/>
      <x:c r="B26" s="52"/>
      <x:c r="C26" s="52"/>
      <x:c r="D26" s="52"/>
      <x:c r="E26" s="93"/>
      <x:c r="F26" s="52"/>
      <x:c r="G26" s="52"/>
      <x:c r="H26" s="52"/>
      <x:c r="I26" s="52"/>
      <x:c r="J26" s="52"/>
      <x:c r="K26" s="93"/>
      <x:c r="L26" s="52"/>
      <x:c r="M26" s="52"/>
      <x:c r="N26" s="52"/>
      <x:c r="O26" s="52"/>
      <x:c r="P26" s="53"/>
    </x:row>
    <x:row r="27">
      <x:c r="A27" s="51"/>
      <x:c r="B27" s="52"/>
      <x:c r="C27" s="52"/>
      <x:c r="D27" s="52"/>
      <x:c r="E27" s="93"/>
      <x:c r="F27" s="52"/>
      <x:c r="G27" s="52"/>
      <x:c r="H27" s="52"/>
      <x:c r="I27" s="52"/>
      <x:c r="J27" s="52"/>
      <x:c r="K27" s="93"/>
      <x:c r="L27" s="52"/>
      <x:c r="M27" s="52"/>
      <x:c r="N27" s="52"/>
      <x:c r="O27" s="52"/>
      <x:c r="P27" s="53"/>
    </x:row>
    <x:row r="28">
      <x:c r="A28" s="51"/>
      <x:c r="B28" s="52"/>
      <x:c r="C28" s="52"/>
      <x:c r="D28" s="52"/>
      <x:c r="E28" s="93"/>
      <x:c r="F28" s="52"/>
      <x:c r="G28" s="52"/>
      <x:c r="H28" s="52"/>
      <x:c r="I28" s="52"/>
      <x:c r="J28" s="52"/>
      <x:c r="K28" s="93"/>
      <x:c r="L28" s="52"/>
      <x:c r="M28" s="52"/>
      <x:c r="N28" s="52"/>
      <x:c r="O28" s="52"/>
      <x:c r="P28" s="53"/>
    </x:row>
    <x:row r="29">
      <x:c r="A29" s="51"/>
      <x:c r="B29" s="52"/>
      <x:c r="C29" s="52"/>
      <x:c r="D29" s="52"/>
      <x:c r="E29" s="93"/>
      <x:c r="F29" s="52"/>
      <x:c r="G29" s="52"/>
      <x:c r="H29" s="52"/>
      <x:c r="I29" s="52"/>
      <x:c r="J29" s="52"/>
      <x:c r="K29" s="93"/>
      <x:c r="L29" s="52"/>
      <x:c r="M29" s="52"/>
      <x:c r="N29" s="52"/>
      <x:c r="O29" s="52"/>
      <x:c r="P29" s="53"/>
    </x:row>
    <x:row r="30">
      <x:c r="A30" s="51"/>
      <x:c r="B30" s="52"/>
      <x:c r="C30" s="52"/>
      <x:c r="D30" s="52"/>
      <x:c r="E30" s="93"/>
      <x:c r="F30" s="52"/>
      <x:c r="G30" s="52"/>
      <x:c r="H30" s="52"/>
      <x:c r="I30" s="52"/>
      <x:c r="J30" s="52"/>
      <x:c r="K30" s="93"/>
      <x:c r="L30" s="52"/>
      <x:c r="M30" s="52"/>
      <x:c r="N30" s="52"/>
      <x:c r="O30" s="52"/>
      <x:c r="P30" s="53"/>
    </x:row>
    <x:row r="31">
      <x:c r="A31" s="51"/>
      <x:c r="B31" s="52"/>
      <x:c r="C31" s="52"/>
      <x:c r="D31" s="52"/>
      <x:c r="E31" s="93"/>
      <x:c r="F31" s="52"/>
      <x:c r="G31" s="52"/>
      <x:c r="H31" s="52"/>
      <x:c r="I31" s="52"/>
      <x:c r="J31" s="52"/>
      <x:c r="K31" s="93"/>
      <x:c r="L31" s="52"/>
      <x:c r="M31" s="52"/>
      <x:c r="N31" s="52"/>
      <x:c r="O31" s="52"/>
      <x:c r="P31" s="53"/>
    </x:row>
    <x:row r="32">
      <x:c r="A32" s="51"/>
      <x:c r="B32" s="52"/>
      <x:c r="C32" s="52"/>
      <x:c r="D32" s="52"/>
      <x:c r="E32" s="93"/>
      <x:c r="F32" s="52"/>
      <x:c r="G32" s="52"/>
      <x:c r="H32" s="52"/>
      <x:c r="I32" s="52"/>
      <x:c r="J32" s="52"/>
      <x:c r="K32" s="93"/>
      <x:c r="L32" s="52"/>
      <x:c r="M32" s="52"/>
      <x:c r="N32" s="52"/>
      <x:c r="O32" s="52"/>
      <x:c r="P32" s="53"/>
    </x:row>
    <x:row r="33">
      <x:c r="A33" s="51"/>
      <x:c r="B33" s="52"/>
      <x:c r="C33" s="52"/>
      <x:c r="D33" s="52"/>
      <x:c r="E33" s="93"/>
      <x:c r="F33" s="52"/>
      <x:c r="G33" s="52"/>
      <x:c r="H33" s="52"/>
      <x:c r="I33" s="52"/>
      <x:c r="J33" s="52"/>
      <x:c r="K33" s="93"/>
      <x:c r="L33" s="52"/>
      <x:c r="M33" s="52"/>
      <x:c r="N33" s="52"/>
      <x:c r="O33" s="52"/>
      <x:c r="P33" s="53"/>
    </x:row>
    <x:row r="34">
      <x:c r="A34" s="51"/>
      <x:c r="B34" s="52"/>
      <x:c r="C34" s="52"/>
      <x:c r="D34" s="52"/>
      <x:c r="E34" s="93"/>
      <x:c r="F34" s="52"/>
      <x:c r="G34" s="52"/>
      <x:c r="H34" s="52"/>
      <x:c r="I34" s="52"/>
      <x:c r="J34" s="52"/>
      <x:c r="K34" s="93"/>
      <x:c r="L34" s="52"/>
      <x:c r="M34" s="52"/>
      <x:c r="N34" s="52"/>
      <x:c r="O34" s="52"/>
      <x:c r="P34" s="53"/>
    </x:row>
    <x:row r="35">
      <x:c r="A35" s="51"/>
      <x:c r="B35" s="52"/>
      <x:c r="C35" s="52"/>
      <x:c r="D35" s="52"/>
      <x:c r="E35" s="93"/>
      <x:c r="F35" s="52"/>
      <x:c r="G35" s="52"/>
      <x:c r="H35" s="52"/>
      <x:c r="I35" s="52"/>
      <x:c r="J35" s="52"/>
      <x:c r="K35" s="93"/>
      <x:c r="L35" s="52"/>
      <x:c r="M35" s="52"/>
      <x:c r="N35" s="52"/>
      <x:c r="O35" s="52"/>
      <x:c r="P35" s="53"/>
    </x:row>
    <x:row r="36">
      <x:c r="A36" s="51"/>
      <x:c r="B36" s="52"/>
      <x:c r="C36" s="52"/>
      <x:c r="D36" s="52"/>
      <x:c r="E36" s="93"/>
      <x:c r="F36" s="52"/>
      <x:c r="G36" s="52"/>
      <x:c r="H36" s="52"/>
      <x:c r="I36" s="52"/>
      <x:c r="J36" s="52"/>
      <x:c r="K36" s="93"/>
      <x:c r="L36" s="52"/>
      <x:c r="M36" s="52"/>
      <x:c r="N36" s="52"/>
      <x:c r="O36" s="52"/>
      <x:c r="P36" s="53"/>
    </x:row>
    <x:row r="37">
      <x:c r="A37" s="51"/>
      <x:c r="B37" s="52"/>
      <x:c r="C37" s="52"/>
      <x:c r="D37" s="52"/>
      <x:c r="E37" s="93"/>
      <x:c r="F37" s="52"/>
      <x:c r="G37" s="52"/>
      <x:c r="H37" s="52"/>
      <x:c r="I37" s="52"/>
      <x:c r="J37" s="52"/>
      <x:c r="K37" s="93"/>
      <x:c r="L37" s="52"/>
      <x:c r="M37" s="52"/>
      <x:c r="N37" s="52"/>
      <x:c r="O37" s="52"/>
      <x:c r="P37" s="53"/>
    </x:row>
    <x:row r="38">
      <x:c r="A38" s="51"/>
      <x:c r="B38" s="52"/>
      <x:c r="C38" s="52"/>
      <x:c r="D38" s="52"/>
      <x:c r="E38" s="93"/>
      <x:c r="F38" s="52"/>
      <x:c r="G38" s="52"/>
      <x:c r="H38" s="52"/>
      <x:c r="I38" s="52"/>
      <x:c r="J38" s="52"/>
      <x:c r="K38" s="93"/>
      <x:c r="L38" s="52"/>
      <x:c r="M38" s="52"/>
      <x:c r="N38" s="52"/>
      <x:c r="O38" s="52"/>
      <x:c r="P38" s="53"/>
    </x:row>
    <x:row r="39">
      <x:c r="A39" s="51"/>
      <x:c r="B39" s="52"/>
      <x:c r="C39" s="52"/>
      <x:c r="D39" s="52"/>
      <x:c r="E39" s="93"/>
      <x:c r="F39" s="52"/>
      <x:c r="G39" s="52"/>
      <x:c r="H39" s="52"/>
      <x:c r="I39" s="52"/>
      <x:c r="J39" s="52"/>
      <x:c r="K39" s="93"/>
      <x:c r="L39" s="52"/>
      <x:c r="M39" s="52"/>
      <x:c r="N39" s="52"/>
      <x:c r="O39" s="52"/>
      <x:c r="P39" s="53"/>
    </x:row>
    <x:row r="40">
      <x:c r="A40" s="51"/>
      <x:c r="B40" s="52"/>
      <x:c r="C40" s="52"/>
      <x:c r="D40" s="52"/>
      <x:c r="E40" s="93"/>
      <x:c r="F40" s="52"/>
      <x:c r="G40" s="52"/>
      <x:c r="H40" s="52"/>
      <x:c r="I40" s="52"/>
      <x:c r="J40" s="52"/>
      <x:c r="K40" s="93"/>
      <x:c r="L40" s="52"/>
      <x:c r="M40" s="52"/>
      <x:c r="N40" s="52"/>
      <x:c r="O40" s="52"/>
      <x:c r="P40" s="53"/>
    </x:row>
    <x:row r="41">
      <x:c r="A41" s="51"/>
      <x:c r="B41" s="52"/>
      <x:c r="C41" s="52"/>
      <x:c r="D41" s="52"/>
      <x:c r="E41" s="93"/>
      <x:c r="F41" s="52"/>
      <x:c r="G41" s="52"/>
      <x:c r="H41" s="52"/>
      <x:c r="I41" s="52"/>
      <x:c r="J41" s="52"/>
      <x:c r="K41" s="93"/>
      <x:c r="L41" s="52"/>
      <x:c r="M41" s="52"/>
      <x:c r="N41" s="52"/>
      <x:c r="O41" s="52"/>
      <x:c r="P41" s="53"/>
    </x:row>
    <x:row r="42">
      <x:c r="A42" s="51"/>
      <x:c r="B42" s="52"/>
      <x:c r="C42" s="52"/>
      <x:c r="D42" s="52"/>
      <x:c r="E42" s="93"/>
      <x:c r="F42" s="52"/>
      <x:c r="G42" s="52"/>
      <x:c r="H42" s="52"/>
      <x:c r="I42" s="52"/>
      <x:c r="J42" s="52"/>
      <x:c r="K42" s="93"/>
      <x:c r="L42" s="52"/>
      <x:c r="M42" s="52"/>
      <x:c r="N42" s="52"/>
      <x:c r="O42" s="52"/>
      <x:c r="P42" s="53"/>
    </x:row>
    <x:row r="43">
      <x:c r="A43" s="51"/>
      <x:c r="B43" s="52"/>
      <x:c r="C43" s="52"/>
      <x:c r="D43" s="52"/>
      <x:c r="E43" s="93"/>
      <x:c r="F43" s="52"/>
      <x:c r="G43" s="52"/>
      <x:c r="H43" s="52"/>
      <x:c r="I43" s="52"/>
      <x:c r="J43" s="52"/>
      <x:c r="K43" s="93"/>
      <x:c r="L43" s="52"/>
      <x:c r="M43" s="52"/>
      <x:c r="N43" s="52"/>
      <x:c r="O43" s="52"/>
      <x:c r="P43" s="53"/>
    </x:row>
    <x:row r="44">
      <x:c r="A44" s="51"/>
      <x:c r="B44" s="52"/>
      <x:c r="C44" s="52"/>
      <x:c r="D44" s="52"/>
      <x:c r="E44" s="93"/>
      <x:c r="F44" s="52"/>
      <x:c r="G44" s="52"/>
      <x:c r="H44" s="52"/>
      <x:c r="I44" s="52"/>
      <x:c r="J44" s="52"/>
      <x:c r="K44" s="93"/>
      <x:c r="L44" s="52"/>
      <x:c r="M44" s="52"/>
      <x:c r="N44" s="52"/>
      <x:c r="O44" s="52"/>
      <x:c r="P44" s="53"/>
    </x:row>
    <x:row r="45">
      <x:c r="A45" s="51"/>
      <x:c r="B45" s="52"/>
      <x:c r="C45" s="52"/>
      <x:c r="D45" s="52"/>
      <x:c r="E45" s="93"/>
      <x:c r="F45" s="52"/>
      <x:c r="G45" s="52"/>
      <x:c r="H45" s="52"/>
      <x:c r="I45" s="52"/>
      <x:c r="J45" s="52"/>
      <x:c r="K45" s="93"/>
      <x:c r="L45" s="52"/>
      <x:c r="M45" s="52"/>
      <x:c r="N45" s="52"/>
      <x:c r="O45" s="52"/>
      <x:c r="P45" s="53"/>
    </x:row>
    <x:row r="46">
      <x:c r="A46" s="51"/>
      <x:c r="B46" s="52"/>
      <x:c r="C46" s="52"/>
      <x:c r="D46" s="52"/>
      <x:c r="E46" s="93"/>
      <x:c r="F46" s="52"/>
      <x:c r="G46" s="52"/>
      <x:c r="H46" s="52"/>
      <x:c r="I46" s="52"/>
      <x:c r="J46" s="52"/>
      <x:c r="K46" s="93"/>
      <x:c r="L46" s="52"/>
      <x:c r="M46" s="52"/>
      <x:c r="N46" s="52"/>
      <x:c r="O46" s="52"/>
      <x:c r="P46" s="53"/>
    </x:row>
    <x:row r="47">
      <x:c r="A47" s="51"/>
      <x:c r="B47" s="52"/>
      <x:c r="C47" s="52"/>
      <x:c r="D47" s="52"/>
      <x:c r="E47" s="93"/>
      <x:c r="F47" s="52"/>
      <x:c r="G47" s="52"/>
      <x:c r="H47" s="52"/>
      <x:c r="I47" s="52"/>
      <x:c r="J47" s="52"/>
      <x:c r="K47" s="93"/>
      <x:c r="L47" s="52"/>
      <x:c r="M47" s="52"/>
      <x:c r="N47" s="52"/>
      <x:c r="O47" s="52"/>
      <x:c r="P47" s="53"/>
    </x:row>
    <x:row r="48">
      <x:c r="A48" s="51"/>
      <x:c r="B48" s="52"/>
      <x:c r="C48" s="52"/>
      <x:c r="D48" s="52"/>
      <x:c r="E48" s="93"/>
      <x:c r="F48" s="52"/>
      <x:c r="G48" s="52"/>
      <x:c r="H48" s="52"/>
      <x:c r="I48" s="52"/>
      <x:c r="J48" s="52"/>
      <x:c r="K48" s="93"/>
      <x:c r="L48" s="52"/>
      <x:c r="M48" s="52"/>
      <x:c r="N48" s="52"/>
      <x:c r="O48" s="52"/>
      <x:c r="P48" s="53"/>
    </x:row>
    <x:row r="49">
      <x:c r="A49" s="51"/>
      <x:c r="B49" s="52"/>
      <x:c r="C49" s="52"/>
      <x:c r="D49" s="52"/>
      <x:c r="E49" s="93"/>
      <x:c r="F49" s="52"/>
      <x:c r="G49" s="52"/>
      <x:c r="H49" s="52"/>
      <x:c r="I49" s="52"/>
      <x:c r="J49" s="52"/>
      <x:c r="K49" s="93"/>
      <x:c r="L49" s="52"/>
      <x:c r="M49" s="52"/>
      <x:c r="N49" s="52"/>
      <x:c r="O49" s="52"/>
      <x:c r="P49" s="53"/>
    </x:row>
    <x:row r="50">
      <x:c r="A50" s="51"/>
      <x:c r="B50" s="52"/>
      <x:c r="C50" s="52"/>
      <x:c r="D50" s="52"/>
      <x:c r="E50" s="93"/>
      <x:c r="F50" s="52"/>
      <x:c r="G50" s="52"/>
      <x:c r="H50" s="52"/>
      <x:c r="I50" s="52"/>
      <x:c r="J50" s="52"/>
      <x:c r="K50" s="93"/>
      <x:c r="L50" s="52"/>
      <x:c r="M50" s="52"/>
      <x:c r="N50" s="52"/>
      <x:c r="O50" s="52"/>
      <x:c r="P50" s="53"/>
    </x:row>
    <x:row r="51">
      <x:c r="A51" s="51"/>
      <x:c r="B51" s="52"/>
      <x:c r="C51" s="52"/>
      <x:c r="D51" s="52"/>
      <x:c r="E51" s="93"/>
      <x:c r="F51" s="52"/>
      <x:c r="G51" s="52"/>
      <x:c r="H51" s="52"/>
      <x:c r="I51" s="52"/>
      <x:c r="J51" s="52"/>
      <x:c r="K51" s="93"/>
      <x:c r="L51" s="52"/>
      <x:c r="M51" s="52"/>
      <x:c r="N51" s="52"/>
      <x:c r="O51" s="52"/>
      <x:c r="P51" s="53"/>
    </x:row>
    <x:row r="52">
      <x:c r="A52" s="51"/>
      <x:c r="B52" s="52"/>
      <x:c r="C52" s="52"/>
      <x:c r="D52" s="52"/>
      <x:c r="E52" s="93"/>
      <x:c r="F52" s="52"/>
      <x:c r="G52" s="52"/>
      <x:c r="H52" s="52"/>
      <x:c r="I52" s="52"/>
      <x:c r="J52" s="52"/>
      <x:c r="K52" s="93"/>
      <x:c r="L52" s="52"/>
      <x:c r="M52" s="52"/>
      <x:c r="N52" s="52"/>
      <x:c r="O52" s="52"/>
      <x:c r="P52" s="53"/>
    </x:row>
    <x:row r="53">
      <x:c r="A53" s="51"/>
      <x:c r="B53" s="52"/>
      <x:c r="C53" s="52"/>
      <x:c r="D53" s="52"/>
      <x:c r="E53" s="93"/>
      <x:c r="F53" s="52"/>
      <x:c r="G53" s="52"/>
      <x:c r="H53" s="52"/>
      <x:c r="I53" s="52"/>
      <x:c r="J53" s="52"/>
      <x:c r="K53" s="93"/>
      <x:c r="L53" s="52"/>
      <x:c r="M53" s="52"/>
      <x:c r="N53" s="52"/>
      <x:c r="O53" s="52"/>
      <x:c r="P53" s="53"/>
    </x:row>
    <x:row r="54">
      <x:c r="A54" s="51"/>
      <x:c r="B54" s="52"/>
      <x:c r="C54" s="52"/>
      <x:c r="D54" s="52"/>
      <x:c r="E54" s="93"/>
      <x:c r="F54" s="52"/>
      <x:c r="G54" s="52"/>
      <x:c r="H54" s="52"/>
      <x:c r="I54" s="52"/>
      <x:c r="J54" s="52"/>
      <x:c r="K54" s="93"/>
      <x:c r="L54" s="52"/>
      <x:c r="M54" s="52"/>
      <x:c r="N54" s="52"/>
      <x:c r="O54" s="52"/>
      <x:c r="P54" s="53"/>
    </x:row>
    <x:row r="55">
      <x:c r="A55" s="51"/>
      <x:c r="B55" s="52"/>
      <x:c r="C55" s="52"/>
      <x:c r="D55" s="52"/>
      <x:c r="E55" s="93"/>
      <x:c r="F55" s="52"/>
      <x:c r="G55" s="52"/>
      <x:c r="H55" s="52"/>
      <x:c r="I55" s="52"/>
      <x:c r="J55" s="52"/>
      <x:c r="K55" s="93"/>
      <x:c r="L55" s="52"/>
      <x:c r="M55" s="52"/>
      <x:c r="N55" s="52"/>
      <x:c r="O55" s="52"/>
      <x:c r="P55" s="53"/>
    </x:row>
    <x:row r="56">
      <x:c r="A56" s="51"/>
      <x:c r="B56" s="52"/>
      <x:c r="C56" s="52"/>
      <x:c r="D56" s="52"/>
      <x:c r="E56" s="93"/>
      <x:c r="F56" s="52"/>
      <x:c r="G56" s="52"/>
      <x:c r="H56" s="52"/>
      <x:c r="I56" s="52"/>
      <x:c r="J56" s="52"/>
      <x:c r="K56" s="93"/>
      <x:c r="L56" s="52"/>
      <x:c r="M56" s="52"/>
      <x:c r="N56" s="52"/>
      <x:c r="O56" s="52"/>
      <x:c r="P56" s="53"/>
    </x:row>
    <x:row r="57">
      <x:c r="A57" s="51"/>
      <x:c r="B57" s="52"/>
      <x:c r="C57" s="52"/>
      <x:c r="D57" s="52"/>
      <x:c r="E57" s="93"/>
      <x:c r="F57" s="52"/>
      <x:c r="G57" s="52"/>
      <x:c r="H57" s="52"/>
      <x:c r="I57" s="52"/>
      <x:c r="J57" s="52"/>
      <x:c r="K57" s="93"/>
      <x:c r="L57" s="52"/>
      <x:c r="M57" s="52"/>
      <x:c r="N57" s="52"/>
      <x:c r="O57" s="52"/>
      <x:c r="P57" s="53"/>
    </x:row>
    <x:row r="58">
      <x:c r="A58" s="51"/>
      <x:c r="B58" s="52"/>
      <x:c r="C58" s="52"/>
      <x:c r="D58" s="52"/>
      <x:c r="E58" s="93"/>
      <x:c r="F58" s="52"/>
      <x:c r="G58" s="52"/>
      <x:c r="H58" s="52"/>
      <x:c r="I58" s="52"/>
      <x:c r="J58" s="52"/>
      <x:c r="K58" s="93"/>
      <x:c r="L58" s="52"/>
      <x:c r="M58" s="52"/>
      <x:c r="N58" s="52"/>
      <x:c r="O58" s="52"/>
      <x:c r="P58" s="53"/>
    </x:row>
    <x:row r="59">
      <x:c r="A59" s="51"/>
      <x:c r="B59" s="52"/>
      <x:c r="C59" s="52"/>
      <x:c r="D59" s="52"/>
      <x:c r="E59" s="93"/>
      <x:c r="F59" s="52"/>
      <x:c r="G59" s="52"/>
      <x:c r="H59" s="52"/>
      <x:c r="I59" s="52"/>
      <x:c r="J59" s="52"/>
      <x:c r="K59" s="93"/>
      <x:c r="L59" s="52"/>
      <x:c r="M59" s="52"/>
      <x:c r="N59" s="52"/>
      <x:c r="O59" s="52"/>
      <x:c r="P59" s="53"/>
    </x:row>
    <x:row r="60">
      <x:c r="A60" s="51"/>
      <x:c r="B60" s="52"/>
      <x:c r="C60" s="52"/>
      <x:c r="D60" s="52"/>
      <x:c r="E60" s="93"/>
      <x:c r="F60" s="52"/>
      <x:c r="G60" s="52"/>
      <x:c r="H60" s="52"/>
      <x:c r="I60" s="52"/>
      <x:c r="J60" s="52"/>
      <x:c r="K60" s="93"/>
      <x:c r="L60" s="52"/>
      <x:c r="M60" s="52"/>
      <x:c r="N60" s="52"/>
      <x:c r="O60" s="52"/>
      <x:c r="P60" s="53"/>
    </x:row>
    <x:row r="61">
      <x:c r="A61" s="51"/>
      <x:c r="B61" s="52"/>
      <x:c r="C61" s="52"/>
      <x:c r="D61" s="52"/>
      <x:c r="E61" s="93"/>
      <x:c r="F61" s="52"/>
      <x:c r="G61" s="52"/>
      <x:c r="H61" s="52"/>
      <x:c r="I61" s="52"/>
      <x:c r="J61" s="52"/>
      <x:c r="K61" s="93"/>
      <x:c r="L61" s="52"/>
      <x:c r="M61" s="52"/>
      <x:c r="N61" s="52"/>
      <x:c r="O61" s="52"/>
      <x:c r="P61" s="53"/>
    </x:row>
    <x:row r="62">
      <x:c r="A62" s="51"/>
      <x:c r="B62" s="52"/>
      <x:c r="C62" s="52"/>
      <x:c r="D62" s="52"/>
      <x:c r="E62" s="93"/>
      <x:c r="F62" s="52"/>
      <x:c r="G62" s="52"/>
      <x:c r="H62" s="52"/>
      <x:c r="I62" s="52"/>
      <x:c r="J62" s="52"/>
      <x:c r="K62" s="93"/>
      <x:c r="L62" s="52"/>
      <x:c r="M62" s="52"/>
      <x:c r="N62" s="52"/>
      <x:c r="O62" s="52"/>
      <x:c r="P62" s="53"/>
    </x:row>
    <x:row r="63">
      <x:c r="A63" s="51"/>
      <x:c r="B63" s="52"/>
      <x:c r="C63" s="52"/>
      <x:c r="D63" s="52"/>
      <x:c r="E63" s="93"/>
      <x:c r="F63" s="52"/>
      <x:c r="G63" s="52"/>
      <x:c r="H63" s="52"/>
      <x:c r="I63" s="52"/>
      <x:c r="J63" s="52"/>
      <x:c r="K63" s="93"/>
      <x:c r="L63" s="52"/>
      <x:c r="M63" s="52"/>
      <x:c r="N63" s="52"/>
      <x:c r="O63" s="52"/>
      <x:c r="P63" s="53"/>
    </x:row>
    <x:row r="64">
      <x:c r="A64" s="51"/>
      <x:c r="B64" s="52"/>
      <x:c r="C64" s="52"/>
      <x:c r="D64" s="52"/>
      <x:c r="E64" s="93"/>
      <x:c r="F64" s="52"/>
      <x:c r="G64" s="52"/>
      <x:c r="H64" s="52"/>
      <x:c r="I64" s="52"/>
      <x:c r="J64" s="52"/>
      <x:c r="K64" s="93"/>
      <x:c r="L64" s="52"/>
      <x:c r="M64" s="52"/>
      <x:c r="N64" s="52"/>
      <x:c r="O64" s="52"/>
      <x:c r="P64" s="53"/>
    </x:row>
    <x:row r="65">
      <x:c r="A65" s="51"/>
      <x:c r="B65" s="52"/>
      <x:c r="C65" s="52"/>
      <x:c r="D65" s="52"/>
      <x:c r="E65" s="93"/>
      <x:c r="F65" s="52"/>
      <x:c r="G65" s="52"/>
      <x:c r="H65" s="52"/>
      <x:c r="I65" s="52"/>
      <x:c r="J65" s="52"/>
      <x:c r="K65" s="93"/>
      <x:c r="L65" s="52"/>
      <x:c r="M65" s="52"/>
      <x:c r="N65" s="52"/>
      <x:c r="O65" s="52"/>
      <x:c r="P65" s="53"/>
    </x:row>
    <x:row r="66">
      <x:c r="A66" s="51"/>
      <x:c r="B66" s="52"/>
      <x:c r="C66" s="52"/>
      <x:c r="D66" s="52"/>
      <x:c r="E66" s="93"/>
      <x:c r="F66" s="52"/>
      <x:c r="G66" s="52"/>
      <x:c r="H66" s="52"/>
      <x:c r="I66" s="52"/>
      <x:c r="J66" s="52"/>
      <x:c r="K66" s="93"/>
      <x:c r="L66" s="52"/>
      <x:c r="M66" s="52"/>
      <x:c r="N66" s="52"/>
      <x:c r="O66" s="52"/>
      <x:c r="P66" s="53"/>
    </x:row>
    <x:row r="67">
      <x:c r="A67" s="51"/>
      <x:c r="B67" s="52"/>
      <x:c r="C67" s="52"/>
      <x:c r="D67" s="52"/>
      <x:c r="E67" s="93"/>
      <x:c r="F67" s="52"/>
      <x:c r="G67" s="52"/>
      <x:c r="H67" s="52"/>
      <x:c r="I67" s="52"/>
      <x:c r="J67" s="52"/>
      <x:c r="K67" s="93"/>
      <x:c r="L67" s="52"/>
      <x:c r="M67" s="52"/>
      <x:c r="N67" s="52"/>
      <x:c r="O67" s="52"/>
      <x:c r="P67" s="53"/>
    </x:row>
    <x:row r="68">
      <x:c r="A68" s="51"/>
      <x:c r="B68" s="52"/>
      <x:c r="C68" s="52"/>
      <x:c r="D68" s="52"/>
      <x:c r="E68" s="93"/>
      <x:c r="F68" s="52"/>
      <x:c r="G68" s="52"/>
      <x:c r="H68" s="52"/>
      <x:c r="I68" s="52"/>
      <x:c r="J68" s="52"/>
      <x:c r="K68" s="93"/>
      <x:c r="L68" s="52"/>
      <x:c r="M68" s="52"/>
      <x:c r="N68" s="52"/>
      <x:c r="O68" s="52"/>
      <x:c r="P68" s="53"/>
    </x:row>
    <x:row r="69">
      <x:c r="A69" s="51"/>
      <x:c r="B69" s="52"/>
      <x:c r="C69" s="52"/>
      <x:c r="D69" s="52"/>
      <x:c r="E69" s="93"/>
      <x:c r="F69" s="52"/>
      <x:c r="G69" s="52"/>
      <x:c r="H69" s="52"/>
      <x:c r="I69" s="52"/>
      <x:c r="J69" s="52"/>
      <x:c r="K69" s="93"/>
      <x:c r="L69" s="52"/>
      <x:c r="M69" s="52"/>
      <x:c r="N69" s="52"/>
      <x:c r="O69" s="52"/>
      <x:c r="P69" s="53"/>
    </x:row>
    <x:row r="70">
      <x:c r="A70" s="51"/>
      <x:c r="B70" s="52"/>
      <x:c r="C70" s="52"/>
      <x:c r="D70" s="52"/>
      <x:c r="E70" s="93"/>
      <x:c r="F70" s="52"/>
      <x:c r="G70" s="52"/>
      <x:c r="H70" s="52"/>
      <x:c r="I70" s="52"/>
      <x:c r="J70" s="52"/>
      <x:c r="K70" s="93"/>
      <x:c r="L70" s="52"/>
      <x:c r="M70" s="52"/>
      <x:c r="N70" s="52"/>
      <x:c r="O70" s="52"/>
      <x:c r="P70" s="53"/>
    </x:row>
    <x:row r="71">
      <x:c r="A71" s="51"/>
      <x:c r="B71" s="52"/>
      <x:c r="C71" s="52"/>
      <x:c r="D71" s="52"/>
      <x:c r="E71" s="93"/>
      <x:c r="F71" s="52"/>
      <x:c r="G71" s="52"/>
      <x:c r="H71" s="52"/>
      <x:c r="I71" s="52"/>
      <x:c r="J71" s="52"/>
      <x:c r="K71" s="93"/>
      <x:c r="L71" s="52"/>
      <x:c r="M71" s="52"/>
      <x:c r="N71" s="52"/>
      <x:c r="O71" s="52"/>
      <x:c r="P71" s="53"/>
    </x:row>
    <x:row r="72">
      <x:c r="A72" s="51"/>
      <x:c r="B72" s="52"/>
      <x:c r="C72" s="52"/>
      <x:c r="D72" s="52"/>
      <x:c r="E72" s="93"/>
      <x:c r="F72" s="52"/>
      <x:c r="G72" s="52"/>
      <x:c r="H72" s="52"/>
      <x:c r="I72" s="52"/>
      <x:c r="J72" s="52"/>
      <x:c r="K72" s="93"/>
      <x:c r="L72" s="52"/>
      <x:c r="M72" s="52"/>
      <x:c r="N72" s="52"/>
      <x:c r="O72" s="52"/>
      <x:c r="P72" s="53"/>
    </x:row>
    <x:row r="73">
      <x:c r="A73" s="51"/>
      <x:c r="B73" s="52"/>
      <x:c r="C73" s="52"/>
      <x:c r="D73" s="52"/>
      <x:c r="E73" s="93"/>
      <x:c r="F73" s="52"/>
      <x:c r="G73" s="52"/>
      <x:c r="H73" s="52"/>
      <x:c r="I73" s="52"/>
      <x:c r="J73" s="52"/>
      <x:c r="K73" s="93"/>
      <x:c r="L73" s="52"/>
      <x:c r="M73" s="52"/>
      <x:c r="N73" s="52"/>
      <x:c r="O73" s="52"/>
      <x:c r="P73" s="53"/>
    </x:row>
    <x:row r="74">
      <x:c r="A74" s="51"/>
      <x:c r="B74" s="52"/>
      <x:c r="C74" s="52"/>
      <x:c r="D74" s="52"/>
      <x:c r="E74" s="93"/>
      <x:c r="F74" s="52"/>
      <x:c r="G74" s="52"/>
      <x:c r="H74" s="52"/>
      <x:c r="I74" s="52"/>
      <x:c r="J74" s="52"/>
      <x:c r="K74" s="93"/>
      <x:c r="L74" s="52"/>
      <x:c r="M74" s="52"/>
      <x:c r="N74" s="52"/>
      <x:c r="O74" s="52"/>
      <x:c r="P74" s="53"/>
    </x:row>
    <x:row r="75">
      <x:c r="A75" s="51"/>
      <x:c r="B75" s="52"/>
      <x:c r="C75" s="52"/>
      <x:c r="D75" s="52"/>
      <x:c r="E75" s="93"/>
      <x:c r="F75" s="52"/>
      <x:c r="G75" s="52"/>
      <x:c r="H75" s="52"/>
      <x:c r="I75" s="52"/>
      <x:c r="J75" s="52"/>
      <x:c r="K75" s="93"/>
      <x:c r="L75" s="52"/>
      <x:c r="M75" s="52"/>
      <x:c r="N75" s="52"/>
      <x:c r="O75" s="52"/>
      <x:c r="P75" s="53"/>
    </x:row>
    <x:row r="76">
      <x:c r="A76" s="51"/>
      <x:c r="B76" s="52"/>
      <x:c r="C76" s="52"/>
      <x:c r="D76" s="52"/>
      <x:c r="E76" s="93"/>
      <x:c r="F76" s="52"/>
      <x:c r="G76" s="52"/>
      <x:c r="H76" s="52"/>
      <x:c r="I76" s="52"/>
      <x:c r="J76" s="52"/>
      <x:c r="K76" s="93"/>
      <x:c r="L76" s="52"/>
      <x:c r="M76" s="52"/>
      <x:c r="N76" s="52"/>
      <x:c r="O76" s="52"/>
      <x:c r="P76" s="53"/>
    </x:row>
    <x:row r="77">
      <x:c r="A77" s="51"/>
      <x:c r="B77" s="52"/>
      <x:c r="C77" s="52"/>
      <x:c r="D77" s="52"/>
      <x:c r="E77" s="93"/>
      <x:c r="F77" s="52"/>
      <x:c r="G77" s="52"/>
      <x:c r="H77" s="52"/>
      <x:c r="I77" s="52"/>
      <x:c r="J77" s="52"/>
      <x:c r="K77" s="93"/>
      <x:c r="L77" s="52"/>
      <x:c r="M77" s="52"/>
      <x:c r="N77" s="52"/>
      <x:c r="O77" s="52"/>
      <x:c r="P77" s="53"/>
    </x:row>
    <x:row r="78">
      <x:c r="A78" s="51"/>
      <x:c r="B78" s="52"/>
      <x:c r="C78" s="52"/>
      <x:c r="D78" s="52"/>
      <x:c r="E78" s="93"/>
      <x:c r="F78" s="52"/>
      <x:c r="G78" s="52"/>
      <x:c r="H78" s="52"/>
      <x:c r="I78" s="52"/>
      <x:c r="J78" s="52"/>
      <x:c r="K78" s="93"/>
      <x:c r="L78" s="52"/>
      <x:c r="M78" s="52"/>
      <x:c r="N78" s="52"/>
      <x:c r="O78" s="52"/>
      <x:c r="P78" s="53"/>
    </x:row>
    <x:row r="79">
      <x:c r="A79" s="51"/>
      <x:c r="B79" s="52"/>
      <x:c r="C79" s="52"/>
      <x:c r="D79" s="52"/>
      <x:c r="E79" s="93"/>
      <x:c r="F79" s="52"/>
      <x:c r="G79" s="52"/>
      <x:c r="H79" s="52"/>
      <x:c r="I79" s="52"/>
      <x:c r="J79" s="52"/>
      <x:c r="K79" s="93"/>
      <x:c r="L79" s="52"/>
      <x:c r="M79" s="52"/>
      <x:c r="N79" s="52"/>
      <x:c r="O79" s="52"/>
      <x:c r="P79" s="53"/>
    </x:row>
    <x:row r="80">
      <x:c r="A80" s="51"/>
      <x:c r="B80" s="52"/>
      <x:c r="C80" s="52"/>
      <x:c r="D80" s="52"/>
      <x:c r="E80" s="93"/>
      <x:c r="F80" s="52"/>
      <x:c r="G80" s="52"/>
      <x:c r="H80" s="52"/>
      <x:c r="I80" s="52"/>
      <x:c r="J80" s="52"/>
      <x:c r="K80" s="93"/>
      <x:c r="L80" s="52"/>
      <x:c r="M80" s="52"/>
      <x:c r="N80" s="52"/>
      <x:c r="O80" s="52"/>
      <x:c r="P80" s="53"/>
    </x:row>
    <x:row r="81">
      <x:c r="A81" s="51"/>
      <x:c r="B81" s="52"/>
      <x:c r="C81" s="52"/>
      <x:c r="D81" s="52"/>
      <x:c r="E81" s="93"/>
      <x:c r="F81" s="52"/>
      <x:c r="G81" s="52"/>
      <x:c r="H81" s="52"/>
      <x:c r="I81" s="52"/>
      <x:c r="J81" s="52"/>
      <x:c r="K81" s="93"/>
      <x:c r="L81" s="52"/>
      <x:c r="M81" s="52"/>
      <x:c r="N81" s="52"/>
      <x:c r="O81" s="52"/>
      <x:c r="P81" s="53"/>
    </x:row>
    <x:row r="82">
      <x:c r="A82" s="51"/>
      <x:c r="B82" s="52"/>
      <x:c r="C82" s="52"/>
      <x:c r="D82" s="52"/>
      <x:c r="E82" s="93"/>
      <x:c r="F82" s="52"/>
      <x:c r="G82" s="52"/>
      <x:c r="H82" s="52"/>
      <x:c r="I82" s="52"/>
      <x:c r="J82" s="52"/>
      <x:c r="K82" s="93"/>
      <x:c r="L82" s="52"/>
      <x:c r="M82" s="52"/>
      <x:c r="N82" s="52"/>
      <x:c r="O82" s="52"/>
      <x:c r="P82" s="53"/>
    </x:row>
    <x:row r="83">
      <x:c r="A83" s="51"/>
      <x:c r="B83" s="52"/>
      <x:c r="C83" s="52"/>
      <x:c r="D83" s="52"/>
      <x:c r="E83" s="93"/>
      <x:c r="F83" s="52"/>
      <x:c r="G83" s="52"/>
      <x:c r="H83" s="52"/>
      <x:c r="I83" s="52"/>
      <x:c r="J83" s="52"/>
      <x:c r="K83" s="93"/>
      <x:c r="L83" s="52"/>
      <x:c r="M83" s="52"/>
      <x:c r="N83" s="52"/>
      <x:c r="O83" s="52"/>
      <x:c r="P83" s="53"/>
    </x:row>
    <x:row r="84">
      <x:c r="A84" s="51"/>
      <x:c r="B84" s="52"/>
      <x:c r="C84" s="52"/>
      <x:c r="D84" s="52"/>
      <x:c r="E84" s="93"/>
      <x:c r="F84" s="52"/>
      <x:c r="G84" s="52"/>
      <x:c r="H84" s="52"/>
      <x:c r="I84" s="52"/>
      <x:c r="J84" s="52"/>
      <x:c r="K84" s="93"/>
      <x:c r="L84" s="52"/>
      <x:c r="M84" s="52"/>
      <x:c r="N84" s="52"/>
      <x:c r="O84" s="52"/>
      <x:c r="P84" s="53"/>
    </x:row>
    <x:row r="85">
      <x:c r="A85" s="51"/>
      <x:c r="B85" s="52"/>
      <x:c r="C85" s="52"/>
      <x:c r="D85" s="52"/>
      <x:c r="E85" s="93"/>
      <x:c r="F85" s="52"/>
      <x:c r="G85" s="52"/>
      <x:c r="H85" s="52"/>
      <x:c r="I85" s="52"/>
      <x:c r="J85" s="52"/>
      <x:c r="K85" s="93"/>
      <x:c r="L85" s="52"/>
      <x:c r="M85" s="52"/>
      <x:c r="N85" s="52"/>
      <x:c r="O85" s="52"/>
      <x:c r="P85" s="53"/>
    </x:row>
    <x:row r="86">
      <x:c r="A86" s="51"/>
      <x:c r="B86" s="52"/>
      <x:c r="C86" s="52"/>
      <x:c r="D86" s="52"/>
      <x:c r="E86" s="93"/>
      <x:c r="F86" s="52"/>
      <x:c r="G86" s="52"/>
      <x:c r="H86" s="52"/>
      <x:c r="I86" s="52"/>
      <x:c r="J86" s="52"/>
      <x:c r="K86" s="93"/>
      <x:c r="L86" s="52"/>
      <x:c r="M86" s="52"/>
      <x:c r="N86" s="52"/>
      <x:c r="O86" s="52"/>
      <x:c r="P86" s="53"/>
    </x:row>
    <x:row r="87">
      <x:c r="A87" s="51"/>
      <x:c r="B87" s="52"/>
      <x:c r="C87" s="52"/>
      <x:c r="D87" s="52"/>
      <x:c r="E87" s="93"/>
      <x:c r="F87" s="52"/>
      <x:c r="G87" s="52"/>
      <x:c r="H87" s="52"/>
      <x:c r="I87" s="52"/>
      <x:c r="J87" s="52"/>
      <x:c r="K87" s="93"/>
      <x:c r="L87" s="52"/>
      <x:c r="M87" s="52"/>
      <x:c r="N87" s="52"/>
      <x:c r="O87" s="52"/>
      <x:c r="P87" s="53"/>
    </x:row>
    <x:row r="88">
      <x:c r="A88" s="51"/>
      <x:c r="B88" s="52"/>
      <x:c r="C88" s="52"/>
      <x:c r="D88" s="52"/>
      <x:c r="E88" s="93"/>
      <x:c r="F88" s="52"/>
      <x:c r="G88" s="52"/>
      <x:c r="H88" s="52"/>
      <x:c r="I88" s="52"/>
      <x:c r="J88" s="52"/>
      <x:c r="K88" s="93"/>
      <x:c r="L88" s="52"/>
      <x:c r="M88" s="52"/>
      <x:c r="N88" s="52"/>
      <x:c r="O88" s="52"/>
      <x:c r="P88" s="53"/>
    </x:row>
    <x:row r="89">
      <x:c r="A89" s="51"/>
      <x:c r="B89" s="52"/>
      <x:c r="C89" s="52"/>
      <x:c r="D89" s="52"/>
      <x:c r="E89" s="93"/>
      <x:c r="F89" s="52"/>
      <x:c r="G89" s="52"/>
      <x:c r="H89" s="52"/>
      <x:c r="I89" s="52"/>
      <x:c r="J89" s="52"/>
      <x:c r="K89" s="93"/>
      <x:c r="L89" s="52"/>
      <x:c r="M89" s="52"/>
      <x:c r="N89" s="52"/>
      <x:c r="O89" s="52"/>
      <x:c r="P89" s="53"/>
    </x:row>
    <x:row r="90">
      <x:c r="A90" s="51"/>
      <x:c r="B90" s="52"/>
      <x:c r="C90" s="52"/>
      <x:c r="D90" s="52"/>
      <x:c r="E90" s="93"/>
      <x:c r="F90" s="52"/>
      <x:c r="G90" s="52"/>
      <x:c r="H90" s="52"/>
      <x:c r="I90" s="52"/>
      <x:c r="J90" s="52"/>
      <x:c r="K90" s="93"/>
      <x:c r="L90" s="52"/>
      <x:c r="M90" s="52"/>
      <x:c r="N90" s="52"/>
      <x:c r="O90" s="52"/>
      <x:c r="P90" s="53"/>
    </x:row>
    <x:row r="91">
      <x:c r="A91" s="51"/>
      <x:c r="B91" s="52"/>
      <x:c r="C91" s="52"/>
      <x:c r="D91" s="52"/>
      <x:c r="E91" s="93"/>
      <x:c r="F91" s="52"/>
      <x:c r="G91" s="52"/>
      <x:c r="H91" s="52"/>
      <x:c r="I91" s="52"/>
      <x:c r="J91" s="52"/>
      <x:c r="K91" s="93"/>
      <x:c r="L91" s="52"/>
      <x:c r="M91" s="52"/>
      <x:c r="N91" s="52"/>
      <x:c r="O91" s="52"/>
      <x:c r="P91" s="53"/>
    </x:row>
    <x:row r="92">
      <x:c r="A92" s="51"/>
      <x:c r="B92" s="52"/>
      <x:c r="C92" s="52"/>
      <x:c r="D92" s="52"/>
      <x:c r="E92" s="93"/>
      <x:c r="F92" s="52"/>
      <x:c r="G92" s="52"/>
      <x:c r="H92" s="52"/>
      <x:c r="I92" s="52"/>
      <x:c r="J92" s="52"/>
      <x:c r="K92" s="93"/>
      <x:c r="L92" s="52"/>
      <x:c r="M92" s="52"/>
      <x:c r="N92" s="52"/>
      <x:c r="O92" s="52"/>
      <x:c r="P92" s="53"/>
    </x:row>
    <x:row r="93">
      <x:c r="A93" s="51"/>
      <x:c r="B93" s="52"/>
      <x:c r="C93" s="52"/>
      <x:c r="D93" s="52"/>
      <x:c r="E93" s="93"/>
      <x:c r="F93" s="52"/>
      <x:c r="G93" s="52"/>
      <x:c r="H93" s="52"/>
      <x:c r="I93" s="52"/>
      <x:c r="J93" s="52"/>
      <x:c r="K93" s="93"/>
      <x:c r="L93" s="52"/>
      <x:c r="M93" s="52"/>
      <x:c r="N93" s="52"/>
      <x:c r="O93" s="52"/>
      <x:c r="P93" s="53"/>
    </x:row>
    <x:row r="94">
      <x:c r="A94" s="51"/>
      <x:c r="B94" s="52"/>
      <x:c r="C94" s="52"/>
      <x:c r="D94" s="52"/>
      <x:c r="E94" s="93"/>
      <x:c r="F94" s="52"/>
      <x:c r="G94" s="52"/>
      <x:c r="H94" s="52"/>
      <x:c r="I94" s="52"/>
      <x:c r="J94" s="52"/>
      <x:c r="K94" s="93"/>
      <x:c r="L94" s="52"/>
      <x:c r="M94" s="52"/>
      <x:c r="N94" s="52"/>
      <x:c r="O94" s="52"/>
      <x:c r="P94" s="53"/>
    </x:row>
    <x:row r="95">
      <x:c r="A95" s="51"/>
      <x:c r="B95" s="52"/>
      <x:c r="C95" s="52"/>
      <x:c r="D95" s="52"/>
      <x:c r="E95" s="93"/>
      <x:c r="F95" s="52"/>
      <x:c r="G95" s="52"/>
      <x:c r="H95" s="52"/>
      <x:c r="I95" s="52"/>
      <x:c r="J95" s="52"/>
      <x:c r="K95" s="93"/>
      <x:c r="L95" s="52"/>
      <x:c r="M95" s="52"/>
      <x:c r="N95" s="52"/>
      <x:c r="O95" s="52"/>
      <x:c r="P95" s="53"/>
    </x:row>
    <x:row r="96">
      <x:c r="A96" s="51"/>
      <x:c r="B96" s="52"/>
      <x:c r="C96" s="52"/>
      <x:c r="D96" s="52"/>
      <x:c r="E96" s="93"/>
      <x:c r="F96" s="52"/>
      <x:c r="G96" s="52"/>
      <x:c r="H96" s="52"/>
      <x:c r="I96" s="52"/>
      <x:c r="J96" s="52"/>
      <x:c r="K96" s="93"/>
      <x:c r="L96" s="52"/>
      <x:c r="M96" s="52"/>
      <x:c r="N96" s="52"/>
      <x:c r="O96" s="52"/>
      <x:c r="P96" s="53"/>
    </x:row>
    <x:row r="97">
      <x:c r="A97" s="51"/>
      <x:c r="B97" s="52"/>
      <x:c r="C97" s="52"/>
      <x:c r="D97" s="52"/>
      <x:c r="E97" s="93"/>
      <x:c r="F97" s="52"/>
      <x:c r="G97" s="52"/>
      <x:c r="H97" s="52"/>
      <x:c r="I97" s="52"/>
      <x:c r="J97" s="52"/>
      <x:c r="K97" s="93"/>
      <x:c r="L97" s="52"/>
      <x:c r="M97" s="52"/>
      <x:c r="N97" s="52"/>
      <x:c r="O97" s="52"/>
      <x:c r="P97" s="53"/>
    </x:row>
    <x:row r="98">
      <x:c r="A98" s="51"/>
      <x:c r="B98" s="52"/>
      <x:c r="C98" s="52"/>
      <x:c r="D98" s="52"/>
      <x:c r="E98" s="93"/>
      <x:c r="F98" s="52"/>
      <x:c r="G98" s="52"/>
      <x:c r="H98" s="52"/>
      <x:c r="I98" s="52"/>
      <x:c r="J98" s="52"/>
      <x:c r="K98" s="93"/>
      <x:c r="L98" s="52"/>
      <x:c r="M98" s="52"/>
      <x:c r="N98" s="52"/>
      <x:c r="O98" s="52"/>
      <x:c r="P98" s="53"/>
    </x:row>
    <x:row r="99">
      <x:c r="A99" s="51"/>
      <x:c r="B99" s="52"/>
      <x:c r="C99" s="52"/>
      <x:c r="D99" s="52"/>
      <x:c r="E99" s="93"/>
      <x:c r="F99" s="52"/>
      <x:c r="G99" s="52"/>
      <x:c r="H99" s="52"/>
      <x:c r="I99" s="52"/>
      <x:c r="J99" s="52"/>
      <x:c r="K99" s="93"/>
      <x:c r="L99" s="52"/>
      <x:c r="M99" s="52"/>
      <x:c r="N99" s="52"/>
      <x:c r="O99" s="52"/>
      <x:c r="P99" s="53"/>
    </x:row>
    <x:row r="100">
      <x:c r="A100" s="51"/>
      <x:c r="B100" s="52"/>
      <x:c r="C100" s="52"/>
      <x:c r="D100" s="52"/>
      <x:c r="E100" s="93"/>
      <x:c r="F100" s="52"/>
      <x:c r="G100" s="52"/>
      <x:c r="H100" s="52"/>
      <x:c r="I100" s="52"/>
      <x:c r="J100" s="52"/>
      <x:c r="K100" s="93"/>
      <x:c r="L100" s="52"/>
      <x:c r="M100" s="52"/>
      <x:c r="N100" s="52"/>
      <x:c r="O100" s="52"/>
      <x:c r="P100" s="53"/>
    </x:row>
    <x:row r="101">
      <x:c r="A101" s="51"/>
      <x:c r="B101" s="52"/>
      <x:c r="C101" s="52"/>
      <x:c r="D101" s="52"/>
      <x:c r="E101" s="93"/>
      <x:c r="F101" s="52"/>
      <x:c r="G101" s="52"/>
      <x:c r="H101" s="52"/>
      <x:c r="I101" s="52"/>
      <x:c r="J101" s="52"/>
      <x:c r="K101" s="93"/>
      <x:c r="L101" s="52"/>
      <x:c r="M101" s="52"/>
      <x:c r="N101" s="52"/>
      <x:c r="O101" s="52"/>
      <x:c r="P101" s="53"/>
    </x:row>
    <x:row r="102">
      <x:c r="A102" s="51"/>
      <x:c r="B102" s="52"/>
      <x:c r="C102" s="52"/>
      <x:c r="D102" s="52"/>
      <x:c r="E102" s="93"/>
      <x:c r="F102" s="52"/>
      <x:c r="G102" s="52"/>
      <x:c r="H102" s="52"/>
      <x:c r="I102" s="52"/>
      <x:c r="J102" s="52"/>
      <x:c r="K102" s="93"/>
      <x:c r="L102" s="52"/>
      <x:c r="M102" s="52"/>
      <x:c r="N102" s="52"/>
      <x:c r="O102" s="52"/>
      <x:c r="P102" s="53"/>
    </x:row>
    <x:row r="103">
      <x:c r="A103" s="51"/>
      <x:c r="B103" s="52"/>
      <x:c r="C103" s="52"/>
      <x:c r="D103" s="52"/>
      <x:c r="E103" s="93"/>
      <x:c r="F103" s="52"/>
      <x:c r="G103" s="52"/>
      <x:c r="H103" s="52"/>
      <x:c r="I103" s="52"/>
      <x:c r="J103" s="52"/>
      <x:c r="K103" s="93"/>
      <x:c r="L103" s="52"/>
      <x:c r="M103" s="52"/>
      <x:c r="N103" s="52"/>
      <x:c r="O103" s="52"/>
      <x:c r="P103" s="53"/>
    </x:row>
    <x:row r="104">
      <x:c r="A104" s="51"/>
      <x:c r="B104" s="52"/>
      <x:c r="C104" s="52"/>
      <x:c r="D104" s="52"/>
      <x:c r="E104" s="93"/>
      <x:c r="F104" s="52"/>
      <x:c r="G104" s="52"/>
      <x:c r="H104" s="52"/>
      <x:c r="I104" s="52"/>
      <x:c r="J104" s="52"/>
      <x:c r="K104" s="93"/>
      <x:c r="L104" s="52"/>
      <x:c r="M104" s="52"/>
      <x:c r="N104" s="52"/>
      <x:c r="O104" s="52"/>
      <x:c r="P104" s="53"/>
    </x:row>
    <x:row r="105">
      <x:c r="A105" s="51"/>
      <x:c r="B105" s="52"/>
      <x:c r="C105" s="52"/>
      <x:c r="D105" s="52"/>
      <x:c r="E105" s="93"/>
      <x:c r="F105" s="52"/>
      <x:c r="G105" s="52"/>
      <x:c r="H105" s="52"/>
      <x:c r="I105" s="52"/>
      <x:c r="J105" s="52"/>
      <x:c r="K105" s="93"/>
      <x:c r="L105" s="52"/>
      <x:c r="M105" s="52"/>
      <x:c r="N105" s="52"/>
      <x:c r="O105" s="52"/>
      <x:c r="P105" s="53"/>
    </x:row>
    <x:row r="106">
      <x:c r="A106" s="51"/>
      <x:c r="B106" s="52"/>
      <x:c r="C106" s="52"/>
      <x:c r="D106" s="52"/>
      <x:c r="E106" s="93"/>
      <x:c r="F106" s="52"/>
      <x:c r="G106" s="52"/>
      <x:c r="H106" s="52"/>
      <x:c r="I106" s="52"/>
      <x:c r="J106" s="52"/>
      <x:c r="K106" s="93"/>
      <x:c r="L106" s="52"/>
      <x:c r="M106" s="52"/>
      <x:c r="N106" s="52"/>
      <x:c r="O106" s="52"/>
      <x:c r="P106" s="53"/>
    </x:row>
    <x:row r="107">
      <x:c r="A107" s="51"/>
      <x:c r="B107" s="52"/>
      <x:c r="C107" s="52"/>
      <x:c r="D107" s="52"/>
      <x:c r="E107" s="93"/>
      <x:c r="F107" s="52"/>
      <x:c r="G107" s="52"/>
      <x:c r="H107" s="52"/>
      <x:c r="I107" s="52"/>
      <x:c r="J107" s="52"/>
      <x:c r="K107" s="93"/>
      <x:c r="L107" s="52"/>
      <x:c r="M107" s="52"/>
      <x:c r="N107" s="52"/>
      <x:c r="O107" s="52"/>
      <x:c r="P107" s="53"/>
    </x:row>
    <x:row r="108">
      <x:c r="A108" s="51"/>
      <x:c r="B108" s="52"/>
      <x:c r="C108" s="52"/>
      <x:c r="D108" s="52"/>
      <x:c r="E108" s="93"/>
      <x:c r="F108" s="52"/>
      <x:c r="G108" s="52"/>
      <x:c r="H108" s="52"/>
      <x:c r="I108" s="52"/>
      <x:c r="J108" s="52"/>
      <x:c r="K108" s="93"/>
      <x:c r="L108" s="52"/>
      <x:c r="M108" s="52"/>
      <x:c r="N108" s="52"/>
      <x:c r="O108" s="52"/>
      <x:c r="P108" s="53"/>
    </x:row>
    <x:row r="109">
      <x:c r="A109" s="51"/>
      <x:c r="B109" s="52"/>
      <x:c r="C109" s="52"/>
      <x:c r="D109" s="52"/>
      <x:c r="E109" s="93"/>
      <x:c r="F109" s="52"/>
      <x:c r="G109" s="52"/>
      <x:c r="H109" s="52"/>
      <x:c r="I109" s="52"/>
      <x:c r="J109" s="52"/>
      <x:c r="K109" s="93"/>
      <x:c r="L109" s="52"/>
      <x:c r="M109" s="52"/>
      <x:c r="N109" s="52"/>
      <x:c r="O109" s="52"/>
      <x:c r="P109" s="53"/>
    </x:row>
    <x:row r="110">
      <x:c r="A110" s="51"/>
      <x:c r="B110" s="52"/>
      <x:c r="C110" s="52"/>
      <x:c r="D110" s="52"/>
      <x:c r="E110" s="93"/>
      <x:c r="F110" s="52"/>
      <x:c r="G110" s="52"/>
      <x:c r="H110" s="52"/>
      <x:c r="I110" s="52"/>
      <x:c r="J110" s="52"/>
      <x:c r="K110" s="93"/>
      <x:c r="L110" s="52"/>
      <x:c r="M110" s="52"/>
      <x:c r="N110" s="52"/>
      <x:c r="O110" s="52"/>
      <x:c r="P110" s="53"/>
    </x:row>
    <x:row r="111">
      <x:c r="A111" s="51"/>
      <x:c r="B111" s="52"/>
      <x:c r="C111" s="52"/>
      <x:c r="D111" s="52"/>
      <x:c r="E111" s="93"/>
      <x:c r="F111" s="52"/>
      <x:c r="G111" s="52"/>
      <x:c r="H111" s="52"/>
      <x:c r="I111" s="52"/>
      <x:c r="J111" s="52"/>
      <x:c r="K111" s="93"/>
      <x:c r="L111" s="52"/>
      <x:c r="M111" s="52"/>
      <x:c r="N111" s="52"/>
      <x:c r="O111" s="52"/>
      <x:c r="P111" s="53"/>
    </x:row>
    <x:row r="112">
      <x:c r="A112" s="51"/>
      <x:c r="B112" s="52"/>
      <x:c r="C112" s="52"/>
      <x:c r="D112" s="52"/>
      <x:c r="E112" s="93"/>
      <x:c r="F112" s="52"/>
      <x:c r="G112" s="52"/>
      <x:c r="H112" s="52"/>
      <x:c r="I112" s="52"/>
      <x:c r="J112" s="52"/>
      <x:c r="K112" s="93"/>
      <x:c r="L112" s="52"/>
      <x:c r="M112" s="52"/>
      <x:c r="N112" s="52"/>
      <x:c r="O112" s="52"/>
      <x:c r="P112" s="53"/>
    </x:row>
    <x:row r="113">
      <x:c r="A113" s="51"/>
      <x:c r="B113" s="52"/>
      <x:c r="C113" s="52"/>
      <x:c r="D113" s="52"/>
      <x:c r="E113" s="93"/>
      <x:c r="F113" s="52"/>
      <x:c r="G113" s="52"/>
      <x:c r="H113" s="52"/>
      <x:c r="I113" s="52"/>
      <x:c r="J113" s="52"/>
      <x:c r="K113" s="93"/>
      <x:c r="L113" s="52"/>
      <x:c r="M113" s="52"/>
      <x:c r="N113" s="52"/>
      <x:c r="O113" s="52"/>
      <x:c r="P113" s="53"/>
    </x:row>
    <x:row r="114">
      <x:c r="A114" s="51"/>
      <x:c r="B114" s="52"/>
      <x:c r="C114" s="52"/>
      <x:c r="D114" s="52"/>
      <x:c r="E114" s="93"/>
      <x:c r="F114" s="52"/>
      <x:c r="G114" s="52"/>
      <x:c r="H114" s="52"/>
      <x:c r="I114" s="52"/>
      <x:c r="J114" s="52"/>
      <x:c r="K114" s="93"/>
      <x:c r="L114" s="52"/>
      <x:c r="M114" s="52"/>
      <x:c r="N114" s="52"/>
      <x:c r="O114" s="52"/>
      <x:c r="P114" s="53"/>
    </x:row>
    <x:row r="115">
      <x:c r="A115" s="51"/>
      <x:c r="B115" s="52"/>
      <x:c r="C115" s="52"/>
      <x:c r="D115" s="52"/>
      <x:c r="E115" s="93"/>
      <x:c r="F115" s="52"/>
      <x:c r="G115" s="52"/>
      <x:c r="H115" s="52"/>
      <x:c r="I115" s="52"/>
      <x:c r="J115" s="52"/>
      <x:c r="K115" s="93"/>
      <x:c r="L115" s="52"/>
      <x:c r="M115" s="52"/>
      <x:c r="N115" s="52"/>
      <x:c r="O115" s="52"/>
      <x:c r="P115" s="53"/>
    </x:row>
    <x:row r="116">
      <x:c r="A116" s="51"/>
      <x:c r="B116" s="52"/>
      <x:c r="C116" s="52"/>
      <x:c r="D116" s="52"/>
      <x:c r="E116" s="93"/>
      <x:c r="F116" s="52"/>
      <x:c r="G116" s="52"/>
      <x:c r="H116" s="52"/>
      <x:c r="I116" s="52"/>
      <x:c r="J116" s="52"/>
      <x:c r="K116" s="93"/>
      <x:c r="L116" s="52"/>
      <x:c r="M116" s="52"/>
      <x:c r="N116" s="52"/>
      <x:c r="O116" s="52"/>
      <x:c r="P116" s="53"/>
    </x:row>
    <x:row r="117">
      <x:c r="A117" s="51"/>
      <x:c r="B117" s="52"/>
      <x:c r="C117" s="52"/>
      <x:c r="D117" s="52"/>
      <x:c r="E117" s="93"/>
      <x:c r="F117" s="52"/>
      <x:c r="G117" s="52"/>
      <x:c r="H117" s="52"/>
      <x:c r="I117" s="52"/>
      <x:c r="J117" s="52"/>
      <x:c r="K117" s="93"/>
      <x:c r="L117" s="52"/>
      <x:c r="M117" s="52"/>
      <x:c r="N117" s="52"/>
      <x:c r="O117" s="52"/>
      <x:c r="P117" s="53"/>
    </x:row>
    <x:row r="118">
      <x:c r="A118" s="51"/>
      <x:c r="B118" s="52"/>
      <x:c r="C118" s="52"/>
      <x:c r="D118" s="52"/>
      <x:c r="E118" s="93"/>
      <x:c r="F118" s="52"/>
      <x:c r="G118" s="52"/>
      <x:c r="H118" s="52"/>
      <x:c r="I118" s="52"/>
      <x:c r="J118" s="52"/>
      <x:c r="K118" s="93"/>
      <x:c r="L118" s="52"/>
      <x:c r="M118" s="52"/>
      <x:c r="N118" s="52"/>
      <x:c r="O118" s="52"/>
      <x:c r="P118" s="53"/>
    </x:row>
    <x:row r="119">
      <x:c r="A119" s="51"/>
      <x:c r="B119" s="52"/>
      <x:c r="C119" s="52"/>
      <x:c r="D119" s="52"/>
      <x:c r="E119" s="93"/>
      <x:c r="F119" s="52"/>
      <x:c r="G119" s="52"/>
      <x:c r="H119" s="52"/>
      <x:c r="I119" s="52"/>
      <x:c r="J119" s="52"/>
      <x:c r="K119" s="93"/>
      <x:c r="L119" s="52"/>
      <x:c r="M119" s="52"/>
      <x:c r="N119" s="52"/>
      <x:c r="O119" s="52"/>
      <x:c r="P119" s="53"/>
    </x:row>
    <x:row r="120">
      <x:c r="A120" s="51"/>
      <x:c r="B120" s="52"/>
      <x:c r="C120" s="52"/>
      <x:c r="D120" s="52"/>
      <x:c r="E120" s="93"/>
      <x:c r="F120" s="52"/>
      <x:c r="G120" s="52"/>
      <x:c r="H120" s="52"/>
      <x:c r="I120" s="52"/>
      <x:c r="J120" s="52"/>
      <x:c r="K120" s="93"/>
      <x:c r="L120" s="52"/>
      <x:c r="M120" s="52"/>
      <x:c r="N120" s="52"/>
      <x:c r="O120" s="52"/>
      <x:c r="P120" s="53"/>
    </x:row>
    <x:row r="121">
      <x:c r="A121" s="51"/>
      <x:c r="B121" s="52"/>
      <x:c r="C121" s="52"/>
      <x:c r="D121" s="52"/>
      <x:c r="E121" s="93"/>
      <x:c r="F121" s="52"/>
      <x:c r="G121" s="52"/>
      <x:c r="H121" s="52"/>
      <x:c r="I121" s="52"/>
      <x:c r="J121" s="52"/>
      <x:c r="K121" s="93"/>
      <x:c r="L121" s="52"/>
      <x:c r="M121" s="52"/>
      <x:c r="N121" s="52"/>
      <x:c r="O121" s="52"/>
      <x:c r="P121" s="53"/>
    </x:row>
    <x:row r="122">
      <x:c r="A122" s="51"/>
      <x:c r="B122" s="52"/>
      <x:c r="C122" s="52"/>
      <x:c r="D122" s="52"/>
      <x:c r="E122" s="93"/>
      <x:c r="F122" s="52"/>
      <x:c r="G122" s="52"/>
      <x:c r="H122" s="52"/>
      <x:c r="I122" s="52"/>
      <x:c r="J122" s="52"/>
      <x:c r="K122" s="93"/>
      <x:c r="L122" s="52"/>
      <x:c r="M122" s="52"/>
      <x:c r="N122" s="52"/>
      <x:c r="O122" s="52"/>
      <x:c r="P122" s="53"/>
    </x:row>
    <x:row r="123">
      <x:c r="A123" s="51"/>
      <x:c r="B123" s="52"/>
      <x:c r="C123" s="52"/>
      <x:c r="D123" s="52"/>
      <x:c r="E123" s="93"/>
      <x:c r="F123" s="52"/>
      <x:c r="G123" s="52"/>
      <x:c r="H123" s="52"/>
      <x:c r="I123" s="52"/>
      <x:c r="J123" s="52"/>
      <x:c r="K123" s="93"/>
      <x:c r="L123" s="52"/>
      <x:c r="M123" s="52"/>
      <x:c r="N123" s="52"/>
      <x:c r="O123" s="52"/>
      <x:c r="P123" s="53"/>
    </x:row>
    <x:row r="124">
      <x:c r="A124" s="51"/>
      <x:c r="B124" s="52"/>
      <x:c r="C124" s="52"/>
      <x:c r="D124" s="52"/>
      <x:c r="E124" s="93"/>
      <x:c r="F124" s="52"/>
      <x:c r="G124" s="52"/>
      <x:c r="H124" s="52"/>
      <x:c r="I124" s="52"/>
      <x:c r="J124" s="52"/>
      <x:c r="K124" s="93"/>
      <x:c r="L124" s="52"/>
      <x:c r="M124" s="52"/>
      <x:c r="N124" s="52"/>
      <x:c r="O124" s="52"/>
      <x:c r="P124" s="53"/>
    </x:row>
    <x:row r="125">
      <x:c r="A125" s="51"/>
      <x:c r="B125" s="52"/>
      <x:c r="C125" s="52"/>
      <x:c r="D125" s="52"/>
      <x:c r="E125" s="93"/>
      <x:c r="F125" s="52"/>
      <x:c r="G125" s="52"/>
      <x:c r="H125" s="52"/>
      <x:c r="I125" s="52"/>
      <x:c r="J125" s="52"/>
      <x:c r="K125" s="93"/>
      <x:c r="L125" s="52"/>
      <x:c r="M125" s="52"/>
      <x:c r="N125" s="52"/>
      <x:c r="O125" s="52"/>
      <x:c r="P125" s="53"/>
    </x:row>
    <x:row r="126">
      <x:c r="A126" s="51"/>
      <x:c r="B126" s="52"/>
      <x:c r="C126" s="52"/>
      <x:c r="D126" s="52"/>
      <x:c r="E126" s="93"/>
      <x:c r="F126" s="52"/>
      <x:c r="G126" s="52"/>
      <x:c r="H126" s="52"/>
      <x:c r="I126" s="52"/>
      <x:c r="J126" s="52"/>
      <x:c r="K126" s="93"/>
      <x:c r="L126" s="52"/>
      <x:c r="M126" s="52"/>
      <x:c r="N126" s="52"/>
      <x:c r="O126" s="52"/>
      <x:c r="P126" s="53"/>
    </x:row>
    <x:row r="127">
      <x:c r="A127" s="51"/>
      <x:c r="B127" s="52"/>
      <x:c r="C127" s="52"/>
      <x:c r="D127" s="52"/>
      <x:c r="E127" s="93"/>
      <x:c r="F127" s="52"/>
      <x:c r="G127" s="52"/>
      <x:c r="H127" s="52"/>
      <x:c r="I127" s="52"/>
      <x:c r="J127" s="52"/>
      <x:c r="K127" s="93"/>
      <x:c r="L127" s="52"/>
      <x:c r="M127" s="52"/>
      <x:c r="N127" s="52"/>
      <x:c r="O127" s="52"/>
      <x:c r="P127" s="53"/>
    </x:row>
    <x:row r="128">
      <x:c r="A128" s="51"/>
      <x:c r="B128" s="52"/>
      <x:c r="C128" s="52"/>
      <x:c r="D128" s="52"/>
      <x:c r="E128" s="93"/>
      <x:c r="F128" s="52"/>
      <x:c r="G128" s="52"/>
      <x:c r="H128" s="52"/>
      <x:c r="I128" s="52"/>
      <x:c r="J128" s="52"/>
      <x:c r="K128" s="93"/>
      <x:c r="L128" s="52"/>
      <x:c r="M128" s="52"/>
      <x:c r="N128" s="52"/>
      <x:c r="O128" s="52"/>
      <x:c r="P128" s="53"/>
    </x:row>
    <x:row r="129">
      <x:c r="A129" s="51"/>
      <x:c r="B129" s="52"/>
      <x:c r="C129" s="52"/>
      <x:c r="D129" s="52"/>
      <x:c r="E129" s="93"/>
      <x:c r="F129" s="52"/>
      <x:c r="G129" s="52"/>
      <x:c r="H129" s="52"/>
      <x:c r="I129" s="52"/>
      <x:c r="J129" s="52"/>
      <x:c r="K129" s="93"/>
      <x:c r="L129" s="52"/>
      <x:c r="M129" s="52"/>
      <x:c r="N129" s="52"/>
      <x:c r="O129" s="52"/>
      <x:c r="P129" s="53"/>
    </x:row>
    <x:row r="130">
      <x:c r="A130" s="51"/>
      <x:c r="B130" s="52"/>
      <x:c r="C130" s="52"/>
      <x:c r="D130" s="52"/>
      <x:c r="E130" s="93"/>
      <x:c r="F130" s="52"/>
      <x:c r="G130" s="52"/>
      <x:c r="H130" s="52"/>
      <x:c r="I130" s="52"/>
      <x:c r="J130" s="52"/>
      <x:c r="K130" s="93"/>
      <x:c r="L130" s="52"/>
      <x:c r="M130" s="52"/>
      <x:c r="N130" s="52"/>
      <x:c r="O130" s="52"/>
      <x:c r="P130" s="53"/>
    </x:row>
    <x:row r="131">
      <x:c r="A131" s="51"/>
      <x:c r="B131" s="52"/>
      <x:c r="C131" s="52"/>
      <x:c r="D131" s="52"/>
      <x:c r="E131" s="93"/>
      <x:c r="F131" s="52"/>
      <x:c r="G131" s="52"/>
      <x:c r="H131" s="52"/>
      <x:c r="I131" s="52"/>
      <x:c r="J131" s="52"/>
      <x:c r="K131" s="93"/>
      <x:c r="L131" s="52"/>
      <x:c r="M131" s="52"/>
      <x:c r="N131" s="52"/>
      <x:c r="O131" s="52"/>
      <x:c r="P131" s="53"/>
    </x:row>
    <x:row r="132">
      <x:c r="A132" s="51"/>
      <x:c r="B132" s="52"/>
      <x:c r="C132" s="52"/>
      <x:c r="D132" s="52"/>
      <x:c r="E132" s="93"/>
      <x:c r="F132" s="52"/>
      <x:c r="G132" s="52"/>
      <x:c r="H132" s="52"/>
      <x:c r="I132" s="52"/>
      <x:c r="J132" s="52"/>
      <x:c r="K132" s="93"/>
      <x:c r="L132" s="52"/>
      <x:c r="M132" s="52"/>
      <x:c r="N132" s="52"/>
      <x:c r="O132" s="52"/>
      <x:c r="P132" s="53"/>
    </x:row>
    <x:row r="133">
      <x:c r="A133" s="51"/>
      <x:c r="B133" s="52"/>
      <x:c r="C133" s="52"/>
      <x:c r="D133" s="52"/>
      <x:c r="E133" s="93"/>
      <x:c r="F133" s="52"/>
      <x:c r="G133" s="52"/>
      <x:c r="H133" s="52"/>
      <x:c r="I133" s="52"/>
      <x:c r="J133" s="52"/>
      <x:c r="K133" s="93"/>
      <x:c r="L133" s="52"/>
      <x:c r="M133" s="52"/>
      <x:c r="N133" s="52"/>
      <x:c r="O133" s="52"/>
      <x:c r="P133" s="53"/>
    </x:row>
    <x:row r="134">
      <x:c r="A134" s="51"/>
      <x:c r="B134" s="52"/>
      <x:c r="C134" s="52"/>
      <x:c r="D134" s="52"/>
      <x:c r="E134" s="93"/>
      <x:c r="F134" s="52"/>
      <x:c r="G134" s="52"/>
      <x:c r="H134" s="52"/>
      <x:c r="I134" s="52"/>
      <x:c r="J134" s="52"/>
      <x:c r="K134" s="93"/>
      <x:c r="L134" s="52"/>
      <x:c r="M134" s="52"/>
      <x:c r="N134" s="52"/>
      <x:c r="O134" s="52"/>
      <x:c r="P134" s="53"/>
    </x:row>
    <x:row r="135">
      <x:c r="A135" s="51"/>
      <x:c r="B135" s="52"/>
      <x:c r="C135" s="52"/>
      <x:c r="D135" s="52"/>
      <x:c r="E135" s="93"/>
      <x:c r="F135" s="52"/>
      <x:c r="G135" s="52"/>
      <x:c r="H135" s="52"/>
      <x:c r="I135" s="52"/>
      <x:c r="J135" s="52"/>
      <x:c r="K135" s="93"/>
      <x:c r="L135" s="52"/>
      <x:c r="M135" s="52"/>
      <x:c r="N135" s="52"/>
      <x:c r="O135" s="52"/>
      <x:c r="P135" s="53"/>
    </x:row>
    <x:row r="136">
      <x:c r="A136" s="51"/>
      <x:c r="B136" s="52"/>
      <x:c r="C136" s="52"/>
      <x:c r="D136" s="52"/>
      <x:c r="E136" s="93"/>
      <x:c r="F136" s="52"/>
      <x:c r="G136" s="52"/>
      <x:c r="H136" s="52"/>
      <x:c r="I136" s="52"/>
      <x:c r="J136" s="52"/>
      <x:c r="K136" s="93"/>
      <x:c r="L136" s="52"/>
      <x:c r="M136" s="52"/>
      <x:c r="N136" s="52"/>
      <x:c r="O136" s="52"/>
      <x:c r="P136" s="53"/>
    </x:row>
    <x:row r="137">
      <x:c r="A137" s="51"/>
      <x:c r="B137" s="52"/>
      <x:c r="C137" s="52"/>
      <x:c r="D137" s="52"/>
      <x:c r="E137" s="93"/>
      <x:c r="F137" s="52"/>
      <x:c r="G137" s="52"/>
      <x:c r="H137" s="52"/>
      <x:c r="I137" s="52"/>
      <x:c r="J137" s="52"/>
      <x:c r="K137" s="93"/>
      <x:c r="L137" s="52"/>
      <x:c r="M137" s="52"/>
      <x:c r="N137" s="52"/>
      <x:c r="O137" s="52"/>
      <x:c r="P137" s="53"/>
    </x:row>
    <x:row r="138">
      <x:c r="A138" s="51"/>
      <x:c r="B138" s="52"/>
      <x:c r="C138" s="52"/>
      <x:c r="D138" s="52"/>
      <x:c r="E138" s="93"/>
      <x:c r="F138" s="52"/>
      <x:c r="G138" s="52"/>
      <x:c r="H138" s="52"/>
      <x:c r="I138" s="52"/>
      <x:c r="J138" s="52"/>
      <x:c r="K138" s="93"/>
      <x:c r="L138" s="52"/>
      <x:c r="M138" s="52"/>
      <x:c r="N138" s="52"/>
      <x:c r="O138" s="52"/>
      <x:c r="P138" s="53"/>
    </x:row>
    <x:row r="139">
      <x:c r="A139" s="51"/>
      <x:c r="B139" s="52"/>
      <x:c r="C139" s="52"/>
      <x:c r="D139" s="52"/>
      <x:c r="E139" s="93"/>
      <x:c r="F139" s="52"/>
      <x:c r="G139" s="52"/>
      <x:c r="H139" s="52"/>
      <x:c r="I139" s="52"/>
      <x:c r="J139" s="52"/>
      <x:c r="K139" s="93"/>
      <x:c r="L139" s="52"/>
      <x:c r="M139" s="52"/>
      <x:c r="N139" s="52"/>
      <x:c r="O139" s="52"/>
      <x:c r="P139" s="53"/>
    </x:row>
    <x:row r="140">
      <x:c r="A140" s="51"/>
      <x:c r="B140" s="52"/>
      <x:c r="C140" s="52"/>
      <x:c r="D140" s="52"/>
      <x:c r="E140" s="93"/>
      <x:c r="F140" s="52"/>
      <x:c r="G140" s="52"/>
      <x:c r="H140" s="52"/>
      <x:c r="I140" s="52"/>
      <x:c r="J140" s="52"/>
      <x:c r="K140" s="93"/>
      <x:c r="L140" s="52"/>
      <x:c r="M140" s="52"/>
      <x:c r="N140" s="52"/>
      <x:c r="O140" s="52"/>
      <x:c r="P140" s="53"/>
    </x:row>
    <x:row r="141">
      <x:c r="A141" s="51"/>
      <x:c r="B141" s="52"/>
      <x:c r="C141" s="52"/>
      <x:c r="D141" s="52"/>
      <x:c r="E141" s="93"/>
      <x:c r="F141" s="52"/>
      <x:c r="G141" s="52"/>
      <x:c r="H141" s="52"/>
      <x:c r="I141" s="52"/>
      <x:c r="J141" s="52"/>
      <x:c r="K141" s="93"/>
      <x:c r="L141" s="52"/>
      <x:c r="M141" s="52"/>
      <x:c r="N141" s="52"/>
      <x:c r="O141" s="52"/>
      <x:c r="P141" s="53"/>
    </x:row>
    <x:row r="142">
      <x:c r="A142" s="51"/>
      <x:c r="B142" s="52"/>
      <x:c r="C142" s="52"/>
      <x:c r="D142" s="52"/>
      <x:c r="E142" s="93"/>
      <x:c r="F142" s="52"/>
      <x:c r="G142" s="52"/>
      <x:c r="H142" s="52"/>
      <x:c r="I142" s="52"/>
      <x:c r="J142" s="52"/>
      <x:c r="K142" s="93"/>
      <x:c r="L142" s="52"/>
      <x:c r="M142" s="52"/>
      <x:c r="N142" s="52"/>
      <x:c r="O142" s="52"/>
      <x:c r="P142" s="53"/>
    </x:row>
    <x:row r="143">
      <x:c r="A143" s="51"/>
      <x:c r="B143" s="52"/>
      <x:c r="C143" s="52"/>
      <x:c r="D143" s="52"/>
      <x:c r="E143" s="93"/>
      <x:c r="F143" s="52"/>
      <x:c r="G143" s="52"/>
      <x:c r="H143" s="52"/>
      <x:c r="I143" s="52"/>
      <x:c r="J143" s="52"/>
      <x:c r="K143" s="93"/>
      <x:c r="L143" s="52"/>
      <x:c r="M143" s="52"/>
      <x:c r="N143" s="52"/>
      <x:c r="O143" s="52"/>
      <x:c r="P143" s="53"/>
    </x:row>
    <x:row r="144">
      <x:c r="A144" s="51"/>
      <x:c r="B144" s="52"/>
      <x:c r="C144" s="52"/>
      <x:c r="D144" s="52"/>
      <x:c r="E144" s="93"/>
      <x:c r="F144" s="52"/>
      <x:c r="G144" s="52"/>
      <x:c r="H144" s="52"/>
      <x:c r="I144" s="52"/>
      <x:c r="J144" s="52"/>
      <x:c r="K144" s="93"/>
      <x:c r="L144" s="52"/>
      <x:c r="M144" s="52"/>
      <x:c r="N144" s="52"/>
      <x:c r="O144" s="52"/>
      <x:c r="P144" s="53"/>
    </x:row>
    <x:row r="145">
      <x:c r="A145" s="51"/>
      <x:c r="B145" s="52"/>
      <x:c r="C145" s="52"/>
      <x:c r="D145" s="52"/>
      <x:c r="E145" s="93"/>
      <x:c r="F145" s="52"/>
      <x:c r="G145" s="52"/>
      <x:c r="H145" s="52"/>
      <x:c r="I145" s="52"/>
      <x:c r="J145" s="52"/>
      <x:c r="K145" s="93"/>
      <x:c r="L145" s="52"/>
      <x:c r="M145" s="52"/>
      <x:c r="N145" s="52"/>
      <x:c r="O145" s="52"/>
      <x:c r="P145" s="53"/>
    </x:row>
    <x:row r="146">
      <x:c r="A146" s="51"/>
      <x:c r="B146" s="52"/>
      <x:c r="C146" s="52"/>
      <x:c r="D146" s="52"/>
      <x:c r="E146" s="93"/>
      <x:c r="F146" s="52"/>
      <x:c r="G146" s="52"/>
      <x:c r="H146" s="52"/>
      <x:c r="I146" s="52"/>
      <x:c r="J146" s="52"/>
      <x:c r="K146" s="93"/>
      <x:c r="L146" s="52"/>
      <x:c r="M146" s="52"/>
      <x:c r="N146" s="52"/>
      <x:c r="O146" s="52"/>
      <x:c r="P146" s="53"/>
    </x:row>
    <x:row r="147">
      <x:c r="A147" s="51"/>
      <x:c r="B147" s="52"/>
      <x:c r="C147" s="52"/>
      <x:c r="D147" s="52"/>
      <x:c r="E147" s="93"/>
      <x:c r="F147" s="52"/>
      <x:c r="G147" s="52"/>
      <x:c r="H147" s="52"/>
      <x:c r="I147" s="52"/>
      <x:c r="J147" s="52"/>
      <x:c r="K147" s="93"/>
      <x:c r="L147" s="52"/>
      <x:c r="M147" s="52"/>
      <x:c r="N147" s="52"/>
      <x:c r="O147" s="52"/>
      <x:c r="P147" s="53"/>
    </x:row>
    <x:row r="148">
      <x:c r="A148" s="51"/>
      <x:c r="B148" s="52"/>
      <x:c r="C148" s="52"/>
      <x:c r="D148" s="52"/>
      <x:c r="E148" s="93"/>
      <x:c r="F148" s="52"/>
      <x:c r="G148" s="52"/>
      <x:c r="H148" s="52"/>
      <x:c r="I148" s="52"/>
      <x:c r="J148" s="52"/>
      <x:c r="K148" s="93"/>
      <x:c r="L148" s="52"/>
      <x:c r="M148" s="52"/>
      <x:c r="N148" s="52"/>
      <x:c r="O148" s="52"/>
      <x:c r="P148" s="53"/>
    </x:row>
    <x:row r="149">
      <x:c r="A149" s="51"/>
      <x:c r="B149" s="52"/>
      <x:c r="C149" s="52"/>
      <x:c r="D149" s="52"/>
      <x:c r="E149" s="93"/>
      <x:c r="F149" s="52"/>
      <x:c r="G149" s="52"/>
      <x:c r="H149" s="52"/>
      <x:c r="I149" s="52"/>
      <x:c r="J149" s="52"/>
      <x:c r="K149" s="93"/>
      <x:c r="L149" s="52"/>
      <x:c r="M149" s="52"/>
      <x:c r="N149" s="52"/>
      <x:c r="O149" s="52"/>
      <x:c r="P149" s="53"/>
    </x:row>
    <x:row r="150">
      <x:c r="A150" s="51"/>
      <x:c r="B150" s="52"/>
      <x:c r="C150" s="52"/>
      <x:c r="D150" s="52"/>
      <x:c r="E150" s="93"/>
      <x:c r="F150" s="52"/>
      <x:c r="G150" s="52"/>
      <x:c r="H150" s="52"/>
      <x:c r="I150" s="52"/>
      <x:c r="J150" s="52"/>
      <x:c r="K150" s="93"/>
      <x:c r="L150" s="52"/>
      <x:c r="M150" s="52"/>
      <x:c r="N150" s="52"/>
      <x:c r="O150" s="52"/>
      <x:c r="P150" s="53"/>
    </x:row>
    <x:row r="151">
      <x:c r="A151" s="51"/>
      <x:c r="B151" s="52"/>
      <x:c r="C151" s="52"/>
      <x:c r="D151" s="52"/>
      <x:c r="E151" s="93"/>
      <x:c r="F151" s="52"/>
      <x:c r="G151" s="52"/>
      <x:c r="H151" s="52"/>
      <x:c r="I151" s="52"/>
      <x:c r="J151" s="52"/>
      <x:c r="K151" s="93"/>
      <x:c r="L151" s="52"/>
      <x:c r="M151" s="52"/>
      <x:c r="N151" s="52"/>
      <x:c r="O151" s="52"/>
      <x:c r="P151" s="53"/>
    </x:row>
    <x:row r="152">
      <x:c r="A152" s="51"/>
      <x:c r="B152" s="52"/>
      <x:c r="C152" s="52"/>
      <x:c r="D152" s="52"/>
      <x:c r="E152" s="93"/>
      <x:c r="F152" s="52"/>
      <x:c r="G152" s="52"/>
      <x:c r="H152" s="52"/>
      <x:c r="I152" s="52"/>
      <x:c r="J152" s="52"/>
      <x:c r="K152" s="93"/>
      <x:c r="L152" s="52"/>
      <x:c r="M152" s="52"/>
      <x:c r="N152" s="52"/>
      <x:c r="O152" s="52"/>
      <x:c r="P152" s="53"/>
    </x:row>
    <x:row r="153">
      <x:c r="A153" s="51"/>
      <x:c r="B153" s="52"/>
      <x:c r="C153" s="52"/>
      <x:c r="D153" s="52"/>
      <x:c r="E153" s="93"/>
      <x:c r="F153" s="52"/>
      <x:c r="G153" s="52"/>
      <x:c r="H153" s="52"/>
      <x:c r="I153" s="52"/>
      <x:c r="J153" s="52"/>
      <x:c r="K153" s="93"/>
      <x:c r="L153" s="52"/>
      <x:c r="M153" s="52"/>
      <x:c r="N153" s="52"/>
      <x:c r="O153" s="52"/>
      <x:c r="P153" s="53"/>
    </x:row>
    <x:row r="154">
      <x:c r="A154" s="51"/>
      <x:c r="B154" s="52"/>
      <x:c r="C154" s="52"/>
      <x:c r="D154" s="52"/>
      <x:c r="E154" s="93"/>
      <x:c r="F154" s="52"/>
      <x:c r="G154" s="52"/>
      <x:c r="H154" s="52"/>
      <x:c r="I154" s="52"/>
      <x:c r="J154" s="52"/>
      <x:c r="K154" s="93"/>
      <x:c r="L154" s="52"/>
      <x:c r="M154" s="52"/>
      <x:c r="N154" s="52"/>
      <x:c r="O154" s="52"/>
      <x:c r="P154" s="53"/>
    </x:row>
    <x:row r="155">
      <x:c r="A155" s="51"/>
      <x:c r="B155" s="52"/>
      <x:c r="C155" s="52"/>
      <x:c r="D155" s="52"/>
      <x:c r="E155" s="93"/>
      <x:c r="F155" s="52"/>
      <x:c r="G155" s="52"/>
      <x:c r="H155" s="52"/>
      <x:c r="I155" s="52"/>
      <x:c r="J155" s="52"/>
      <x:c r="K155" s="93"/>
      <x:c r="L155" s="52"/>
      <x:c r="M155" s="52"/>
      <x:c r="N155" s="52"/>
      <x:c r="O155" s="52"/>
      <x:c r="P155" s="53"/>
    </x:row>
    <x:row r="156">
      <x:c r="A156" s="51"/>
      <x:c r="B156" s="52"/>
      <x:c r="C156" s="52"/>
      <x:c r="D156" s="52"/>
      <x:c r="E156" s="93"/>
      <x:c r="F156" s="52"/>
      <x:c r="G156" s="52"/>
      <x:c r="H156" s="52"/>
      <x:c r="I156" s="52"/>
      <x:c r="J156" s="52"/>
      <x:c r="K156" s="93"/>
      <x:c r="L156" s="52"/>
      <x:c r="M156" s="52"/>
      <x:c r="N156" s="52"/>
      <x:c r="O156" s="52"/>
      <x:c r="P156" s="53"/>
    </x:row>
    <x:row r="157">
      <x:c r="A157" s="51"/>
      <x:c r="B157" s="52"/>
      <x:c r="C157" s="52"/>
      <x:c r="D157" s="52"/>
      <x:c r="E157" s="93"/>
      <x:c r="F157" s="52"/>
      <x:c r="G157" s="52"/>
      <x:c r="H157" s="52"/>
      <x:c r="I157" s="52"/>
      <x:c r="J157" s="52"/>
      <x:c r="K157" s="93"/>
      <x:c r="L157" s="52"/>
      <x:c r="M157" s="52"/>
      <x:c r="N157" s="52"/>
      <x:c r="O157" s="52"/>
      <x:c r="P157" s="53"/>
    </x:row>
    <x:row r="158">
      <x:c r="A158" s="51"/>
      <x:c r="B158" s="52"/>
      <x:c r="C158" s="52"/>
      <x:c r="D158" s="52"/>
      <x:c r="E158" s="93"/>
      <x:c r="F158" s="52"/>
      <x:c r="G158" s="52"/>
      <x:c r="H158" s="52"/>
      <x:c r="I158" s="52"/>
      <x:c r="J158" s="52"/>
      <x:c r="K158" s="93"/>
      <x:c r="L158" s="52"/>
      <x:c r="M158" s="52"/>
      <x:c r="N158" s="52"/>
      <x:c r="O158" s="52"/>
      <x:c r="P158" s="53"/>
    </x:row>
    <x:row r="159">
      <x:c r="A159" s="51"/>
      <x:c r="B159" s="52"/>
      <x:c r="C159" s="52"/>
      <x:c r="D159" s="52"/>
      <x:c r="E159" s="93"/>
      <x:c r="F159" s="52"/>
      <x:c r="G159" s="52"/>
      <x:c r="H159" s="52"/>
      <x:c r="I159" s="52"/>
      <x:c r="J159" s="52"/>
      <x:c r="K159" s="93"/>
      <x:c r="L159" s="52"/>
      <x:c r="M159" s="52"/>
      <x:c r="N159" s="52"/>
      <x:c r="O159" s="52"/>
      <x:c r="P159" s="53"/>
    </x:row>
    <x:row r="160">
      <x:c r="A160" s="51"/>
      <x:c r="B160" s="52"/>
      <x:c r="C160" s="52"/>
      <x:c r="D160" s="52"/>
      <x:c r="E160" s="93"/>
      <x:c r="F160" s="52"/>
      <x:c r="G160" s="52"/>
      <x:c r="H160" s="52"/>
      <x:c r="I160" s="52"/>
      <x:c r="J160" s="52"/>
      <x:c r="K160" s="93"/>
      <x:c r="L160" s="52"/>
      <x:c r="M160" s="52"/>
      <x:c r="N160" s="52"/>
      <x:c r="O160" s="52"/>
      <x:c r="P160" s="53"/>
    </x:row>
    <x:row r="161">
      <x:c r="A161" s="51"/>
      <x:c r="B161" s="52"/>
      <x:c r="C161" s="52"/>
      <x:c r="D161" s="52"/>
      <x:c r="E161" s="93"/>
      <x:c r="F161" s="52"/>
      <x:c r="G161" s="52"/>
      <x:c r="H161" s="52"/>
      <x:c r="I161" s="52"/>
      <x:c r="J161" s="52"/>
      <x:c r="K161" s="93"/>
      <x:c r="L161" s="52"/>
      <x:c r="M161" s="52"/>
      <x:c r="N161" s="52"/>
      <x:c r="O161" s="52"/>
      <x:c r="P161" s="53"/>
    </x:row>
    <x:row r="162">
      <x:c r="A162" s="51"/>
      <x:c r="B162" s="52"/>
      <x:c r="C162" s="52"/>
      <x:c r="D162" s="52"/>
      <x:c r="E162" s="93"/>
      <x:c r="F162" s="52"/>
      <x:c r="G162" s="52"/>
      <x:c r="H162" s="52"/>
      <x:c r="I162" s="52"/>
      <x:c r="J162" s="52"/>
      <x:c r="K162" s="93"/>
      <x:c r="L162" s="52"/>
      <x:c r="M162" s="52"/>
      <x:c r="N162" s="52"/>
      <x:c r="O162" s="52"/>
      <x:c r="P162" s="53"/>
    </x:row>
    <x:row r="163">
      <x:c r="A163" s="51"/>
      <x:c r="B163" s="52"/>
      <x:c r="C163" s="52"/>
      <x:c r="D163" s="52"/>
      <x:c r="E163" s="93"/>
      <x:c r="F163" s="52"/>
      <x:c r="G163" s="52"/>
      <x:c r="H163" s="52"/>
      <x:c r="I163" s="52"/>
      <x:c r="J163" s="52"/>
      <x:c r="K163" s="93"/>
      <x:c r="L163" s="52"/>
      <x:c r="M163" s="52"/>
      <x:c r="N163" s="52"/>
      <x:c r="O163" s="52"/>
      <x:c r="P163" s="53"/>
    </x:row>
    <x:row r="164">
      <x:c r="A164" s="51"/>
      <x:c r="B164" s="52"/>
      <x:c r="C164" s="52"/>
      <x:c r="D164" s="52"/>
      <x:c r="E164" s="93"/>
      <x:c r="F164" s="52"/>
      <x:c r="G164" s="52"/>
      <x:c r="H164" s="52"/>
      <x:c r="I164" s="52"/>
      <x:c r="J164" s="52"/>
      <x:c r="K164" s="93"/>
      <x:c r="L164" s="52"/>
      <x:c r="M164" s="52"/>
      <x:c r="N164" s="52"/>
      <x:c r="O164" s="52"/>
      <x:c r="P164" s="53"/>
    </x:row>
    <x:row r="165">
      <x:c r="A165" s="51"/>
      <x:c r="B165" s="52"/>
      <x:c r="C165" s="52"/>
      <x:c r="D165" s="52"/>
      <x:c r="E165" s="93"/>
      <x:c r="F165" s="52"/>
      <x:c r="G165" s="52"/>
      <x:c r="H165" s="52"/>
      <x:c r="I165" s="52"/>
      <x:c r="J165" s="52"/>
      <x:c r="K165" s="93"/>
      <x:c r="L165" s="52"/>
      <x:c r="M165" s="52"/>
      <x:c r="N165" s="52"/>
      <x:c r="O165" s="52"/>
      <x:c r="P165" s="53"/>
    </x:row>
    <x:row r="166">
      <x:c r="A166" s="51"/>
      <x:c r="B166" s="52"/>
      <x:c r="C166" s="52"/>
      <x:c r="D166" s="52"/>
      <x:c r="E166" s="93"/>
      <x:c r="F166" s="52"/>
      <x:c r="G166" s="52"/>
      <x:c r="H166" s="52"/>
      <x:c r="I166" s="52"/>
      <x:c r="J166" s="52"/>
      <x:c r="K166" s="93"/>
      <x:c r="L166" s="52"/>
      <x:c r="M166" s="52"/>
      <x:c r="N166" s="52"/>
      <x:c r="O166" s="52"/>
      <x:c r="P166" s="53"/>
    </x:row>
    <x:row r="167">
      <x:c r="A167" s="51"/>
      <x:c r="B167" s="52"/>
      <x:c r="C167" s="52"/>
      <x:c r="D167" s="52"/>
      <x:c r="E167" s="93"/>
      <x:c r="F167" s="52"/>
      <x:c r="G167" s="52"/>
      <x:c r="H167" s="52"/>
      <x:c r="I167" s="52"/>
      <x:c r="J167" s="52"/>
      <x:c r="K167" s="93"/>
      <x:c r="L167" s="52"/>
      <x:c r="M167" s="52"/>
      <x:c r="N167" s="52"/>
      <x:c r="O167" s="52"/>
      <x:c r="P167" s="53"/>
    </x:row>
    <x:row r="168">
      <x:c r="A168" s="51"/>
      <x:c r="B168" s="52"/>
      <x:c r="C168" s="52"/>
      <x:c r="D168" s="52"/>
      <x:c r="E168" s="93"/>
      <x:c r="F168" s="52"/>
      <x:c r="G168" s="52"/>
      <x:c r="H168" s="52"/>
      <x:c r="I168" s="52"/>
      <x:c r="J168" s="52"/>
      <x:c r="K168" s="93"/>
      <x:c r="L168" s="52"/>
      <x:c r="M168" s="52"/>
      <x:c r="N168" s="52"/>
      <x:c r="O168" s="52"/>
      <x:c r="P168" s="53"/>
    </x:row>
    <x:row r="169">
      <x:c r="A169" s="51"/>
      <x:c r="B169" s="52"/>
      <x:c r="C169" s="52"/>
      <x:c r="D169" s="52"/>
      <x:c r="E169" s="93"/>
      <x:c r="F169" s="52"/>
      <x:c r="G169" s="52"/>
      <x:c r="H169" s="52"/>
      <x:c r="I169" s="52"/>
      <x:c r="J169" s="52"/>
      <x:c r="K169" s="93"/>
      <x:c r="L169" s="52"/>
      <x:c r="M169" s="52"/>
      <x:c r="N169" s="52"/>
      <x:c r="O169" s="52"/>
      <x:c r="P169" s="53"/>
    </x:row>
    <x:row r="170">
      <x:c r="A170" s="51"/>
      <x:c r="B170" s="52"/>
      <x:c r="C170" s="52"/>
      <x:c r="D170" s="52"/>
      <x:c r="E170" s="93"/>
      <x:c r="F170" s="52"/>
      <x:c r="G170" s="52"/>
      <x:c r="H170" s="52"/>
      <x:c r="I170" s="52"/>
      <x:c r="J170" s="52"/>
      <x:c r="K170" s="93"/>
      <x:c r="L170" s="52"/>
      <x:c r="M170" s="52"/>
      <x:c r="N170" s="52"/>
      <x:c r="O170" s="52"/>
      <x:c r="P170" s="53"/>
    </x:row>
    <x:row r="171">
      <x:c r="A171" s="51"/>
      <x:c r="B171" s="52"/>
      <x:c r="C171" s="52"/>
      <x:c r="D171" s="52"/>
      <x:c r="E171" s="93"/>
      <x:c r="F171" s="52"/>
      <x:c r="G171" s="52"/>
      <x:c r="H171" s="52"/>
      <x:c r="I171" s="52"/>
      <x:c r="J171" s="52"/>
      <x:c r="K171" s="93"/>
      <x:c r="L171" s="52"/>
      <x:c r="M171" s="52"/>
      <x:c r="N171" s="52"/>
      <x:c r="O171" s="52"/>
      <x:c r="P171" s="53"/>
    </x:row>
    <x:row r="172">
      <x:c r="A172" s="51"/>
      <x:c r="B172" s="52"/>
      <x:c r="C172" s="52"/>
      <x:c r="D172" s="52"/>
      <x:c r="E172" s="93"/>
      <x:c r="F172" s="52"/>
      <x:c r="G172" s="52"/>
      <x:c r="H172" s="52"/>
      <x:c r="I172" s="52"/>
      <x:c r="J172" s="52"/>
      <x:c r="K172" s="93"/>
      <x:c r="L172" s="52"/>
      <x:c r="M172" s="52"/>
      <x:c r="N172" s="52"/>
      <x:c r="O172" s="52"/>
      <x:c r="P172" s="53"/>
    </x:row>
    <x:row r="173">
      <x:c r="A173" s="51"/>
      <x:c r="B173" s="52"/>
      <x:c r="C173" s="52"/>
      <x:c r="D173" s="52"/>
      <x:c r="E173" s="93"/>
      <x:c r="F173" s="52"/>
      <x:c r="G173" s="52"/>
      <x:c r="H173" s="52"/>
      <x:c r="I173" s="52"/>
      <x:c r="J173" s="52"/>
      <x:c r="K173" s="93"/>
      <x:c r="L173" s="52"/>
      <x:c r="M173" s="52"/>
      <x:c r="N173" s="52"/>
      <x:c r="O173" s="52"/>
      <x:c r="P173" s="53"/>
    </x:row>
    <x:row r="174">
      <x:c r="A174" s="51"/>
      <x:c r="B174" s="52"/>
      <x:c r="C174" s="52"/>
      <x:c r="D174" s="52"/>
      <x:c r="E174" s="93"/>
      <x:c r="F174" s="52"/>
      <x:c r="G174" s="52"/>
      <x:c r="H174" s="52"/>
      <x:c r="I174" s="52"/>
      <x:c r="J174" s="52"/>
      <x:c r="K174" s="93"/>
      <x:c r="L174" s="52"/>
      <x:c r="M174" s="52"/>
      <x:c r="N174" s="52"/>
      <x:c r="O174" s="52"/>
      <x:c r="P174" s="53"/>
    </x:row>
    <x:row r="175">
      <x:c r="A175" s="51"/>
      <x:c r="B175" s="52"/>
      <x:c r="C175" s="52"/>
      <x:c r="D175" s="52"/>
      <x:c r="E175" s="93"/>
      <x:c r="F175" s="52"/>
      <x:c r="G175" s="52"/>
      <x:c r="H175" s="52"/>
      <x:c r="I175" s="52"/>
      <x:c r="J175" s="52"/>
      <x:c r="K175" s="93"/>
      <x:c r="L175" s="52"/>
      <x:c r="M175" s="52"/>
      <x:c r="N175" s="52"/>
      <x:c r="O175" s="52"/>
      <x:c r="P175" s="53"/>
    </x:row>
    <x:row r="176">
      <x:c r="A176" s="51"/>
      <x:c r="B176" s="52"/>
      <x:c r="C176" s="52"/>
      <x:c r="D176" s="52"/>
      <x:c r="E176" s="93"/>
      <x:c r="F176" s="52"/>
      <x:c r="G176" s="52"/>
      <x:c r="H176" s="52"/>
      <x:c r="I176" s="52"/>
      <x:c r="J176" s="52"/>
      <x:c r="K176" s="93"/>
      <x:c r="L176" s="52"/>
      <x:c r="M176" s="52"/>
      <x:c r="N176" s="52"/>
      <x:c r="O176" s="52"/>
      <x:c r="P176" s="53"/>
    </x:row>
    <x:row r="177">
      <x:c r="A177" s="51"/>
      <x:c r="B177" s="52"/>
      <x:c r="C177" s="52"/>
      <x:c r="D177" s="52"/>
      <x:c r="E177" s="93"/>
      <x:c r="F177" s="52"/>
      <x:c r="G177" s="52"/>
      <x:c r="H177" s="52"/>
      <x:c r="I177" s="52"/>
      <x:c r="J177" s="52"/>
      <x:c r="K177" s="93"/>
      <x:c r="L177" s="52"/>
      <x:c r="M177" s="52"/>
      <x:c r="N177" s="52"/>
      <x:c r="O177" s="52"/>
      <x:c r="P177" s="53"/>
    </x:row>
    <x:row r="178">
      <x:c r="A178" s="51"/>
      <x:c r="B178" s="52"/>
      <x:c r="C178" s="52"/>
      <x:c r="D178" s="52"/>
      <x:c r="E178" s="93"/>
      <x:c r="F178" s="52"/>
      <x:c r="G178" s="52"/>
      <x:c r="H178" s="52"/>
      <x:c r="I178" s="52"/>
      <x:c r="J178" s="52"/>
      <x:c r="K178" s="93"/>
      <x:c r="L178" s="52"/>
      <x:c r="M178" s="52"/>
      <x:c r="N178" s="52"/>
      <x:c r="O178" s="52"/>
      <x:c r="P178" s="53"/>
    </x:row>
    <x:row r="179">
      <x:c r="A179" s="51"/>
      <x:c r="B179" s="52"/>
      <x:c r="C179" s="52"/>
      <x:c r="D179" s="52"/>
      <x:c r="E179" s="93"/>
      <x:c r="F179" s="52"/>
      <x:c r="G179" s="52"/>
      <x:c r="H179" s="52"/>
      <x:c r="I179" s="52"/>
      <x:c r="J179" s="52"/>
      <x:c r="K179" s="93"/>
      <x:c r="L179" s="52"/>
      <x:c r="M179" s="52"/>
      <x:c r="N179" s="52"/>
      <x:c r="O179" s="52"/>
      <x:c r="P179" s="53"/>
    </x:row>
    <x:row r="180">
      <x:c r="A180" s="51"/>
      <x:c r="B180" s="52"/>
      <x:c r="C180" s="52"/>
      <x:c r="D180" s="52"/>
      <x:c r="E180" s="93"/>
      <x:c r="F180" s="52"/>
      <x:c r="G180" s="52"/>
      <x:c r="H180" s="52"/>
      <x:c r="I180" s="52"/>
      <x:c r="J180" s="52"/>
      <x:c r="K180" s="93"/>
      <x:c r="L180" s="52"/>
      <x:c r="M180" s="52"/>
      <x:c r="N180" s="52"/>
      <x:c r="O180" s="52"/>
      <x:c r="P180" s="53"/>
    </x:row>
    <x:row r="181">
      <x:c r="A181" s="51"/>
      <x:c r="B181" s="52"/>
      <x:c r="C181" s="52"/>
      <x:c r="D181" s="52"/>
      <x:c r="E181" s="93"/>
      <x:c r="F181" s="52"/>
      <x:c r="G181" s="52"/>
      <x:c r="H181" s="52"/>
      <x:c r="I181" s="52"/>
      <x:c r="J181" s="52"/>
      <x:c r="K181" s="93"/>
      <x:c r="L181" s="52"/>
      <x:c r="M181" s="52"/>
      <x:c r="N181" s="52"/>
      <x:c r="O181" s="52"/>
      <x:c r="P181" s="53"/>
    </x:row>
    <x:row r="182">
      <x:c r="A182" s="51"/>
      <x:c r="B182" s="52"/>
      <x:c r="C182" s="52"/>
      <x:c r="D182" s="52"/>
      <x:c r="E182" s="93"/>
      <x:c r="F182" s="52"/>
      <x:c r="G182" s="52"/>
      <x:c r="H182" s="52"/>
      <x:c r="I182" s="52"/>
      <x:c r="J182" s="52"/>
      <x:c r="K182" s="93"/>
      <x:c r="L182" s="52"/>
      <x:c r="M182" s="52"/>
      <x:c r="N182" s="52"/>
      <x:c r="O182" s="52"/>
      <x:c r="P182" s="53"/>
    </x:row>
    <x:row r="183">
      <x:c r="A183" s="51"/>
      <x:c r="B183" s="52"/>
      <x:c r="C183" s="52"/>
      <x:c r="D183" s="52"/>
      <x:c r="E183" s="93"/>
      <x:c r="F183" s="52"/>
      <x:c r="G183" s="52"/>
      <x:c r="H183" s="52"/>
      <x:c r="I183" s="52"/>
      <x:c r="J183" s="52"/>
      <x:c r="K183" s="93"/>
      <x:c r="L183" s="52"/>
      <x:c r="M183" s="52"/>
      <x:c r="N183" s="52"/>
      <x:c r="O183" s="52"/>
      <x:c r="P183" s="53"/>
    </x:row>
    <x:row r="184">
      <x:c r="A184" s="51"/>
      <x:c r="B184" s="52"/>
      <x:c r="C184" s="52"/>
      <x:c r="D184" s="52"/>
      <x:c r="E184" s="93"/>
      <x:c r="F184" s="52"/>
      <x:c r="G184" s="52"/>
      <x:c r="H184" s="52"/>
      <x:c r="I184" s="52"/>
      <x:c r="J184" s="52"/>
      <x:c r="K184" s="93"/>
      <x:c r="L184" s="52"/>
      <x:c r="M184" s="52"/>
      <x:c r="N184" s="52"/>
      <x:c r="O184" s="52"/>
      <x:c r="P184" s="53"/>
    </x:row>
    <x:row r="185">
      <x:c r="A185" s="51"/>
      <x:c r="B185" s="52"/>
      <x:c r="C185" s="52"/>
      <x:c r="D185" s="52"/>
      <x:c r="E185" s="93"/>
      <x:c r="F185" s="52"/>
      <x:c r="G185" s="52"/>
      <x:c r="H185" s="52"/>
      <x:c r="I185" s="52"/>
      <x:c r="J185" s="52"/>
      <x:c r="K185" s="93"/>
      <x:c r="L185" s="52"/>
      <x:c r="M185" s="52"/>
      <x:c r="N185" s="52"/>
      <x:c r="O185" s="52"/>
      <x:c r="P185" s="53"/>
    </x:row>
    <x:row r="186">
      <x:c r="A186" s="51"/>
      <x:c r="B186" s="52"/>
      <x:c r="C186" s="52"/>
      <x:c r="D186" s="52"/>
      <x:c r="E186" s="93"/>
      <x:c r="F186" s="52"/>
      <x:c r="G186" s="52"/>
      <x:c r="H186" s="52"/>
      <x:c r="I186" s="52"/>
      <x:c r="J186" s="52"/>
      <x:c r="K186" s="93"/>
      <x:c r="L186" s="52"/>
      <x:c r="M186" s="52"/>
      <x:c r="N186" s="52"/>
      <x:c r="O186" s="52"/>
      <x:c r="P186" s="53"/>
    </x:row>
    <x:row r="187">
      <x:c r="A187" s="51"/>
      <x:c r="B187" s="52"/>
      <x:c r="C187" s="52"/>
      <x:c r="D187" s="52"/>
      <x:c r="E187" s="93"/>
      <x:c r="F187" s="52"/>
      <x:c r="G187" s="52"/>
      <x:c r="H187" s="52"/>
      <x:c r="I187" s="52"/>
      <x:c r="J187" s="52"/>
      <x:c r="K187" s="93"/>
      <x:c r="L187" s="52"/>
      <x:c r="M187" s="52"/>
      <x:c r="N187" s="52"/>
      <x:c r="O187" s="52"/>
      <x:c r="P187" s="53"/>
    </x:row>
    <x:row r="188">
      <x:c r="A188" s="51"/>
      <x:c r="B188" s="52"/>
      <x:c r="C188" s="52"/>
      <x:c r="D188" s="52"/>
      <x:c r="E188" s="93"/>
      <x:c r="F188" s="52"/>
      <x:c r="G188" s="52"/>
      <x:c r="H188" s="52"/>
      <x:c r="I188" s="52"/>
      <x:c r="J188" s="52"/>
      <x:c r="K188" s="93"/>
      <x:c r="L188" s="52"/>
      <x:c r="M188" s="52"/>
      <x:c r="N188" s="52"/>
      <x:c r="O188" s="52"/>
      <x:c r="P188" s="53"/>
    </x:row>
    <x:row r="189">
      <x:c r="A189" s="51"/>
      <x:c r="B189" s="52"/>
      <x:c r="C189" s="52"/>
      <x:c r="D189" s="52"/>
      <x:c r="E189" s="93"/>
      <x:c r="F189" s="52"/>
      <x:c r="G189" s="52"/>
      <x:c r="H189" s="52"/>
      <x:c r="I189" s="52"/>
      <x:c r="J189" s="52"/>
      <x:c r="K189" s="93"/>
      <x:c r="L189" s="52"/>
      <x:c r="M189" s="52"/>
      <x:c r="N189" s="52"/>
      <x:c r="O189" s="52"/>
      <x:c r="P189" s="53"/>
    </x:row>
    <x:row r="190">
      <x:c r="A190" s="51"/>
      <x:c r="B190" s="52"/>
      <x:c r="C190" s="52"/>
      <x:c r="D190" s="52"/>
      <x:c r="E190" s="93"/>
      <x:c r="F190" s="52"/>
      <x:c r="G190" s="52"/>
      <x:c r="H190" s="52"/>
      <x:c r="I190" s="52"/>
      <x:c r="J190" s="52"/>
      <x:c r="K190" s="93"/>
      <x:c r="L190" s="52"/>
      <x:c r="M190" s="52"/>
      <x:c r="N190" s="52"/>
      <x:c r="O190" s="52"/>
      <x:c r="P190" s="53"/>
    </x:row>
    <x:row r="191">
      <x:c r="A191" s="51"/>
      <x:c r="B191" s="52"/>
      <x:c r="C191" s="52"/>
      <x:c r="D191" s="52"/>
      <x:c r="E191" s="93"/>
      <x:c r="F191" s="52"/>
      <x:c r="G191" s="52"/>
      <x:c r="H191" s="52"/>
      <x:c r="I191" s="52"/>
      <x:c r="J191" s="52"/>
      <x:c r="K191" s="93"/>
      <x:c r="L191" s="52"/>
      <x:c r="M191" s="52"/>
      <x:c r="N191" s="52"/>
      <x:c r="O191" s="52"/>
      <x:c r="P191" s="53"/>
    </x:row>
    <x:row r="192">
      <x:c r="A192" s="51"/>
      <x:c r="B192" s="52"/>
      <x:c r="C192" s="52"/>
      <x:c r="D192" s="52"/>
      <x:c r="E192" s="93"/>
      <x:c r="F192" s="52"/>
      <x:c r="G192" s="52"/>
      <x:c r="H192" s="52"/>
      <x:c r="I192" s="52"/>
      <x:c r="J192" s="52"/>
      <x:c r="K192" s="93"/>
      <x:c r="L192" s="52"/>
      <x:c r="M192" s="52"/>
      <x:c r="N192" s="52"/>
      <x:c r="O192" s="52"/>
      <x:c r="P192" s="53"/>
    </x:row>
    <x:row r="193">
      <x:c r="A193" s="51"/>
      <x:c r="B193" s="52"/>
      <x:c r="C193" s="52"/>
      <x:c r="D193" s="52"/>
      <x:c r="E193" s="93"/>
      <x:c r="F193" s="52"/>
      <x:c r="G193" s="52"/>
      <x:c r="H193" s="52"/>
      <x:c r="I193" s="52"/>
      <x:c r="J193" s="52"/>
      <x:c r="K193" s="93"/>
      <x:c r="L193" s="52"/>
      <x:c r="M193" s="52"/>
      <x:c r="N193" s="52"/>
      <x:c r="O193" s="52"/>
      <x:c r="P193" s="53"/>
    </x:row>
    <x:row r="194">
      <x:c r="A194" s="51"/>
      <x:c r="B194" s="52"/>
      <x:c r="C194" s="52"/>
      <x:c r="D194" s="52"/>
      <x:c r="E194" s="93"/>
      <x:c r="F194" s="52"/>
      <x:c r="G194" s="52"/>
      <x:c r="H194" s="52"/>
      <x:c r="I194" s="52"/>
      <x:c r="J194" s="52"/>
      <x:c r="K194" s="93"/>
      <x:c r="L194" s="52"/>
      <x:c r="M194" s="52"/>
      <x:c r="N194" s="52"/>
      <x:c r="O194" s="52"/>
      <x:c r="P194" s="53"/>
    </x:row>
    <x:row r="195">
      <x:c r="A195" s="51"/>
      <x:c r="B195" s="52"/>
      <x:c r="C195" s="52"/>
      <x:c r="D195" s="52"/>
      <x:c r="E195" s="93"/>
      <x:c r="F195" s="52"/>
      <x:c r="G195" s="52"/>
      <x:c r="H195" s="52"/>
      <x:c r="I195" s="52"/>
      <x:c r="J195" s="52"/>
      <x:c r="K195" s="93"/>
      <x:c r="L195" s="52"/>
      <x:c r="M195" s="52"/>
      <x:c r="N195" s="52"/>
      <x:c r="O195" s="52"/>
      <x:c r="P195" s="53"/>
    </x:row>
    <x:row r="196">
      <x:c r="A196" s="51"/>
      <x:c r="B196" s="52"/>
      <x:c r="C196" s="52"/>
      <x:c r="D196" s="52"/>
      <x:c r="E196" s="93"/>
      <x:c r="F196" s="52"/>
      <x:c r="G196" s="52"/>
      <x:c r="H196" s="52"/>
      <x:c r="I196" s="52"/>
      <x:c r="J196" s="52"/>
      <x:c r="K196" s="93"/>
      <x:c r="L196" s="52"/>
      <x:c r="M196" s="52"/>
      <x:c r="N196" s="52"/>
      <x:c r="O196" s="52"/>
      <x:c r="P196" s="53"/>
    </x:row>
    <x:row r="197">
      <x:c r="A197" s="51"/>
      <x:c r="B197" s="52"/>
      <x:c r="C197" s="52"/>
      <x:c r="D197" s="52"/>
      <x:c r="E197" s="93"/>
      <x:c r="F197" s="52"/>
      <x:c r="G197" s="52"/>
      <x:c r="H197" s="52"/>
      <x:c r="I197" s="52"/>
      <x:c r="J197" s="52"/>
      <x:c r="K197" s="93"/>
      <x:c r="L197" s="52"/>
      <x:c r="M197" s="52"/>
      <x:c r="N197" s="52"/>
      <x:c r="O197" s="52"/>
      <x:c r="P197" s="53"/>
    </x:row>
    <x:row r="198">
      <x:c r="A198" s="51"/>
      <x:c r="B198" s="52"/>
      <x:c r="C198" s="52"/>
      <x:c r="D198" s="52"/>
      <x:c r="E198" s="93"/>
      <x:c r="F198" s="52"/>
      <x:c r="G198" s="52"/>
      <x:c r="H198" s="52"/>
      <x:c r="I198" s="52"/>
      <x:c r="J198" s="52"/>
      <x:c r="K198" s="93"/>
      <x:c r="L198" s="52"/>
      <x:c r="M198" s="52"/>
      <x:c r="N198" s="52"/>
      <x:c r="O198" s="52"/>
      <x:c r="P198" s="53"/>
    </x:row>
    <x:row r="199">
      <x:c r="A199" s="51"/>
      <x:c r="B199" s="52"/>
      <x:c r="C199" s="52"/>
      <x:c r="D199" s="52"/>
      <x:c r="E199" s="93"/>
      <x:c r="F199" s="52"/>
      <x:c r="G199" s="52"/>
      <x:c r="H199" s="52"/>
      <x:c r="I199" s="52"/>
      <x:c r="J199" s="52"/>
      <x:c r="K199" s="93"/>
      <x:c r="L199" s="52"/>
      <x:c r="M199" s="52"/>
      <x:c r="N199" s="52"/>
      <x:c r="O199" s="52"/>
      <x:c r="P199" s="53"/>
    </x:row>
    <x:row r="200">
      <x:c r="A200" s="51"/>
      <x:c r="B200" s="52"/>
      <x:c r="C200" s="52"/>
      <x:c r="D200" s="52"/>
      <x:c r="E200" s="93"/>
      <x:c r="F200" s="52"/>
      <x:c r="G200" s="52"/>
      <x:c r="H200" s="52"/>
      <x:c r="I200" s="52"/>
      <x:c r="J200" s="52"/>
      <x:c r="K200" s="93"/>
      <x:c r="L200" s="52"/>
      <x:c r="M200" s="52"/>
      <x:c r="N200" s="52"/>
      <x:c r="O200" s="52"/>
      <x:c r="P200" s="53"/>
    </x:row>
    <x:row r="201">
      <x:c r="A201" s="51"/>
      <x:c r="B201" s="52"/>
      <x:c r="C201" s="52"/>
      <x:c r="D201" s="52"/>
      <x:c r="E201" s="93"/>
      <x:c r="F201" s="52"/>
      <x:c r="G201" s="52"/>
      <x:c r="H201" s="52"/>
      <x:c r="I201" s="52"/>
      <x:c r="J201" s="52"/>
      <x:c r="K201" s="93"/>
      <x:c r="L201" s="52"/>
      <x:c r="M201" s="52"/>
      <x:c r="N201" s="52"/>
      <x:c r="O201" s="52"/>
      <x:c r="P201" s="53"/>
    </x:row>
    <x:row r="202">
      <x:c r="A202" s="51"/>
      <x:c r="B202" s="52"/>
      <x:c r="C202" s="52"/>
      <x:c r="D202" s="52"/>
      <x:c r="E202" s="93"/>
      <x:c r="F202" s="52"/>
      <x:c r="G202" s="52"/>
      <x:c r="H202" s="52"/>
      <x:c r="I202" s="52"/>
      <x:c r="J202" s="52"/>
      <x:c r="K202" s="93"/>
      <x:c r="L202" s="52"/>
      <x:c r="M202" s="52"/>
      <x:c r="N202" s="52"/>
      <x:c r="O202" s="52"/>
      <x:c r="P202" s="53"/>
    </x:row>
    <x:row r="203">
      <x:c r="A203" s="54"/>
      <x:c r="B203" s="55"/>
      <x:c r="C203" s="55"/>
      <x:c r="D203" s="55"/>
      <x:c r="E203" s="94"/>
      <x:c r="F203" s="55"/>
      <x:c r="G203" s="55"/>
      <x:c r="H203" s="55"/>
      <x:c r="I203" s="55"/>
      <x:c r="J203" s="55"/>
      <x:c r="K203" s="94"/>
      <x:c r="L203" s="55"/>
      <x:c r="M203" s="55"/>
      <x:c r="N203" s="55"/>
      <x:c r="O203" s="55"/>
      <x:c r="P203" s="56"/>
    </x:row>
    <x:row r="204">
      <x:c r="A204" s="197"/>
    </x:row>
    <x:row r="205">
      <x:c r="A205" s="197"/>
    </x:row>
    <x:row r="206">
      <x:c r="A206" s="197"/>
    </x:row>
    <x:row r="207">
      <x:c r="A207" s="197"/>
    </x:row>
    <x:row r="208">
      <x:c r="A208" s="197"/>
    </x:row>
    <x:row r="209">
      <x:c r="A209" s="197"/>
    </x:row>
    <x:row r="210">
      <x:c r="A210" s="197"/>
    </x:row>
    <x:row r="211">
      <x:c r="A211" s="197"/>
    </x:row>
    <x:row r="212">
      <x:c r="A212" s="197"/>
    </x:row>
    <x:row r="213">
      <x:c r="A213" s="197"/>
    </x:row>
    <x:row r="214">
      <x:c r="A214" s="197"/>
    </x:row>
    <x:row r="215">
      <x:c r="A215" s="197"/>
    </x:row>
    <x:row r="216">
      <x:c r="A216" s="197"/>
    </x:row>
    <x:row r="217">
      <x:c r="A217" s="197"/>
    </x:row>
    <x:row r="218">
      <x:c r="A218" s="197"/>
    </x:row>
    <x:row r="219">
      <x:c r="A219" s="197"/>
    </x:row>
    <x:row r="220">
      <x:c r="A220" s="197"/>
    </x:row>
    <x:row r="221">
      <x:c r="A221" s="197"/>
    </x:row>
    <x:row r="222">
      <x:c r="A222" s="197"/>
    </x:row>
    <x:row r="223">
      <x:c r="A223" s="197"/>
    </x:row>
    <x:row r="224">
      <x:c r="A224" s="197"/>
    </x:row>
    <x:row r="225">
      <x:c r="A225" s="197"/>
    </x:row>
    <x:row r="226">
      <x:c r="A226" s="197"/>
    </x:row>
    <x:row r="227">
      <x:c r="A227" s="197"/>
    </x:row>
    <x:row r="228">
      <x:c r="A228" s="197"/>
    </x:row>
    <x:row r="229">
      <x:c r="A229" s="197"/>
    </x:row>
    <x:row r="230">
      <x:c r="A230" s="197"/>
    </x:row>
    <x:row r="231">
      <x:c r="A231" s="197"/>
    </x:row>
    <x:row r="232">
      <x:c r="A232" s="197"/>
    </x:row>
    <x:row r="233">
      <x:c r="A233" s="197"/>
    </x:row>
    <x:row r="234">
      <x:c r="A234" s="197"/>
    </x:row>
    <x:row r="235">
      <x:c r="A235" s="197"/>
    </x:row>
    <x:row r="236">
      <x:c r="A236" s="197"/>
    </x:row>
    <x:row r="237">
      <x:c r="A237" s="197"/>
    </x:row>
    <x:row r="238">
      <x:c r="A238" s="197"/>
    </x:row>
    <x:row r="239">
      <x:c r="A239" s="197"/>
    </x:row>
    <x:row r="240">
      <x:c r="A240" s="197"/>
    </x:row>
  </x:sheetData>
  <x:mergeCells>
    <x:mergeCell ref="A1:P1"/>
  </x:mergeCells>
  <x:dataValidations count="2">
    <x:dataValidation type="list" sqref="M4:M203">
      <x:formula1>Lists!$D$2:$D$6</x:formula1>
    </x:dataValidation>
    <x:dataValidation type="list" sqref="N4:N203">
      <x:formula1>Lists!$F$2:$F$9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18" hidden="0" customWidth="1"/>
    <x:col min="5" max="5" width="28" hidden="0" customWidth="1"/>
    <x:col min="6" max="6" width="15" hidden="0" customWidth="1"/>
    <x:col min="7" max="7" width="13" hidden="0" customWidth="1"/>
    <x:col min="8" max="8" width="18" hidden="0" customWidth="1"/>
    <x:col min="9" max="9" width="18" hidden="0" customWidth="1"/>
    <x:col min="10" max="10" width="14" hidden="0" customWidth="1"/>
    <x:col min="11" max="11" width="30" hidden="0" customWidth="1"/>
    <x:col min="12" max="12" width="14" hidden="0" customWidth="1"/>
    <x:col min="13" max="13" width="16" hidden="0" customWidth="1"/>
    <x:col min="14" max="14" width="20" hidden="0" customWidth="1"/>
    <x:col min="15" max="15" width="32" hidden="0" customWidth="1"/>
  </x:cols>
  <x:sheetData>
    <x:row r="1" ht="34" customHeight="1">
      <x:c r="A1" s="196" t="str">
        <x:v>Business Development and Conversion Pipeline</x:v>
      </x:c>
    </x:row>
    <x:row r="2">
      <x:c r="A2" s="197"/>
    </x:row>
    <x:row r="3" ht="30" customHeight="1">
      <x:c r="A3" s="13" t="str">
        <x:v>Record ID</x:v>
      </x:c>
      <x:c r="B3" s="14" t="str">
        <x:v>Organization</x:v>
      </x:c>
      <x:c r="C3" s="14" t="str">
        <x:v>Contact</x:v>
      </x:c>
      <x:c r="D3" s="14" t="str">
        <x:v>Stage</x:v>
      </x:c>
      <x:c r="E3" s="14" t="str">
        <x:v>Offer</x:v>
      </x:c>
      <x:c r="F3" s="14" t="str">
        <x:v>Value</x:v>
      </x:c>
      <x:c r="G3" s="14" t="str">
        <x:v>Probability</x:v>
      </x:c>
      <x:c r="H3" s="14" t="str">
        <x:v>Weighted Value</x:v>
      </x:c>
      <x:c r="I3" s="14" t="str">
        <x:v>Owner</x:v>
      </x:c>
      <x:c r="J3" s="14" t="str">
        <x:v>Last Contact</x:v>
      </x:c>
      <x:c r="K3" s="14" t="str">
        <x:v>Next Action</x:v>
      </x:c>
      <x:c r="L3" s="14" t="str">
        <x:v>Decision Date</x:v>
      </x:c>
      <x:c r="M3" s="14" t="str">
        <x:v>Payment Status</x:v>
      </x:c>
      <x:c r="N3" s="14" t="str">
        <x:v>Source</x:v>
      </x:c>
      <x:c r="O3" s="15" t="str">
        <x:v>Notes</x:v>
      </x:c>
    </x:row>
    <x:row r="4">
      <x:c r="A4" s="48" t="str">
        <x:v>PIPE-001</x:v>
      </x:c>
      <x:c r="B4" s="49" t="str">
        <x:v>AetherWorks Assurance</x:v>
      </x:c>
      <x:c r="C4" s="49" t="str"/>
      <x:c r="D4" s="49" t="str">
        <x:v>MasterClass</x:v>
      </x:c>
      <x:c r="E4" s="49" t="str">
        <x:v>Private Flagship MasterClass</x:v>
      </x:c>
      <x:c r="F4" s="92" t="n">
        <x:v>40000</x:v>
      </x:c>
      <x:c r="G4" s="118" t="n">
        <x:v>0.65</x:v>
      </x:c>
      <x:c r="H4" s="92" t="n">
        <x:f>F4*G4</x:f>
        <x:v>26000</x:v>
      </x:c>
      <x:c r="I4" s="49" t="str"/>
      <x:c r="J4" s="49" t="str"/>
      <x:c r="K4" s="49" t="str">
        <x:v>Deliver private session</x:v>
      </x:c>
      <x:c r="L4" s="49" t="str"/>
      <x:c r="M4" s="49" t="str">
        <x:v>Not Invoiced</x:v>
      </x:c>
      <x:c r="N4" s="49" t="str">
        <x:v>Warm introduction</x:v>
      </x:c>
      <x:c r="O4" s="50" t="str"/>
    </x:row>
    <x:row r="5">
      <x:c r="A5" s="51" t="str">
        <x:v>PIPE-002</x:v>
      </x:c>
      <x:c r="B5" s="52" t="str">
        <x:v>AetherWorks Assurance</x:v>
      </x:c>
      <x:c r="C5" s="52" t="str"/>
      <x:c r="D5" s="52" t="str">
        <x:v>Proposal</x:v>
      </x:c>
      <x:c r="E5" s="52" t="str">
        <x:v>Proof-to-Revenue Run</x:v>
      </x:c>
      <x:c r="F5" s="93" t="n">
        <x:v>350000</x:v>
      </x:c>
      <x:c r="G5" s="112" t="n">
        <x:v>0.35</x:v>
      </x:c>
      <x:c r="H5" s="93" t="n">
        <x:f>F5*G5</x:f>
        <x:v>122499.99999999999</x:v>
      </x:c>
      <x:c r="I5" s="52" t="str"/>
      <x:c r="J5" s="52" t="str"/>
      <x:c r="K5" s="52" t="str">
        <x:v>Send proposal</x:v>
      </x:c>
      <x:c r="L5" s="52" t="str"/>
      <x:c r="M5" s="52" t="str">
        <x:v>Not Invoiced</x:v>
      </x:c>
      <x:c r="N5" s="52" t="str">
        <x:v>MasterClass</x:v>
      </x:c>
      <x:c r="O5" s="53" t="str"/>
    </x:row>
    <x:row r="6">
      <x:c r="A6" s="51" t="str">
        <x:v>PIPE-003</x:v>
      </x:c>
      <x:c r="B6" s="52" t="str"/>
      <x:c r="C6" s="52" t="str"/>
      <x:c r="D6" s="52" t="str">
        <x:v>Lead</x:v>
      </x:c>
      <x:c r="E6" s="52" t="str">
        <x:v>Frontier Executive Briefing</x:v>
      </x:c>
      <x:c r="F6" s="93" t="n">
        <x:v>15000</x:v>
      </x:c>
      <x:c r="G6" s="112" t="n">
        <x:v>0.1</x:v>
      </x:c>
      <x:c r="H6" s="93" t="n">
        <x:f>F6*G6</x:f>
        <x:v>1500</x:v>
      </x:c>
      <x:c r="I6" s="52" t="str"/>
      <x:c r="J6" s="52" t="str"/>
      <x:c r="K6" s="52" t="str">
        <x:v>Schedule qualification</x:v>
      </x:c>
      <x:c r="L6" s="52" t="str"/>
      <x:c r="M6" s="52" t="str">
        <x:v>Not Invoiced</x:v>
      </x:c>
      <x:c r="N6" s="52" t="str"/>
      <x:c r="O6" s="53" t="str"/>
    </x:row>
    <x:row r="7">
      <x:c r="A7" s="51" t="str">
        <x:v>PIPE-004</x:v>
      </x:c>
      <x:c r="B7" s="52" t="str"/>
      <x:c r="C7" s="52" t="str"/>
      <x:c r="D7" s="52" t="str">
        <x:v>Lead</x:v>
      </x:c>
      <x:c r="E7" s="52" t="str">
        <x:v>Private Flagship MasterClass</x:v>
      </x:c>
      <x:c r="F7" s="93" t="n">
        <x:v>40000</x:v>
      </x:c>
      <x:c r="G7" s="112" t="n">
        <x:v>0.1</x:v>
      </x:c>
      <x:c r="H7" s="93" t="n">
        <x:f>F7*G7</x:f>
        <x:v>4000</x:v>
      </x:c>
      <x:c r="I7" s="52" t="str"/>
      <x:c r="J7" s="52" t="str"/>
      <x:c r="K7" s="52" t="str">
        <x:v>Schedule qualification</x:v>
      </x:c>
      <x:c r="L7" s="52" t="str"/>
      <x:c r="M7" s="52" t="str">
        <x:v>Not Invoiced</x:v>
      </x:c>
      <x:c r="N7" s="52" t="str"/>
      <x:c r="O7" s="53" t="str"/>
    </x:row>
    <x:row r="8">
      <x:c r="A8" s="51"/>
      <x:c r="B8" s="52"/>
      <x:c r="C8" s="52"/>
      <x:c r="D8" s="52"/>
      <x:c r="E8" s="52"/>
      <x:c r="F8" s="93"/>
      <x:c r="G8" s="112"/>
      <x:c r="H8" s="93" t="n">
        <x:f>F8*G8</x:f>
        <x:v>0</x:v>
      </x:c>
      <x:c r="I8" s="52"/>
      <x:c r="J8" s="52"/>
      <x:c r="K8" s="52"/>
      <x:c r="L8" s="52"/>
      <x:c r="M8" s="52"/>
      <x:c r="N8" s="52"/>
      <x:c r="O8" s="53"/>
    </x:row>
    <x:row r="9">
      <x:c r="A9" s="51"/>
      <x:c r="B9" s="52"/>
      <x:c r="C9" s="52"/>
      <x:c r="D9" s="52"/>
      <x:c r="E9" s="52"/>
      <x:c r="F9" s="93"/>
      <x:c r="G9" s="112"/>
      <x:c r="H9" s="93" t="n">
        <x:f>F9*G9</x:f>
        <x:v>0</x:v>
      </x:c>
      <x:c r="I9" s="52"/>
      <x:c r="J9" s="52"/>
      <x:c r="K9" s="52"/>
      <x:c r="L9" s="52"/>
      <x:c r="M9" s="52"/>
      <x:c r="N9" s="52"/>
      <x:c r="O9" s="53"/>
    </x:row>
    <x:row r="10">
      <x:c r="A10" s="51"/>
      <x:c r="B10" s="52"/>
      <x:c r="C10" s="52"/>
      <x:c r="D10" s="52"/>
      <x:c r="E10" s="52"/>
      <x:c r="F10" s="93"/>
      <x:c r="G10" s="112"/>
      <x:c r="H10" s="93" t="n">
        <x:f>F10*G10</x:f>
        <x:v>0</x:v>
      </x:c>
      <x:c r="I10" s="52"/>
      <x:c r="J10" s="52"/>
      <x:c r="K10" s="52"/>
      <x:c r="L10" s="52"/>
      <x:c r="M10" s="52"/>
      <x:c r="N10" s="52"/>
      <x:c r="O10" s="53"/>
    </x:row>
    <x:row r="11">
      <x:c r="A11" s="51"/>
      <x:c r="B11" s="52"/>
      <x:c r="C11" s="52"/>
      <x:c r="D11" s="52"/>
      <x:c r="E11" s="52"/>
      <x:c r="F11" s="93"/>
      <x:c r="G11" s="112"/>
      <x:c r="H11" s="93" t="n">
        <x:f>F11*G11</x:f>
        <x:v>0</x:v>
      </x:c>
      <x:c r="I11" s="52"/>
      <x:c r="J11" s="52"/>
      <x:c r="K11" s="52"/>
      <x:c r="L11" s="52"/>
      <x:c r="M11" s="52"/>
      <x:c r="N11" s="52"/>
      <x:c r="O11" s="53"/>
    </x:row>
    <x:row r="12">
      <x:c r="A12" s="51"/>
      <x:c r="B12" s="52"/>
      <x:c r="C12" s="52"/>
      <x:c r="D12" s="52"/>
      <x:c r="E12" s="52"/>
      <x:c r="F12" s="93"/>
      <x:c r="G12" s="112"/>
      <x:c r="H12" s="93" t="n">
        <x:f>F12*G12</x:f>
        <x:v>0</x:v>
      </x:c>
      <x:c r="I12" s="52"/>
      <x:c r="J12" s="52"/>
      <x:c r="K12" s="52"/>
      <x:c r="L12" s="52"/>
      <x:c r="M12" s="52"/>
      <x:c r="N12" s="52"/>
      <x:c r="O12" s="53"/>
    </x:row>
    <x:row r="13">
      <x:c r="A13" s="51"/>
      <x:c r="B13" s="52"/>
      <x:c r="C13" s="52"/>
      <x:c r="D13" s="52"/>
      <x:c r="E13" s="52"/>
      <x:c r="F13" s="93"/>
      <x:c r="G13" s="112"/>
      <x:c r="H13" s="93" t="n">
        <x:f>F13*G13</x:f>
        <x:v>0</x:v>
      </x:c>
      <x:c r="I13" s="52"/>
      <x:c r="J13" s="52"/>
      <x:c r="K13" s="52"/>
      <x:c r="L13" s="52"/>
      <x:c r="M13" s="52"/>
      <x:c r="N13" s="52"/>
      <x:c r="O13" s="53"/>
    </x:row>
    <x:row r="14">
      <x:c r="A14" s="51"/>
      <x:c r="B14" s="52"/>
      <x:c r="C14" s="52"/>
      <x:c r="D14" s="52"/>
      <x:c r="E14" s="52"/>
      <x:c r="F14" s="93"/>
      <x:c r="G14" s="112"/>
      <x:c r="H14" s="93" t="n">
        <x:f>F14*G14</x:f>
        <x:v>0</x:v>
      </x:c>
      <x:c r="I14" s="52"/>
      <x:c r="J14" s="52"/>
      <x:c r="K14" s="52"/>
      <x:c r="L14" s="52"/>
      <x:c r="M14" s="52"/>
      <x:c r="N14" s="52"/>
      <x:c r="O14" s="53"/>
    </x:row>
    <x:row r="15">
      <x:c r="A15" s="51"/>
      <x:c r="B15" s="52"/>
      <x:c r="C15" s="52"/>
      <x:c r="D15" s="52"/>
      <x:c r="E15" s="52"/>
      <x:c r="F15" s="93"/>
      <x:c r="G15" s="112"/>
      <x:c r="H15" s="93" t="n">
        <x:f>F15*G15</x:f>
        <x:v>0</x:v>
      </x:c>
      <x:c r="I15" s="52"/>
      <x:c r="J15" s="52"/>
      <x:c r="K15" s="52"/>
      <x:c r="L15" s="52"/>
      <x:c r="M15" s="52"/>
      <x:c r="N15" s="52"/>
      <x:c r="O15" s="53"/>
    </x:row>
    <x:row r="16">
      <x:c r="A16" s="51"/>
      <x:c r="B16" s="52"/>
      <x:c r="C16" s="52"/>
      <x:c r="D16" s="52"/>
      <x:c r="E16" s="52"/>
      <x:c r="F16" s="93"/>
      <x:c r="G16" s="112"/>
      <x:c r="H16" s="93" t="n">
        <x:f>F16*G16</x:f>
        <x:v>0</x:v>
      </x:c>
      <x:c r="I16" s="52"/>
      <x:c r="J16" s="52"/>
      <x:c r="K16" s="52"/>
      <x:c r="L16" s="52"/>
      <x:c r="M16" s="52"/>
      <x:c r="N16" s="52"/>
      <x:c r="O16" s="53"/>
    </x:row>
    <x:row r="17">
      <x:c r="A17" s="51"/>
      <x:c r="B17" s="52"/>
      <x:c r="C17" s="52"/>
      <x:c r="D17" s="52"/>
      <x:c r="E17" s="52"/>
      <x:c r="F17" s="93"/>
      <x:c r="G17" s="112"/>
      <x:c r="H17" s="93" t="n">
        <x:f>F17*G17</x:f>
        <x:v>0</x:v>
      </x:c>
      <x:c r="I17" s="52"/>
      <x:c r="J17" s="52"/>
      <x:c r="K17" s="52"/>
      <x:c r="L17" s="52"/>
      <x:c r="M17" s="52"/>
      <x:c r="N17" s="52"/>
      <x:c r="O17" s="53"/>
    </x:row>
    <x:row r="18">
      <x:c r="A18" s="51"/>
      <x:c r="B18" s="52"/>
      <x:c r="C18" s="52"/>
      <x:c r="D18" s="52"/>
      <x:c r="E18" s="52"/>
      <x:c r="F18" s="93"/>
      <x:c r="G18" s="112"/>
      <x:c r="H18" s="93" t="n">
        <x:f>F18*G18</x:f>
        <x:v>0</x:v>
      </x:c>
      <x:c r="I18" s="52"/>
      <x:c r="J18" s="52"/>
      <x:c r="K18" s="52"/>
      <x:c r="L18" s="52"/>
      <x:c r="M18" s="52"/>
      <x:c r="N18" s="52"/>
      <x:c r="O18" s="53"/>
    </x:row>
    <x:row r="19">
      <x:c r="A19" s="51"/>
      <x:c r="B19" s="52"/>
      <x:c r="C19" s="52"/>
      <x:c r="D19" s="52"/>
      <x:c r="E19" s="52"/>
      <x:c r="F19" s="93"/>
      <x:c r="G19" s="112"/>
      <x:c r="H19" s="93" t="n">
        <x:f>F19*G19</x:f>
        <x:v>0</x:v>
      </x:c>
      <x:c r="I19" s="52"/>
      <x:c r="J19" s="52"/>
      <x:c r="K19" s="52"/>
      <x:c r="L19" s="52"/>
      <x:c r="M19" s="52"/>
      <x:c r="N19" s="52"/>
      <x:c r="O19" s="53"/>
    </x:row>
    <x:row r="20">
      <x:c r="A20" s="51"/>
      <x:c r="B20" s="52"/>
      <x:c r="C20" s="52"/>
      <x:c r="D20" s="52"/>
      <x:c r="E20" s="52"/>
      <x:c r="F20" s="93"/>
      <x:c r="G20" s="112"/>
      <x:c r="H20" s="93" t="n">
        <x:f>F20*G20</x:f>
        <x:v>0</x:v>
      </x:c>
      <x:c r="I20" s="52"/>
      <x:c r="J20" s="52"/>
      <x:c r="K20" s="52"/>
      <x:c r="L20" s="52"/>
      <x:c r="M20" s="52"/>
      <x:c r="N20" s="52"/>
      <x:c r="O20" s="53"/>
    </x:row>
    <x:row r="21">
      <x:c r="A21" s="51"/>
      <x:c r="B21" s="52"/>
      <x:c r="C21" s="52"/>
      <x:c r="D21" s="52"/>
      <x:c r="E21" s="52"/>
      <x:c r="F21" s="93"/>
      <x:c r="G21" s="112"/>
      <x:c r="H21" s="93" t="n">
        <x:f>F21*G21</x:f>
        <x:v>0</x:v>
      </x:c>
      <x:c r="I21" s="52"/>
      <x:c r="J21" s="52"/>
      <x:c r="K21" s="52"/>
      <x:c r="L21" s="52"/>
      <x:c r="M21" s="52"/>
      <x:c r="N21" s="52"/>
      <x:c r="O21" s="53"/>
    </x:row>
    <x:row r="22">
      <x:c r="A22" s="51"/>
      <x:c r="B22" s="52"/>
      <x:c r="C22" s="52"/>
      <x:c r="D22" s="52"/>
      <x:c r="E22" s="52"/>
      <x:c r="F22" s="93"/>
      <x:c r="G22" s="112"/>
      <x:c r="H22" s="93" t="n">
        <x:f>F22*G22</x:f>
        <x:v>0</x:v>
      </x:c>
      <x:c r="I22" s="52"/>
      <x:c r="J22" s="52"/>
      <x:c r="K22" s="52"/>
      <x:c r="L22" s="52"/>
      <x:c r="M22" s="52"/>
      <x:c r="N22" s="52"/>
      <x:c r="O22" s="53"/>
    </x:row>
    <x:row r="23">
      <x:c r="A23" s="51"/>
      <x:c r="B23" s="52"/>
      <x:c r="C23" s="52"/>
      <x:c r="D23" s="52"/>
      <x:c r="E23" s="52"/>
      <x:c r="F23" s="93"/>
      <x:c r="G23" s="112"/>
      <x:c r="H23" s="93" t="n">
        <x:f>F23*G23</x:f>
        <x:v>0</x:v>
      </x:c>
      <x:c r="I23" s="52"/>
      <x:c r="J23" s="52"/>
      <x:c r="K23" s="52"/>
      <x:c r="L23" s="52"/>
      <x:c r="M23" s="52"/>
      <x:c r="N23" s="52"/>
      <x:c r="O23" s="53"/>
    </x:row>
    <x:row r="24">
      <x:c r="A24" s="51"/>
      <x:c r="B24" s="52"/>
      <x:c r="C24" s="52"/>
      <x:c r="D24" s="52"/>
      <x:c r="E24" s="52"/>
      <x:c r="F24" s="93"/>
      <x:c r="G24" s="112"/>
      <x:c r="H24" s="93" t="n">
        <x:f>F24*G24</x:f>
        <x:v>0</x:v>
      </x:c>
      <x:c r="I24" s="52"/>
      <x:c r="J24" s="52"/>
      <x:c r="K24" s="52"/>
      <x:c r="L24" s="52"/>
      <x:c r="M24" s="52"/>
      <x:c r="N24" s="52"/>
      <x:c r="O24" s="53"/>
    </x:row>
    <x:row r="25">
      <x:c r="A25" s="51"/>
      <x:c r="B25" s="52"/>
      <x:c r="C25" s="52"/>
      <x:c r="D25" s="52"/>
      <x:c r="E25" s="52"/>
      <x:c r="F25" s="93"/>
      <x:c r="G25" s="112"/>
      <x:c r="H25" s="93" t="n">
        <x:f>F25*G25</x:f>
        <x:v>0</x:v>
      </x:c>
      <x:c r="I25" s="52"/>
      <x:c r="J25" s="52"/>
      <x:c r="K25" s="52"/>
      <x:c r="L25" s="52"/>
      <x:c r="M25" s="52"/>
      <x:c r="N25" s="52"/>
      <x:c r="O25" s="53"/>
    </x:row>
    <x:row r="26">
      <x:c r="A26" s="51"/>
      <x:c r="B26" s="52"/>
      <x:c r="C26" s="52"/>
      <x:c r="D26" s="52"/>
      <x:c r="E26" s="52"/>
      <x:c r="F26" s="93"/>
      <x:c r="G26" s="112"/>
      <x:c r="H26" s="93" t="n">
        <x:f>F26*G26</x:f>
        <x:v>0</x:v>
      </x:c>
      <x:c r="I26" s="52"/>
      <x:c r="J26" s="52"/>
      <x:c r="K26" s="52"/>
      <x:c r="L26" s="52"/>
      <x:c r="M26" s="52"/>
      <x:c r="N26" s="52"/>
      <x:c r="O26" s="53"/>
    </x:row>
    <x:row r="27">
      <x:c r="A27" s="51"/>
      <x:c r="B27" s="52"/>
      <x:c r="C27" s="52"/>
      <x:c r="D27" s="52"/>
      <x:c r="E27" s="52"/>
      <x:c r="F27" s="93"/>
      <x:c r="G27" s="112"/>
      <x:c r="H27" s="93" t="n">
        <x:f>F27*G27</x:f>
        <x:v>0</x:v>
      </x:c>
      <x:c r="I27" s="52"/>
      <x:c r="J27" s="52"/>
      <x:c r="K27" s="52"/>
      <x:c r="L27" s="52"/>
      <x:c r="M27" s="52"/>
      <x:c r="N27" s="52"/>
      <x:c r="O27" s="53"/>
    </x:row>
    <x:row r="28">
      <x:c r="A28" s="51"/>
      <x:c r="B28" s="52"/>
      <x:c r="C28" s="52"/>
      <x:c r="D28" s="52"/>
      <x:c r="E28" s="52"/>
      <x:c r="F28" s="93"/>
      <x:c r="G28" s="112"/>
      <x:c r="H28" s="93" t="n">
        <x:f>F28*G28</x:f>
        <x:v>0</x:v>
      </x:c>
      <x:c r="I28" s="52"/>
      <x:c r="J28" s="52"/>
      <x:c r="K28" s="52"/>
      <x:c r="L28" s="52"/>
      <x:c r="M28" s="52"/>
      <x:c r="N28" s="52"/>
      <x:c r="O28" s="53"/>
    </x:row>
    <x:row r="29">
      <x:c r="A29" s="51"/>
      <x:c r="B29" s="52"/>
      <x:c r="C29" s="52"/>
      <x:c r="D29" s="52"/>
      <x:c r="E29" s="52"/>
      <x:c r="F29" s="93"/>
      <x:c r="G29" s="112"/>
      <x:c r="H29" s="93" t="n">
        <x:f>F29*G29</x:f>
        <x:v>0</x:v>
      </x:c>
      <x:c r="I29" s="52"/>
      <x:c r="J29" s="52"/>
      <x:c r="K29" s="52"/>
      <x:c r="L29" s="52"/>
      <x:c r="M29" s="52"/>
      <x:c r="N29" s="52"/>
      <x:c r="O29" s="53"/>
    </x:row>
    <x:row r="30">
      <x:c r="A30" s="51"/>
      <x:c r="B30" s="52"/>
      <x:c r="C30" s="52"/>
      <x:c r="D30" s="52"/>
      <x:c r="E30" s="52"/>
      <x:c r="F30" s="93"/>
      <x:c r="G30" s="112"/>
      <x:c r="H30" s="93" t="n">
        <x:f>F30*G30</x:f>
        <x:v>0</x:v>
      </x:c>
      <x:c r="I30" s="52"/>
      <x:c r="J30" s="52"/>
      <x:c r="K30" s="52"/>
      <x:c r="L30" s="52"/>
      <x:c r="M30" s="52"/>
      <x:c r="N30" s="52"/>
      <x:c r="O30" s="53"/>
    </x:row>
    <x:row r="31">
      <x:c r="A31" s="51"/>
      <x:c r="B31" s="52"/>
      <x:c r="C31" s="52"/>
      <x:c r="D31" s="52"/>
      <x:c r="E31" s="52"/>
      <x:c r="F31" s="93"/>
      <x:c r="G31" s="112"/>
      <x:c r="H31" s="93" t="n">
        <x:f>F31*G31</x:f>
        <x:v>0</x:v>
      </x:c>
      <x:c r="I31" s="52"/>
      <x:c r="J31" s="52"/>
      <x:c r="K31" s="52"/>
      <x:c r="L31" s="52"/>
      <x:c r="M31" s="52"/>
      <x:c r="N31" s="52"/>
      <x:c r="O31" s="53"/>
    </x:row>
    <x:row r="32">
      <x:c r="A32" s="51"/>
      <x:c r="B32" s="52"/>
      <x:c r="C32" s="52"/>
      <x:c r="D32" s="52"/>
      <x:c r="E32" s="52"/>
      <x:c r="F32" s="93"/>
      <x:c r="G32" s="112"/>
      <x:c r="H32" s="93" t="n">
        <x:f>F32*G32</x:f>
        <x:v>0</x:v>
      </x:c>
      <x:c r="I32" s="52"/>
      <x:c r="J32" s="52"/>
      <x:c r="K32" s="52"/>
      <x:c r="L32" s="52"/>
      <x:c r="M32" s="52"/>
      <x:c r="N32" s="52"/>
      <x:c r="O32" s="53"/>
    </x:row>
    <x:row r="33">
      <x:c r="A33" s="51"/>
      <x:c r="B33" s="52"/>
      <x:c r="C33" s="52"/>
      <x:c r="D33" s="52"/>
      <x:c r="E33" s="52"/>
      <x:c r="F33" s="93"/>
      <x:c r="G33" s="112"/>
      <x:c r="H33" s="93" t="n">
        <x:f>F33*G33</x:f>
        <x:v>0</x:v>
      </x:c>
      <x:c r="I33" s="52"/>
      <x:c r="J33" s="52"/>
      <x:c r="K33" s="52"/>
      <x:c r="L33" s="52"/>
      <x:c r="M33" s="52"/>
      <x:c r="N33" s="52"/>
      <x:c r="O33" s="53"/>
    </x:row>
    <x:row r="34">
      <x:c r="A34" s="51"/>
      <x:c r="B34" s="52"/>
      <x:c r="C34" s="52"/>
      <x:c r="D34" s="52"/>
      <x:c r="E34" s="52"/>
      <x:c r="F34" s="93"/>
      <x:c r="G34" s="112"/>
      <x:c r="H34" s="93" t="n">
        <x:f>F34*G34</x:f>
        <x:v>0</x:v>
      </x:c>
      <x:c r="I34" s="52"/>
      <x:c r="J34" s="52"/>
      <x:c r="K34" s="52"/>
      <x:c r="L34" s="52"/>
      <x:c r="M34" s="52"/>
      <x:c r="N34" s="52"/>
      <x:c r="O34" s="53"/>
    </x:row>
    <x:row r="35">
      <x:c r="A35" s="51"/>
      <x:c r="B35" s="52"/>
      <x:c r="C35" s="52"/>
      <x:c r="D35" s="52"/>
      <x:c r="E35" s="52"/>
      <x:c r="F35" s="93"/>
      <x:c r="G35" s="112"/>
      <x:c r="H35" s="93" t="n">
        <x:f>F35*G35</x:f>
        <x:v>0</x:v>
      </x:c>
      <x:c r="I35" s="52"/>
      <x:c r="J35" s="52"/>
      <x:c r="K35" s="52"/>
      <x:c r="L35" s="52"/>
      <x:c r="M35" s="52"/>
      <x:c r="N35" s="52"/>
      <x:c r="O35" s="53"/>
    </x:row>
    <x:row r="36">
      <x:c r="A36" s="51"/>
      <x:c r="B36" s="52"/>
      <x:c r="C36" s="52"/>
      <x:c r="D36" s="52"/>
      <x:c r="E36" s="52"/>
      <x:c r="F36" s="93"/>
      <x:c r="G36" s="112"/>
      <x:c r="H36" s="93" t="n">
        <x:f>F36*G36</x:f>
        <x:v>0</x:v>
      </x:c>
      <x:c r="I36" s="52"/>
      <x:c r="J36" s="52"/>
      <x:c r="K36" s="52"/>
      <x:c r="L36" s="52"/>
      <x:c r="M36" s="52"/>
      <x:c r="N36" s="52"/>
      <x:c r="O36" s="53"/>
    </x:row>
    <x:row r="37">
      <x:c r="A37" s="51"/>
      <x:c r="B37" s="52"/>
      <x:c r="C37" s="52"/>
      <x:c r="D37" s="52"/>
      <x:c r="E37" s="52"/>
      <x:c r="F37" s="93"/>
      <x:c r="G37" s="112"/>
      <x:c r="H37" s="93" t="n">
        <x:f>F37*G37</x:f>
        <x:v>0</x:v>
      </x:c>
      <x:c r="I37" s="52"/>
      <x:c r="J37" s="52"/>
      <x:c r="K37" s="52"/>
      <x:c r="L37" s="52"/>
      <x:c r="M37" s="52"/>
      <x:c r="N37" s="52"/>
      <x:c r="O37" s="53"/>
    </x:row>
    <x:row r="38">
      <x:c r="A38" s="51"/>
      <x:c r="B38" s="52"/>
      <x:c r="C38" s="52"/>
      <x:c r="D38" s="52"/>
      <x:c r="E38" s="52"/>
      <x:c r="F38" s="93"/>
      <x:c r="G38" s="112"/>
      <x:c r="H38" s="93" t="n">
        <x:f>F38*G38</x:f>
        <x:v>0</x:v>
      </x:c>
      <x:c r="I38" s="52"/>
      <x:c r="J38" s="52"/>
      <x:c r="K38" s="52"/>
      <x:c r="L38" s="52"/>
      <x:c r="M38" s="52"/>
      <x:c r="N38" s="52"/>
      <x:c r="O38" s="53"/>
    </x:row>
    <x:row r="39">
      <x:c r="A39" s="51"/>
      <x:c r="B39" s="52"/>
      <x:c r="C39" s="52"/>
      <x:c r="D39" s="52"/>
      <x:c r="E39" s="52"/>
      <x:c r="F39" s="93"/>
      <x:c r="G39" s="112"/>
      <x:c r="H39" s="93" t="n">
        <x:f>F39*G39</x:f>
        <x:v>0</x:v>
      </x:c>
      <x:c r="I39" s="52"/>
      <x:c r="J39" s="52"/>
      <x:c r="K39" s="52"/>
      <x:c r="L39" s="52"/>
      <x:c r="M39" s="52"/>
      <x:c r="N39" s="52"/>
      <x:c r="O39" s="53"/>
    </x:row>
    <x:row r="40">
      <x:c r="A40" s="51"/>
      <x:c r="B40" s="52"/>
      <x:c r="C40" s="52"/>
      <x:c r="D40" s="52"/>
      <x:c r="E40" s="52"/>
      <x:c r="F40" s="93"/>
      <x:c r="G40" s="112"/>
      <x:c r="H40" s="93" t="n">
        <x:f>F40*G40</x:f>
        <x:v>0</x:v>
      </x:c>
      <x:c r="I40" s="52"/>
      <x:c r="J40" s="52"/>
      <x:c r="K40" s="52"/>
      <x:c r="L40" s="52"/>
      <x:c r="M40" s="52"/>
      <x:c r="N40" s="52"/>
      <x:c r="O40" s="53"/>
    </x:row>
    <x:row r="41">
      <x:c r="A41" s="51"/>
      <x:c r="B41" s="52"/>
      <x:c r="C41" s="52"/>
      <x:c r="D41" s="52"/>
      <x:c r="E41" s="52"/>
      <x:c r="F41" s="93"/>
      <x:c r="G41" s="112"/>
      <x:c r="H41" s="93" t="n">
        <x:f>F41*G41</x:f>
        <x:v>0</x:v>
      </x:c>
      <x:c r="I41" s="52"/>
      <x:c r="J41" s="52"/>
      <x:c r="K41" s="52"/>
      <x:c r="L41" s="52"/>
      <x:c r="M41" s="52"/>
      <x:c r="N41" s="52"/>
      <x:c r="O41" s="53"/>
    </x:row>
    <x:row r="42">
      <x:c r="A42" s="51"/>
      <x:c r="B42" s="52"/>
      <x:c r="C42" s="52"/>
      <x:c r="D42" s="52"/>
      <x:c r="E42" s="52"/>
      <x:c r="F42" s="93"/>
      <x:c r="G42" s="112"/>
      <x:c r="H42" s="93" t="n">
        <x:f>F42*G42</x:f>
        <x:v>0</x:v>
      </x:c>
      <x:c r="I42" s="52"/>
      <x:c r="J42" s="52"/>
      <x:c r="K42" s="52"/>
      <x:c r="L42" s="52"/>
      <x:c r="M42" s="52"/>
      <x:c r="N42" s="52"/>
      <x:c r="O42" s="53"/>
    </x:row>
    <x:row r="43">
      <x:c r="A43" s="51"/>
      <x:c r="B43" s="52"/>
      <x:c r="C43" s="52"/>
      <x:c r="D43" s="52"/>
      <x:c r="E43" s="52"/>
      <x:c r="F43" s="93"/>
      <x:c r="G43" s="112"/>
      <x:c r="H43" s="93" t="n">
        <x:f>F43*G43</x:f>
        <x:v>0</x:v>
      </x:c>
      <x:c r="I43" s="52"/>
      <x:c r="J43" s="52"/>
      <x:c r="K43" s="52"/>
      <x:c r="L43" s="52"/>
      <x:c r="M43" s="52"/>
      <x:c r="N43" s="52"/>
      <x:c r="O43" s="53"/>
    </x:row>
    <x:row r="44">
      <x:c r="A44" s="51"/>
      <x:c r="B44" s="52"/>
      <x:c r="C44" s="52"/>
      <x:c r="D44" s="52"/>
      <x:c r="E44" s="52"/>
      <x:c r="F44" s="93"/>
      <x:c r="G44" s="112"/>
      <x:c r="H44" s="93" t="n">
        <x:f>F44*G44</x:f>
        <x:v>0</x:v>
      </x:c>
      <x:c r="I44" s="52"/>
      <x:c r="J44" s="52"/>
      <x:c r="K44" s="52"/>
      <x:c r="L44" s="52"/>
      <x:c r="M44" s="52"/>
      <x:c r="N44" s="52"/>
      <x:c r="O44" s="53"/>
    </x:row>
    <x:row r="45">
      <x:c r="A45" s="51"/>
      <x:c r="B45" s="52"/>
      <x:c r="C45" s="52"/>
      <x:c r="D45" s="52"/>
      <x:c r="E45" s="52"/>
      <x:c r="F45" s="93"/>
      <x:c r="G45" s="112"/>
      <x:c r="H45" s="93" t="n">
        <x:f>F45*G45</x:f>
        <x:v>0</x:v>
      </x:c>
      <x:c r="I45" s="52"/>
      <x:c r="J45" s="52"/>
      <x:c r="K45" s="52"/>
      <x:c r="L45" s="52"/>
      <x:c r="M45" s="52"/>
      <x:c r="N45" s="52"/>
      <x:c r="O45" s="53"/>
    </x:row>
    <x:row r="46">
      <x:c r="A46" s="51"/>
      <x:c r="B46" s="52"/>
      <x:c r="C46" s="52"/>
      <x:c r="D46" s="52"/>
      <x:c r="E46" s="52"/>
      <x:c r="F46" s="93"/>
      <x:c r="G46" s="112"/>
      <x:c r="H46" s="93" t="n">
        <x:f>F46*G46</x:f>
        <x:v>0</x:v>
      </x:c>
      <x:c r="I46" s="52"/>
      <x:c r="J46" s="52"/>
      <x:c r="K46" s="52"/>
      <x:c r="L46" s="52"/>
      <x:c r="M46" s="52"/>
      <x:c r="N46" s="52"/>
      <x:c r="O46" s="53"/>
    </x:row>
    <x:row r="47">
      <x:c r="A47" s="51"/>
      <x:c r="B47" s="52"/>
      <x:c r="C47" s="52"/>
      <x:c r="D47" s="52"/>
      <x:c r="E47" s="52"/>
      <x:c r="F47" s="93"/>
      <x:c r="G47" s="112"/>
      <x:c r="H47" s="93" t="n">
        <x:f>F47*G47</x:f>
        <x:v>0</x:v>
      </x:c>
      <x:c r="I47" s="52"/>
      <x:c r="J47" s="52"/>
      <x:c r="K47" s="52"/>
      <x:c r="L47" s="52"/>
      <x:c r="M47" s="52"/>
      <x:c r="N47" s="52"/>
      <x:c r="O47" s="53"/>
    </x:row>
    <x:row r="48">
      <x:c r="A48" s="51"/>
      <x:c r="B48" s="52"/>
      <x:c r="C48" s="52"/>
      <x:c r="D48" s="52"/>
      <x:c r="E48" s="52"/>
      <x:c r="F48" s="93"/>
      <x:c r="G48" s="112"/>
      <x:c r="H48" s="93" t="n">
        <x:f>F48*G48</x:f>
        <x:v>0</x:v>
      </x:c>
      <x:c r="I48" s="52"/>
      <x:c r="J48" s="52"/>
      <x:c r="K48" s="52"/>
      <x:c r="L48" s="52"/>
      <x:c r="M48" s="52"/>
      <x:c r="N48" s="52"/>
      <x:c r="O48" s="53"/>
    </x:row>
    <x:row r="49">
      <x:c r="A49" s="51"/>
      <x:c r="B49" s="52"/>
      <x:c r="C49" s="52"/>
      <x:c r="D49" s="52"/>
      <x:c r="E49" s="52"/>
      <x:c r="F49" s="93"/>
      <x:c r="G49" s="112"/>
      <x:c r="H49" s="93" t="n">
        <x:f>F49*G49</x:f>
        <x:v>0</x:v>
      </x:c>
      <x:c r="I49" s="52"/>
      <x:c r="J49" s="52"/>
      <x:c r="K49" s="52"/>
      <x:c r="L49" s="52"/>
      <x:c r="M49" s="52"/>
      <x:c r="N49" s="52"/>
      <x:c r="O49" s="53"/>
    </x:row>
    <x:row r="50">
      <x:c r="A50" s="51"/>
      <x:c r="B50" s="52"/>
      <x:c r="C50" s="52"/>
      <x:c r="D50" s="52"/>
      <x:c r="E50" s="52"/>
      <x:c r="F50" s="93"/>
      <x:c r="G50" s="112"/>
      <x:c r="H50" s="93" t="n">
        <x:f>F50*G50</x:f>
        <x:v>0</x:v>
      </x:c>
      <x:c r="I50" s="52"/>
      <x:c r="J50" s="52"/>
      <x:c r="K50" s="52"/>
      <x:c r="L50" s="52"/>
      <x:c r="M50" s="52"/>
      <x:c r="N50" s="52"/>
      <x:c r="O50" s="53"/>
    </x:row>
    <x:row r="51">
      <x:c r="A51" s="51"/>
      <x:c r="B51" s="52"/>
      <x:c r="C51" s="52"/>
      <x:c r="D51" s="52"/>
      <x:c r="E51" s="52"/>
      <x:c r="F51" s="93"/>
      <x:c r="G51" s="112"/>
      <x:c r="H51" s="93" t="n">
        <x:f>F51*G51</x:f>
        <x:v>0</x:v>
      </x:c>
      <x:c r="I51" s="52"/>
      <x:c r="J51" s="52"/>
      <x:c r="K51" s="52"/>
      <x:c r="L51" s="52"/>
      <x:c r="M51" s="52"/>
      <x:c r="N51" s="52"/>
      <x:c r="O51" s="53"/>
    </x:row>
    <x:row r="52">
      <x:c r="A52" s="51"/>
      <x:c r="B52" s="52"/>
      <x:c r="C52" s="52"/>
      <x:c r="D52" s="52"/>
      <x:c r="E52" s="52"/>
      <x:c r="F52" s="93"/>
      <x:c r="G52" s="112"/>
      <x:c r="H52" s="93" t="n">
        <x:f>F52*G52</x:f>
        <x:v>0</x:v>
      </x:c>
      <x:c r="I52" s="52"/>
      <x:c r="J52" s="52"/>
      <x:c r="K52" s="52"/>
      <x:c r="L52" s="52"/>
      <x:c r="M52" s="52"/>
      <x:c r="N52" s="52"/>
      <x:c r="O52" s="53"/>
    </x:row>
    <x:row r="53">
      <x:c r="A53" s="51"/>
      <x:c r="B53" s="52"/>
      <x:c r="C53" s="52"/>
      <x:c r="D53" s="52"/>
      <x:c r="E53" s="52"/>
      <x:c r="F53" s="93"/>
      <x:c r="G53" s="112"/>
      <x:c r="H53" s="93" t="n">
        <x:f>F53*G53</x:f>
        <x:v>0</x:v>
      </x:c>
      <x:c r="I53" s="52"/>
      <x:c r="J53" s="52"/>
      <x:c r="K53" s="52"/>
      <x:c r="L53" s="52"/>
      <x:c r="M53" s="52"/>
      <x:c r="N53" s="52"/>
      <x:c r="O53" s="53"/>
    </x:row>
    <x:row r="54">
      <x:c r="A54" s="51"/>
      <x:c r="B54" s="52"/>
      <x:c r="C54" s="52"/>
      <x:c r="D54" s="52"/>
      <x:c r="E54" s="52"/>
      <x:c r="F54" s="93"/>
      <x:c r="G54" s="112"/>
      <x:c r="H54" s="93" t="n">
        <x:f>F54*G54</x:f>
        <x:v>0</x:v>
      </x:c>
      <x:c r="I54" s="52"/>
      <x:c r="J54" s="52"/>
      <x:c r="K54" s="52"/>
      <x:c r="L54" s="52"/>
      <x:c r="M54" s="52"/>
      <x:c r="N54" s="52"/>
      <x:c r="O54" s="53"/>
    </x:row>
    <x:row r="55">
      <x:c r="A55" s="51"/>
      <x:c r="B55" s="52"/>
      <x:c r="C55" s="52"/>
      <x:c r="D55" s="52"/>
      <x:c r="E55" s="52"/>
      <x:c r="F55" s="93"/>
      <x:c r="G55" s="112"/>
      <x:c r="H55" s="93" t="n">
        <x:f>F55*G55</x:f>
        <x:v>0</x:v>
      </x:c>
      <x:c r="I55" s="52"/>
      <x:c r="J55" s="52"/>
      <x:c r="K55" s="52"/>
      <x:c r="L55" s="52"/>
      <x:c r="M55" s="52"/>
      <x:c r="N55" s="52"/>
      <x:c r="O55" s="53"/>
    </x:row>
    <x:row r="56">
      <x:c r="A56" s="51"/>
      <x:c r="B56" s="52"/>
      <x:c r="C56" s="52"/>
      <x:c r="D56" s="52"/>
      <x:c r="E56" s="52"/>
      <x:c r="F56" s="93"/>
      <x:c r="G56" s="112"/>
      <x:c r="H56" s="93" t="n">
        <x:f>F56*G56</x:f>
        <x:v>0</x:v>
      </x:c>
      <x:c r="I56" s="52"/>
      <x:c r="J56" s="52"/>
      <x:c r="K56" s="52"/>
      <x:c r="L56" s="52"/>
      <x:c r="M56" s="52"/>
      <x:c r="N56" s="52"/>
      <x:c r="O56" s="53"/>
    </x:row>
    <x:row r="57">
      <x:c r="A57" s="51"/>
      <x:c r="B57" s="52"/>
      <x:c r="C57" s="52"/>
      <x:c r="D57" s="52"/>
      <x:c r="E57" s="52"/>
      <x:c r="F57" s="93"/>
      <x:c r="G57" s="112"/>
      <x:c r="H57" s="93" t="n">
        <x:f>F57*G57</x:f>
        <x:v>0</x:v>
      </x:c>
      <x:c r="I57" s="52"/>
      <x:c r="J57" s="52"/>
      <x:c r="K57" s="52"/>
      <x:c r="L57" s="52"/>
      <x:c r="M57" s="52"/>
      <x:c r="N57" s="52"/>
      <x:c r="O57" s="53"/>
    </x:row>
    <x:row r="58">
      <x:c r="A58" s="51"/>
      <x:c r="B58" s="52"/>
      <x:c r="C58" s="52"/>
      <x:c r="D58" s="52"/>
      <x:c r="E58" s="52"/>
      <x:c r="F58" s="93"/>
      <x:c r="G58" s="112"/>
      <x:c r="H58" s="93" t="n">
        <x:f>F58*G58</x:f>
        <x:v>0</x:v>
      </x:c>
      <x:c r="I58" s="52"/>
      <x:c r="J58" s="52"/>
      <x:c r="K58" s="52"/>
      <x:c r="L58" s="52"/>
      <x:c r="M58" s="52"/>
      <x:c r="N58" s="52"/>
      <x:c r="O58" s="53"/>
    </x:row>
    <x:row r="59">
      <x:c r="A59" s="51"/>
      <x:c r="B59" s="52"/>
      <x:c r="C59" s="52"/>
      <x:c r="D59" s="52"/>
      <x:c r="E59" s="52"/>
      <x:c r="F59" s="93"/>
      <x:c r="G59" s="112"/>
      <x:c r="H59" s="93" t="n">
        <x:f>F59*G59</x:f>
        <x:v>0</x:v>
      </x:c>
      <x:c r="I59" s="52"/>
      <x:c r="J59" s="52"/>
      <x:c r="K59" s="52"/>
      <x:c r="L59" s="52"/>
      <x:c r="M59" s="52"/>
      <x:c r="N59" s="52"/>
      <x:c r="O59" s="53"/>
    </x:row>
    <x:row r="60">
      <x:c r="A60" s="51"/>
      <x:c r="B60" s="52"/>
      <x:c r="C60" s="52"/>
      <x:c r="D60" s="52"/>
      <x:c r="E60" s="52"/>
      <x:c r="F60" s="93"/>
      <x:c r="G60" s="112"/>
      <x:c r="H60" s="93" t="n">
        <x:f>F60*G60</x:f>
        <x:v>0</x:v>
      </x:c>
      <x:c r="I60" s="52"/>
      <x:c r="J60" s="52"/>
      <x:c r="K60" s="52"/>
      <x:c r="L60" s="52"/>
      <x:c r="M60" s="52"/>
      <x:c r="N60" s="52"/>
      <x:c r="O60" s="53"/>
    </x:row>
    <x:row r="61">
      <x:c r="A61" s="51"/>
      <x:c r="B61" s="52"/>
      <x:c r="C61" s="52"/>
      <x:c r="D61" s="52"/>
      <x:c r="E61" s="52"/>
      <x:c r="F61" s="93"/>
      <x:c r="G61" s="112"/>
      <x:c r="H61" s="93" t="n">
        <x:f>F61*G61</x:f>
        <x:v>0</x:v>
      </x:c>
      <x:c r="I61" s="52"/>
      <x:c r="J61" s="52"/>
      <x:c r="K61" s="52"/>
      <x:c r="L61" s="52"/>
      <x:c r="M61" s="52"/>
      <x:c r="N61" s="52"/>
      <x:c r="O61" s="53"/>
    </x:row>
    <x:row r="62">
      <x:c r="A62" s="51"/>
      <x:c r="B62" s="52"/>
      <x:c r="C62" s="52"/>
      <x:c r="D62" s="52"/>
      <x:c r="E62" s="52"/>
      <x:c r="F62" s="93"/>
      <x:c r="G62" s="112"/>
      <x:c r="H62" s="93" t="n">
        <x:f>F62*G62</x:f>
        <x:v>0</x:v>
      </x:c>
      <x:c r="I62" s="52"/>
      <x:c r="J62" s="52"/>
      <x:c r="K62" s="52"/>
      <x:c r="L62" s="52"/>
      <x:c r="M62" s="52"/>
      <x:c r="N62" s="52"/>
      <x:c r="O62" s="53"/>
    </x:row>
    <x:row r="63">
      <x:c r="A63" s="51"/>
      <x:c r="B63" s="52"/>
      <x:c r="C63" s="52"/>
      <x:c r="D63" s="52"/>
      <x:c r="E63" s="52"/>
      <x:c r="F63" s="93"/>
      <x:c r="G63" s="112"/>
      <x:c r="H63" s="93" t="n">
        <x:f>F63*G63</x:f>
        <x:v>0</x:v>
      </x:c>
      <x:c r="I63" s="52"/>
      <x:c r="J63" s="52"/>
      <x:c r="K63" s="52"/>
      <x:c r="L63" s="52"/>
      <x:c r="M63" s="52"/>
      <x:c r="N63" s="52"/>
      <x:c r="O63" s="53"/>
    </x:row>
    <x:row r="64">
      <x:c r="A64" s="51"/>
      <x:c r="B64" s="52"/>
      <x:c r="C64" s="52"/>
      <x:c r="D64" s="52"/>
      <x:c r="E64" s="52"/>
      <x:c r="F64" s="93"/>
      <x:c r="G64" s="112"/>
      <x:c r="H64" s="93" t="n">
        <x:f>F64*G64</x:f>
        <x:v>0</x:v>
      </x:c>
      <x:c r="I64" s="52"/>
      <x:c r="J64" s="52"/>
      <x:c r="K64" s="52"/>
      <x:c r="L64" s="52"/>
      <x:c r="M64" s="52"/>
      <x:c r="N64" s="52"/>
      <x:c r="O64" s="53"/>
    </x:row>
    <x:row r="65">
      <x:c r="A65" s="51"/>
      <x:c r="B65" s="52"/>
      <x:c r="C65" s="52"/>
      <x:c r="D65" s="52"/>
      <x:c r="E65" s="52"/>
      <x:c r="F65" s="93"/>
      <x:c r="G65" s="112"/>
      <x:c r="H65" s="93" t="n">
        <x:f>F65*G65</x:f>
        <x:v>0</x:v>
      </x:c>
      <x:c r="I65" s="52"/>
      <x:c r="J65" s="52"/>
      <x:c r="K65" s="52"/>
      <x:c r="L65" s="52"/>
      <x:c r="M65" s="52"/>
      <x:c r="N65" s="52"/>
      <x:c r="O65" s="53"/>
    </x:row>
    <x:row r="66">
      <x:c r="A66" s="51"/>
      <x:c r="B66" s="52"/>
      <x:c r="C66" s="52"/>
      <x:c r="D66" s="52"/>
      <x:c r="E66" s="52"/>
      <x:c r="F66" s="93"/>
      <x:c r="G66" s="112"/>
      <x:c r="H66" s="93" t="n">
        <x:f>F66*G66</x:f>
        <x:v>0</x:v>
      </x:c>
      <x:c r="I66" s="52"/>
      <x:c r="J66" s="52"/>
      <x:c r="K66" s="52"/>
      <x:c r="L66" s="52"/>
      <x:c r="M66" s="52"/>
      <x:c r="N66" s="52"/>
      <x:c r="O66" s="53"/>
    </x:row>
    <x:row r="67">
      <x:c r="A67" s="51"/>
      <x:c r="B67" s="52"/>
      <x:c r="C67" s="52"/>
      <x:c r="D67" s="52"/>
      <x:c r="E67" s="52"/>
      <x:c r="F67" s="93"/>
      <x:c r="G67" s="112"/>
      <x:c r="H67" s="93" t="n">
        <x:f>F67*G67</x:f>
        <x:v>0</x:v>
      </x:c>
      <x:c r="I67" s="52"/>
      <x:c r="J67" s="52"/>
      <x:c r="K67" s="52"/>
      <x:c r="L67" s="52"/>
      <x:c r="M67" s="52"/>
      <x:c r="N67" s="52"/>
      <x:c r="O67" s="53"/>
    </x:row>
    <x:row r="68">
      <x:c r="A68" s="51"/>
      <x:c r="B68" s="52"/>
      <x:c r="C68" s="52"/>
      <x:c r="D68" s="52"/>
      <x:c r="E68" s="52"/>
      <x:c r="F68" s="93"/>
      <x:c r="G68" s="112"/>
      <x:c r="H68" s="93" t="n">
        <x:f>F68*G68</x:f>
        <x:v>0</x:v>
      </x:c>
      <x:c r="I68" s="52"/>
      <x:c r="J68" s="52"/>
      <x:c r="K68" s="52"/>
      <x:c r="L68" s="52"/>
      <x:c r="M68" s="52"/>
      <x:c r="N68" s="52"/>
      <x:c r="O68" s="53"/>
    </x:row>
    <x:row r="69">
      <x:c r="A69" s="51"/>
      <x:c r="B69" s="52"/>
      <x:c r="C69" s="52"/>
      <x:c r="D69" s="52"/>
      <x:c r="E69" s="52"/>
      <x:c r="F69" s="93"/>
      <x:c r="G69" s="112"/>
      <x:c r="H69" s="93" t="n">
        <x:f>F69*G69</x:f>
        <x:v>0</x:v>
      </x:c>
      <x:c r="I69" s="52"/>
      <x:c r="J69" s="52"/>
      <x:c r="K69" s="52"/>
      <x:c r="L69" s="52"/>
      <x:c r="M69" s="52"/>
      <x:c r="N69" s="52"/>
      <x:c r="O69" s="53"/>
    </x:row>
    <x:row r="70">
      <x:c r="A70" s="51"/>
      <x:c r="B70" s="52"/>
      <x:c r="C70" s="52"/>
      <x:c r="D70" s="52"/>
      <x:c r="E70" s="52"/>
      <x:c r="F70" s="93"/>
      <x:c r="G70" s="112"/>
      <x:c r="H70" s="93" t="n">
        <x:f>F70*G70</x:f>
        <x:v>0</x:v>
      </x:c>
      <x:c r="I70" s="52"/>
      <x:c r="J70" s="52"/>
      <x:c r="K70" s="52"/>
      <x:c r="L70" s="52"/>
      <x:c r="M70" s="52"/>
      <x:c r="N70" s="52"/>
      <x:c r="O70" s="53"/>
    </x:row>
    <x:row r="71">
      <x:c r="A71" s="51"/>
      <x:c r="B71" s="52"/>
      <x:c r="C71" s="52"/>
      <x:c r="D71" s="52"/>
      <x:c r="E71" s="52"/>
      <x:c r="F71" s="93"/>
      <x:c r="G71" s="112"/>
      <x:c r="H71" s="93" t="n">
        <x:f>F71*G71</x:f>
        <x:v>0</x:v>
      </x:c>
      <x:c r="I71" s="52"/>
      <x:c r="J71" s="52"/>
      <x:c r="K71" s="52"/>
      <x:c r="L71" s="52"/>
      <x:c r="M71" s="52"/>
      <x:c r="N71" s="52"/>
      <x:c r="O71" s="53"/>
    </x:row>
    <x:row r="72">
      <x:c r="A72" s="51"/>
      <x:c r="B72" s="52"/>
      <x:c r="C72" s="52"/>
      <x:c r="D72" s="52"/>
      <x:c r="E72" s="52"/>
      <x:c r="F72" s="93"/>
      <x:c r="G72" s="112"/>
      <x:c r="H72" s="93" t="n">
        <x:f>F72*G72</x:f>
        <x:v>0</x:v>
      </x:c>
      <x:c r="I72" s="52"/>
      <x:c r="J72" s="52"/>
      <x:c r="K72" s="52"/>
      <x:c r="L72" s="52"/>
      <x:c r="M72" s="52"/>
      <x:c r="N72" s="52"/>
      <x:c r="O72" s="53"/>
    </x:row>
    <x:row r="73">
      <x:c r="A73" s="51"/>
      <x:c r="B73" s="52"/>
      <x:c r="C73" s="52"/>
      <x:c r="D73" s="52"/>
      <x:c r="E73" s="52"/>
      <x:c r="F73" s="93"/>
      <x:c r="G73" s="112"/>
      <x:c r="H73" s="93" t="n">
        <x:f>F73*G73</x:f>
        <x:v>0</x:v>
      </x:c>
      <x:c r="I73" s="52"/>
      <x:c r="J73" s="52"/>
      <x:c r="K73" s="52"/>
      <x:c r="L73" s="52"/>
      <x:c r="M73" s="52"/>
      <x:c r="N73" s="52"/>
      <x:c r="O73" s="53"/>
    </x:row>
    <x:row r="74">
      <x:c r="A74" s="51"/>
      <x:c r="B74" s="52"/>
      <x:c r="C74" s="52"/>
      <x:c r="D74" s="52"/>
      <x:c r="E74" s="52"/>
      <x:c r="F74" s="93"/>
      <x:c r="G74" s="112"/>
      <x:c r="H74" s="93" t="n">
        <x:f>F74*G74</x:f>
        <x:v>0</x:v>
      </x:c>
      <x:c r="I74" s="52"/>
      <x:c r="J74" s="52"/>
      <x:c r="K74" s="52"/>
      <x:c r="L74" s="52"/>
      <x:c r="M74" s="52"/>
      <x:c r="N74" s="52"/>
      <x:c r="O74" s="53"/>
    </x:row>
    <x:row r="75">
      <x:c r="A75" s="51"/>
      <x:c r="B75" s="52"/>
      <x:c r="C75" s="52"/>
      <x:c r="D75" s="52"/>
      <x:c r="E75" s="52"/>
      <x:c r="F75" s="93"/>
      <x:c r="G75" s="112"/>
      <x:c r="H75" s="93" t="n">
        <x:f>F75*G75</x:f>
        <x:v>0</x:v>
      </x:c>
      <x:c r="I75" s="52"/>
      <x:c r="J75" s="52"/>
      <x:c r="K75" s="52"/>
      <x:c r="L75" s="52"/>
      <x:c r="M75" s="52"/>
      <x:c r="N75" s="52"/>
      <x:c r="O75" s="53"/>
    </x:row>
    <x:row r="76">
      <x:c r="A76" s="51"/>
      <x:c r="B76" s="52"/>
      <x:c r="C76" s="52"/>
      <x:c r="D76" s="52"/>
      <x:c r="E76" s="52"/>
      <x:c r="F76" s="93"/>
      <x:c r="G76" s="112"/>
      <x:c r="H76" s="93" t="n">
        <x:f>F76*G76</x:f>
        <x:v>0</x:v>
      </x:c>
      <x:c r="I76" s="52"/>
      <x:c r="J76" s="52"/>
      <x:c r="K76" s="52"/>
      <x:c r="L76" s="52"/>
      <x:c r="M76" s="52"/>
      <x:c r="N76" s="52"/>
      <x:c r="O76" s="53"/>
    </x:row>
    <x:row r="77">
      <x:c r="A77" s="51"/>
      <x:c r="B77" s="52"/>
      <x:c r="C77" s="52"/>
      <x:c r="D77" s="52"/>
      <x:c r="E77" s="52"/>
      <x:c r="F77" s="93"/>
      <x:c r="G77" s="112"/>
      <x:c r="H77" s="93" t="n">
        <x:f>F77*G77</x:f>
        <x:v>0</x:v>
      </x:c>
      <x:c r="I77" s="52"/>
      <x:c r="J77" s="52"/>
      <x:c r="K77" s="52"/>
      <x:c r="L77" s="52"/>
      <x:c r="M77" s="52"/>
      <x:c r="N77" s="52"/>
      <x:c r="O77" s="53"/>
    </x:row>
    <x:row r="78">
      <x:c r="A78" s="51"/>
      <x:c r="B78" s="52"/>
      <x:c r="C78" s="52"/>
      <x:c r="D78" s="52"/>
      <x:c r="E78" s="52"/>
      <x:c r="F78" s="93"/>
      <x:c r="G78" s="112"/>
      <x:c r="H78" s="93" t="n">
        <x:f>F78*G78</x:f>
        <x:v>0</x:v>
      </x:c>
      <x:c r="I78" s="52"/>
      <x:c r="J78" s="52"/>
      <x:c r="K78" s="52"/>
      <x:c r="L78" s="52"/>
      <x:c r="M78" s="52"/>
      <x:c r="N78" s="52"/>
      <x:c r="O78" s="53"/>
    </x:row>
    <x:row r="79">
      <x:c r="A79" s="51"/>
      <x:c r="B79" s="52"/>
      <x:c r="C79" s="52"/>
      <x:c r="D79" s="52"/>
      <x:c r="E79" s="52"/>
      <x:c r="F79" s="93"/>
      <x:c r="G79" s="112"/>
      <x:c r="H79" s="93" t="n">
        <x:f>F79*G79</x:f>
        <x:v>0</x:v>
      </x:c>
      <x:c r="I79" s="52"/>
      <x:c r="J79" s="52"/>
      <x:c r="K79" s="52"/>
      <x:c r="L79" s="52"/>
      <x:c r="M79" s="52"/>
      <x:c r="N79" s="52"/>
      <x:c r="O79" s="53"/>
    </x:row>
    <x:row r="80">
      <x:c r="A80" s="51"/>
      <x:c r="B80" s="52"/>
      <x:c r="C80" s="52"/>
      <x:c r="D80" s="52"/>
      <x:c r="E80" s="52"/>
      <x:c r="F80" s="93"/>
      <x:c r="G80" s="112"/>
      <x:c r="H80" s="93" t="n">
        <x:f>F80*G80</x:f>
        <x:v>0</x:v>
      </x:c>
      <x:c r="I80" s="52"/>
      <x:c r="J80" s="52"/>
      <x:c r="K80" s="52"/>
      <x:c r="L80" s="52"/>
      <x:c r="M80" s="52"/>
      <x:c r="N80" s="52"/>
      <x:c r="O80" s="53"/>
    </x:row>
    <x:row r="81">
      <x:c r="A81" s="51"/>
      <x:c r="B81" s="52"/>
      <x:c r="C81" s="52"/>
      <x:c r="D81" s="52"/>
      <x:c r="E81" s="52"/>
      <x:c r="F81" s="93"/>
      <x:c r="G81" s="112"/>
      <x:c r="H81" s="93" t="n">
        <x:f>F81*G81</x:f>
        <x:v>0</x:v>
      </x:c>
      <x:c r="I81" s="52"/>
      <x:c r="J81" s="52"/>
      <x:c r="K81" s="52"/>
      <x:c r="L81" s="52"/>
      <x:c r="M81" s="52"/>
      <x:c r="N81" s="52"/>
      <x:c r="O81" s="53"/>
    </x:row>
    <x:row r="82">
      <x:c r="A82" s="51"/>
      <x:c r="B82" s="52"/>
      <x:c r="C82" s="52"/>
      <x:c r="D82" s="52"/>
      <x:c r="E82" s="52"/>
      <x:c r="F82" s="93"/>
      <x:c r="G82" s="112"/>
      <x:c r="H82" s="93" t="n">
        <x:f>F82*G82</x:f>
        <x:v>0</x:v>
      </x:c>
      <x:c r="I82" s="52"/>
      <x:c r="J82" s="52"/>
      <x:c r="K82" s="52"/>
      <x:c r="L82" s="52"/>
      <x:c r="M82" s="52"/>
      <x:c r="N82" s="52"/>
      <x:c r="O82" s="53"/>
    </x:row>
    <x:row r="83">
      <x:c r="A83" s="51"/>
      <x:c r="B83" s="52"/>
      <x:c r="C83" s="52"/>
      <x:c r="D83" s="52"/>
      <x:c r="E83" s="52"/>
      <x:c r="F83" s="93"/>
      <x:c r="G83" s="112"/>
      <x:c r="H83" s="93" t="n">
        <x:f>F83*G83</x:f>
        <x:v>0</x:v>
      </x:c>
      <x:c r="I83" s="52"/>
      <x:c r="J83" s="52"/>
      <x:c r="K83" s="52"/>
      <x:c r="L83" s="52"/>
      <x:c r="M83" s="52"/>
      <x:c r="N83" s="52"/>
      <x:c r="O83" s="53"/>
    </x:row>
    <x:row r="84">
      <x:c r="A84" s="51"/>
      <x:c r="B84" s="52"/>
      <x:c r="C84" s="52"/>
      <x:c r="D84" s="52"/>
      <x:c r="E84" s="52"/>
      <x:c r="F84" s="93"/>
      <x:c r="G84" s="112"/>
      <x:c r="H84" s="93" t="n">
        <x:f>F84*G84</x:f>
        <x:v>0</x:v>
      </x:c>
      <x:c r="I84" s="52"/>
      <x:c r="J84" s="52"/>
      <x:c r="K84" s="52"/>
      <x:c r="L84" s="52"/>
      <x:c r="M84" s="52"/>
      <x:c r="N84" s="52"/>
      <x:c r="O84" s="53"/>
    </x:row>
    <x:row r="85">
      <x:c r="A85" s="51"/>
      <x:c r="B85" s="52"/>
      <x:c r="C85" s="52"/>
      <x:c r="D85" s="52"/>
      <x:c r="E85" s="52"/>
      <x:c r="F85" s="93"/>
      <x:c r="G85" s="112"/>
      <x:c r="H85" s="93" t="n">
        <x:f>F85*G85</x:f>
        <x:v>0</x:v>
      </x:c>
      <x:c r="I85" s="52"/>
      <x:c r="J85" s="52"/>
      <x:c r="K85" s="52"/>
      <x:c r="L85" s="52"/>
      <x:c r="M85" s="52"/>
      <x:c r="N85" s="52"/>
      <x:c r="O85" s="53"/>
    </x:row>
    <x:row r="86">
      <x:c r="A86" s="51"/>
      <x:c r="B86" s="52"/>
      <x:c r="C86" s="52"/>
      <x:c r="D86" s="52"/>
      <x:c r="E86" s="52"/>
      <x:c r="F86" s="93"/>
      <x:c r="G86" s="112"/>
      <x:c r="H86" s="93" t="n">
        <x:f>F86*G86</x:f>
        <x:v>0</x:v>
      </x:c>
      <x:c r="I86" s="52"/>
      <x:c r="J86" s="52"/>
      <x:c r="K86" s="52"/>
      <x:c r="L86" s="52"/>
      <x:c r="M86" s="52"/>
      <x:c r="N86" s="52"/>
      <x:c r="O86" s="53"/>
    </x:row>
    <x:row r="87">
      <x:c r="A87" s="51"/>
      <x:c r="B87" s="52"/>
      <x:c r="C87" s="52"/>
      <x:c r="D87" s="52"/>
      <x:c r="E87" s="52"/>
      <x:c r="F87" s="93"/>
      <x:c r="G87" s="112"/>
      <x:c r="H87" s="93" t="n">
        <x:f>F87*G87</x:f>
        <x:v>0</x:v>
      </x:c>
      <x:c r="I87" s="52"/>
      <x:c r="J87" s="52"/>
      <x:c r="K87" s="52"/>
      <x:c r="L87" s="52"/>
      <x:c r="M87" s="52"/>
      <x:c r="N87" s="52"/>
      <x:c r="O87" s="53"/>
    </x:row>
    <x:row r="88">
      <x:c r="A88" s="51"/>
      <x:c r="B88" s="52"/>
      <x:c r="C88" s="52"/>
      <x:c r="D88" s="52"/>
      <x:c r="E88" s="52"/>
      <x:c r="F88" s="93"/>
      <x:c r="G88" s="112"/>
      <x:c r="H88" s="93" t="n">
        <x:f>F88*G88</x:f>
        <x:v>0</x:v>
      </x:c>
      <x:c r="I88" s="52"/>
      <x:c r="J88" s="52"/>
      <x:c r="K88" s="52"/>
      <x:c r="L88" s="52"/>
      <x:c r="M88" s="52"/>
      <x:c r="N88" s="52"/>
      <x:c r="O88" s="53"/>
    </x:row>
    <x:row r="89">
      <x:c r="A89" s="51"/>
      <x:c r="B89" s="52"/>
      <x:c r="C89" s="52"/>
      <x:c r="D89" s="52"/>
      <x:c r="E89" s="52"/>
      <x:c r="F89" s="93"/>
      <x:c r="G89" s="112"/>
      <x:c r="H89" s="93" t="n">
        <x:f>F89*G89</x:f>
        <x:v>0</x:v>
      </x:c>
      <x:c r="I89" s="52"/>
      <x:c r="J89" s="52"/>
      <x:c r="K89" s="52"/>
      <x:c r="L89" s="52"/>
      <x:c r="M89" s="52"/>
      <x:c r="N89" s="52"/>
      <x:c r="O89" s="53"/>
    </x:row>
    <x:row r="90">
      <x:c r="A90" s="51"/>
      <x:c r="B90" s="52"/>
      <x:c r="C90" s="52"/>
      <x:c r="D90" s="52"/>
      <x:c r="E90" s="52"/>
      <x:c r="F90" s="93"/>
      <x:c r="G90" s="112"/>
      <x:c r="H90" s="93" t="n">
        <x:f>F90*G90</x:f>
        <x:v>0</x:v>
      </x:c>
      <x:c r="I90" s="52"/>
      <x:c r="J90" s="52"/>
      <x:c r="K90" s="52"/>
      <x:c r="L90" s="52"/>
      <x:c r="M90" s="52"/>
      <x:c r="N90" s="52"/>
      <x:c r="O90" s="53"/>
    </x:row>
    <x:row r="91">
      <x:c r="A91" s="51"/>
      <x:c r="B91" s="52"/>
      <x:c r="C91" s="52"/>
      <x:c r="D91" s="52"/>
      <x:c r="E91" s="52"/>
      <x:c r="F91" s="93"/>
      <x:c r="G91" s="112"/>
      <x:c r="H91" s="93" t="n">
        <x:f>F91*G91</x:f>
        <x:v>0</x:v>
      </x:c>
      <x:c r="I91" s="52"/>
      <x:c r="J91" s="52"/>
      <x:c r="K91" s="52"/>
      <x:c r="L91" s="52"/>
      <x:c r="M91" s="52"/>
      <x:c r="N91" s="52"/>
      <x:c r="O91" s="53"/>
    </x:row>
    <x:row r="92">
      <x:c r="A92" s="51"/>
      <x:c r="B92" s="52"/>
      <x:c r="C92" s="52"/>
      <x:c r="D92" s="52"/>
      <x:c r="E92" s="52"/>
      <x:c r="F92" s="93"/>
      <x:c r="G92" s="112"/>
      <x:c r="H92" s="93" t="n">
        <x:f>F92*G92</x:f>
        <x:v>0</x:v>
      </x:c>
      <x:c r="I92" s="52"/>
      <x:c r="J92" s="52"/>
      <x:c r="K92" s="52"/>
      <x:c r="L92" s="52"/>
      <x:c r="M92" s="52"/>
      <x:c r="N92" s="52"/>
      <x:c r="O92" s="53"/>
    </x:row>
    <x:row r="93">
      <x:c r="A93" s="51"/>
      <x:c r="B93" s="52"/>
      <x:c r="C93" s="52"/>
      <x:c r="D93" s="52"/>
      <x:c r="E93" s="52"/>
      <x:c r="F93" s="93"/>
      <x:c r="G93" s="112"/>
      <x:c r="H93" s="93" t="n">
        <x:f>F93*G93</x:f>
        <x:v>0</x:v>
      </x:c>
      <x:c r="I93" s="52"/>
      <x:c r="J93" s="52"/>
      <x:c r="K93" s="52"/>
      <x:c r="L93" s="52"/>
      <x:c r="M93" s="52"/>
      <x:c r="N93" s="52"/>
      <x:c r="O93" s="53"/>
    </x:row>
    <x:row r="94">
      <x:c r="A94" s="51"/>
      <x:c r="B94" s="52"/>
      <x:c r="C94" s="52"/>
      <x:c r="D94" s="52"/>
      <x:c r="E94" s="52"/>
      <x:c r="F94" s="93"/>
      <x:c r="G94" s="112"/>
      <x:c r="H94" s="93" t="n">
        <x:f>F94*G94</x:f>
        <x:v>0</x:v>
      </x:c>
      <x:c r="I94" s="52"/>
      <x:c r="J94" s="52"/>
      <x:c r="K94" s="52"/>
      <x:c r="L94" s="52"/>
      <x:c r="M94" s="52"/>
      <x:c r="N94" s="52"/>
      <x:c r="O94" s="53"/>
    </x:row>
    <x:row r="95">
      <x:c r="A95" s="51"/>
      <x:c r="B95" s="52"/>
      <x:c r="C95" s="52"/>
      <x:c r="D95" s="52"/>
      <x:c r="E95" s="52"/>
      <x:c r="F95" s="93"/>
      <x:c r="G95" s="112"/>
      <x:c r="H95" s="93" t="n">
        <x:f>F95*G95</x:f>
        <x:v>0</x:v>
      </x:c>
      <x:c r="I95" s="52"/>
      <x:c r="J95" s="52"/>
      <x:c r="K95" s="52"/>
      <x:c r="L95" s="52"/>
      <x:c r="M95" s="52"/>
      <x:c r="N95" s="52"/>
      <x:c r="O95" s="53"/>
    </x:row>
    <x:row r="96">
      <x:c r="A96" s="51"/>
      <x:c r="B96" s="52"/>
      <x:c r="C96" s="52"/>
      <x:c r="D96" s="52"/>
      <x:c r="E96" s="52"/>
      <x:c r="F96" s="93"/>
      <x:c r="G96" s="112"/>
      <x:c r="H96" s="93" t="n">
        <x:f>F96*G96</x:f>
        <x:v>0</x:v>
      </x:c>
      <x:c r="I96" s="52"/>
      <x:c r="J96" s="52"/>
      <x:c r="K96" s="52"/>
      <x:c r="L96" s="52"/>
      <x:c r="M96" s="52"/>
      <x:c r="N96" s="52"/>
      <x:c r="O96" s="53"/>
    </x:row>
    <x:row r="97">
      <x:c r="A97" s="51"/>
      <x:c r="B97" s="52"/>
      <x:c r="C97" s="52"/>
      <x:c r="D97" s="52"/>
      <x:c r="E97" s="52"/>
      <x:c r="F97" s="93"/>
      <x:c r="G97" s="112"/>
      <x:c r="H97" s="93" t="n">
        <x:f>F97*G97</x:f>
        <x:v>0</x:v>
      </x:c>
      <x:c r="I97" s="52"/>
      <x:c r="J97" s="52"/>
      <x:c r="K97" s="52"/>
      <x:c r="L97" s="52"/>
      <x:c r="M97" s="52"/>
      <x:c r="N97" s="52"/>
      <x:c r="O97" s="53"/>
    </x:row>
    <x:row r="98">
      <x:c r="A98" s="51"/>
      <x:c r="B98" s="52"/>
      <x:c r="C98" s="52"/>
      <x:c r="D98" s="52"/>
      <x:c r="E98" s="52"/>
      <x:c r="F98" s="93"/>
      <x:c r="G98" s="112"/>
      <x:c r="H98" s="93" t="n">
        <x:f>F98*G98</x:f>
        <x:v>0</x:v>
      </x:c>
      <x:c r="I98" s="52"/>
      <x:c r="J98" s="52"/>
      <x:c r="K98" s="52"/>
      <x:c r="L98" s="52"/>
      <x:c r="M98" s="52"/>
      <x:c r="N98" s="52"/>
      <x:c r="O98" s="53"/>
    </x:row>
    <x:row r="99">
      <x:c r="A99" s="51"/>
      <x:c r="B99" s="52"/>
      <x:c r="C99" s="52"/>
      <x:c r="D99" s="52"/>
      <x:c r="E99" s="52"/>
      <x:c r="F99" s="93"/>
      <x:c r="G99" s="112"/>
      <x:c r="H99" s="93" t="n">
        <x:f>F99*G99</x:f>
        <x:v>0</x:v>
      </x:c>
      <x:c r="I99" s="52"/>
      <x:c r="J99" s="52"/>
      <x:c r="K99" s="52"/>
      <x:c r="L99" s="52"/>
      <x:c r="M99" s="52"/>
      <x:c r="N99" s="52"/>
      <x:c r="O99" s="53"/>
    </x:row>
    <x:row r="100">
      <x:c r="A100" s="51"/>
      <x:c r="B100" s="52"/>
      <x:c r="C100" s="52"/>
      <x:c r="D100" s="52"/>
      <x:c r="E100" s="52"/>
      <x:c r="F100" s="93"/>
      <x:c r="G100" s="112"/>
      <x:c r="H100" s="93" t="n">
        <x:f>F100*G100</x:f>
        <x:v>0</x:v>
      </x:c>
      <x:c r="I100" s="52"/>
      <x:c r="J100" s="52"/>
      <x:c r="K100" s="52"/>
      <x:c r="L100" s="52"/>
      <x:c r="M100" s="52"/>
      <x:c r="N100" s="52"/>
      <x:c r="O100" s="53"/>
    </x:row>
    <x:row r="101">
      <x:c r="A101" s="51"/>
      <x:c r="B101" s="52"/>
      <x:c r="C101" s="52"/>
      <x:c r="D101" s="52"/>
      <x:c r="E101" s="52"/>
      <x:c r="F101" s="93"/>
      <x:c r="G101" s="112"/>
      <x:c r="H101" s="93" t="n">
        <x:f>F101*G101</x:f>
        <x:v>0</x:v>
      </x:c>
      <x:c r="I101" s="52"/>
      <x:c r="J101" s="52"/>
      <x:c r="K101" s="52"/>
      <x:c r="L101" s="52"/>
      <x:c r="M101" s="52"/>
      <x:c r="N101" s="52"/>
      <x:c r="O101" s="53"/>
    </x:row>
    <x:row r="102">
      <x:c r="A102" s="51"/>
      <x:c r="B102" s="52"/>
      <x:c r="C102" s="52"/>
      <x:c r="D102" s="52"/>
      <x:c r="E102" s="52"/>
      <x:c r="F102" s="93"/>
      <x:c r="G102" s="112"/>
      <x:c r="H102" s="93" t="n">
        <x:f>F102*G102</x:f>
        <x:v>0</x:v>
      </x:c>
      <x:c r="I102" s="52"/>
      <x:c r="J102" s="52"/>
      <x:c r="K102" s="52"/>
      <x:c r="L102" s="52"/>
      <x:c r="M102" s="52"/>
      <x:c r="N102" s="52"/>
      <x:c r="O102" s="53"/>
    </x:row>
    <x:row r="103">
      <x:c r="A103" s="51"/>
      <x:c r="B103" s="52"/>
      <x:c r="C103" s="52"/>
      <x:c r="D103" s="52"/>
      <x:c r="E103" s="52"/>
      <x:c r="F103" s="93"/>
      <x:c r="G103" s="112"/>
      <x:c r="H103" s="93" t="n">
        <x:f>F103*G103</x:f>
        <x:v>0</x:v>
      </x:c>
      <x:c r="I103" s="52"/>
      <x:c r="J103" s="52"/>
      <x:c r="K103" s="52"/>
      <x:c r="L103" s="52"/>
      <x:c r="M103" s="52"/>
      <x:c r="N103" s="52"/>
      <x:c r="O103" s="53"/>
    </x:row>
    <x:row r="104">
      <x:c r="A104" s="51"/>
      <x:c r="B104" s="52"/>
      <x:c r="C104" s="52"/>
      <x:c r="D104" s="52"/>
      <x:c r="E104" s="52"/>
      <x:c r="F104" s="93"/>
      <x:c r="G104" s="112"/>
      <x:c r="H104" s="93" t="n">
        <x:f>F104*G104</x:f>
        <x:v>0</x:v>
      </x:c>
      <x:c r="I104" s="52"/>
      <x:c r="J104" s="52"/>
      <x:c r="K104" s="52"/>
      <x:c r="L104" s="52"/>
      <x:c r="M104" s="52"/>
      <x:c r="N104" s="52"/>
      <x:c r="O104" s="53"/>
    </x:row>
    <x:row r="105">
      <x:c r="A105" s="51"/>
      <x:c r="B105" s="52"/>
      <x:c r="C105" s="52"/>
      <x:c r="D105" s="52"/>
      <x:c r="E105" s="52"/>
      <x:c r="F105" s="93"/>
      <x:c r="G105" s="112"/>
      <x:c r="H105" s="93" t="n">
        <x:f>F105*G105</x:f>
        <x:v>0</x:v>
      </x:c>
      <x:c r="I105" s="52"/>
      <x:c r="J105" s="52"/>
      <x:c r="K105" s="52"/>
      <x:c r="L105" s="52"/>
      <x:c r="M105" s="52"/>
      <x:c r="N105" s="52"/>
      <x:c r="O105" s="53"/>
    </x:row>
    <x:row r="106">
      <x:c r="A106" s="51"/>
      <x:c r="B106" s="52"/>
      <x:c r="C106" s="52"/>
      <x:c r="D106" s="52"/>
      <x:c r="E106" s="52"/>
      <x:c r="F106" s="93"/>
      <x:c r="G106" s="112"/>
      <x:c r="H106" s="93" t="n">
        <x:f>F106*G106</x:f>
        <x:v>0</x:v>
      </x:c>
      <x:c r="I106" s="52"/>
      <x:c r="J106" s="52"/>
      <x:c r="K106" s="52"/>
      <x:c r="L106" s="52"/>
      <x:c r="M106" s="52"/>
      <x:c r="N106" s="52"/>
      <x:c r="O106" s="53"/>
    </x:row>
    <x:row r="107">
      <x:c r="A107" s="51"/>
      <x:c r="B107" s="52"/>
      <x:c r="C107" s="52"/>
      <x:c r="D107" s="52"/>
      <x:c r="E107" s="52"/>
      <x:c r="F107" s="93"/>
      <x:c r="G107" s="112"/>
      <x:c r="H107" s="93" t="n">
        <x:f>F107*G107</x:f>
        <x:v>0</x:v>
      </x:c>
      <x:c r="I107" s="52"/>
      <x:c r="J107" s="52"/>
      <x:c r="K107" s="52"/>
      <x:c r="L107" s="52"/>
      <x:c r="M107" s="52"/>
      <x:c r="N107" s="52"/>
      <x:c r="O107" s="53"/>
    </x:row>
    <x:row r="108">
      <x:c r="A108" s="51"/>
      <x:c r="B108" s="52"/>
      <x:c r="C108" s="52"/>
      <x:c r="D108" s="52"/>
      <x:c r="E108" s="52"/>
      <x:c r="F108" s="93"/>
      <x:c r="G108" s="112"/>
      <x:c r="H108" s="93" t="n">
        <x:f>F108*G108</x:f>
        <x:v>0</x:v>
      </x:c>
      <x:c r="I108" s="52"/>
      <x:c r="J108" s="52"/>
      <x:c r="K108" s="52"/>
      <x:c r="L108" s="52"/>
      <x:c r="M108" s="52"/>
      <x:c r="N108" s="52"/>
      <x:c r="O108" s="53"/>
    </x:row>
    <x:row r="109">
      <x:c r="A109" s="51"/>
      <x:c r="B109" s="52"/>
      <x:c r="C109" s="52"/>
      <x:c r="D109" s="52"/>
      <x:c r="E109" s="52"/>
      <x:c r="F109" s="93"/>
      <x:c r="G109" s="112"/>
      <x:c r="H109" s="93" t="n">
        <x:f>F109*G109</x:f>
        <x:v>0</x:v>
      </x:c>
      <x:c r="I109" s="52"/>
      <x:c r="J109" s="52"/>
      <x:c r="K109" s="52"/>
      <x:c r="L109" s="52"/>
      <x:c r="M109" s="52"/>
      <x:c r="N109" s="52"/>
      <x:c r="O109" s="53"/>
    </x:row>
    <x:row r="110">
      <x:c r="A110" s="51"/>
      <x:c r="B110" s="52"/>
      <x:c r="C110" s="52"/>
      <x:c r="D110" s="52"/>
      <x:c r="E110" s="52"/>
      <x:c r="F110" s="93"/>
      <x:c r="G110" s="112"/>
      <x:c r="H110" s="93" t="n">
        <x:f>F110*G110</x:f>
        <x:v>0</x:v>
      </x:c>
      <x:c r="I110" s="52"/>
      <x:c r="J110" s="52"/>
      <x:c r="K110" s="52"/>
      <x:c r="L110" s="52"/>
      <x:c r="M110" s="52"/>
      <x:c r="N110" s="52"/>
      <x:c r="O110" s="53"/>
    </x:row>
    <x:row r="111">
      <x:c r="A111" s="51"/>
      <x:c r="B111" s="52"/>
      <x:c r="C111" s="52"/>
      <x:c r="D111" s="52"/>
      <x:c r="E111" s="52"/>
      <x:c r="F111" s="93"/>
      <x:c r="G111" s="112"/>
      <x:c r="H111" s="93" t="n">
        <x:f>F111*G111</x:f>
        <x:v>0</x:v>
      </x:c>
      <x:c r="I111" s="52"/>
      <x:c r="J111" s="52"/>
      <x:c r="K111" s="52"/>
      <x:c r="L111" s="52"/>
      <x:c r="M111" s="52"/>
      <x:c r="N111" s="52"/>
      <x:c r="O111" s="53"/>
    </x:row>
    <x:row r="112">
      <x:c r="A112" s="51"/>
      <x:c r="B112" s="52"/>
      <x:c r="C112" s="52"/>
      <x:c r="D112" s="52"/>
      <x:c r="E112" s="52"/>
      <x:c r="F112" s="93"/>
      <x:c r="G112" s="112"/>
      <x:c r="H112" s="93" t="n">
        <x:f>F112*G112</x:f>
        <x:v>0</x:v>
      </x:c>
      <x:c r="I112" s="52"/>
      <x:c r="J112" s="52"/>
      <x:c r="K112" s="52"/>
      <x:c r="L112" s="52"/>
      <x:c r="M112" s="52"/>
      <x:c r="N112" s="52"/>
      <x:c r="O112" s="53"/>
    </x:row>
    <x:row r="113">
      <x:c r="A113" s="51"/>
      <x:c r="B113" s="52"/>
      <x:c r="C113" s="52"/>
      <x:c r="D113" s="52"/>
      <x:c r="E113" s="52"/>
      <x:c r="F113" s="93"/>
      <x:c r="G113" s="112"/>
      <x:c r="H113" s="93" t="n">
        <x:f>F113*G113</x:f>
        <x:v>0</x:v>
      </x:c>
      <x:c r="I113" s="52"/>
      <x:c r="J113" s="52"/>
      <x:c r="K113" s="52"/>
      <x:c r="L113" s="52"/>
      <x:c r="M113" s="52"/>
      <x:c r="N113" s="52"/>
      <x:c r="O113" s="53"/>
    </x:row>
    <x:row r="114">
      <x:c r="A114" s="51"/>
      <x:c r="B114" s="52"/>
      <x:c r="C114" s="52"/>
      <x:c r="D114" s="52"/>
      <x:c r="E114" s="52"/>
      <x:c r="F114" s="93"/>
      <x:c r="G114" s="112"/>
      <x:c r="H114" s="93" t="n">
        <x:f>F114*G114</x:f>
        <x:v>0</x:v>
      </x:c>
      <x:c r="I114" s="52"/>
      <x:c r="J114" s="52"/>
      <x:c r="K114" s="52"/>
      <x:c r="L114" s="52"/>
      <x:c r="M114" s="52"/>
      <x:c r="N114" s="52"/>
      <x:c r="O114" s="53"/>
    </x:row>
    <x:row r="115">
      <x:c r="A115" s="51"/>
      <x:c r="B115" s="52"/>
      <x:c r="C115" s="52"/>
      <x:c r="D115" s="52"/>
      <x:c r="E115" s="52"/>
      <x:c r="F115" s="93"/>
      <x:c r="G115" s="112"/>
      <x:c r="H115" s="93" t="n">
        <x:f>F115*G115</x:f>
        <x:v>0</x:v>
      </x:c>
      <x:c r="I115" s="52"/>
      <x:c r="J115" s="52"/>
      <x:c r="K115" s="52"/>
      <x:c r="L115" s="52"/>
      <x:c r="M115" s="52"/>
      <x:c r="N115" s="52"/>
      <x:c r="O115" s="53"/>
    </x:row>
    <x:row r="116">
      <x:c r="A116" s="51"/>
      <x:c r="B116" s="52"/>
      <x:c r="C116" s="52"/>
      <x:c r="D116" s="52"/>
      <x:c r="E116" s="52"/>
      <x:c r="F116" s="93"/>
      <x:c r="G116" s="112"/>
      <x:c r="H116" s="93" t="n">
        <x:f>F116*G116</x:f>
        <x:v>0</x:v>
      </x:c>
      <x:c r="I116" s="52"/>
      <x:c r="J116" s="52"/>
      <x:c r="K116" s="52"/>
      <x:c r="L116" s="52"/>
      <x:c r="M116" s="52"/>
      <x:c r="N116" s="52"/>
      <x:c r="O116" s="53"/>
    </x:row>
    <x:row r="117">
      <x:c r="A117" s="51"/>
      <x:c r="B117" s="52"/>
      <x:c r="C117" s="52"/>
      <x:c r="D117" s="52"/>
      <x:c r="E117" s="52"/>
      <x:c r="F117" s="93"/>
      <x:c r="G117" s="112"/>
      <x:c r="H117" s="93" t="n">
        <x:f>F117*G117</x:f>
        <x:v>0</x:v>
      </x:c>
      <x:c r="I117" s="52"/>
      <x:c r="J117" s="52"/>
      <x:c r="K117" s="52"/>
      <x:c r="L117" s="52"/>
      <x:c r="M117" s="52"/>
      <x:c r="N117" s="52"/>
      <x:c r="O117" s="53"/>
    </x:row>
    <x:row r="118">
      <x:c r="A118" s="51"/>
      <x:c r="B118" s="52"/>
      <x:c r="C118" s="52"/>
      <x:c r="D118" s="52"/>
      <x:c r="E118" s="52"/>
      <x:c r="F118" s="93"/>
      <x:c r="G118" s="112"/>
      <x:c r="H118" s="93" t="n">
        <x:f>F118*G118</x:f>
        <x:v>0</x:v>
      </x:c>
      <x:c r="I118" s="52"/>
      <x:c r="J118" s="52"/>
      <x:c r="K118" s="52"/>
      <x:c r="L118" s="52"/>
      <x:c r="M118" s="52"/>
      <x:c r="N118" s="52"/>
      <x:c r="O118" s="53"/>
    </x:row>
    <x:row r="119">
      <x:c r="A119" s="51"/>
      <x:c r="B119" s="52"/>
      <x:c r="C119" s="52"/>
      <x:c r="D119" s="52"/>
      <x:c r="E119" s="52"/>
      <x:c r="F119" s="93"/>
      <x:c r="G119" s="112"/>
      <x:c r="H119" s="93" t="n">
        <x:f>F119*G119</x:f>
        <x:v>0</x:v>
      </x:c>
      <x:c r="I119" s="52"/>
      <x:c r="J119" s="52"/>
      <x:c r="K119" s="52"/>
      <x:c r="L119" s="52"/>
      <x:c r="M119" s="52"/>
      <x:c r="N119" s="52"/>
      <x:c r="O119" s="53"/>
    </x:row>
    <x:row r="120">
      <x:c r="A120" s="51"/>
      <x:c r="B120" s="52"/>
      <x:c r="C120" s="52"/>
      <x:c r="D120" s="52"/>
      <x:c r="E120" s="52"/>
      <x:c r="F120" s="93"/>
      <x:c r="G120" s="112"/>
      <x:c r="H120" s="93" t="n">
        <x:f>F120*G120</x:f>
        <x:v>0</x:v>
      </x:c>
      <x:c r="I120" s="52"/>
      <x:c r="J120" s="52"/>
      <x:c r="K120" s="52"/>
      <x:c r="L120" s="52"/>
      <x:c r="M120" s="52"/>
      <x:c r="N120" s="52"/>
      <x:c r="O120" s="53"/>
    </x:row>
    <x:row r="121">
      <x:c r="A121" s="51"/>
      <x:c r="B121" s="52"/>
      <x:c r="C121" s="52"/>
      <x:c r="D121" s="52"/>
      <x:c r="E121" s="52"/>
      <x:c r="F121" s="93"/>
      <x:c r="G121" s="112"/>
      <x:c r="H121" s="93" t="n">
        <x:f>F121*G121</x:f>
        <x:v>0</x:v>
      </x:c>
      <x:c r="I121" s="52"/>
      <x:c r="J121" s="52"/>
      <x:c r="K121" s="52"/>
      <x:c r="L121" s="52"/>
      <x:c r="M121" s="52"/>
      <x:c r="N121" s="52"/>
      <x:c r="O121" s="53"/>
    </x:row>
    <x:row r="122">
      <x:c r="A122" s="51"/>
      <x:c r="B122" s="52"/>
      <x:c r="C122" s="52"/>
      <x:c r="D122" s="52"/>
      <x:c r="E122" s="52"/>
      <x:c r="F122" s="93"/>
      <x:c r="G122" s="112"/>
      <x:c r="H122" s="93" t="n">
        <x:f>F122*G122</x:f>
        <x:v>0</x:v>
      </x:c>
      <x:c r="I122" s="52"/>
      <x:c r="J122" s="52"/>
      <x:c r="K122" s="52"/>
      <x:c r="L122" s="52"/>
      <x:c r="M122" s="52"/>
      <x:c r="N122" s="52"/>
      <x:c r="O122" s="53"/>
    </x:row>
    <x:row r="123">
      <x:c r="A123" s="51"/>
      <x:c r="B123" s="52"/>
      <x:c r="C123" s="52"/>
      <x:c r="D123" s="52"/>
      <x:c r="E123" s="52"/>
      <x:c r="F123" s="93"/>
      <x:c r="G123" s="112"/>
      <x:c r="H123" s="93" t="n">
        <x:f>F123*G123</x:f>
        <x:v>0</x:v>
      </x:c>
      <x:c r="I123" s="52"/>
      <x:c r="J123" s="52"/>
      <x:c r="K123" s="52"/>
      <x:c r="L123" s="52"/>
      <x:c r="M123" s="52"/>
      <x:c r="N123" s="52"/>
      <x:c r="O123" s="53"/>
    </x:row>
    <x:row r="124">
      <x:c r="A124" s="51"/>
      <x:c r="B124" s="52"/>
      <x:c r="C124" s="52"/>
      <x:c r="D124" s="52"/>
      <x:c r="E124" s="52"/>
      <x:c r="F124" s="93"/>
      <x:c r="G124" s="112"/>
      <x:c r="H124" s="93" t="n">
        <x:f>F124*G124</x:f>
        <x:v>0</x:v>
      </x:c>
      <x:c r="I124" s="52"/>
      <x:c r="J124" s="52"/>
      <x:c r="K124" s="52"/>
      <x:c r="L124" s="52"/>
      <x:c r="M124" s="52"/>
      <x:c r="N124" s="52"/>
      <x:c r="O124" s="53"/>
    </x:row>
    <x:row r="125">
      <x:c r="A125" s="51"/>
      <x:c r="B125" s="52"/>
      <x:c r="C125" s="52"/>
      <x:c r="D125" s="52"/>
      <x:c r="E125" s="52"/>
      <x:c r="F125" s="93"/>
      <x:c r="G125" s="112"/>
      <x:c r="H125" s="93" t="n">
        <x:f>F125*G125</x:f>
        <x:v>0</x:v>
      </x:c>
      <x:c r="I125" s="52"/>
      <x:c r="J125" s="52"/>
      <x:c r="K125" s="52"/>
      <x:c r="L125" s="52"/>
      <x:c r="M125" s="52"/>
      <x:c r="N125" s="52"/>
      <x:c r="O125" s="53"/>
    </x:row>
    <x:row r="126">
      <x:c r="A126" s="51"/>
      <x:c r="B126" s="52"/>
      <x:c r="C126" s="52"/>
      <x:c r="D126" s="52"/>
      <x:c r="E126" s="52"/>
      <x:c r="F126" s="93"/>
      <x:c r="G126" s="112"/>
      <x:c r="H126" s="93" t="n">
        <x:f>F126*G126</x:f>
        <x:v>0</x:v>
      </x:c>
      <x:c r="I126" s="52"/>
      <x:c r="J126" s="52"/>
      <x:c r="K126" s="52"/>
      <x:c r="L126" s="52"/>
      <x:c r="M126" s="52"/>
      <x:c r="N126" s="52"/>
      <x:c r="O126" s="53"/>
    </x:row>
    <x:row r="127">
      <x:c r="A127" s="51"/>
      <x:c r="B127" s="52"/>
      <x:c r="C127" s="52"/>
      <x:c r="D127" s="52"/>
      <x:c r="E127" s="52"/>
      <x:c r="F127" s="93"/>
      <x:c r="G127" s="112"/>
      <x:c r="H127" s="93" t="n">
        <x:f>F127*G127</x:f>
        <x:v>0</x:v>
      </x:c>
      <x:c r="I127" s="52"/>
      <x:c r="J127" s="52"/>
      <x:c r="K127" s="52"/>
      <x:c r="L127" s="52"/>
      <x:c r="M127" s="52"/>
      <x:c r="N127" s="52"/>
      <x:c r="O127" s="53"/>
    </x:row>
    <x:row r="128">
      <x:c r="A128" s="51"/>
      <x:c r="B128" s="52"/>
      <x:c r="C128" s="52"/>
      <x:c r="D128" s="52"/>
      <x:c r="E128" s="52"/>
      <x:c r="F128" s="93"/>
      <x:c r="G128" s="112"/>
      <x:c r="H128" s="93" t="n">
        <x:f>F128*G128</x:f>
        <x:v>0</x:v>
      </x:c>
      <x:c r="I128" s="52"/>
      <x:c r="J128" s="52"/>
      <x:c r="K128" s="52"/>
      <x:c r="L128" s="52"/>
      <x:c r="M128" s="52"/>
      <x:c r="N128" s="52"/>
      <x:c r="O128" s="53"/>
    </x:row>
    <x:row r="129">
      <x:c r="A129" s="51"/>
      <x:c r="B129" s="52"/>
      <x:c r="C129" s="52"/>
      <x:c r="D129" s="52"/>
      <x:c r="E129" s="52"/>
      <x:c r="F129" s="93"/>
      <x:c r="G129" s="112"/>
      <x:c r="H129" s="93" t="n">
        <x:f>F129*G129</x:f>
        <x:v>0</x:v>
      </x:c>
      <x:c r="I129" s="52"/>
      <x:c r="J129" s="52"/>
      <x:c r="K129" s="52"/>
      <x:c r="L129" s="52"/>
      <x:c r="M129" s="52"/>
      <x:c r="N129" s="52"/>
      <x:c r="O129" s="53"/>
    </x:row>
    <x:row r="130">
      <x:c r="A130" s="51"/>
      <x:c r="B130" s="52"/>
      <x:c r="C130" s="52"/>
      <x:c r="D130" s="52"/>
      <x:c r="E130" s="52"/>
      <x:c r="F130" s="93"/>
      <x:c r="G130" s="112"/>
      <x:c r="H130" s="93" t="n">
        <x:f>F130*G130</x:f>
        <x:v>0</x:v>
      </x:c>
      <x:c r="I130" s="52"/>
      <x:c r="J130" s="52"/>
      <x:c r="K130" s="52"/>
      <x:c r="L130" s="52"/>
      <x:c r="M130" s="52"/>
      <x:c r="N130" s="52"/>
      <x:c r="O130" s="53"/>
    </x:row>
    <x:row r="131">
      <x:c r="A131" s="51"/>
      <x:c r="B131" s="52"/>
      <x:c r="C131" s="52"/>
      <x:c r="D131" s="52"/>
      <x:c r="E131" s="52"/>
      <x:c r="F131" s="93"/>
      <x:c r="G131" s="112"/>
      <x:c r="H131" s="93" t="n">
        <x:f>F131*G131</x:f>
        <x:v>0</x:v>
      </x:c>
      <x:c r="I131" s="52"/>
      <x:c r="J131" s="52"/>
      <x:c r="K131" s="52"/>
      <x:c r="L131" s="52"/>
      <x:c r="M131" s="52"/>
      <x:c r="N131" s="52"/>
      <x:c r="O131" s="53"/>
    </x:row>
    <x:row r="132">
      <x:c r="A132" s="51"/>
      <x:c r="B132" s="52"/>
      <x:c r="C132" s="52"/>
      <x:c r="D132" s="52"/>
      <x:c r="E132" s="52"/>
      <x:c r="F132" s="93"/>
      <x:c r="G132" s="112"/>
      <x:c r="H132" s="93" t="n">
        <x:f>F132*G132</x:f>
        <x:v>0</x:v>
      </x:c>
      <x:c r="I132" s="52"/>
      <x:c r="J132" s="52"/>
      <x:c r="K132" s="52"/>
      <x:c r="L132" s="52"/>
      <x:c r="M132" s="52"/>
      <x:c r="N132" s="52"/>
      <x:c r="O132" s="53"/>
    </x:row>
    <x:row r="133">
      <x:c r="A133" s="51"/>
      <x:c r="B133" s="52"/>
      <x:c r="C133" s="52"/>
      <x:c r="D133" s="52"/>
      <x:c r="E133" s="52"/>
      <x:c r="F133" s="93"/>
      <x:c r="G133" s="112"/>
      <x:c r="H133" s="93" t="n">
        <x:f>F133*G133</x:f>
        <x:v>0</x:v>
      </x:c>
      <x:c r="I133" s="52"/>
      <x:c r="J133" s="52"/>
      <x:c r="K133" s="52"/>
      <x:c r="L133" s="52"/>
      <x:c r="M133" s="52"/>
      <x:c r="N133" s="52"/>
      <x:c r="O133" s="53"/>
    </x:row>
    <x:row r="134">
      <x:c r="A134" s="51"/>
      <x:c r="B134" s="52"/>
      <x:c r="C134" s="52"/>
      <x:c r="D134" s="52"/>
      <x:c r="E134" s="52"/>
      <x:c r="F134" s="93"/>
      <x:c r="G134" s="112"/>
      <x:c r="H134" s="93" t="n">
        <x:f>F134*G134</x:f>
        <x:v>0</x:v>
      </x:c>
      <x:c r="I134" s="52"/>
      <x:c r="J134" s="52"/>
      <x:c r="K134" s="52"/>
      <x:c r="L134" s="52"/>
      <x:c r="M134" s="52"/>
      <x:c r="N134" s="52"/>
      <x:c r="O134" s="53"/>
    </x:row>
    <x:row r="135">
      <x:c r="A135" s="51"/>
      <x:c r="B135" s="52"/>
      <x:c r="C135" s="52"/>
      <x:c r="D135" s="52"/>
      <x:c r="E135" s="52"/>
      <x:c r="F135" s="93"/>
      <x:c r="G135" s="112"/>
      <x:c r="H135" s="93" t="n">
        <x:f>F135*G135</x:f>
        <x:v>0</x:v>
      </x:c>
      <x:c r="I135" s="52"/>
      <x:c r="J135" s="52"/>
      <x:c r="K135" s="52"/>
      <x:c r="L135" s="52"/>
      <x:c r="M135" s="52"/>
      <x:c r="N135" s="52"/>
      <x:c r="O135" s="53"/>
    </x:row>
    <x:row r="136">
      <x:c r="A136" s="51"/>
      <x:c r="B136" s="52"/>
      <x:c r="C136" s="52"/>
      <x:c r="D136" s="52"/>
      <x:c r="E136" s="52"/>
      <x:c r="F136" s="93"/>
      <x:c r="G136" s="112"/>
      <x:c r="H136" s="93" t="n">
        <x:f>F136*G136</x:f>
        <x:v>0</x:v>
      </x:c>
      <x:c r="I136" s="52"/>
      <x:c r="J136" s="52"/>
      <x:c r="K136" s="52"/>
      <x:c r="L136" s="52"/>
      <x:c r="M136" s="52"/>
      <x:c r="N136" s="52"/>
      <x:c r="O136" s="53"/>
    </x:row>
    <x:row r="137">
      <x:c r="A137" s="51"/>
      <x:c r="B137" s="52"/>
      <x:c r="C137" s="52"/>
      <x:c r="D137" s="52"/>
      <x:c r="E137" s="52"/>
      <x:c r="F137" s="93"/>
      <x:c r="G137" s="112"/>
      <x:c r="H137" s="93" t="n">
        <x:f>F137*G137</x:f>
        <x:v>0</x:v>
      </x:c>
      <x:c r="I137" s="52"/>
      <x:c r="J137" s="52"/>
      <x:c r="K137" s="52"/>
      <x:c r="L137" s="52"/>
      <x:c r="M137" s="52"/>
      <x:c r="N137" s="52"/>
      <x:c r="O137" s="53"/>
    </x:row>
    <x:row r="138">
      <x:c r="A138" s="51"/>
      <x:c r="B138" s="52"/>
      <x:c r="C138" s="52"/>
      <x:c r="D138" s="52"/>
      <x:c r="E138" s="52"/>
      <x:c r="F138" s="93"/>
      <x:c r="G138" s="112"/>
      <x:c r="H138" s="93" t="n">
        <x:f>F138*G138</x:f>
        <x:v>0</x:v>
      </x:c>
      <x:c r="I138" s="52"/>
      <x:c r="J138" s="52"/>
      <x:c r="K138" s="52"/>
      <x:c r="L138" s="52"/>
      <x:c r="M138" s="52"/>
      <x:c r="N138" s="52"/>
      <x:c r="O138" s="53"/>
    </x:row>
    <x:row r="139">
      <x:c r="A139" s="51"/>
      <x:c r="B139" s="52"/>
      <x:c r="C139" s="52"/>
      <x:c r="D139" s="52"/>
      <x:c r="E139" s="52"/>
      <x:c r="F139" s="93"/>
      <x:c r="G139" s="112"/>
      <x:c r="H139" s="93" t="n">
        <x:f>F139*G139</x:f>
        <x:v>0</x:v>
      </x:c>
      <x:c r="I139" s="52"/>
      <x:c r="J139" s="52"/>
      <x:c r="K139" s="52"/>
      <x:c r="L139" s="52"/>
      <x:c r="M139" s="52"/>
      <x:c r="N139" s="52"/>
      <x:c r="O139" s="53"/>
    </x:row>
    <x:row r="140">
      <x:c r="A140" s="51"/>
      <x:c r="B140" s="52"/>
      <x:c r="C140" s="52"/>
      <x:c r="D140" s="52"/>
      <x:c r="E140" s="52"/>
      <x:c r="F140" s="93"/>
      <x:c r="G140" s="112"/>
      <x:c r="H140" s="93" t="n">
        <x:f>F140*G140</x:f>
        <x:v>0</x:v>
      </x:c>
      <x:c r="I140" s="52"/>
      <x:c r="J140" s="52"/>
      <x:c r="K140" s="52"/>
      <x:c r="L140" s="52"/>
      <x:c r="M140" s="52"/>
      <x:c r="N140" s="52"/>
      <x:c r="O140" s="53"/>
    </x:row>
    <x:row r="141">
      <x:c r="A141" s="51"/>
      <x:c r="B141" s="52"/>
      <x:c r="C141" s="52"/>
      <x:c r="D141" s="52"/>
      <x:c r="E141" s="52"/>
      <x:c r="F141" s="93"/>
      <x:c r="G141" s="112"/>
      <x:c r="H141" s="93" t="n">
        <x:f>F141*G141</x:f>
        <x:v>0</x:v>
      </x:c>
      <x:c r="I141" s="52"/>
      <x:c r="J141" s="52"/>
      <x:c r="K141" s="52"/>
      <x:c r="L141" s="52"/>
      <x:c r="M141" s="52"/>
      <x:c r="N141" s="52"/>
      <x:c r="O141" s="53"/>
    </x:row>
    <x:row r="142">
      <x:c r="A142" s="51"/>
      <x:c r="B142" s="52"/>
      <x:c r="C142" s="52"/>
      <x:c r="D142" s="52"/>
      <x:c r="E142" s="52"/>
      <x:c r="F142" s="93"/>
      <x:c r="G142" s="112"/>
      <x:c r="H142" s="93" t="n">
        <x:f>F142*G142</x:f>
        <x:v>0</x:v>
      </x:c>
      <x:c r="I142" s="52"/>
      <x:c r="J142" s="52"/>
      <x:c r="K142" s="52"/>
      <x:c r="L142" s="52"/>
      <x:c r="M142" s="52"/>
      <x:c r="N142" s="52"/>
      <x:c r="O142" s="53"/>
    </x:row>
    <x:row r="143">
      <x:c r="A143" s="51"/>
      <x:c r="B143" s="52"/>
      <x:c r="C143" s="52"/>
      <x:c r="D143" s="52"/>
      <x:c r="E143" s="52"/>
      <x:c r="F143" s="93"/>
      <x:c r="G143" s="112"/>
      <x:c r="H143" s="93" t="n">
        <x:f>F143*G143</x:f>
        <x:v>0</x:v>
      </x:c>
      <x:c r="I143" s="52"/>
      <x:c r="J143" s="52"/>
      <x:c r="K143" s="52"/>
      <x:c r="L143" s="52"/>
      <x:c r="M143" s="52"/>
      <x:c r="N143" s="52"/>
      <x:c r="O143" s="53"/>
    </x:row>
    <x:row r="144">
      <x:c r="A144" s="51"/>
      <x:c r="B144" s="52"/>
      <x:c r="C144" s="52"/>
      <x:c r="D144" s="52"/>
      <x:c r="E144" s="52"/>
      <x:c r="F144" s="93"/>
      <x:c r="G144" s="112"/>
      <x:c r="H144" s="93" t="n">
        <x:f>F144*G144</x:f>
        <x:v>0</x:v>
      </x:c>
      <x:c r="I144" s="52"/>
      <x:c r="J144" s="52"/>
      <x:c r="K144" s="52"/>
      <x:c r="L144" s="52"/>
      <x:c r="M144" s="52"/>
      <x:c r="N144" s="52"/>
      <x:c r="O144" s="53"/>
    </x:row>
    <x:row r="145">
      <x:c r="A145" s="51"/>
      <x:c r="B145" s="52"/>
      <x:c r="C145" s="52"/>
      <x:c r="D145" s="52"/>
      <x:c r="E145" s="52"/>
      <x:c r="F145" s="93"/>
      <x:c r="G145" s="112"/>
      <x:c r="H145" s="93" t="n">
        <x:f>F145*G145</x:f>
        <x:v>0</x:v>
      </x:c>
      <x:c r="I145" s="52"/>
      <x:c r="J145" s="52"/>
      <x:c r="K145" s="52"/>
      <x:c r="L145" s="52"/>
      <x:c r="M145" s="52"/>
      <x:c r="N145" s="52"/>
      <x:c r="O145" s="53"/>
    </x:row>
    <x:row r="146">
      <x:c r="A146" s="51"/>
      <x:c r="B146" s="52"/>
      <x:c r="C146" s="52"/>
      <x:c r="D146" s="52"/>
      <x:c r="E146" s="52"/>
      <x:c r="F146" s="93"/>
      <x:c r="G146" s="112"/>
      <x:c r="H146" s="93" t="n">
        <x:f>F146*G146</x:f>
        <x:v>0</x:v>
      </x:c>
      <x:c r="I146" s="52"/>
      <x:c r="J146" s="52"/>
      <x:c r="K146" s="52"/>
      <x:c r="L146" s="52"/>
      <x:c r="M146" s="52"/>
      <x:c r="N146" s="52"/>
      <x:c r="O146" s="53"/>
    </x:row>
    <x:row r="147">
      <x:c r="A147" s="51"/>
      <x:c r="B147" s="52"/>
      <x:c r="C147" s="52"/>
      <x:c r="D147" s="52"/>
      <x:c r="E147" s="52"/>
      <x:c r="F147" s="93"/>
      <x:c r="G147" s="112"/>
      <x:c r="H147" s="93" t="n">
        <x:f>F147*G147</x:f>
        <x:v>0</x:v>
      </x:c>
      <x:c r="I147" s="52"/>
      <x:c r="J147" s="52"/>
      <x:c r="K147" s="52"/>
      <x:c r="L147" s="52"/>
      <x:c r="M147" s="52"/>
      <x:c r="N147" s="52"/>
      <x:c r="O147" s="53"/>
    </x:row>
    <x:row r="148">
      <x:c r="A148" s="51"/>
      <x:c r="B148" s="52"/>
      <x:c r="C148" s="52"/>
      <x:c r="D148" s="52"/>
      <x:c r="E148" s="52"/>
      <x:c r="F148" s="93"/>
      <x:c r="G148" s="112"/>
      <x:c r="H148" s="93" t="n">
        <x:f>F148*G148</x:f>
        <x:v>0</x:v>
      </x:c>
      <x:c r="I148" s="52"/>
      <x:c r="J148" s="52"/>
      <x:c r="K148" s="52"/>
      <x:c r="L148" s="52"/>
      <x:c r="M148" s="52"/>
      <x:c r="N148" s="52"/>
      <x:c r="O148" s="53"/>
    </x:row>
    <x:row r="149">
      <x:c r="A149" s="51"/>
      <x:c r="B149" s="52"/>
      <x:c r="C149" s="52"/>
      <x:c r="D149" s="52"/>
      <x:c r="E149" s="52"/>
      <x:c r="F149" s="93"/>
      <x:c r="G149" s="112"/>
      <x:c r="H149" s="93" t="n">
        <x:f>F149*G149</x:f>
        <x:v>0</x:v>
      </x:c>
      <x:c r="I149" s="52"/>
      <x:c r="J149" s="52"/>
      <x:c r="K149" s="52"/>
      <x:c r="L149" s="52"/>
      <x:c r="M149" s="52"/>
      <x:c r="N149" s="52"/>
      <x:c r="O149" s="53"/>
    </x:row>
    <x:row r="150">
      <x:c r="A150" s="51"/>
      <x:c r="B150" s="52"/>
      <x:c r="C150" s="52"/>
      <x:c r="D150" s="52"/>
      <x:c r="E150" s="52"/>
      <x:c r="F150" s="93"/>
      <x:c r="G150" s="112"/>
      <x:c r="H150" s="93" t="n">
        <x:f>F150*G150</x:f>
        <x:v>0</x:v>
      </x:c>
      <x:c r="I150" s="52"/>
      <x:c r="J150" s="52"/>
      <x:c r="K150" s="52"/>
      <x:c r="L150" s="52"/>
      <x:c r="M150" s="52"/>
      <x:c r="N150" s="52"/>
      <x:c r="O150" s="53"/>
    </x:row>
    <x:row r="151">
      <x:c r="A151" s="51"/>
      <x:c r="B151" s="52"/>
      <x:c r="C151" s="52"/>
      <x:c r="D151" s="52"/>
      <x:c r="E151" s="52"/>
      <x:c r="F151" s="93"/>
      <x:c r="G151" s="112"/>
      <x:c r="H151" s="93" t="n">
        <x:f>F151*G151</x:f>
        <x:v>0</x:v>
      </x:c>
      <x:c r="I151" s="52"/>
      <x:c r="J151" s="52"/>
      <x:c r="K151" s="52"/>
      <x:c r="L151" s="52"/>
      <x:c r="M151" s="52"/>
      <x:c r="N151" s="52"/>
      <x:c r="O151" s="53"/>
    </x:row>
    <x:row r="152">
      <x:c r="A152" s="51"/>
      <x:c r="B152" s="52"/>
      <x:c r="C152" s="52"/>
      <x:c r="D152" s="52"/>
      <x:c r="E152" s="52"/>
      <x:c r="F152" s="93"/>
      <x:c r="G152" s="112"/>
      <x:c r="H152" s="93" t="n">
        <x:f>F152*G152</x:f>
        <x:v>0</x:v>
      </x:c>
      <x:c r="I152" s="52"/>
      <x:c r="J152" s="52"/>
      <x:c r="K152" s="52"/>
      <x:c r="L152" s="52"/>
      <x:c r="M152" s="52"/>
      <x:c r="N152" s="52"/>
      <x:c r="O152" s="53"/>
    </x:row>
    <x:row r="153">
      <x:c r="A153" s="51"/>
      <x:c r="B153" s="52"/>
      <x:c r="C153" s="52"/>
      <x:c r="D153" s="52"/>
      <x:c r="E153" s="52"/>
      <x:c r="F153" s="93"/>
      <x:c r="G153" s="112"/>
      <x:c r="H153" s="93" t="n">
        <x:f>F153*G153</x:f>
        <x:v>0</x:v>
      </x:c>
      <x:c r="I153" s="52"/>
      <x:c r="J153" s="52"/>
      <x:c r="K153" s="52"/>
      <x:c r="L153" s="52"/>
      <x:c r="M153" s="52"/>
      <x:c r="N153" s="52"/>
      <x:c r="O153" s="53"/>
    </x:row>
    <x:row r="154">
      <x:c r="A154" s="51"/>
      <x:c r="B154" s="52"/>
      <x:c r="C154" s="52"/>
      <x:c r="D154" s="52"/>
      <x:c r="E154" s="52"/>
      <x:c r="F154" s="93"/>
      <x:c r="G154" s="112"/>
      <x:c r="H154" s="93" t="n">
        <x:f>F154*G154</x:f>
        <x:v>0</x:v>
      </x:c>
      <x:c r="I154" s="52"/>
      <x:c r="J154" s="52"/>
      <x:c r="K154" s="52"/>
      <x:c r="L154" s="52"/>
      <x:c r="M154" s="52"/>
      <x:c r="N154" s="52"/>
      <x:c r="O154" s="53"/>
    </x:row>
    <x:row r="155">
      <x:c r="A155" s="51"/>
      <x:c r="B155" s="52"/>
      <x:c r="C155" s="52"/>
      <x:c r="D155" s="52"/>
      <x:c r="E155" s="52"/>
      <x:c r="F155" s="93"/>
      <x:c r="G155" s="112"/>
      <x:c r="H155" s="93" t="n">
        <x:f>F155*G155</x:f>
        <x:v>0</x:v>
      </x:c>
      <x:c r="I155" s="52"/>
      <x:c r="J155" s="52"/>
      <x:c r="K155" s="52"/>
      <x:c r="L155" s="52"/>
      <x:c r="M155" s="52"/>
      <x:c r="N155" s="52"/>
      <x:c r="O155" s="53"/>
    </x:row>
    <x:row r="156">
      <x:c r="A156" s="51"/>
      <x:c r="B156" s="52"/>
      <x:c r="C156" s="52"/>
      <x:c r="D156" s="52"/>
      <x:c r="E156" s="52"/>
      <x:c r="F156" s="93"/>
      <x:c r="G156" s="112"/>
      <x:c r="H156" s="93" t="n">
        <x:f>F156*G156</x:f>
        <x:v>0</x:v>
      </x:c>
      <x:c r="I156" s="52"/>
      <x:c r="J156" s="52"/>
      <x:c r="K156" s="52"/>
      <x:c r="L156" s="52"/>
      <x:c r="M156" s="52"/>
      <x:c r="N156" s="52"/>
      <x:c r="O156" s="53"/>
    </x:row>
    <x:row r="157">
      <x:c r="A157" s="51"/>
      <x:c r="B157" s="52"/>
      <x:c r="C157" s="52"/>
      <x:c r="D157" s="52"/>
      <x:c r="E157" s="52"/>
      <x:c r="F157" s="93"/>
      <x:c r="G157" s="112"/>
      <x:c r="H157" s="93" t="n">
        <x:f>F157*G157</x:f>
        <x:v>0</x:v>
      </x:c>
      <x:c r="I157" s="52"/>
      <x:c r="J157" s="52"/>
      <x:c r="K157" s="52"/>
      <x:c r="L157" s="52"/>
      <x:c r="M157" s="52"/>
      <x:c r="N157" s="52"/>
      <x:c r="O157" s="53"/>
    </x:row>
    <x:row r="158">
      <x:c r="A158" s="51"/>
      <x:c r="B158" s="52"/>
      <x:c r="C158" s="52"/>
      <x:c r="D158" s="52"/>
      <x:c r="E158" s="52"/>
      <x:c r="F158" s="93"/>
      <x:c r="G158" s="112"/>
      <x:c r="H158" s="93" t="n">
        <x:f>F158*G158</x:f>
        <x:v>0</x:v>
      </x:c>
      <x:c r="I158" s="52"/>
      <x:c r="J158" s="52"/>
      <x:c r="K158" s="52"/>
      <x:c r="L158" s="52"/>
      <x:c r="M158" s="52"/>
      <x:c r="N158" s="52"/>
      <x:c r="O158" s="53"/>
    </x:row>
    <x:row r="159">
      <x:c r="A159" s="51"/>
      <x:c r="B159" s="52"/>
      <x:c r="C159" s="52"/>
      <x:c r="D159" s="52"/>
      <x:c r="E159" s="52"/>
      <x:c r="F159" s="93"/>
      <x:c r="G159" s="112"/>
      <x:c r="H159" s="93" t="n">
        <x:f>F159*G159</x:f>
        <x:v>0</x:v>
      </x:c>
      <x:c r="I159" s="52"/>
      <x:c r="J159" s="52"/>
      <x:c r="K159" s="52"/>
      <x:c r="L159" s="52"/>
      <x:c r="M159" s="52"/>
      <x:c r="N159" s="52"/>
      <x:c r="O159" s="53"/>
    </x:row>
    <x:row r="160">
      <x:c r="A160" s="51"/>
      <x:c r="B160" s="52"/>
      <x:c r="C160" s="52"/>
      <x:c r="D160" s="52"/>
      <x:c r="E160" s="52"/>
      <x:c r="F160" s="93"/>
      <x:c r="G160" s="112"/>
      <x:c r="H160" s="93" t="n">
        <x:f>F160*G160</x:f>
        <x:v>0</x:v>
      </x:c>
      <x:c r="I160" s="52"/>
      <x:c r="J160" s="52"/>
      <x:c r="K160" s="52"/>
      <x:c r="L160" s="52"/>
      <x:c r="M160" s="52"/>
      <x:c r="N160" s="52"/>
      <x:c r="O160" s="53"/>
    </x:row>
    <x:row r="161">
      <x:c r="A161" s="51"/>
      <x:c r="B161" s="52"/>
      <x:c r="C161" s="52"/>
      <x:c r="D161" s="52"/>
      <x:c r="E161" s="52"/>
      <x:c r="F161" s="93"/>
      <x:c r="G161" s="112"/>
      <x:c r="H161" s="93" t="n">
        <x:f>F161*G161</x:f>
        <x:v>0</x:v>
      </x:c>
      <x:c r="I161" s="52"/>
      <x:c r="J161" s="52"/>
      <x:c r="K161" s="52"/>
      <x:c r="L161" s="52"/>
      <x:c r="M161" s="52"/>
      <x:c r="N161" s="52"/>
      <x:c r="O161" s="53"/>
    </x:row>
    <x:row r="162">
      <x:c r="A162" s="51"/>
      <x:c r="B162" s="52"/>
      <x:c r="C162" s="52"/>
      <x:c r="D162" s="52"/>
      <x:c r="E162" s="52"/>
      <x:c r="F162" s="93"/>
      <x:c r="G162" s="112"/>
      <x:c r="H162" s="93" t="n">
        <x:f>F162*G162</x:f>
        <x:v>0</x:v>
      </x:c>
      <x:c r="I162" s="52"/>
      <x:c r="J162" s="52"/>
      <x:c r="K162" s="52"/>
      <x:c r="L162" s="52"/>
      <x:c r="M162" s="52"/>
      <x:c r="N162" s="52"/>
      <x:c r="O162" s="53"/>
    </x:row>
    <x:row r="163">
      <x:c r="A163" s="51"/>
      <x:c r="B163" s="52"/>
      <x:c r="C163" s="52"/>
      <x:c r="D163" s="52"/>
      <x:c r="E163" s="52"/>
      <x:c r="F163" s="93"/>
      <x:c r="G163" s="112"/>
      <x:c r="H163" s="93" t="n">
        <x:f>F163*G163</x:f>
        <x:v>0</x:v>
      </x:c>
      <x:c r="I163" s="52"/>
      <x:c r="J163" s="52"/>
      <x:c r="K163" s="52"/>
      <x:c r="L163" s="52"/>
      <x:c r="M163" s="52"/>
      <x:c r="N163" s="52"/>
      <x:c r="O163" s="53"/>
    </x:row>
    <x:row r="164">
      <x:c r="A164" s="51"/>
      <x:c r="B164" s="52"/>
      <x:c r="C164" s="52"/>
      <x:c r="D164" s="52"/>
      <x:c r="E164" s="52"/>
      <x:c r="F164" s="93"/>
      <x:c r="G164" s="112"/>
      <x:c r="H164" s="93" t="n">
        <x:f>F164*G164</x:f>
        <x:v>0</x:v>
      </x:c>
      <x:c r="I164" s="52"/>
      <x:c r="J164" s="52"/>
      <x:c r="K164" s="52"/>
      <x:c r="L164" s="52"/>
      <x:c r="M164" s="52"/>
      <x:c r="N164" s="52"/>
      <x:c r="O164" s="53"/>
    </x:row>
    <x:row r="165">
      <x:c r="A165" s="51"/>
      <x:c r="B165" s="52"/>
      <x:c r="C165" s="52"/>
      <x:c r="D165" s="52"/>
      <x:c r="E165" s="52"/>
      <x:c r="F165" s="93"/>
      <x:c r="G165" s="112"/>
      <x:c r="H165" s="93" t="n">
        <x:f>F165*G165</x:f>
        <x:v>0</x:v>
      </x:c>
      <x:c r="I165" s="52"/>
      <x:c r="J165" s="52"/>
      <x:c r="K165" s="52"/>
      <x:c r="L165" s="52"/>
      <x:c r="M165" s="52"/>
      <x:c r="N165" s="52"/>
      <x:c r="O165" s="53"/>
    </x:row>
    <x:row r="166">
      <x:c r="A166" s="51"/>
      <x:c r="B166" s="52"/>
      <x:c r="C166" s="52"/>
      <x:c r="D166" s="52"/>
      <x:c r="E166" s="52"/>
      <x:c r="F166" s="93"/>
      <x:c r="G166" s="112"/>
      <x:c r="H166" s="93" t="n">
        <x:f>F166*G166</x:f>
        <x:v>0</x:v>
      </x:c>
      <x:c r="I166" s="52"/>
      <x:c r="J166" s="52"/>
      <x:c r="K166" s="52"/>
      <x:c r="L166" s="52"/>
      <x:c r="M166" s="52"/>
      <x:c r="N166" s="52"/>
      <x:c r="O166" s="53"/>
    </x:row>
    <x:row r="167">
      <x:c r="A167" s="51"/>
      <x:c r="B167" s="52"/>
      <x:c r="C167" s="52"/>
      <x:c r="D167" s="52"/>
      <x:c r="E167" s="52"/>
      <x:c r="F167" s="93"/>
      <x:c r="G167" s="112"/>
      <x:c r="H167" s="93" t="n">
        <x:f>F167*G167</x:f>
        <x:v>0</x:v>
      </x:c>
      <x:c r="I167" s="52"/>
      <x:c r="J167" s="52"/>
      <x:c r="K167" s="52"/>
      <x:c r="L167" s="52"/>
      <x:c r="M167" s="52"/>
      <x:c r="N167" s="52"/>
      <x:c r="O167" s="53"/>
    </x:row>
    <x:row r="168">
      <x:c r="A168" s="51"/>
      <x:c r="B168" s="52"/>
      <x:c r="C168" s="52"/>
      <x:c r="D168" s="52"/>
      <x:c r="E168" s="52"/>
      <x:c r="F168" s="93"/>
      <x:c r="G168" s="112"/>
      <x:c r="H168" s="93" t="n">
        <x:f>F168*G168</x:f>
        <x:v>0</x:v>
      </x:c>
      <x:c r="I168" s="52"/>
      <x:c r="J168" s="52"/>
      <x:c r="K168" s="52"/>
      <x:c r="L168" s="52"/>
      <x:c r="M168" s="52"/>
      <x:c r="N168" s="52"/>
      <x:c r="O168" s="53"/>
    </x:row>
    <x:row r="169">
      <x:c r="A169" s="51"/>
      <x:c r="B169" s="52"/>
      <x:c r="C169" s="52"/>
      <x:c r="D169" s="52"/>
      <x:c r="E169" s="52"/>
      <x:c r="F169" s="93"/>
      <x:c r="G169" s="112"/>
      <x:c r="H169" s="93" t="n">
        <x:f>F169*G169</x:f>
        <x:v>0</x:v>
      </x:c>
      <x:c r="I169" s="52"/>
      <x:c r="J169" s="52"/>
      <x:c r="K169" s="52"/>
      <x:c r="L169" s="52"/>
      <x:c r="M169" s="52"/>
      <x:c r="N169" s="52"/>
      <x:c r="O169" s="53"/>
    </x:row>
    <x:row r="170">
      <x:c r="A170" s="51"/>
      <x:c r="B170" s="52"/>
      <x:c r="C170" s="52"/>
      <x:c r="D170" s="52"/>
      <x:c r="E170" s="52"/>
      <x:c r="F170" s="93"/>
      <x:c r="G170" s="112"/>
      <x:c r="H170" s="93" t="n">
        <x:f>F170*G170</x:f>
        <x:v>0</x:v>
      </x:c>
      <x:c r="I170" s="52"/>
      <x:c r="J170" s="52"/>
      <x:c r="K170" s="52"/>
      <x:c r="L170" s="52"/>
      <x:c r="M170" s="52"/>
      <x:c r="N170" s="52"/>
      <x:c r="O170" s="53"/>
    </x:row>
    <x:row r="171">
      <x:c r="A171" s="51"/>
      <x:c r="B171" s="52"/>
      <x:c r="C171" s="52"/>
      <x:c r="D171" s="52"/>
      <x:c r="E171" s="52"/>
      <x:c r="F171" s="93"/>
      <x:c r="G171" s="112"/>
      <x:c r="H171" s="93" t="n">
        <x:f>F171*G171</x:f>
        <x:v>0</x:v>
      </x:c>
      <x:c r="I171" s="52"/>
      <x:c r="J171" s="52"/>
      <x:c r="K171" s="52"/>
      <x:c r="L171" s="52"/>
      <x:c r="M171" s="52"/>
      <x:c r="N171" s="52"/>
      <x:c r="O171" s="53"/>
    </x:row>
    <x:row r="172">
      <x:c r="A172" s="51"/>
      <x:c r="B172" s="52"/>
      <x:c r="C172" s="52"/>
      <x:c r="D172" s="52"/>
      <x:c r="E172" s="52"/>
      <x:c r="F172" s="93"/>
      <x:c r="G172" s="112"/>
      <x:c r="H172" s="93" t="n">
        <x:f>F172*G172</x:f>
        <x:v>0</x:v>
      </x:c>
      <x:c r="I172" s="52"/>
      <x:c r="J172" s="52"/>
      <x:c r="K172" s="52"/>
      <x:c r="L172" s="52"/>
      <x:c r="M172" s="52"/>
      <x:c r="N172" s="52"/>
      <x:c r="O172" s="53"/>
    </x:row>
    <x:row r="173">
      <x:c r="A173" s="51"/>
      <x:c r="B173" s="52"/>
      <x:c r="C173" s="52"/>
      <x:c r="D173" s="52"/>
      <x:c r="E173" s="52"/>
      <x:c r="F173" s="93"/>
      <x:c r="G173" s="112"/>
      <x:c r="H173" s="93" t="n">
        <x:f>F173*G173</x:f>
        <x:v>0</x:v>
      </x:c>
      <x:c r="I173" s="52"/>
      <x:c r="J173" s="52"/>
      <x:c r="K173" s="52"/>
      <x:c r="L173" s="52"/>
      <x:c r="M173" s="52"/>
      <x:c r="N173" s="52"/>
      <x:c r="O173" s="53"/>
    </x:row>
    <x:row r="174">
      <x:c r="A174" s="51"/>
      <x:c r="B174" s="52"/>
      <x:c r="C174" s="52"/>
      <x:c r="D174" s="52"/>
      <x:c r="E174" s="52"/>
      <x:c r="F174" s="93"/>
      <x:c r="G174" s="112"/>
      <x:c r="H174" s="93" t="n">
        <x:f>F174*G174</x:f>
        <x:v>0</x:v>
      </x:c>
      <x:c r="I174" s="52"/>
      <x:c r="J174" s="52"/>
      <x:c r="K174" s="52"/>
      <x:c r="L174" s="52"/>
      <x:c r="M174" s="52"/>
      <x:c r="N174" s="52"/>
      <x:c r="O174" s="53"/>
    </x:row>
    <x:row r="175">
      <x:c r="A175" s="51"/>
      <x:c r="B175" s="52"/>
      <x:c r="C175" s="52"/>
      <x:c r="D175" s="52"/>
      <x:c r="E175" s="52"/>
      <x:c r="F175" s="93"/>
      <x:c r="G175" s="112"/>
      <x:c r="H175" s="93" t="n">
        <x:f>F175*G175</x:f>
        <x:v>0</x:v>
      </x:c>
      <x:c r="I175" s="52"/>
      <x:c r="J175" s="52"/>
      <x:c r="K175" s="52"/>
      <x:c r="L175" s="52"/>
      <x:c r="M175" s="52"/>
      <x:c r="N175" s="52"/>
      <x:c r="O175" s="53"/>
    </x:row>
    <x:row r="176">
      <x:c r="A176" s="51"/>
      <x:c r="B176" s="52"/>
      <x:c r="C176" s="52"/>
      <x:c r="D176" s="52"/>
      <x:c r="E176" s="52"/>
      <x:c r="F176" s="93"/>
      <x:c r="G176" s="112"/>
      <x:c r="H176" s="93" t="n">
        <x:f>F176*G176</x:f>
        <x:v>0</x:v>
      </x:c>
      <x:c r="I176" s="52"/>
      <x:c r="J176" s="52"/>
      <x:c r="K176" s="52"/>
      <x:c r="L176" s="52"/>
      <x:c r="M176" s="52"/>
      <x:c r="N176" s="52"/>
      <x:c r="O176" s="53"/>
    </x:row>
    <x:row r="177">
      <x:c r="A177" s="51"/>
      <x:c r="B177" s="52"/>
      <x:c r="C177" s="52"/>
      <x:c r="D177" s="52"/>
      <x:c r="E177" s="52"/>
      <x:c r="F177" s="93"/>
      <x:c r="G177" s="112"/>
      <x:c r="H177" s="93" t="n">
        <x:f>F177*G177</x:f>
        <x:v>0</x:v>
      </x:c>
      <x:c r="I177" s="52"/>
      <x:c r="J177" s="52"/>
      <x:c r="K177" s="52"/>
      <x:c r="L177" s="52"/>
      <x:c r="M177" s="52"/>
      <x:c r="N177" s="52"/>
      <x:c r="O177" s="53"/>
    </x:row>
    <x:row r="178">
      <x:c r="A178" s="51"/>
      <x:c r="B178" s="52"/>
      <x:c r="C178" s="52"/>
      <x:c r="D178" s="52"/>
      <x:c r="E178" s="52"/>
      <x:c r="F178" s="93"/>
      <x:c r="G178" s="112"/>
      <x:c r="H178" s="93" t="n">
        <x:f>F178*G178</x:f>
        <x:v>0</x:v>
      </x:c>
      <x:c r="I178" s="52"/>
      <x:c r="J178" s="52"/>
      <x:c r="K178" s="52"/>
      <x:c r="L178" s="52"/>
      <x:c r="M178" s="52"/>
      <x:c r="N178" s="52"/>
      <x:c r="O178" s="53"/>
    </x:row>
    <x:row r="179">
      <x:c r="A179" s="51"/>
      <x:c r="B179" s="52"/>
      <x:c r="C179" s="52"/>
      <x:c r="D179" s="52"/>
      <x:c r="E179" s="52"/>
      <x:c r="F179" s="93"/>
      <x:c r="G179" s="112"/>
      <x:c r="H179" s="93" t="n">
        <x:f>F179*G179</x:f>
        <x:v>0</x:v>
      </x:c>
      <x:c r="I179" s="52"/>
      <x:c r="J179" s="52"/>
      <x:c r="K179" s="52"/>
      <x:c r="L179" s="52"/>
      <x:c r="M179" s="52"/>
      <x:c r="N179" s="52"/>
      <x:c r="O179" s="53"/>
    </x:row>
    <x:row r="180">
      <x:c r="A180" s="51"/>
      <x:c r="B180" s="52"/>
      <x:c r="C180" s="52"/>
      <x:c r="D180" s="52"/>
      <x:c r="E180" s="52"/>
      <x:c r="F180" s="93"/>
      <x:c r="G180" s="112"/>
      <x:c r="H180" s="93" t="n">
        <x:f>F180*G180</x:f>
        <x:v>0</x:v>
      </x:c>
      <x:c r="I180" s="52"/>
      <x:c r="J180" s="52"/>
      <x:c r="K180" s="52"/>
      <x:c r="L180" s="52"/>
      <x:c r="M180" s="52"/>
      <x:c r="N180" s="52"/>
      <x:c r="O180" s="53"/>
    </x:row>
    <x:row r="181">
      <x:c r="A181" s="51"/>
      <x:c r="B181" s="52"/>
      <x:c r="C181" s="52"/>
      <x:c r="D181" s="52"/>
      <x:c r="E181" s="52"/>
      <x:c r="F181" s="93"/>
      <x:c r="G181" s="112"/>
      <x:c r="H181" s="93" t="n">
        <x:f>F181*G181</x:f>
        <x:v>0</x:v>
      </x:c>
      <x:c r="I181" s="52"/>
      <x:c r="J181" s="52"/>
      <x:c r="K181" s="52"/>
      <x:c r="L181" s="52"/>
      <x:c r="M181" s="52"/>
      <x:c r="N181" s="52"/>
      <x:c r="O181" s="53"/>
    </x:row>
    <x:row r="182">
      <x:c r="A182" s="51"/>
      <x:c r="B182" s="52"/>
      <x:c r="C182" s="52"/>
      <x:c r="D182" s="52"/>
      <x:c r="E182" s="52"/>
      <x:c r="F182" s="93"/>
      <x:c r="G182" s="112"/>
      <x:c r="H182" s="93" t="n">
        <x:f>F182*G182</x:f>
        <x:v>0</x:v>
      </x:c>
      <x:c r="I182" s="52"/>
      <x:c r="J182" s="52"/>
      <x:c r="K182" s="52"/>
      <x:c r="L182" s="52"/>
      <x:c r="M182" s="52"/>
      <x:c r="N182" s="52"/>
      <x:c r="O182" s="53"/>
    </x:row>
    <x:row r="183">
      <x:c r="A183" s="51"/>
      <x:c r="B183" s="52"/>
      <x:c r="C183" s="52"/>
      <x:c r="D183" s="52"/>
      <x:c r="E183" s="52"/>
      <x:c r="F183" s="93"/>
      <x:c r="G183" s="112"/>
      <x:c r="H183" s="93" t="n">
        <x:f>F183*G183</x:f>
        <x:v>0</x:v>
      </x:c>
      <x:c r="I183" s="52"/>
      <x:c r="J183" s="52"/>
      <x:c r="K183" s="52"/>
      <x:c r="L183" s="52"/>
      <x:c r="M183" s="52"/>
      <x:c r="N183" s="52"/>
      <x:c r="O183" s="53"/>
    </x:row>
    <x:row r="184">
      <x:c r="A184" s="51"/>
      <x:c r="B184" s="52"/>
      <x:c r="C184" s="52"/>
      <x:c r="D184" s="52"/>
      <x:c r="E184" s="52"/>
      <x:c r="F184" s="93"/>
      <x:c r="G184" s="112"/>
      <x:c r="H184" s="93" t="n">
        <x:f>F184*G184</x:f>
        <x:v>0</x:v>
      </x:c>
      <x:c r="I184" s="52"/>
      <x:c r="J184" s="52"/>
      <x:c r="K184" s="52"/>
      <x:c r="L184" s="52"/>
      <x:c r="M184" s="52"/>
      <x:c r="N184" s="52"/>
      <x:c r="O184" s="53"/>
    </x:row>
    <x:row r="185">
      <x:c r="A185" s="51"/>
      <x:c r="B185" s="52"/>
      <x:c r="C185" s="52"/>
      <x:c r="D185" s="52"/>
      <x:c r="E185" s="52"/>
      <x:c r="F185" s="93"/>
      <x:c r="G185" s="112"/>
      <x:c r="H185" s="93" t="n">
        <x:f>F185*G185</x:f>
        <x:v>0</x:v>
      </x:c>
      <x:c r="I185" s="52"/>
      <x:c r="J185" s="52"/>
      <x:c r="K185" s="52"/>
      <x:c r="L185" s="52"/>
      <x:c r="M185" s="52"/>
      <x:c r="N185" s="52"/>
      <x:c r="O185" s="53"/>
    </x:row>
    <x:row r="186">
      <x:c r="A186" s="51"/>
      <x:c r="B186" s="52"/>
      <x:c r="C186" s="52"/>
      <x:c r="D186" s="52"/>
      <x:c r="E186" s="52"/>
      <x:c r="F186" s="93"/>
      <x:c r="G186" s="112"/>
      <x:c r="H186" s="93" t="n">
        <x:f>F186*G186</x:f>
        <x:v>0</x:v>
      </x:c>
      <x:c r="I186" s="52"/>
      <x:c r="J186" s="52"/>
      <x:c r="K186" s="52"/>
      <x:c r="L186" s="52"/>
      <x:c r="M186" s="52"/>
      <x:c r="N186" s="52"/>
      <x:c r="O186" s="53"/>
    </x:row>
    <x:row r="187">
      <x:c r="A187" s="51"/>
      <x:c r="B187" s="52"/>
      <x:c r="C187" s="52"/>
      <x:c r="D187" s="52"/>
      <x:c r="E187" s="52"/>
      <x:c r="F187" s="93"/>
      <x:c r="G187" s="112"/>
      <x:c r="H187" s="93" t="n">
        <x:f>F187*G187</x:f>
        <x:v>0</x:v>
      </x:c>
      <x:c r="I187" s="52"/>
      <x:c r="J187" s="52"/>
      <x:c r="K187" s="52"/>
      <x:c r="L187" s="52"/>
      <x:c r="M187" s="52"/>
      <x:c r="N187" s="52"/>
      <x:c r="O187" s="53"/>
    </x:row>
    <x:row r="188">
      <x:c r="A188" s="51"/>
      <x:c r="B188" s="52"/>
      <x:c r="C188" s="52"/>
      <x:c r="D188" s="52"/>
      <x:c r="E188" s="52"/>
      <x:c r="F188" s="93"/>
      <x:c r="G188" s="112"/>
      <x:c r="H188" s="93" t="n">
        <x:f>F188*G188</x:f>
        <x:v>0</x:v>
      </x:c>
      <x:c r="I188" s="52"/>
      <x:c r="J188" s="52"/>
      <x:c r="K188" s="52"/>
      <x:c r="L188" s="52"/>
      <x:c r="M188" s="52"/>
      <x:c r="N188" s="52"/>
      <x:c r="O188" s="53"/>
    </x:row>
    <x:row r="189">
      <x:c r="A189" s="51"/>
      <x:c r="B189" s="52"/>
      <x:c r="C189" s="52"/>
      <x:c r="D189" s="52"/>
      <x:c r="E189" s="52"/>
      <x:c r="F189" s="93"/>
      <x:c r="G189" s="112"/>
      <x:c r="H189" s="93" t="n">
        <x:f>F189*G189</x:f>
        <x:v>0</x:v>
      </x:c>
      <x:c r="I189" s="52"/>
      <x:c r="J189" s="52"/>
      <x:c r="K189" s="52"/>
      <x:c r="L189" s="52"/>
      <x:c r="M189" s="52"/>
      <x:c r="N189" s="52"/>
      <x:c r="O189" s="53"/>
    </x:row>
    <x:row r="190">
      <x:c r="A190" s="51"/>
      <x:c r="B190" s="52"/>
      <x:c r="C190" s="52"/>
      <x:c r="D190" s="52"/>
      <x:c r="E190" s="52"/>
      <x:c r="F190" s="93"/>
      <x:c r="G190" s="112"/>
      <x:c r="H190" s="93" t="n">
        <x:f>F190*G190</x:f>
        <x:v>0</x:v>
      </x:c>
      <x:c r="I190" s="52"/>
      <x:c r="J190" s="52"/>
      <x:c r="K190" s="52"/>
      <x:c r="L190" s="52"/>
      <x:c r="M190" s="52"/>
      <x:c r="N190" s="52"/>
      <x:c r="O190" s="53"/>
    </x:row>
    <x:row r="191">
      <x:c r="A191" s="51"/>
      <x:c r="B191" s="52"/>
      <x:c r="C191" s="52"/>
      <x:c r="D191" s="52"/>
      <x:c r="E191" s="52"/>
      <x:c r="F191" s="93"/>
      <x:c r="G191" s="112"/>
      <x:c r="H191" s="93" t="n">
        <x:f>F191*G191</x:f>
        <x:v>0</x:v>
      </x:c>
      <x:c r="I191" s="52"/>
      <x:c r="J191" s="52"/>
      <x:c r="K191" s="52"/>
      <x:c r="L191" s="52"/>
      <x:c r="M191" s="52"/>
      <x:c r="N191" s="52"/>
      <x:c r="O191" s="53"/>
    </x:row>
    <x:row r="192">
      <x:c r="A192" s="51"/>
      <x:c r="B192" s="52"/>
      <x:c r="C192" s="52"/>
      <x:c r="D192" s="52"/>
      <x:c r="E192" s="52"/>
      <x:c r="F192" s="93"/>
      <x:c r="G192" s="112"/>
      <x:c r="H192" s="93" t="n">
        <x:f>F192*G192</x:f>
        <x:v>0</x:v>
      </x:c>
      <x:c r="I192" s="52"/>
      <x:c r="J192" s="52"/>
      <x:c r="K192" s="52"/>
      <x:c r="L192" s="52"/>
      <x:c r="M192" s="52"/>
      <x:c r="N192" s="52"/>
      <x:c r="O192" s="53"/>
    </x:row>
    <x:row r="193">
      <x:c r="A193" s="51"/>
      <x:c r="B193" s="52"/>
      <x:c r="C193" s="52"/>
      <x:c r="D193" s="52"/>
      <x:c r="E193" s="52"/>
      <x:c r="F193" s="93"/>
      <x:c r="G193" s="112"/>
      <x:c r="H193" s="93" t="n">
        <x:f>F193*G193</x:f>
        <x:v>0</x:v>
      </x:c>
      <x:c r="I193" s="52"/>
      <x:c r="J193" s="52"/>
      <x:c r="K193" s="52"/>
      <x:c r="L193" s="52"/>
      <x:c r="M193" s="52"/>
      <x:c r="N193" s="52"/>
      <x:c r="O193" s="53"/>
    </x:row>
    <x:row r="194">
      <x:c r="A194" s="51"/>
      <x:c r="B194" s="52"/>
      <x:c r="C194" s="52"/>
      <x:c r="D194" s="52"/>
      <x:c r="E194" s="52"/>
      <x:c r="F194" s="93"/>
      <x:c r="G194" s="112"/>
      <x:c r="H194" s="93" t="n">
        <x:f>F194*G194</x:f>
        <x:v>0</x:v>
      </x:c>
      <x:c r="I194" s="52"/>
      <x:c r="J194" s="52"/>
      <x:c r="K194" s="52"/>
      <x:c r="L194" s="52"/>
      <x:c r="M194" s="52"/>
      <x:c r="N194" s="52"/>
      <x:c r="O194" s="53"/>
    </x:row>
    <x:row r="195">
      <x:c r="A195" s="51"/>
      <x:c r="B195" s="52"/>
      <x:c r="C195" s="52"/>
      <x:c r="D195" s="52"/>
      <x:c r="E195" s="52"/>
      <x:c r="F195" s="93"/>
      <x:c r="G195" s="112"/>
      <x:c r="H195" s="93" t="n">
        <x:f>F195*G195</x:f>
        <x:v>0</x:v>
      </x:c>
      <x:c r="I195" s="52"/>
      <x:c r="J195" s="52"/>
      <x:c r="K195" s="52"/>
      <x:c r="L195" s="52"/>
      <x:c r="M195" s="52"/>
      <x:c r="N195" s="52"/>
      <x:c r="O195" s="53"/>
    </x:row>
    <x:row r="196">
      <x:c r="A196" s="51"/>
      <x:c r="B196" s="52"/>
      <x:c r="C196" s="52"/>
      <x:c r="D196" s="52"/>
      <x:c r="E196" s="52"/>
      <x:c r="F196" s="93"/>
      <x:c r="G196" s="112"/>
      <x:c r="H196" s="93" t="n">
        <x:f>F196*G196</x:f>
        <x:v>0</x:v>
      </x:c>
      <x:c r="I196" s="52"/>
      <x:c r="J196" s="52"/>
      <x:c r="K196" s="52"/>
      <x:c r="L196" s="52"/>
      <x:c r="M196" s="52"/>
      <x:c r="N196" s="52"/>
      <x:c r="O196" s="53"/>
    </x:row>
    <x:row r="197">
      <x:c r="A197" s="51"/>
      <x:c r="B197" s="52"/>
      <x:c r="C197" s="52"/>
      <x:c r="D197" s="52"/>
      <x:c r="E197" s="52"/>
      <x:c r="F197" s="93"/>
      <x:c r="G197" s="112"/>
      <x:c r="H197" s="93" t="n">
        <x:f>F197*G197</x:f>
        <x:v>0</x:v>
      </x:c>
      <x:c r="I197" s="52"/>
      <x:c r="J197" s="52"/>
      <x:c r="K197" s="52"/>
      <x:c r="L197" s="52"/>
      <x:c r="M197" s="52"/>
      <x:c r="N197" s="52"/>
      <x:c r="O197" s="53"/>
    </x:row>
    <x:row r="198">
      <x:c r="A198" s="51"/>
      <x:c r="B198" s="52"/>
      <x:c r="C198" s="52"/>
      <x:c r="D198" s="52"/>
      <x:c r="E198" s="52"/>
      <x:c r="F198" s="93"/>
      <x:c r="G198" s="112"/>
      <x:c r="H198" s="93" t="n">
        <x:f>F198*G198</x:f>
        <x:v>0</x:v>
      </x:c>
      <x:c r="I198" s="52"/>
      <x:c r="J198" s="52"/>
      <x:c r="K198" s="52"/>
      <x:c r="L198" s="52"/>
      <x:c r="M198" s="52"/>
      <x:c r="N198" s="52"/>
      <x:c r="O198" s="53"/>
    </x:row>
    <x:row r="199">
      <x:c r="A199" s="51"/>
      <x:c r="B199" s="52"/>
      <x:c r="C199" s="52"/>
      <x:c r="D199" s="52"/>
      <x:c r="E199" s="52"/>
      <x:c r="F199" s="93"/>
      <x:c r="G199" s="112"/>
      <x:c r="H199" s="93" t="n">
        <x:f>F199*G199</x:f>
        <x:v>0</x:v>
      </x:c>
      <x:c r="I199" s="52"/>
      <x:c r="J199" s="52"/>
      <x:c r="K199" s="52"/>
      <x:c r="L199" s="52"/>
      <x:c r="M199" s="52"/>
      <x:c r="N199" s="52"/>
      <x:c r="O199" s="53"/>
    </x:row>
    <x:row r="200">
      <x:c r="A200" s="51"/>
      <x:c r="B200" s="52"/>
      <x:c r="C200" s="52"/>
      <x:c r="D200" s="52"/>
      <x:c r="E200" s="52"/>
      <x:c r="F200" s="93"/>
      <x:c r="G200" s="112"/>
      <x:c r="H200" s="93" t="n">
        <x:f>F200*G200</x:f>
        <x:v>0</x:v>
      </x:c>
      <x:c r="I200" s="52"/>
      <x:c r="J200" s="52"/>
      <x:c r="K200" s="52"/>
      <x:c r="L200" s="52"/>
      <x:c r="M200" s="52"/>
      <x:c r="N200" s="52"/>
      <x:c r="O200" s="53"/>
    </x:row>
    <x:row r="201">
      <x:c r="A201" s="51"/>
      <x:c r="B201" s="52"/>
      <x:c r="C201" s="52"/>
      <x:c r="D201" s="52"/>
      <x:c r="E201" s="52"/>
      <x:c r="F201" s="93"/>
      <x:c r="G201" s="112"/>
      <x:c r="H201" s="93" t="n">
        <x:f>F201*G201</x:f>
        <x:v>0</x:v>
      </x:c>
      <x:c r="I201" s="52"/>
      <x:c r="J201" s="52"/>
      <x:c r="K201" s="52"/>
      <x:c r="L201" s="52"/>
      <x:c r="M201" s="52"/>
      <x:c r="N201" s="52"/>
      <x:c r="O201" s="53"/>
    </x:row>
    <x:row r="202">
      <x:c r="A202" s="51"/>
      <x:c r="B202" s="52"/>
      <x:c r="C202" s="52"/>
      <x:c r="D202" s="52"/>
      <x:c r="E202" s="52"/>
      <x:c r="F202" s="93"/>
      <x:c r="G202" s="112"/>
      <x:c r="H202" s="93" t="n">
        <x:f>F202*G202</x:f>
        <x:v>0</x:v>
      </x:c>
      <x:c r="I202" s="52"/>
      <x:c r="J202" s="52"/>
      <x:c r="K202" s="52"/>
      <x:c r="L202" s="52"/>
      <x:c r="M202" s="52"/>
      <x:c r="N202" s="52"/>
      <x:c r="O202" s="53"/>
    </x:row>
    <x:row r="203">
      <x:c r="A203" s="54"/>
      <x:c r="B203" s="55"/>
      <x:c r="C203" s="55"/>
      <x:c r="D203" s="55"/>
      <x:c r="E203" s="55"/>
      <x:c r="F203" s="94"/>
      <x:c r="G203" s="113"/>
      <x:c r="H203" s="94" t="n">
        <x:f>F203*G203</x:f>
        <x:v>0</x:v>
      </x:c>
      <x:c r="I203" s="55"/>
      <x:c r="J203" s="55"/>
      <x:c r="K203" s="55"/>
      <x:c r="L203" s="55"/>
      <x:c r="M203" s="55"/>
      <x:c r="N203" s="55"/>
      <x:c r="O203" s="56"/>
    </x:row>
    <x:row r="204">
      <x:c r="A204" s="197"/>
    </x:row>
    <x:row r="205">
      <x:c r="A205" s="197"/>
    </x:row>
    <x:row r="206">
      <x:c r="A206" s="197"/>
    </x:row>
    <x:row r="207">
      <x:c r="A207" s="197"/>
    </x:row>
    <x:row r="208">
      <x:c r="A208" s="197"/>
    </x:row>
    <x:row r="209">
      <x:c r="A209" s="197"/>
    </x:row>
    <x:row r="210">
      <x:c r="A210" s="197"/>
    </x:row>
    <x:row r="211">
      <x:c r="A211" s="197"/>
    </x:row>
    <x:row r="212">
      <x:c r="A212" s="197"/>
    </x:row>
    <x:row r="213">
      <x:c r="A213" s="197"/>
    </x:row>
    <x:row r="214">
      <x:c r="A214" s="197"/>
    </x:row>
    <x:row r="215">
      <x:c r="A215" s="197"/>
    </x:row>
    <x:row r="216">
      <x:c r="A216" s="197"/>
    </x:row>
    <x:row r="217">
      <x:c r="A217" s="197"/>
    </x:row>
    <x:row r="218">
      <x:c r="A218" s="197"/>
    </x:row>
    <x:row r="219">
      <x:c r="A219" s="197"/>
    </x:row>
    <x:row r="220">
      <x:c r="A220" s="197"/>
    </x:row>
    <x:row r="221">
      <x:c r="A221" s="197"/>
    </x:row>
    <x:row r="222">
      <x:c r="A222" s="197"/>
    </x:row>
    <x:row r="223">
      <x:c r="A223" s="197"/>
    </x:row>
    <x:row r="224">
      <x:c r="A224" s="197"/>
    </x:row>
    <x:row r="225">
      <x:c r="A225" s="197"/>
    </x:row>
    <x:row r="226">
      <x:c r="A226" s="197"/>
    </x:row>
    <x:row r="227">
      <x:c r="A227" s="197"/>
    </x:row>
    <x:row r="228">
      <x:c r="A228" s="197"/>
    </x:row>
    <x:row r="229">
      <x:c r="A229" s="197"/>
    </x:row>
    <x:row r="230">
      <x:c r="A230" s="197"/>
    </x:row>
    <x:row r="231">
      <x:c r="A231" s="197"/>
    </x:row>
    <x:row r="232">
      <x:c r="A232" s="197"/>
    </x:row>
    <x:row r="233">
      <x:c r="A233" s="197"/>
    </x:row>
    <x:row r="234">
      <x:c r="A234" s="197"/>
    </x:row>
    <x:row r="235">
      <x:c r="A235" s="197"/>
    </x:row>
    <x:row r="236">
      <x:c r="A236" s="197"/>
    </x:row>
    <x:row r="237">
      <x:c r="A237" s="197"/>
    </x:row>
    <x:row r="238">
      <x:c r="A238" s="197"/>
    </x:row>
    <x:row r="239">
      <x:c r="A239" s="197"/>
    </x:row>
    <x:row r="240">
      <x:c r="A240" s="197"/>
    </x:row>
  </x:sheetData>
  <x:mergeCells>
    <x:mergeCell ref="A1:O1"/>
  </x:mergeCells>
  <x:dataValidations count="2">
    <x:dataValidation type="list" sqref="D4:D203">
      <x:formula1>Lists!$E$2:$E$11</x:formula1>
    </x:dataValidation>
    <x:dataValidation type="list" sqref="M4:M203">
      <x:formula1>"Not Invoiced,Invoiced,Partial,Paid,Refunded"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6" hidden="0" customWidth="1"/>
    <x:col min="5" max="5" width="14" hidden="0" customWidth="1"/>
    <x:col min="6" max="6" width="16" hidden="0" customWidth="1"/>
    <x:col min="7" max="7" width="22" hidden="0" customWidth="1"/>
    <x:col min="8" max="8" width="34" hidden="0" customWidth="1"/>
  </x:cols>
  <x:sheetData>
    <x:row r="1" ht="34" customHeight="1">
      <x:c r="A1" s="196" t="str">
        <x:v>MasterClass, Design Lab, Proof Run, and Enterprise Economics</x:v>
      </x:c>
    </x:row>
    <x:row r="2">
      <x:c r="A2" s="197"/>
    </x:row>
    <x:row r="3" ht="30" customHeight="1">
      <x:c r="A3" s="13" t="str">
        <x:v>Offer</x:v>
      </x:c>
      <x:c r="B3" s="14" t="str">
        <x:v>Price</x:v>
      </x:c>
      <x:c r="C3" s="14" t="str">
        <x:v>Direct Cost</x:v>
      </x:c>
      <x:c r="D3" s="14" t="str">
        <x:v>Gross Profit</x:v>
      </x:c>
      <x:c r="E3" s="14" t="str">
        <x:v>Gross Margin</x:v>
      </x:c>
      <x:c r="F3" s="14" t="str">
        <x:v>Capacity / Month</x:v>
      </x:c>
      <x:c r="G3" s="14" t="str">
        <x:v>Monthly Revenue Capacity</x:v>
      </x:c>
      <x:c r="H3" s="15" t="str">
        <x:v>Notes</x:v>
      </x:c>
    </x:row>
    <x:row r="4">
      <x:c r="A4" s="48" t="str">
        <x:v>Frontier Executive Briefing</x:v>
      </x:c>
      <x:c r="B4" s="92" t="n">
        <x:v>15000</x:v>
      </x:c>
      <x:c r="C4" s="92" t="n">
        <x:v>3000</x:v>
      </x:c>
      <x:c r="D4" s="92" t="n">
        <x:f>B4-C4</x:f>
        <x:v>12000</x:v>
      </x:c>
      <x:c r="E4" s="118" t="n">
        <x:f>IFERROR(D4/B4,0)</x:f>
        <x:v>0.8</x:v>
      </x:c>
      <x:c r="F4" s="49" t="str">
        <x:v>6</x:v>
      </x:c>
      <x:c r="G4" s="92" t="n">
        <x:f>B4*F4</x:f>
        <x:v>90000</x:v>
      </x:c>
      <x:c r="H4" s="50" t="str"/>
    </x:row>
    <x:row r="5">
      <x:c r="A5" s="51" t="str">
        <x:v>Private Flagship MasterClass</x:v>
      </x:c>
      <x:c r="B5" s="93" t="n">
        <x:v>40000</x:v>
      </x:c>
      <x:c r="C5" s="93" t="n">
        <x:v>12000</x:v>
      </x:c>
      <x:c r="D5" s="93" t="n">
        <x:f>B5-C5</x:f>
        <x:v>28000</x:v>
      </x:c>
      <x:c r="E5" s="112" t="n">
        <x:f>IFERROR(D5/B5,0)</x:f>
        <x:v>0.7</x:v>
      </x:c>
      <x:c r="F5" s="52" t="str">
        <x:v>4</x:v>
      </x:c>
      <x:c r="G5" s="93" t="n">
        <x:f>B5*F5</x:f>
        <x:v>160000</x:v>
      </x:c>
      <x:c r="H5" s="53" t="str"/>
    </x:row>
    <x:row r="6">
      <x:c r="A6" s="51" t="str">
        <x:v>Money Machine Design Lab</x:v>
      </x:c>
      <x:c r="B6" s="93" t="n">
        <x:v>80000</x:v>
      </x:c>
      <x:c r="C6" s="93" t="n">
        <x:v>32000</x:v>
      </x:c>
      <x:c r="D6" s="93" t="n">
        <x:f>B6-C6</x:f>
        <x:v>48000</x:v>
      </x:c>
      <x:c r="E6" s="112" t="n">
        <x:f>IFERROR(D6/B6,0)</x:f>
        <x:v>0.6</x:v>
      </x:c>
      <x:c r="F6" s="52" t="str">
        <x:v>2</x:v>
      </x:c>
      <x:c r="G6" s="93" t="n">
        <x:f>B6*F6</x:f>
        <x:v>160000</x:v>
      </x:c>
      <x:c r="H6" s="53" t="str"/>
    </x:row>
    <x:row r="7">
      <x:c r="A7" s="51" t="str">
        <x:v>Revenue Institution Sprint</x:v>
      </x:c>
      <x:c r="B7" s="93" t="n">
        <x:v>175000</x:v>
      </x:c>
      <x:c r="C7" s="93" t="n">
        <x:v>80000</x:v>
      </x:c>
      <x:c r="D7" s="93" t="n">
        <x:f>B7-C7</x:f>
        <x:v>95000</x:v>
      </x:c>
      <x:c r="E7" s="112" t="n">
        <x:f>IFERROR(D7/B7,0)</x:f>
        <x:v>0.5428571428571428</x:v>
      </x:c>
      <x:c r="F7" s="52" t="str">
        <x:v>1</x:v>
      </x:c>
      <x:c r="G7" s="93" t="n">
        <x:f>B7*F7</x:f>
        <x:v>175000</x:v>
      </x:c>
      <x:c r="H7" s="53" t="str"/>
    </x:row>
    <x:row r="8">
      <x:c r="A8" s="51" t="str">
        <x:v>Proof-to-Revenue Run</x:v>
      </x:c>
      <x:c r="B8" s="93" t="n">
        <x:v>350000</x:v>
      </x:c>
      <x:c r="C8" s="93" t="n">
        <x:v>175000</x:v>
      </x:c>
      <x:c r="D8" s="93" t="n">
        <x:f>B8-C8</x:f>
        <x:v>175000</x:v>
      </x:c>
      <x:c r="E8" s="112" t="n">
        <x:f>IFERROR(D8/B8,0)</x:f>
        <x:v>0.5</x:v>
      </x:c>
      <x:c r="F8" s="52" t="str">
        <x:v>1</x:v>
      </x:c>
      <x:c r="G8" s="93" t="n">
        <x:f>B8*F8</x:f>
        <x:v>350000</x:v>
      </x:c>
      <x:c r="H8" s="53" t="str"/>
    </x:row>
    <x:row r="9">
      <x:c r="A9" s="51" t="str">
        <x:v>Enterprise Program</x:v>
      </x:c>
      <x:c r="B9" s="93" t="n">
        <x:v>750000</x:v>
      </x:c>
      <x:c r="C9" s="93" t="n">
        <x:v>350000</x:v>
      </x:c>
      <x:c r="D9" s="93" t="n">
        <x:f>B9-C9</x:f>
        <x:v>400000</x:v>
      </x:c>
      <x:c r="E9" s="112" t="n">
        <x:f>IFERROR(D9/B9,0)</x:f>
        <x:v>0.5333333333333333</x:v>
      </x:c>
      <x:c r="F9" s="52" t="str">
        <x:v>0.25</x:v>
      </x:c>
      <x:c r="G9" s="93" t="n">
        <x:f>B9*F9</x:f>
        <x:v>187500</x:v>
      </x:c>
      <x:c r="H9" s="53" t="str"/>
    </x:row>
    <x:row r="10">
      <x:c r="A10" s="54" t="str">
        <x:v>Annual Program</x:v>
      </x:c>
      <x:c r="B10" s="94" t="n">
        <x:v>1000000</x:v>
      </x:c>
      <x:c r="C10" s="94" t="n">
        <x:v>500000</x:v>
      </x:c>
      <x:c r="D10" s="94" t="n">
        <x:f>B10-C10</x:f>
        <x:v>500000</x:v>
      </x:c>
      <x:c r="E10" s="113" t="n">
        <x:f>IFERROR(D10/B10,0)</x:f>
        <x:v>0.5</x:v>
      </x:c>
      <x:c r="F10" s="55" t="str">
        <x:v>0.0833</x:v>
      </x:c>
      <x:c r="G10" s="94" t="n">
        <x:f>B10*F10</x:f>
        <x:v>83300</x:v>
      </x:c>
      <x:c r="H10" s="56" t="str"/>
    </x:row>
    <x:row r="11">
      <x:c r="A11" s="197"/>
    </x:row>
    <x:row r="12">
      <x:c r="A12" s="197"/>
    </x:row>
    <x:row r="13">
      <x:c r="A13" s="197"/>
    </x:row>
    <x:row r="14">
      <x:c r="A14" s="197"/>
    </x:row>
    <x:row r="15">
      <x:c r="A15" s="197"/>
    </x:row>
    <x:row r="16">
      <x:c r="A16" s="197"/>
    </x:row>
    <x:row r="17">
      <x:c r="A17" s="197"/>
    </x:row>
    <x:row r="18">
      <x:c r="A18" s="197"/>
    </x:row>
    <x:row r="19">
      <x:c r="A19" s="197"/>
    </x:row>
    <x:row r="20">
      <x:c r="A20" s="197"/>
    </x:row>
    <x:row r="21">
      <x:c r="A21" s="197"/>
    </x:row>
    <x:row r="22">
      <x:c r="A22" s="197"/>
    </x:row>
    <x:row r="23">
      <x:c r="A23" s="197"/>
    </x:row>
    <x:row r="24">
      <x:c r="A24" s="197"/>
    </x:row>
    <x:row r="25">
      <x:c r="A25" s="197"/>
    </x:row>
    <x:row r="26">
      <x:c r="A26" s="197"/>
    </x:row>
    <x:row r="27">
      <x:c r="A27" s="197"/>
    </x:row>
    <x:row r="28">
      <x:c r="A28" s="197"/>
    </x:row>
    <x:row r="29">
      <x:c r="A29" s="197"/>
    </x:row>
    <x:row r="30">
      <x:c r="A30" s="197"/>
    </x:row>
    <x:row r="31">
      <x:c r="A31" s="197"/>
    </x:row>
    <x:row r="32">
      <x:c r="A32" s="197"/>
    </x:row>
    <x:row r="33">
      <x:c r="A33" s="197"/>
    </x:row>
    <x:row r="34">
      <x:c r="A34" s="197"/>
    </x:row>
    <x:row r="35">
      <x:c r="A35" s="197"/>
    </x:row>
    <x:row r="36">
      <x:c r="A36" s="197"/>
    </x:row>
    <x:row r="37">
      <x:c r="A37" s="197"/>
    </x:row>
    <x:row r="38">
      <x:c r="A38" s="197"/>
    </x:row>
    <x:row r="39">
      <x:c r="A39" s="197"/>
    </x:row>
    <x:row r="40">
      <x:c r="A40" s="197"/>
    </x:row>
    <x:row r="41">
      <x:c r="A41" s="197"/>
    </x:row>
    <x:row r="42">
      <x:c r="A42" s="197"/>
    </x:row>
    <x:row r="43">
      <x:c r="A43" s="197"/>
    </x:row>
    <x:row r="44">
      <x:c r="A44" s="197"/>
    </x:row>
    <x:row r="45">
      <x:c r="A45" s="197"/>
    </x:row>
    <x:row r="46">
      <x:c r="A46" s="197"/>
    </x:row>
    <x:row r="47">
      <x:c r="A47" s="197"/>
    </x:row>
    <x:row r="48">
      <x:c r="A48" s="197"/>
    </x:row>
    <x:row r="49">
      <x:c r="A49" s="197"/>
    </x:row>
    <x:row r="50">
      <x:c r="A50" s="197"/>
    </x:row>
    <x:row r="51">
      <x:c r="A51" s="197"/>
    </x:row>
    <x:row r="52">
      <x:c r="A52" s="197"/>
    </x:row>
    <x:row r="53">
      <x:c r="A53" s="197"/>
    </x:row>
    <x:row r="54">
      <x:c r="A54" s="197"/>
    </x:row>
    <x:row r="55">
      <x:c r="A55" s="197"/>
    </x:row>
    <x:row r="56">
      <x:c r="A56" s="197"/>
    </x:row>
    <x:row r="57">
      <x:c r="A57" s="197"/>
    </x:row>
    <x:row r="58">
      <x:c r="A58" s="197"/>
    </x:row>
    <x:row r="59">
      <x:c r="A59" s="197"/>
    </x:row>
    <x:row r="60">
      <x:c r="A60" s="197"/>
    </x:row>
    <x:row r="61">
      <x:c r="A61" s="197"/>
    </x:row>
    <x:row r="62">
      <x:c r="A62" s="197"/>
    </x:row>
    <x:row r="63">
      <x:c r="A63" s="197"/>
    </x:row>
    <x:row r="64">
      <x:c r="A64" s="197"/>
    </x:row>
    <x:row r="65">
      <x:c r="A65" s="197"/>
    </x:row>
    <x:row r="66">
      <x:c r="A66" s="197"/>
    </x:row>
    <x:row r="67">
      <x:c r="A67" s="197"/>
    </x:row>
    <x:row r="68">
      <x:c r="A68" s="197"/>
    </x:row>
    <x:row r="69">
      <x:c r="A69" s="197"/>
    </x:row>
    <x:row r="70">
      <x:c r="A70" s="197"/>
    </x:row>
    <x:row r="71">
      <x:c r="A71" s="197"/>
    </x:row>
    <x:row r="72">
      <x:c r="A72" s="197"/>
    </x:row>
    <x:row r="73">
      <x:c r="A73" s="197"/>
    </x:row>
    <x:row r="74">
      <x:c r="A74" s="197"/>
    </x:row>
    <x:row r="75">
      <x:c r="A75" s="197"/>
    </x:row>
    <x:row r="76">
      <x:c r="A76" s="197"/>
    </x:row>
    <x:row r="77">
      <x:c r="A77" s="197"/>
    </x:row>
    <x:row r="78">
      <x:c r="A78" s="197"/>
    </x:row>
    <x:row r="79">
      <x:c r="A79" s="197"/>
    </x:row>
    <x:row r="80">
      <x:c r="A80" s="197"/>
    </x:row>
    <x:row r="81">
      <x:c r="A81" s="197"/>
    </x:row>
    <x:row r="82">
      <x:c r="A82" s="197"/>
    </x:row>
    <x:row r="83">
      <x:c r="A83" s="197"/>
    </x:row>
    <x:row r="84">
      <x:c r="A84" s="197"/>
    </x:row>
    <x:row r="85">
      <x:c r="A85" s="197"/>
    </x:row>
    <x:row r="86">
      <x:c r="A86" s="197"/>
    </x:row>
    <x:row r="87">
      <x:c r="A87" s="197"/>
    </x:row>
    <x:row r="88">
      <x:c r="A88" s="197"/>
    </x:row>
    <x:row r="89">
      <x:c r="A89" s="197"/>
    </x:row>
    <x:row r="90">
      <x:c r="A90" s="197"/>
    </x:row>
    <x:row r="91">
      <x:c r="A91" s="197"/>
    </x:row>
    <x:row r="92">
      <x:c r="A92" s="197"/>
    </x:row>
    <x:row r="93">
      <x:c r="A93" s="197"/>
    </x:row>
    <x:row r="94">
      <x:c r="A94" s="197"/>
    </x:row>
    <x:row r="95">
      <x:c r="A95" s="197"/>
    </x:row>
    <x:row r="96">
      <x:c r="A96" s="197"/>
    </x:row>
    <x:row r="97">
      <x:c r="A97" s="197"/>
    </x:row>
    <x:row r="98">
      <x:c r="A98" s="197"/>
    </x:row>
    <x:row r="99">
      <x:c r="A99" s="197"/>
    </x:row>
    <x:row r="100">
      <x:c r="A100" s="197"/>
    </x:row>
    <x:row r="101">
      <x:c r="A101" s="197"/>
    </x:row>
    <x:row r="102">
      <x:c r="A102" s="197"/>
    </x:row>
    <x:row r="103">
      <x:c r="A103" s="197"/>
    </x:row>
    <x:row r="104">
      <x:c r="A104" s="197"/>
    </x:row>
    <x:row r="105">
      <x:c r="A105" s="197"/>
    </x:row>
    <x:row r="106">
      <x:c r="A106" s="197"/>
    </x:row>
    <x:row r="107">
      <x:c r="A107" s="197"/>
    </x:row>
    <x:row r="108">
      <x:c r="A108" s="197"/>
    </x:row>
    <x:row r="109">
      <x:c r="A109" s="197"/>
    </x:row>
    <x:row r="110">
      <x:c r="A110" s="197"/>
    </x:row>
    <x:row r="111">
      <x:c r="A111" s="197"/>
    </x:row>
    <x:row r="112">
      <x:c r="A112" s="197"/>
    </x:row>
    <x:row r="113">
      <x:c r="A113" s="197"/>
    </x:row>
    <x:row r="114">
      <x:c r="A114" s="197"/>
    </x:row>
    <x:row r="115">
      <x:c r="A115" s="197"/>
    </x:row>
    <x:row r="116">
      <x:c r="A116" s="197"/>
    </x:row>
    <x:row r="117">
      <x:c r="A117" s="197"/>
    </x:row>
    <x:row r="118">
      <x:c r="A118" s="197"/>
    </x:row>
    <x:row r="119">
      <x:c r="A119" s="197"/>
    </x:row>
    <x:row r="120">
      <x:c r="A120" s="197"/>
    </x:row>
    <x:row r="121">
      <x:c r="A121" s="197"/>
    </x:row>
    <x:row r="122">
      <x:c r="A122" s="197"/>
    </x:row>
    <x:row r="123">
      <x:c r="A123" s="197"/>
    </x:row>
    <x:row r="124">
      <x:c r="A124" s="197"/>
    </x:row>
    <x:row r="125">
      <x:c r="A125" s="197"/>
    </x:row>
    <x:row r="126">
      <x:c r="A126" s="197"/>
    </x:row>
    <x:row r="127">
      <x:c r="A127" s="197"/>
    </x:row>
    <x:row r="128">
      <x:c r="A128" s="197"/>
    </x:row>
    <x:row r="129">
      <x:c r="A129" s="197"/>
    </x:row>
    <x:row r="130">
      <x:c r="A130" s="197"/>
    </x:row>
    <x:row r="131">
      <x:c r="A131" s="197"/>
    </x:row>
    <x:row r="132">
      <x:c r="A132" s="197"/>
    </x:row>
    <x:row r="133">
      <x:c r="A133" s="197"/>
    </x:row>
    <x:row r="134">
      <x:c r="A134" s="197"/>
    </x:row>
    <x:row r="135">
      <x:c r="A135" s="197"/>
    </x:row>
    <x:row r="136">
      <x:c r="A136" s="197"/>
    </x:row>
    <x:row r="137">
      <x:c r="A137" s="197"/>
    </x:row>
    <x:row r="138">
      <x:c r="A138" s="197"/>
    </x:row>
    <x:row r="139">
      <x:c r="A139" s="197"/>
    </x:row>
    <x:row r="140">
      <x:c r="A140" s="197"/>
    </x:row>
    <x:row r="141">
      <x:c r="A141" s="197"/>
    </x:row>
    <x:row r="142">
      <x:c r="A142" s="197"/>
    </x:row>
    <x:row r="143">
      <x:c r="A143" s="197"/>
    </x:row>
    <x:row r="144">
      <x:c r="A144" s="197"/>
    </x:row>
    <x:row r="145">
      <x:c r="A145" s="197"/>
    </x:row>
    <x:row r="146">
      <x:c r="A146" s="197"/>
    </x:row>
    <x:row r="147">
      <x:c r="A147" s="197"/>
    </x:row>
    <x:row r="148">
      <x:c r="A148" s="197"/>
    </x:row>
    <x:row r="149">
      <x:c r="A149" s="197"/>
    </x:row>
    <x:row r="150">
      <x:c r="A150" s="197"/>
    </x:row>
    <x:row r="151">
      <x:c r="A151" s="197"/>
    </x:row>
    <x:row r="152">
      <x:c r="A152" s="197"/>
    </x:row>
    <x:row r="153">
      <x:c r="A153" s="197"/>
    </x:row>
    <x:row r="154">
      <x:c r="A154" s="197"/>
    </x:row>
    <x:row r="155">
      <x:c r="A155" s="197"/>
    </x:row>
    <x:row r="156">
      <x:c r="A156" s="197"/>
    </x:row>
    <x:row r="157">
      <x:c r="A157" s="197"/>
    </x:row>
    <x:row r="158">
      <x:c r="A158" s="197"/>
    </x:row>
    <x:row r="159">
      <x:c r="A159" s="197"/>
    </x:row>
    <x:row r="160">
      <x:c r="A160" s="197"/>
    </x:row>
    <x:row r="161">
      <x:c r="A161" s="197"/>
    </x:row>
    <x:row r="162">
      <x:c r="A162" s="197"/>
    </x:row>
    <x:row r="163">
      <x:c r="A163" s="197"/>
    </x:row>
    <x:row r="164">
      <x:c r="A164" s="197"/>
    </x:row>
    <x:row r="165">
      <x:c r="A165" s="197"/>
    </x:row>
    <x:row r="166">
      <x:c r="A166" s="197"/>
    </x:row>
    <x:row r="167">
      <x:c r="A167" s="197"/>
    </x:row>
    <x:row r="168">
      <x:c r="A168" s="197"/>
    </x:row>
    <x:row r="169">
      <x:c r="A169" s="197"/>
    </x:row>
    <x:row r="170">
      <x:c r="A170" s="197"/>
    </x:row>
    <x:row r="171">
      <x:c r="A171" s="197"/>
    </x:row>
    <x:row r="172">
      <x:c r="A172" s="197"/>
    </x:row>
    <x:row r="173">
      <x:c r="A173" s="197"/>
    </x:row>
    <x:row r="174">
      <x:c r="A174" s="197"/>
    </x:row>
    <x:row r="175">
      <x:c r="A175" s="197"/>
    </x:row>
    <x:row r="176">
      <x:c r="A176" s="197"/>
    </x:row>
    <x:row r="177">
      <x:c r="A177" s="197"/>
    </x:row>
    <x:row r="178">
      <x:c r="A178" s="197"/>
    </x:row>
    <x:row r="179">
      <x:c r="A179" s="197"/>
    </x:row>
    <x:row r="180">
      <x:c r="A180" s="197"/>
    </x:row>
    <x:row r="181">
      <x:c r="A181" s="197"/>
    </x:row>
    <x:row r="182">
      <x:c r="A182" s="197"/>
    </x:row>
    <x:row r="183">
      <x:c r="A183" s="197"/>
    </x:row>
    <x:row r="184">
      <x:c r="A184" s="197"/>
    </x:row>
    <x:row r="185">
      <x:c r="A185" s="197"/>
    </x:row>
    <x:row r="186">
      <x:c r="A186" s="197"/>
    </x:row>
    <x:row r="187">
      <x:c r="A187" s="197"/>
    </x:row>
    <x:row r="188">
      <x:c r="A188" s="197"/>
    </x:row>
    <x:row r="189">
      <x:c r="A189" s="197"/>
    </x:row>
    <x:row r="190">
      <x:c r="A190" s="197"/>
    </x:row>
    <x:row r="191">
      <x:c r="A191" s="197"/>
    </x:row>
    <x:row r="192">
      <x:c r="A192" s="197"/>
    </x:row>
    <x:row r="193">
      <x:c r="A193" s="197"/>
    </x:row>
    <x:row r="194">
      <x:c r="A194" s="197"/>
    </x:row>
    <x:row r="195">
      <x:c r="A195" s="197"/>
    </x:row>
    <x:row r="196">
      <x:c r="A196" s="197"/>
    </x:row>
    <x:row r="197">
      <x:c r="A197" s="197"/>
    </x:row>
    <x:row r="198">
      <x:c r="A198" s="197"/>
    </x:row>
    <x:row r="199">
      <x:c r="A199" s="197"/>
    </x:row>
    <x:row r="200">
      <x:c r="A200" s="197"/>
    </x:row>
    <x:row r="201">
      <x:c r="A201" s="197"/>
    </x:row>
    <x:row r="202">
      <x:c r="A202" s="197"/>
    </x:row>
    <x:row r="203">
      <x:c r="A203" s="197"/>
    </x:row>
    <x:row r="204">
      <x:c r="A204" s="197"/>
    </x:row>
    <x:row r="205">
      <x:c r="A205" s="197"/>
    </x:row>
    <x:row r="206">
      <x:c r="A206" s="197"/>
    </x:row>
    <x:row r="207">
      <x:c r="A207" s="197"/>
    </x:row>
    <x:row r="208">
      <x:c r="A208" s="197"/>
    </x:row>
    <x:row r="209">
      <x:c r="A209" s="197"/>
    </x:row>
    <x:row r="210">
      <x:c r="A210" s="197"/>
    </x:row>
    <x:row r="211">
      <x:c r="A211" s="197"/>
    </x:row>
    <x:row r="212">
      <x:c r="A212" s="197"/>
    </x:row>
    <x:row r="213">
      <x:c r="A213" s="197"/>
    </x:row>
    <x:row r="214">
      <x:c r="A214" s="197"/>
    </x:row>
    <x:row r="215">
      <x:c r="A215" s="197"/>
    </x:row>
    <x:row r="216">
      <x:c r="A216" s="197"/>
    </x:row>
    <x:row r="217">
      <x:c r="A217" s="197"/>
    </x:row>
    <x:row r="218">
      <x:c r="A218" s="197"/>
    </x:row>
    <x:row r="219">
      <x:c r="A219" s="197"/>
    </x:row>
    <x:row r="220">
      <x:c r="A220" s="197"/>
    </x:row>
    <x:row r="221">
      <x:c r="A221" s="197"/>
    </x:row>
    <x:row r="222">
      <x:c r="A222" s="197"/>
    </x:row>
    <x:row r="223">
      <x:c r="A223" s="197"/>
    </x:row>
    <x:row r="224">
      <x:c r="A224" s="197"/>
    </x:row>
    <x:row r="225">
      <x:c r="A225" s="197"/>
    </x:row>
    <x:row r="226">
      <x:c r="A226" s="197"/>
    </x:row>
    <x:row r="227">
      <x:c r="A227" s="197"/>
    </x:row>
    <x:row r="228">
      <x:c r="A228" s="197"/>
    </x:row>
    <x:row r="229">
      <x:c r="A229" s="197"/>
    </x:row>
    <x:row r="230">
      <x:c r="A230" s="197"/>
    </x:row>
    <x:row r="231">
      <x:c r="A231" s="197"/>
    </x:row>
    <x:row r="232">
      <x:c r="A232" s="197"/>
    </x:row>
    <x:row r="233">
      <x:c r="A233" s="197"/>
    </x:row>
    <x:row r="234">
      <x:c r="A234" s="197"/>
    </x:row>
    <x:row r="235">
      <x:c r="A235" s="197"/>
    </x:row>
    <x:row r="236">
      <x:c r="A236" s="197"/>
    </x:row>
    <x:row r="237">
      <x:c r="A237" s="197"/>
    </x:row>
    <x:row r="238">
      <x:c r="A238" s="197"/>
    </x:row>
    <x:row r="239">
      <x:c r="A239" s="197"/>
    </x:row>
    <x:row r="240">
      <x:c r="A240" s="197"/>
    </x:row>
  </x:sheetData>
  <x:mergeCells>
    <x:mergeCell ref="A1:I1"/>
  </x:mergeCells>
  <x:pageMargins left="0.7" right="0.7" top="0.75" bottom="0.75" header="0.3" footer="0.3"/>
  <x:drawing xmlns:r="http://schemas.openxmlformats.org/officeDocument/2006/relationships" r:id="R94ffffe176534ecf"/>
</x:worksheet>
</file>

<file path=xl/worksheets/sheet2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28" hidden="0" customWidth="1"/>
    <x:col min="5" max="5" width="20" hidden="0" customWidth="1"/>
    <x:col min="6" max="6" width="18" hidden="0" customWidth="1"/>
    <x:col min="7" max="7" width="16" hidden="0" customWidth="1"/>
    <x:col min="8" max="8" width="30" hidden="0" customWidth="1"/>
    <x:col min="9" max="9" width="22" hidden="0" customWidth="1"/>
    <x:col min="10" max="10" width="20" hidden="0" customWidth="1"/>
    <x:col min="11" max="11" width="20" hidden="0" customWidth="1"/>
    <x:col min="12" max="12" width="28" hidden="0" customWidth="1"/>
  </x:cols>
  <x:sheetData>
    <x:row r="1" ht="34" customHeight="1">
      <x:c r="A1" s="196" t="str">
        <x:v>90-Day Marketing and Business Development Calendar</x:v>
      </x:c>
    </x:row>
    <x:row r="2">
      <x:c r="A2" s="197"/>
    </x:row>
    <x:row r="3" ht="30" customHeight="1">
      <x:c r="A3" s="13" t="str">
        <x:v>Week</x:v>
      </x:c>
      <x:c r="B3" s="14" t="str">
        <x:v>Theme</x:v>
      </x:c>
      <x:c r="C3" s="14" t="str">
        <x:v>Audience</x:v>
      </x:c>
      <x:c r="D3" s="14" t="str">
        <x:v>Asset</x:v>
      </x:c>
      <x:c r="E3" s="14" t="str">
        <x:v>Channel</x:v>
      </x:c>
      <x:c r="F3" s="14" t="str">
        <x:v>Owner</x:v>
      </x:c>
      <x:c r="G3" s="14" t="str">
        <x:v>Status</x:v>
      </x:c>
      <x:c r="H3" s="14" t="str">
        <x:v>Proof Required</x:v>
      </x:c>
      <x:c r="I3" s="14" t="str">
        <x:v>CTA</x:v>
      </x:c>
      <x:c r="J3" s="14" t="str">
        <x:v>Metric</x:v>
      </x:c>
      <x:c r="K3" s="14" t="str">
        <x:v>Result</x:v>
      </x:c>
      <x:c r="L3" s="15" t="str">
        <x:v>Next Action</x:v>
      </x:c>
    </x:row>
    <x:row r="4">
      <x:c r="A4" s="48" t="n">
        <x:v>1</x:v>
      </x:c>
      <x:c r="B4" s="49" t="str">
        <x:v>Category thesis</x:v>
      </x:c>
      <x:c r="C4" s="49" t="str">
        <x:v>AI founders / executives</x:v>
      </x:c>
      <x:c r="D4" s="49" t="str">
        <x:v>Flagship image + thesis post</x:v>
      </x:c>
      <x:c r="E4" s="49" t="str">
        <x:v>LinkedIn / email</x:v>
      </x:c>
      <x:c r="F4" s="49" t="str"/>
      <x:c r="G4" s="49" t="str">
        <x:v>Not Started</x:v>
      </x:c>
      <x:c r="H4" s="49" t="str">
        <x:v>Claim boundary visible</x:v>
      </x:c>
      <x:c r="I4" s="49" t="str">
        <x:v>Book qualification</x:v>
      </x:c>
      <x:c r="J4" s="49" t="str">
        <x:v>Qualified conversations</x:v>
      </x:c>
      <x:c r="K4" s="49" t="str"/>
      <x:c r="L4" s="50" t="str"/>
    </x:row>
    <x:row r="5">
      <x:c r="A5" s="51" t="n">
        <x:v>2</x:v>
      </x:c>
      <x:c r="B5" s="52" t="str">
        <x:v>What happens on day one</x:v>
      </x:c>
      <x:c r="C5" s="52" t="str">
        <x:v>Sponsors / operators</x:v>
      </x:c>
      <x:c r="D5" s="52" t="str">
        <x:v>Day-One playbook excerpt</x:v>
      </x:c>
      <x:c r="E5" s="52" t="str">
        <x:v>LinkedIn / private briefing</x:v>
      </x:c>
      <x:c r="F5" s="52" t="str"/>
      <x:c r="G5" s="52" t="str">
        <x:v>Not Started</x:v>
      </x:c>
      <x:c r="H5" s="52" t="str">
        <x:v>Operational artifact</x:v>
      </x:c>
      <x:c r="I5" s="52" t="str">
        <x:v>Invite MasterClass</x:v>
      </x:c>
      <x:c r="J5" s="52" t="str">
        <x:v>Scoping calls</x:v>
      </x:c>
      <x:c r="K5" s="52" t="str"/>
      <x:c r="L5" s="53" t="str"/>
    </x:row>
    <x:row r="6">
      <x:c r="A6" s="51" t="n">
        <x:v>3</x:v>
      </x:c>
      <x:c r="B6" s="52" t="str">
        <x:v>Proof-to-value engine</x:v>
      </x:c>
      <x:c r="C6" s="52" t="str">
        <x:v>CIO / CISO / AI leaders</x:v>
      </x:c>
      <x:c r="D6" s="52" t="str">
        <x:v>Compounding-engine visual</x:v>
      </x:c>
      <x:c r="E6" s="52" t="str">
        <x:v>Direct outreach</x:v>
      </x:c>
      <x:c r="F6" s="52" t="str"/>
      <x:c r="G6" s="52" t="str">
        <x:v>Not Started</x:v>
      </x:c>
      <x:c r="H6" s="52" t="str">
        <x:v>No guaranteed return claim</x:v>
      </x:c>
      <x:c r="I6" s="52" t="str">
        <x:v>Book MasterClass</x:v>
      </x:c>
      <x:c r="J6" s="52" t="str">
        <x:v>Paid sessions</x:v>
      </x:c>
      <x:c r="K6" s="52" t="str"/>
      <x:c r="L6" s="53" t="str"/>
    </x:row>
    <x:row r="7">
      <x:c r="A7" s="51" t="n">
        <x:v>4</x:v>
      </x:c>
      <x:c r="B7" s="52" t="str">
        <x:v>AetherWorks case</x:v>
      </x:c>
      <x:c r="C7" s="52" t="str">
        <x:v>Design partners</x:v>
      </x:c>
      <x:c r="D7" s="52" t="str">
        <x:v>Fictional case pack</x:v>
      </x:c>
      <x:c r="E7" s="52" t="str">
        <x:v>Private session</x:v>
      </x:c>
      <x:c r="F7" s="52" t="str"/>
      <x:c r="G7" s="52" t="str">
        <x:v>Not Started</x:v>
      </x:c>
      <x:c r="H7" s="52" t="str">
        <x:v>Clearly fictional</x:v>
      </x:c>
      <x:c r="I7" s="52" t="str">
        <x:v>Qualify objective</x:v>
      </x:c>
      <x:c r="J7" s="52" t="str">
        <x:v>Mission-ready score</x:v>
      </x:c>
      <x:c r="K7" s="52" t="str"/>
      <x:c r="L7" s="53" t="str"/>
    </x:row>
    <x:row r="8">
      <x:c r="A8" s="51" t="n">
        <x:v>5</x:v>
      </x:c>
      <x:c r="B8" s="52" t="str">
        <x:v>First paid MasterClass</x:v>
      </x:c>
      <x:c r="C8" s="52" t="str">
        <x:v>Qualified account</x:v>
      </x:c>
      <x:c r="D8" s="52" t="str">
        <x:v>Session + artifacts</x:v>
      </x:c>
      <x:c r="E8" s="52" t="str">
        <x:v>Private delivery</x:v>
      </x:c>
      <x:c r="F8" s="52" t="str"/>
      <x:c r="G8" s="52" t="str">
        <x:v>Not Started</x:v>
      </x:c>
      <x:c r="H8" s="52" t="str">
        <x:v>Participant-approved recap</x:v>
      </x:c>
      <x:c r="I8" s="52" t="str">
        <x:v>Design Lab</x:v>
      </x:c>
      <x:c r="J8" s="52" t="str">
        <x:v>Conversion</x:v>
      </x:c>
      <x:c r="K8" s="52" t="str"/>
      <x:c r="L8" s="53" t="str"/>
    </x:row>
    <x:row r="9">
      <x:c r="A9" s="51" t="n">
        <x:v>6</x:v>
      </x:c>
      <x:c r="B9" s="52" t="str">
        <x:v>Evidence Docket sample</x:v>
      </x:c>
      <x:c r="C9" s="52" t="str">
        <x:v>Enterprise buyers</x:v>
      </x:c>
      <x:c r="D9" s="52" t="str">
        <x:v>Public-safe sample</x:v>
      </x:c>
      <x:c r="E9" s="52" t="str">
        <x:v>Direct / website</x:v>
      </x:c>
      <x:c r="F9" s="52" t="str"/>
      <x:c r="G9" s="52" t="str">
        <x:v>Not Started</x:v>
      </x:c>
      <x:c r="H9" s="52" t="str">
        <x:v>Evidence and limits visible</x:v>
      </x:c>
      <x:c r="I9" s="52" t="str">
        <x:v>Proof Run</x:v>
      </x:c>
      <x:c r="J9" s="52" t="str">
        <x:v>Proposal</x:v>
      </x:c>
      <x:c r="K9" s="52" t="str"/>
      <x:c r="L9" s="53" t="str"/>
    </x:row>
    <x:row r="10">
      <x:c r="A10" s="51" t="n">
        <x:v>7</x:v>
      </x:c>
      <x:c r="B10" s="52" t="str">
        <x:v>Reviewer network</x:v>
      </x:c>
      <x:c r="C10" s="52" t="str">
        <x:v>Reviewers / partners</x:v>
      </x:c>
      <x:c r="D10" s="52" t="str">
        <x:v>Reviewer charter</x:v>
      </x:c>
      <x:c r="E10" s="52" t="str">
        <x:v>Partner outreach</x:v>
      </x:c>
      <x:c r="F10" s="52" t="str"/>
      <x:c r="G10" s="52" t="str">
        <x:v>Not Started</x:v>
      </x:c>
      <x:c r="H10" s="52" t="str">
        <x:v>Independence policy</x:v>
      </x:c>
      <x:c r="I10" s="52" t="str">
        <x:v>Join network</x:v>
      </x:c>
      <x:c r="J10" s="52" t="str">
        <x:v>Reviewer coverage</x:v>
      </x:c>
      <x:c r="K10" s="52" t="str"/>
      <x:c r="L10" s="53" t="str"/>
    </x:row>
    <x:row r="11">
      <x:c r="A11" s="51" t="n">
        <x:v>8</x:v>
      </x:c>
      <x:c r="B11" s="52" t="str">
        <x:v>Proof-to-Revenue Run</x:v>
      </x:c>
      <x:c r="C11" s="52" t="str">
        <x:v>Qualified sponsor</x:v>
      </x:c>
      <x:c r="D11" s="52" t="str">
        <x:v>Proposal and SOW</x:v>
      </x:c>
      <x:c r="E11" s="52" t="str">
        <x:v>Direct</x:v>
      </x:c>
      <x:c r="F11" s="52" t="str"/>
      <x:c r="G11" s="52" t="str">
        <x:v>Not Started</x:v>
      </x:c>
      <x:c r="H11" s="52" t="str">
        <x:v>Scope, budget, gates</x:v>
      </x:c>
      <x:c r="I11" s="52" t="str">
        <x:v>Fund mission</x:v>
      </x:c>
      <x:c r="J11" s="52" t="str">
        <x:v>Booked revenue</x:v>
      </x:c>
      <x:c r="K11" s="52" t="str"/>
      <x:c r="L11" s="53" t="str"/>
    </x:row>
    <x:row r="12">
      <x:c r="A12" s="51" t="n">
        <x:v>9</x:v>
      </x:c>
      <x:c r="B12" s="52" t="str">
        <x:v>Mission 1 execution</x:v>
      </x:c>
      <x:c r="C12" s="52" t="str">
        <x:v>Customer</x:v>
      </x:c>
      <x:c r="D12" s="52" t="str">
        <x:v>Evidence Docket</x:v>
      </x:c>
      <x:c r="E12" s="52" t="str">
        <x:v>Private</x:v>
      </x:c>
      <x:c r="F12" s="52" t="str"/>
      <x:c r="G12" s="52" t="str">
        <x:v>Not Started</x:v>
      </x:c>
      <x:c r="H12" s="52" t="str">
        <x:v>Real artifacts</x:v>
      </x:c>
      <x:c r="I12" s="52" t="str">
        <x:v>Executive review</x:v>
      </x:c>
      <x:c r="J12" s="52" t="str">
        <x:v>Proof Debt retired</x:v>
      </x:c>
      <x:c r="K12" s="52" t="str"/>
      <x:c r="L12" s="53" t="str"/>
    </x:row>
    <x:row r="13">
      <x:c r="A13" s="51" t="n">
        <x:v>10</x:v>
      </x:c>
      <x:c r="B13" s="52" t="str">
        <x:v>External review</x:v>
      </x:c>
      <x:c r="C13" s="52" t="str">
        <x:v>Independent reviewers</x:v>
      </x:c>
      <x:c r="D13" s="52" t="str">
        <x:v>Reviewer room</x:v>
      </x:c>
      <x:c r="E13" s="52" t="str">
        <x:v>Private / public-safe</x:v>
      </x:c>
      <x:c r="F13" s="52" t="str"/>
      <x:c r="G13" s="52" t="str">
        <x:v>Not Started</x:v>
      </x:c>
      <x:c r="H13" s="52" t="str">
        <x:v>Signed verdict</x:v>
      </x:c>
      <x:c r="I13" s="52" t="str">
        <x:v>Chronicle decision</x:v>
      </x:c>
      <x:c r="J13" s="52" t="str">
        <x:v>Reviewer acceptance</x:v>
      </x:c>
      <x:c r="K13" s="52" t="str"/>
      <x:c r="L13" s="53" t="str"/>
    </x:row>
    <x:row r="14">
      <x:c r="A14" s="51" t="n">
        <x:v>11</x:v>
      </x:c>
      <x:c r="B14" s="52" t="str">
        <x:v>Mission 2 test</x:v>
      </x:c>
      <x:c r="C14" s="52" t="str">
        <x:v>Customer / partner</x:v>
      </x:c>
      <x:c r="D14" s="52" t="str">
        <x:v>Reuse comparison</x:v>
      </x:c>
      <x:c r="E14" s="52" t="str">
        <x:v>Private</x:v>
      </x:c>
      <x:c r="F14" s="52" t="str"/>
      <x:c r="G14" s="52" t="str">
        <x:v>Not Started</x:v>
      </x:c>
      <x:c r="H14" s="52" t="str">
        <x:v>Equal constraints</x:v>
      </x:c>
      <x:c r="I14" s="52" t="str">
        <x:v>Expansion</x:v>
      </x:c>
      <x:c r="J14" s="52" t="str">
        <x:v>Measured lift</x:v>
      </x:c>
      <x:c r="K14" s="52" t="str"/>
      <x:c r="L14" s="53" t="str"/>
    </x:row>
    <x:row r="15">
      <x:c r="A15" s="51" t="n">
        <x:v>12</x:v>
      </x:c>
      <x:c r="B15" s="52" t="str">
        <x:v>Case publication</x:v>
      </x:c>
      <x:c r="C15" s="52" t="str">
        <x:v>Market</x:v>
      </x:c>
      <x:c r="D15" s="52" t="str">
        <x:v>Public-safe Docket / case</x:v>
      </x:c>
      <x:c r="E15" s="52" t="str">
        <x:v>Website / LinkedIn</x:v>
      </x:c>
      <x:c r="F15" s="52" t="str"/>
      <x:c r="G15" s="52" t="str">
        <x:v>Not Started</x:v>
      </x:c>
      <x:c r="H15" s="52" t="str">
        <x:v>Written authorization</x:v>
      </x:c>
      <x:c r="I15" s="52" t="str">
        <x:v>Enterprise pilot</x:v>
      </x:c>
      <x:c r="J15" s="52" t="str">
        <x:v>Qualified pipeline</x:v>
      </x:c>
      <x:c r="K15" s="52" t="str"/>
      <x:c r="L15" s="53" t="str"/>
    </x:row>
    <x:row r="16">
      <x:c r="A16" s="51" t="n">
        <x:v>13</x:v>
      </x:c>
      <x:c r="B16" s="52" t="str">
        <x:v>Enterprise expansion</x:v>
      </x:c>
      <x:c r="C16" s="52" t="str">
        <x:v>Customer executives</x:v>
      </x:c>
      <x:c r="D16" s="52" t="str">
        <x:v>Pilot proposal</x:v>
      </x:c>
      <x:c r="E16" s="52" t="str">
        <x:v>Direct</x:v>
      </x:c>
      <x:c r="F16" s="52" t="str"/>
      <x:c r="G16" s="52" t="str">
        <x:v>Not Started</x:v>
      </x:c>
      <x:c r="H16" s="52" t="str">
        <x:v>Mission 1 + Mission 2 evidence</x:v>
      </x:c>
      <x:c r="I16" s="52" t="str">
        <x:v>Sign pilot</x:v>
      </x:c>
      <x:c r="J16" s="52" t="str">
        <x:v>Expansion revenue</x:v>
      </x:c>
      <x:c r="K16" s="52" t="str"/>
      <x:c r="L16" s="53" t="str"/>
    </x:row>
    <x:row r="17">
      <x:c r="A17" s="51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3"/>
    </x:row>
    <x:row r="18">
      <x:c r="A18" s="51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3"/>
    </x:row>
    <x:row r="19">
      <x:c r="A19" s="51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3"/>
    </x:row>
    <x:row r="20">
      <x:c r="A20" s="51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3"/>
    </x:row>
    <x:row r="21">
      <x:c r="A21" s="51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3"/>
    </x:row>
    <x:row r="22">
      <x:c r="A22" s="51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3"/>
    </x:row>
    <x:row r="23">
      <x:c r="A23" s="51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3"/>
    </x:row>
    <x:row r="24">
      <x:c r="A24" s="51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3"/>
    </x:row>
    <x:row r="25">
      <x:c r="A25" s="51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3"/>
    </x:row>
    <x:row r="26">
      <x:c r="A26" s="51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3"/>
    </x:row>
    <x:row r="27">
      <x:c r="A27" s="51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3"/>
    </x:row>
    <x:row r="28">
      <x:c r="A28" s="51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3"/>
    </x:row>
    <x:row r="29">
      <x:c r="A29" s="51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3"/>
    </x:row>
    <x:row r="30">
      <x:c r="A30" s="51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3"/>
    </x:row>
    <x:row r="31">
      <x:c r="A31" s="51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3"/>
    </x:row>
    <x:row r="32">
      <x:c r="A32" s="51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3"/>
    </x:row>
    <x:row r="33">
      <x:c r="A33" s="51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3"/>
    </x:row>
    <x:row r="34">
      <x:c r="A34" s="51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3"/>
    </x:row>
    <x:row r="35">
      <x:c r="A35" s="51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3"/>
    </x:row>
    <x:row r="36">
      <x:c r="A36" s="51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3"/>
    </x:row>
    <x:row r="37">
      <x:c r="A37" s="51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3"/>
    </x:row>
    <x:row r="38">
      <x:c r="A38" s="51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3"/>
    </x:row>
    <x:row r="39">
      <x:c r="A39" s="51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3"/>
    </x:row>
    <x:row r="40">
      <x:c r="A40" s="51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3"/>
    </x:row>
    <x:row r="41">
      <x:c r="A41" s="51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3"/>
    </x:row>
    <x:row r="42">
      <x:c r="A42" s="51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3"/>
    </x:row>
    <x:row r="43">
      <x:c r="A43" s="51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3"/>
    </x:row>
    <x:row r="44">
      <x:c r="A44" s="51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3"/>
    </x:row>
    <x:row r="45">
      <x:c r="A45" s="51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3"/>
    </x:row>
    <x:row r="46">
      <x:c r="A46" s="51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3"/>
    </x:row>
    <x:row r="47">
      <x:c r="A47" s="51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3"/>
    </x:row>
    <x:row r="48">
      <x:c r="A48" s="51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3"/>
    </x:row>
    <x:row r="49">
      <x:c r="A49" s="51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3"/>
    </x:row>
    <x:row r="50">
      <x:c r="A50" s="51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3"/>
    </x:row>
    <x:row r="51">
      <x:c r="A51" s="51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3"/>
    </x:row>
    <x:row r="52">
      <x:c r="A52" s="51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3"/>
    </x:row>
    <x:row r="53">
      <x:c r="A53" s="51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3"/>
    </x:row>
    <x:row r="54">
      <x:c r="A54" s="51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3"/>
    </x:row>
    <x:row r="55">
      <x:c r="A55" s="51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3"/>
    </x:row>
    <x:row r="56">
      <x:c r="A56" s="51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3"/>
    </x:row>
    <x:row r="57">
      <x:c r="A57" s="51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3"/>
    </x:row>
    <x:row r="58">
      <x:c r="A58" s="51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3"/>
    </x:row>
    <x:row r="59">
      <x:c r="A59" s="51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3"/>
    </x:row>
    <x:row r="60">
      <x:c r="A60" s="51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3"/>
    </x:row>
    <x:row r="61">
      <x:c r="A61" s="51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3"/>
    </x:row>
    <x:row r="62">
      <x:c r="A62" s="51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3"/>
    </x:row>
    <x:row r="63">
      <x:c r="A63" s="51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3"/>
    </x:row>
    <x:row r="64">
      <x:c r="A64" s="51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3"/>
    </x:row>
    <x:row r="65">
      <x:c r="A65" s="51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3"/>
    </x:row>
    <x:row r="66">
      <x:c r="A66" s="51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3"/>
    </x:row>
    <x:row r="67">
      <x:c r="A67" s="51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3"/>
    </x:row>
    <x:row r="68">
      <x:c r="A68" s="51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3"/>
    </x:row>
    <x:row r="69">
      <x:c r="A69" s="51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3"/>
    </x:row>
    <x:row r="70">
      <x:c r="A70" s="51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3"/>
    </x:row>
    <x:row r="71">
      <x:c r="A71" s="51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3"/>
    </x:row>
    <x:row r="72">
      <x:c r="A72" s="51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3"/>
    </x:row>
    <x:row r="73">
      <x:c r="A73" s="51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3"/>
    </x:row>
    <x:row r="74">
      <x:c r="A74" s="51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3"/>
    </x:row>
    <x:row r="75">
      <x:c r="A75" s="51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3"/>
    </x:row>
    <x:row r="76">
      <x:c r="A76" s="51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3"/>
    </x:row>
    <x:row r="77">
      <x:c r="A77" s="51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3"/>
    </x:row>
    <x:row r="78">
      <x:c r="A78" s="51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3"/>
    </x:row>
    <x:row r="79">
      <x:c r="A79" s="51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3"/>
    </x:row>
    <x:row r="80">
      <x:c r="A80" s="51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3"/>
    </x:row>
    <x:row r="81">
      <x:c r="A81" s="51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3"/>
    </x:row>
    <x:row r="82">
      <x:c r="A82" s="51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3"/>
    </x:row>
    <x:row r="83">
      <x:c r="A83" s="51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3"/>
    </x:row>
    <x:row r="84">
      <x:c r="A84" s="51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3"/>
    </x:row>
    <x:row r="85">
      <x:c r="A85" s="51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3"/>
    </x:row>
    <x:row r="86">
      <x:c r="A86" s="51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3"/>
    </x:row>
    <x:row r="87">
      <x:c r="A87" s="51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3"/>
    </x:row>
    <x:row r="88">
      <x:c r="A88" s="51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3"/>
    </x:row>
    <x:row r="89">
      <x:c r="A89" s="51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3"/>
    </x:row>
    <x:row r="90">
      <x:c r="A90" s="51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3"/>
    </x:row>
    <x:row r="91">
      <x:c r="A91" s="51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3"/>
    </x:row>
    <x:row r="92">
      <x:c r="A92" s="51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3"/>
    </x:row>
    <x:row r="93">
      <x:c r="A93" s="51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3"/>
    </x:row>
    <x:row r="94">
      <x:c r="A94" s="51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3"/>
    </x:row>
    <x:row r="95">
      <x:c r="A95" s="51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3"/>
    </x:row>
    <x:row r="96">
      <x:c r="A96" s="51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3"/>
    </x:row>
    <x:row r="97">
      <x:c r="A97" s="51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3"/>
    </x:row>
    <x:row r="98">
      <x:c r="A98" s="51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3"/>
    </x:row>
    <x:row r="99">
      <x:c r="A99" s="51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3"/>
    </x:row>
    <x:row r="100">
      <x:c r="A100" s="54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6"/>
    </x:row>
    <x:row r="101">
      <x:c r="A101" s="197"/>
    </x:row>
    <x:row r="102">
      <x:c r="A102" s="197"/>
    </x:row>
    <x:row r="103">
      <x:c r="A103" s="197"/>
    </x:row>
    <x:row r="104">
      <x:c r="A104" s="197"/>
    </x:row>
    <x:row r="105">
      <x:c r="A105" s="197"/>
    </x:row>
    <x:row r="106">
      <x:c r="A106" s="197"/>
    </x:row>
    <x:row r="107">
      <x:c r="A107" s="197"/>
    </x:row>
    <x:row r="108">
      <x:c r="A108" s="197"/>
    </x:row>
    <x:row r="109">
      <x:c r="A109" s="197"/>
    </x:row>
    <x:row r="110">
      <x:c r="A110" s="197"/>
    </x:row>
    <x:row r="111">
      <x:c r="A111" s="197"/>
    </x:row>
    <x:row r="112">
      <x:c r="A112" s="197"/>
    </x:row>
    <x:row r="113">
      <x:c r="A113" s="197"/>
    </x:row>
    <x:row r="114">
      <x:c r="A114" s="197"/>
    </x:row>
    <x:row r="115">
      <x:c r="A115" s="197"/>
    </x:row>
    <x:row r="116">
      <x:c r="A116" s="197"/>
    </x:row>
    <x:row r="117">
      <x:c r="A117" s="197"/>
    </x:row>
    <x:row r="118">
      <x:c r="A118" s="197"/>
    </x:row>
    <x:row r="119">
      <x:c r="A119" s="197"/>
    </x:row>
    <x:row r="120">
      <x:c r="A120" s="197"/>
    </x:row>
    <x:row r="121">
      <x:c r="A121" s="197"/>
    </x:row>
    <x:row r="122">
      <x:c r="A122" s="197"/>
    </x:row>
    <x:row r="123">
      <x:c r="A123" s="197"/>
    </x:row>
    <x:row r="124">
      <x:c r="A124" s="197"/>
    </x:row>
    <x:row r="125">
      <x:c r="A125" s="197"/>
    </x:row>
    <x:row r="126">
      <x:c r="A126" s="197"/>
    </x:row>
    <x:row r="127">
      <x:c r="A127" s="197"/>
    </x:row>
    <x:row r="128">
      <x:c r="A128" s="197"/>
    </x:row>
    <x:row r="129">
      <x:c r="A129" s="197"/>
    </x:row>
    <x:row r="130">
      <x:c r="A130" s="197"/>
    </x:row>
    <x:row r="131">
      <x:c r="A131" s="197"/>
    </x:row>
    <x:row r="132">
      <x:c r="A132" s="197"/>
    </x:row>
    <x:row r="133">
      <x:c r="A133" s="197"/>
    </x:row>
    <x:row r="134">
      <x:c r="A134" s="197"/>
    </x:row>
    <x:row r="135">
      <x:c r="A135" s="197"/>
    </x:row>
    <x:row r="136">
      <x:c r="A136" s="197"/>
    </x:row>
    <x:row r="137">
      <x:c r="A137" s="197"/>
    </x:row>
    <x:row r="138">
      <x:c r="A138" s="197"/>
    </x:row>
    <x:row r="139">
      <x:c r="A139" s="197"/>
    </x:row>
    <x:row r="140">
      <x:c r="A140" s="197"/>
    </x:row>
    <x:row r="141">
      <x:c r="A141" s="197"/>
    </x:row>
    <x:row r="142">
      <x:c r="A142" s="197"/>
    </x:row>
    <x:row r="143">
      <x:c r="A143" s="197"/>
    </x:row>
    <x:row r="144">
      <x:c r="A144" s="197"/>
    </x:row>
    <x:row r="145">
      <x:c r="A145" s="197"/>
    </x:row>
    <x:row r="146">
      <x:c r="A146" s="197"/>
    </x:row>
    <x:row r="147">
      <x:c r="A147" s="197"/>
    </x:row>
    <x:row r="148">
      <x:c r="A148" s="197"/>
    </x:row>
    <x:row r="149">
      <x:c r="A149" s="197"/>
    </x:row>
    <x:row r="150">
      <x:c r="A150" s="197"/>
    </x:row>
    <x:row r="151">
      <x:c r="A151" s="197"/>
    </x:row>
    <x:row r="152">
      <x:c r="A152" s="197"/>
    </x:row>
    <x:row r="153">
      <x:c r="A153" s="197"/>
    </x:row>
    <x:row r="154">
      <x:c r="A154" s="197"/>
    </x:row>
    <x:row r="155">
      <x:c r="A155" s="197"/>
    </x:row>
    <x:row r="156">
      <x:c r="A156" s="197"/>
    </x:row>
    <x:row r="157">
      <x:c r="A157" s="197"/>
    </x:row>
    <x:row r="158">
      <x:c r="A158" s="197"/>
    </x:row>
    <x:row r="159">
      <x:c r="A159" s="197"/>
    </x:row>
    <x:row r="160">
      <x:c r="A160" s="197"/>
    </x:row>
    <x:row r="161">
      <x:c r="A161" s="197"/>
    </x:row>
    <x:row r="162">
      <x:c r="A162" s="197"/>
    </x:row>
    <x:row r="163">
      <x:c r="A163" s="197"/>
    </x:row>
    <x:row r="164">
      <x:c r="A164" s="197"/>
    </x:row>
    <x:row r="165">
      <x:c r="A165" s="197"/>
    </x:row>
    <x:row r="166">
      <x:c r="A166" s="197"/>
    </x:row>
    <x:row r="167">
      <x:c r="A167" s="197"/>
    </x:row>
    <x:row r="168">
      <x:c r="A168" s="197"/>
    </x:row>
    <x:row r="169">
      <x:c r="A169" s="197"/>
    </x:row>
    <x:row r="170">
      <x:c r="A170" s="197"/>
    </x:row>
    <x:row r="171">
      <x:c r="A171" s="197"/>
    </x:row>
    <x:row r="172">
      <x:c r="A172" s="197"/>
    </x:row>
    <x:row r="173">
      <x:c r="A173" s="197"/>
    </x:row>
    <x:row r="174">
      <x:c r="A174" s="197"/>
    </x:row>
    <x:row r="175">
      <x:c r="A175" s="197"/>
    </x:row>
    <x:row r="176">
      <x:c r="A176" s="197"/>
    </x:row>
    <x:row r="177">
      <x:c r="A177" s="197"/>
    </x:row>
    <x:row r="178">
      <x:c r="A178" s="197"/>
    </x:row>
    <x:row r="179">
      <x:c r="A179" s="197"/>
    </x:row>
    <x:row r="180">
      <x:c r="A180" s="197"/>
    </x:row>
    <x:row r="181">
      <x:c r="A181" s="197"/>
    </x:row>
    <x:row r="182">
      <x:c r="A182" s="197"/>
    </x:row>
    <x:row r="183">
      <x:c r="A183" s="197"/>
    </x:row>
    <x:row r="184">
      <x:c r="A184" s="197"/>
    </x:row>
    <x:row r="185">
      <x:c r="A185" s="197"/>
    </x:row>
    <x:row r="186">
      <x:c r="A186" s="197"/>
    </x:row>
    <x:row r="187">
      <x:c r="A187" s="197"/>
    </x:row>
    <x:row r="188">
      <x:c r="A188" s="197"/>
    </x:row>
    <x:row r="189">
      <x:c r="A189" s="197"/>
    </x:row>
    <x:row r="190">
      <x:c r="A190" s="197"/>
    </x:row>
    <x:row r="191">
      <x:c r="A191" s="197"/>
    </x:row>
    <x:row r="192">
      <x:c r="A192" s="197"/>
    </x:row>
    <x:row r="193">
      <x:c r="A193" s="197"/>
    </x:row>
    <x:row r="194">
      <x:c r="A194" s="197"/>
    </x:row>
    <x:row r="195">
      <x:c r="A195" s="197"/>
    </x:row>
    <x:row r="196">
      <x:c r="A196" s="197"/>
    </x:row>
    <x:row r="197">
      <x:c r="A197" s="197"/>
    </x:row>
    <x:row r="198">
      <x:c r="A198" s="197"/>
    </x:row>
    <x:row r="199">
      <x:c r="A199" s="197"/>
    </x:row>
    <x:row r="200">
      <x:c r="A200" s="197"/>
    </x:row>
    <x:row r="201">
      <x:c r="A201" s="197"/>
    </x:row>
    <x:row r="202">
      <x:c r="A202" s="197"/>
    </x:row>
    <x:row r="203">
      <x:c r="A203" s="197"/>
    </x:row>
    <x:row r="204">
      <x:c r="A204" s="197"/>
    </x:row>
    <x:row r="205">
      <x:c r="A205" s="197"/>
    </x:row>
    <x:row r="206">
      <x:c r="A206" s="197"/>
    </x:row>
    <x:row r="207">
      <x:c r="A207" s="197"/>
    </x:row>
    <x:row r="208">
      <x:c r="A208" s="197"/>
    </x:row>
    <x:row r="209">
      <x:c r="A209" s="197"/>
    </x:row>
    <x:row r="210">
      <x:c r="A210" s="197"/>
    </x:row>
    <x:row r="211">
      <x:c r="A211" s="197"/>
    </x:row>
    <x:row r="212">
      <x:c r="A212" s="197"/>
    </x:row>
    <x:row r="213">
      <x:c r="A213" s="197"/>
    </x:row>
    <x:row r="214">
      <x:c r="A214" s="197"/>
    </x:row>
    <x:row r="215">
      <x:c r="A215" s="197"/>
    </x:row>
    <x:row r="216">
      <x:c r="A216" s="197"/>
    </x:row>
    <x:row r="217">
      <x:c r="A217" s="197"/>
    </x:row>
    <x:row r="218">
      <x:c r="A218" s="197"/>
    </x:row>
    <x:row r="219">
      <x:c r="A219" s="197"/>
    </x:row>
    <x:row r="220">
      <x:c r="A220" s="197"/>
    </x:row>
    <x:row r="221">
      <x:c r="A221" s="197"/>
    </x:row>
    <x:row r="222">
      <x:c r="A222" s="197"/>
    </x:row>
    <x:row r="223">
      <x:c r="A223" s="197"/>
    </x:row>
    <x:row r="224">
      <x:c r="A224" s="197"/>
    </x:row>
    <x:row r="225">
      <x:c r="A225" s="197"/>
    </x:row>
    <x:row r="226">
      <x:c r="A226" s="197"/>
    </x:row>
    <x:row r="227">
      <x:c r="A227" s="197"/>
    </x:row>
    <x:row r="228">
      <x:c r="A228" s="197"/>
    </x:row>
    <x:row r="229">
      <x:c r="A229" s="197"/>
    </x:row>
    <x:row r="230">
      <x:c r="A230" s="197"/>
    </x:row>
    <x:row r="231">
      <x:c r="A231" s="197"/>
    </x:row>
    <x:row r="232">
      <x:c r="A232" s="197"/>
    </x:row>
    <x:row r="233">
      <x:c r="A233" s="197"/>
    </x:row>
    <x:row r="234">
      <x:c r="A234" s="197"/>
    </x:row>
    <x:row r="235">
      <x:c r="A235" s="197"/>
    </x:row>
    <x:row r="236">
      <x:c r="A236" s="197"/>
    </x:row>
    <x:row r="237">
      <x:c r="A237" s="197"/>
    </x:row>
    <x:row r="238">
      <x:c r="A238" s="197"/>
    </x:row>
    <x:row r="239">
      <x:c r="A239" s="197"/>
    </x:row>
    <x:row r="240">
      <x:c r="A240" s="197"/>
    </x:row>
  </x:sheetData>
  <x:mergeCells>
    <x:mergeCell ref="A1:L1"/>
  </x:mergeCells>
  <x:dataValidations count="1">
    <x:dataValidation type="list" sqref="G4:G100">
      <x:formula1>"Not Started,In Progress,Blocked,Done"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0" customHeight="1">
      <x:c r="A1" s="13" t="str">
        <x:v>Participant Status</x:v>
      </x:c>
      <x:c r="B1" s="14" t="str">
        <x:v>Module Status</x:v>
      </x:c>
      <x:c r="C1" s="14" t="str">
        <x:v>Session Status</x:v>
      </x:c>
      <x:c r="D1" s="14" t="str">
        <x:v>Mission Fit</x:v>
      </x:c>
      <x:c r="E1" s="14" t="str">
        <x:v>Pipeline Stage</x:v>
      </x:c>
      <x:c r="F1" s="14" t="str">
        <x:v>Opportunity Status</x:v>
      </x:c>
      <x:c r="G1" s="14" t="str">
        <x:v>Risk Level</x:v>
      </x:c>
      <x:c r="H1" s="14" t="str">
        <x:v>Proof Debt Status</x:v>
      </x:c>
      <x:c r="I1" s="14" t="str">
        <x:v>Job Status</x:v>
      </x:c>
      <x:c r="J1" s="14" t="str">
        <x:v>Evidence Status</x:v>
      </x:c>
      <x:c r="K1" s="14" t="str">
        <x:v>Chronicle Decision</x:v>
      </x:c>
      <x:c r="L1" s="15" t="str">
        <x:v>Commercial Disposition</x:v>
      </x:c>
    </x:row>
    <x:row r="2">
      <x:c r="A2" s="48" t="str">
        <x:v>Invited</x:v>
      </x:c>
      <x:c r="B2" s="49" t="str">
        <x:v>Not Started</x:v>
      </x:c>
      <x:c r="C2" s="49" t="str">
        <x:v>Draft</x:v>
      </x:c>
      <x:c r="D2" s="49" t="str">
        <x:v>Not Ready</x:v>
      </x:c>
      <x:c r="E2" s="49" t="str">
        <x:v>Lead</x:v>
      </x:c>
      <x:c r="F2" s="49" t="str">
        <x:v>Open</x:v>
      </x:c>
      <x:c r="G2" s="49" t="str">
        <x:v>Low</x:v>
      </x:c>
      <x:c r="H2" s="49" t="str">
        <x:v>Supported</x:v>
      </x:c>
      <x:c r="I2" s="49" t="str">
        <x:v>Not Started</x:v>
      </x:c>
      <x:c r="J2" s="49" t="str">
        <x:v>Unreviewed</x:v>
      </x:c>
      <x:c r="K2" s="49" t="str">
        <x:v>Pending</x:v>
      </x:c>
      <x:c r="L2" s="50" t="str">
        <x:v>Sell</x:v>
      </x:c>
    </x:row>
    <x:row r="3">
      <x:c r="A3" s="51" t="str">
        <x:v>Registered</x:v>
      </x:c>
      <x:c r="B3" s="52" t="str">
        <x:v>In Progress</x:v>
      </x:c>
      <x:c r="C3" s="52" t="str">
        <x:v>Scheduled</x:v>
      </x:c>
      <x:c r="D3" s="52" t="str">
        <x:v>Discovery</x:v>
      </x:c>
      <x:c r="E3" s="52" t="str">
        <x:v>Qualified</x:v>
      </x:c>
      <x:c r="F3" s="52" t="str">
        <x:v>In Discovery</x:v>
      </x:c>
      <x:c r="G3" s="52" t="str">
        <x:v>Medium</x:v>
      </x:c>
      <x:c r="H3" s="52" t="str">
        <x:v>Needs Evidence</x:v>
      </x:c>
      <x:c r="I3" s="52" t="str">
        <x:v>Active</x:v>
      </x:c>
      <x:c r="J3" s="52" t="str">
        <x:v>Supported</x:v>
      </x:c>
      <x:c r="K3" s="52" t="str">
        <x:v>Admit</x:v>
      </x:c>
      <x:c r="L3" s="53" t="str">
        <x:v>License</x:v>
      </x:c>
    </x:row>
    <x:row r="4">
      <x:c r="A4" s="51" t="str">
        <x:v>Confirmed</x:v>
      </x:c>
      <x:c r="B4" s="52" t="str">
        <x:v>Complete</x:v>
      </x:c>
      <x:c r="C4" s="52" t="str">
        <x:v>Ready</x:v>
      </x:c>
      <x:c r="D4" s="52" t="str">
        <x:v>Design-Ready</x:v>
      </x:c>
      <x:c r="E4" s="52" t="str">
        <x:v>Briefing</x:v>
      </x:c>
      <x:c r="F4" s="52" t="str">
        <x:v>Scoped</x:v>
      </x:c>
      <x:c r="G4" s="52" t="str">
        <x:v>High</x:v>
      </x:c>
      <x:c r="H4" s="52" t="str">
        <x:v>Needs Replay</x:v>
      </x:c>
      <x:c r="I4" s="52" t="str">
        <x:v>Blocked</x:v>
      </x:c>
      <x:c r="J4" s="52" t="str">
        <x:v>Supported with Limits</x:v>
      </x:c>
      <x:c r="K4" s="52" t="str">
        <x:v>Admit with Scope</x:v>
      </x:c>
      <x:c r="L4" s="53" t="str">
        <x:v>Reuse Internally</x:v>
      </x:c>
    </x:row>
    <x:row r="5">
      <x:c r="A5" s="51" t="str">
        <x:v>Attended</x:v>
      </x:c>
      <x:c r="B5" s="52" t="str">
        <x:v>Blocked</x:v>
      </x:c>
      <x:c r="C5" s="52" t="str">
        <x:v>Live</x:v>
      </x:c>
      <x:c r="D5" s="52" t="str">
        <x:v>Mission-Ready</x:v>
      </x:c>
      <x:c r="E5" s="52" t="str">
        <x:v>MasterClass</x:v>
      </x:c>
      <x:c r="F5" s="52" t="str">
        <x:v>Proposed</x:v>
      </x:c>
      <x:c r="G5" s="52" t="str">
        <x:v>Critical</x:v>
      </x:c>
      <x:c r="H5" s="52" t="str">
        <x:v>Needs Reviewer</x:v>
      </x:c>
      <x:c r="I5" s="52" t="str">
        <x:v>Returned</x:v>
      </x:c>
      <x:c r="J5" s="52" t="str">
        <x:v>Contradicted</x:v>
      </x:c>
      <x:c r="K5" s="52" t="str">
        <x:v>Repair</x:v>
      </x:c>
      <x:c r="L5" s="53" t="str">
        <x:v>Retain as Asset</x:v>
      </x:c>
    </x:row>
    <x:row r="6">
      <x:c r="A6" s="51" t="str">
        <x:v>Completed</x:v>
      </x:c>
      <x:c r="B6" s="52" t="str">
        <x:v>Not Applicable</x:v>
      </x:c>
      <x:c r="C6" s="52" t="str">
        <x:v>Complete</x:v>
      </x:c>
      <x:c r="D6" s="52" t="str">
        <x:v>Platform-Ready</x:v>
      </x:c>
      <x:c r="E6" s="52" t="str">
        <x:v>Design Lab</x:v>
      </x:c>
      <x:c r="F6" s="52" t="str">
        <x:v>Funded</x:v>
      </x:c>
      <x:c r="G6" s="52" t="str">
        <x:v>Informational</x:v>
      </x:c>
      <x:c r="H6" s="52" t="str">
        <x:v>Needs Boundary</x:v>
      </x:c>
      <x:c r="I6" s="52" t="str">
        <x:v>Accepted</x:v>
      </x:c>
      <x:c r="J6" s="52" t="str">
        <x:v>Accepted</x:v>
      </x:c>
      <x:c r="K6" s="52" t="str">
        <x:v>Reject</x:v>
      </x:c>
      <x:c r="L6" s="53" t="str">
        <x:v>Open / Standardize</x:v>
      </x:c>
    </x:row>
    <x:row r="7">
      <x:c r="A7" s="51" t="str">
        <x:v>No-show</x:v>
      </x:c>
      <x:c r="B7" s="52"/>
      <x:c r="C7" s="52" t="str">
        <x:v>Cancelled</x:v>
      </x:c>
      <x:c r="D7" s="52"/>
      <x:c r="E7" s="52" t="str">
        <x:v>Proposal</x:v>
      </x:c>
      <x:c r="F7" s="52" t="str">
        <x:v>Blocked</x:v>
      </x:c>
      <x:c r="G7" s="52"/>
      <x:c r="H7" s="52" t="str">
        <x:v>Blocked</x:v>
      </x:c>
      <x:c r="I7" s="52" t="str">
        <x:v>Rejected</x:v>
      </x:c>
      <x:c r="J7" s="52" t="str">
        <x:v>Rejected</x:v>
      </x:c>
      <x:c r="K7" s="52" t="str">
        <x:v>Quarantine</x:v>
      </x:c>
      <x:c r="L7" s="53" t="str">
        <x:v>Sandbox</x:v>
      </x:c>
    </x:row>
    <x:row r="8">
      <x:c r="A8" s="51" t="str">
        <x:v>Declined</x:v>
      </x:c>
      <x:c r="B8" s="52"/>
      <x:c r="C8" s="52"/>
      <x:c r="D8" s="52"/>
      <x:c r="E8" s="52" t="str">
        <x:v>Proof Mission</x:v>
      </x:c>
      <x:c r="F8" s="52" t="str">
        <x:v>Closed</x:v>
      </x:c>
      <x:c r="G8" s="52"/>
      <x:c r="H8" s="52" t="str">
        <x:v>Out of Scope</x:v>
      </x:c>
      <x:c r="I8" s="52" t="str">
        <x:v>Cancelled</x:v>
      </x:c>
      <x:c r="J8" s="52" t="str">
        <x:v>Stale</x:v>
      </x:c>
      <x:c r="K8" s="52" t="str">
        <x:v>Supersede</x:v>
      </x:c>
      <x:c r="L8" s="53" t="str">
        <x:v>Retire</x:v>
      </x:c>
    </x:row>
    <x:row r="9">
      <x:c r="A9" s="51"/>
      <x:c r="B9" s="52"/>
      <x:c r="C9" s="52"/>
      <x:c r="D9" s="52"/>
      <x:c r="E9" s="52" t="str">
        <x:v>Enterprise Pilot</x:v>
      </x:c>
      <x:c r="F9" s="52" t="str">
        <x:v>Won</x:v>
      </x:c>
      <x:c r="G9" s="52"/>
      <x:c r="H9" s="52" t="str">
        <x:v>Resolved</x:v>
      </x:c>
      <x:c r="I9" s="52"/>
      <x:c r="J9" s="52"/>
      <x:c r="K9" s="52" t="str">
        <x:v>Retire</x:v>
      </x:c>
      <x:c r="L9" s="53" t="str">
        <x:v>Pending</x:v>
      </x:c>
    </x:row>
    <x:row r="10">
      <x:c r="A10" s="51"/>
      <x:c r="B10" s="52"/>
      <x:c r="C10" s="52"/>
      <x:c r="D10" s="52"/>
      <x:c r="E10" s="52" t="str">
        <x:v>Won</x:v>
      </x:c>
      <x:c r="F10" s="52"/>
      <x:c r="G10" s="52"/>
      <x:c r="H10" s="52" t="str">
        <x:v>Retired</x:v>
      </x:c>
      <x:c r="I10" s="52"/>
      <x:c r="J10" s="52"/>
      <x:c r="K10" s="52"/>
      <x:c r="L10" s="53"/>
    </x:row>
    <x:row r="11">
      <x:c r="A11" s="54"/>
      <x:c r="B11" s="55"/>
      <x:c r="C11" s="55"/>
      <x:c r="D11" s="55"/>
      <x:c r="E11" s="55" t="str">
        <x:v>Lost</x:v>
      </x:c>
      <x:c r="F11" s="55"/>
      <x:c r="G11" s="55"/>
      <x:c r="H11" s="55"/>
      <x:c r="I11" s="55"/>
      <x:c r="J11" s="55"/>
      <x:c r="K11" s="55"/>
      <x:c r="L11" s="56"/>
    </x:row>
    <x:row r="12">
      <x:c r="A12" s="197"/>
    </x:row>
    <x:row r="13">
      <x:c r="A13" s="197"/>
    </x:row>
    <x:row r="14">
      <x:c r="A14" s="197"/>
    </x:row>
    <x:row r="15">
      <x:c r="A15" s="197"/>
    </x:row>
    <x:row r="16">
      <x:c r="A16" s="197"/>
    </x:row>
    <x:row r="17">
      <x:c r="A17" s="197"/>
    </x:row>
    <x:row r="18">
      <x:c r="A18" s="197"/>
    </x:row>
    <x:row r="19">
      <x:c r="A19" s="197"/>
    </x:row>
    <x:row r="20">
      <x:c r="A20" s="197"/>
    </x:row>
    <x:row r="21">
      <x:c r="A21" s="197"/>
    </x:row>
    <x:row r="22">
      <x:c r="A22" s="197"/>
    </x:row>
    <x:row r="23">
      <x:c r="A23" s="197"/>
    </x:row>
    <x:row r="24">
      <x:c r="A24" s="197"/>
    </x:row>
    <x:row r="25">
      <x:c r="A25" s="197"/>
    </x:row>
    <x:row r="26">
      <x:c r="A26" s="197"/>
    </x:row>
    <x:row r="27">
      <x:c r="A27" s="197"/>
    </x:row>
    <x:row r="28">
      <x:c r="A28" s="197"/>
    </x:row>
    <x:row r="29">
      <x:c r="A29" s="197"/>
    </x:row>
    <x:row r="30">
      <x:c r="A30" s="197"/>
    </x:row>
    <x:row r="31">
      <x:c r="A31" s="197"/>
    </x:row>
    <x:row r="32">
      <x:c r="A32" s="197"/>
    </x:row>
    <x:row r="33">
      <x:c r="A33" s="197"/>
    </x:row>
    <x:row r="34">
      <x:c r="A34" s="197"/>
    </x:row>
    <x:row r="35">
      <x:c r="A35" s="197"/>
    </x:row>
    <x:row r="36">
      <x:c r="A36" s="197"/>
    </x:row>
    <x:row r="37">
      <x:c r="A37" s="197"/>
    </x:row>
    <x:row r="38">
      <x:c r="A38" s="197"/>
    </x:row>
    <x:row r="39">
      <x:c r="A39" s="197"/>
    </x:row>
    <x:row r="40">
      <x:c r="A40" s="197"/>
    </x:row>
    <x:row r="41">
      <x:c r="A41" s="197"/>
    </x:row>
    <x:row r="42">
      <x:c r="A42" s="197"/>
    </x:row>
    <x:row r="43">
      <x:c r="A43" s="197"/>
    </x:row>
    <x:row r="44">
      <x:c r="A44" s="197"/>
    </x:row>
    <x:row r="45">
      <x:c r="A45" s="197"/>
    </x:row>
    <x:row r="46">
      <x:c r="A46" s="197"/>
    </x:row>
    <x:row r="47">
      <x:c r="A47" s="197"/>
    </x:row>
    <x:row r="48">
      <x:c r="A48" s="197"/>
    </x:row>
    <x:row r="49">
      <x:c r="A49" s="197"/>
    </x:row>
    <x:row r="50">
      <x:c r="A50" s="197"/>
    </x:row>
    <x:row r="51">
      <x:c r="A51" s="197"/>
    </x:row>
    <x:row r="52">
      <x:c r="A52" s="197"/>
    </x:row>
    <x:row r="53">
      <x:c r="A53" s="197"/>
    </x:row>
    <x:row r="54">
      <x:c r="A54" s="197"/>
    </x:row>
    <x:row r="55">
      <x:c r="A55" s="197"/>
    </x:row>
    <x:row r="56">
      <x:c r="A56" s="197"/>
    </x:row>
    <x:row r="57">
      <x:c r="A57" s="197"/>
    </x:row>
    <x:row r="58">
      <x:c r="A58" s="197"/>
    </x:row>
    <x:row r="59">
      <x:c r="A59" s="197"/>
    </x:row>
    <x:row r="60">
      <x:c r="A60" s="197"/>
    </x:row>
    <x:row r="61">
      <x:c r="A61" s="197"/>
    </x:row>
    <x:row r="62">
      <x:c r="A62" s="197"/>
    </x:row>
    <x:row r="63">
      <x:c r="A63" s="197"/>
    </x:row>
    <x:row r="64">
      <x:c r="A64" s="197"/>
    </x:row>
    <x:row r="65">
      <x:c r="A65" s="197"/>
    </x:row>
    <x:row r="66">
      <x:c r="A66" s="197"/>
    </x:row>
    <x:row r="67">
      <x:c r="A67" s="197"/>
    </x:row>
    <x:row r="68">
      <x:c r="A68" s="197"/>
    </x:row>
    <x:row r="69">
      <x:c r="A69" s="197"/>
    </x:row>
    <x:row r="70">
      <x:c r="A70" s="197"/>
    </x:row>
    <x:row r="71">
      <x:c r="A71" s="197"/>
    </x:row>
    <x:row r="72">
      <x:c r="A72" s="197"/>
    </x:row>
    <x:row r="73">
      <x:c r="A73" s="197"/>
    </x:row>
    <x:row r="74">
      <x:c r="A74" s="197"/>
    </x:row>
    <x:row r="75">
      <x:c r="A75" s="197"/>
    </x:row>
    <x:row r="76">
      <x:c r="A76" s="197"/>
    </x:row>
    <x:row r="77">
      <x:c r="A77" s="197"/>
    </x:row>
    <x:row r="78">
      <x:c r="A78" s="197"/>
    </x:row>
    <x:row r="79">
      <x:c r="A79" s="197"/>
    </x:row>
    <x:row r="80">
      <x:c r="A80" s="197"/>
    </x:row>
    <x:row r="81">
      <x:c r="A81" s="197"/>
    </x:row>
    <x:row r="82">
      <x:c r="A82" s="197"/>
    </x:row>
    <x:row r="83">
      <x:c r="A83" s="197"/>
    </x:row>
    <x:row r="84">
      <x:c r="A84" s="197"/>
    </x:row>
    <x:row r="85">
      <x:c r="A85" s="197"/>
    </x:row>
    <x:row r="86">
      <x:c r="A86" s="197"/>
    </x:row>
    <x:row r="87">
      <x:c r="A87" s="197"/>
    </x:row>
    <x:row r="88">
      <x:c r="A88" s="197"/>
    </x:row>
    <x:row r="89">
      <x:c r="A89" s="197"/>
    </x:row>
    <x:row r="90">
      <x:c r="A90" s="197"/>
    </x:row>
    <x:row r="91">
      <x:c r="A91" s="197"/>
    </x:row>
    <x:row r="92">
      <x:c r="A92" s="197"/>
    </x:row>
    <x:row r="93">
      <x:c r="A93" s="197"/>
    </x:row>
    <x:row r="94">
      <x:c r="A94" s="197"/>
    </x:row>
    <x:row r="95">
      <x:c r="A95" s="197"/>
    </x:row>
    <x:row r="96">
      <x:c r="A96" s="197"/>
    </x:row>
    <x:row r="97">
      <x:c r="A97" s="197"/>
    </x:row>
    <x:row r="98">
      <x:c r="A98" s="197"/>
    </x:row>
    <x:row r="99">
      <x:c r="A99" s="197"/>
    </x:row>
    <x:row r="100">
      <x:c r="A100" s="197"/>
    </x:row>
    <x:row r="101">
      <x:c r="A101" s="197"/>
    </x:row>
    <x:row r="102">
      <x:c r="A102" s="197"/>
    </x:row>
    <x:row r="103">
      <x:c r="A103" s="197"/>
    </x:row>
    <x:row r="104">
      <x:c r="A104" s="197"/>
    </x:row>
    <x:row r="105">
      <x:c r="A105" s="197"/>
    </x:row>
    <x:row r="106">
      <x:c r="A106" s="197"/>
    </x:row>
    <x:row r="107">
      <x:c r="A107" s="197"/>
    </x:row>
    <x:row r="108">
      <x:c r="A108" s="197"/>
    </x:row>
    <x:row r="109">
      <x:c r="A109" s="197"/>
    </x:row>
    <x:row r="110">
      <x:c r="A110" s="197"/>
    </x:row>
    <x:row r="111">
      <x:c r="A111" s="197"/>
    </x:row>
    <x:row r="112">
      <x:c r="A112" s="197"/>
    </x:row>
    <x:row r="113">
      <x:c r="A113" s="197"/>
    </x:row>
    <x:row r="114">
      <x:c r="A114" s="197"/>
    </x:row>
    <x:row r="115">
      <x:c r="A115" s="197"/>
    </x:row>
    <x:row r="116">
      <x:c r="A116" s="197"/>
    </x:row>
    <x:row r="117">
      <x:c r="A117" s="197"/>
    </x:row>
    <x:row r="118">
      <x:c r="A118" s="197"/>
    </x:row>
    <x:row r="119">
      <x:c r="A119" s="197"/>
    </x:row>
    <x:row r="120">
      <x:c r="A120" s="197"/>
    </x:row>
    <x:row r="121">
      <x:c r="A121" s="197"/>
    </x:row>
    <x:row r="122">
      <x:c r="A122" s="197"/>
    </x:row>
    <x:row r="123">
      <x:c r="A123" s="197"/>
    </x:row>
    <x:row r="124">
      <x:c r="A124" s="197"/>
    </x:row>
    <x:row r="125">
      <x:c r="A125" s="197"/>
    </x:row>
    <x:row r="126">
      <x:c r="A126" s="197"/>
    </x:row>
    <x:row r="127">
      <x:c r="A127" s="197"/>
    </x:row>
    <x:row r="128">
      <x:c r="A128" s="197"/>
    </x:row>
    <x:row r="129">
      <x:c r="A129" s="197"/>
    </x:row>
    <x:row r="130">
      <x:c r="A130" s="197"/>
    </x:row>
    <x:row r="131">
      <x:c r="A131" s="197"/>
    </x:row>
    <x:row r="132">
      <x:c r="A132" s="197"/>
    </x:row>
    <x:row r="133">
      <x:c r="A133" s="197"/>
    </x:row>
    <x:row r="134">
      <x:c r="A134" s="197"/>
    </x:row>
    <x:row r="135">
      <x:c r="A135" s="197"/>
    </x:row>
    <x:row r="136">
      <x:c r="A136" s="197"/>
    </x:row>
    <x:row r="137">
      <x:c r="A137" s="197"/>
    </x:row>
    <x:row r="138">
      <x:c r="A138" s="197"/>
    </x:row>
    <x:row r="139">
      <x:c r="A139" s="197"/>
    </x:row>
    <x:row r="140">
      <x:c r="A140" s="197"/>
    </x:row>
    <x:row r="141">
      <x:c r="A141" s="197"/>
    </x:row>
    <x:row r="142">
      <x:c r="A142" s="197"/>
    </x:row>
    <x:row r="143">
      <x:c r="A143" s="197"/>
    </x:row>
    <x:row r="144">
      <x:c r="A144" s="197"/>
    </x:row>
    <x:row r="145">
      <x:c r="A145" s="197"/>
    </x:row>
    <x:row r="146">
      <x:c r="A146" s="197"/>
    </x:row>
    <x:row r="147">
      <x:c r="A147" s="197"/>
    </x:row>
    <x:row r="148">
      <x:c r="A148" s="197"/>
    </x:row>
    <x:row r="149">
      <x:c r="A149" s="197"/>
    </x:row>
    <x:row r="150">
      <x:c r="A150" s="197"/>
    </x:row>
    <x:row r="151">
      <x:c r="A151" s="197"/>
    </x:row>
    <x:row r="152">
      <x:c r="A152" s="197"/>
    </x:row>
    <x:row r="153">
      <x:c r="A153" s="197"/>
    </x:row>
    <x:row r="154">
      <x:c r="A154" s="197"/>
    </x:row>
    <x:row r="155">
      <x:c r="A155" s="197"/>
    </x:row>
    <x:row r="156">
      <x:c r="A156" s="197"/>
    </x:row>
    <x:row r="157">
      <x:c r="A157" s="197"/>
    </x:row>
    <x:row r="158">
      <x:c r="A158" s="197"/>
    </x:row>
    <x:row r="159">
      <x:c r="A159" s="197"/>
    </x:row>
    <x:row r="160">
      <x:c r="A160" s="197"/>
    </x:row>
    <x:row r="161">
      <x:c r="A161" s="197"/>
    </x:row>
    <x:row r="162">
      <x:c r="A162" s="197"/>
    </x:row>
    <x:row r="163">
      <x:c r="A163" s="197"/>
    </x:row>
    <x:row r="164">
      <x:c r="A164" s="197"/>
    </x:row>
    <x:row r="165">
      <x:c r="A165" s="197"/>
    </x:row>
    <x:row r="166">
      <x:c r="A166" s="197"/>
    </x:row>
    <x:row r="167">
      <x:c r="A167" s="197"/>
    </x:row>
    <x:row r="168">
      <x:c r="A168" s="197"/>
    </x:row>
    <x:row r="169">
      <x:c r="A169" s="197"/>
    </x:row>
    <x:row r="170">
      <x:c r="A170" s="197"/>
    </x:row>
    <x:row r="171">
      <x:c r="A171" s="197"/>
    </x:row>
    <x:row r="172">
      <x:c r="A172" s="197"/>
    </x:row>
    <x:row r="173">
      <x:c r="A173" s="197"/>
    </x:row>
    <x:row r="174">
      <x:c r="A174" s="197"/>
    </x:row>
    <x:row r="175">
      <x:c r="A175" s="197"/>
    </x:row>
    <x:row r="176">
      <x:c r="A176" s="197"/>
    </x:row>
    <x:row r="177">
      <x:c r="A177" s="197"/>
    </x:row>
    <x:row r="178">
      <x:c r="A178" s="197"/>
    </x:row>
    <x:row r="179">
      <x:c r="A179" s="197"/>
    </x:row>
    <x:row r="180">
      <x:c r="A180" s="197"/>
    </x:row>
    <x:row r="181">
      <x:c r="A181" s="197"/>
    </x:row>
    <x:row r="182">
      <x:c r="A182" s="197"/>
    </x:row>
    <x:row r="183">
      <x:c r="A183" s="197"/>
    </x:row>
    <x:row r="184">
      <x:c r="A184" s="197"/>
    </x:row>
    <x:row r="185">
      <x:c r="A185" s="197"/>
    </x:row>
    <x:row r="186">
      <x:c r="A186" s="197"/>
    </x:row>
    <x:row r="187">
      <x:c r="A187" s="197"/>
    </x:row>
    <x:row r="188">
      <x:c r="A188" s="197"/>
    </x:row>
    <x:row r="189">
      <x:c r="A189" s="197"/>
    </x:row>
    <x:row r="190">
      <x:c r="A190" s="197"/>
    </x:row>
    <x:row r="191">
      <x:c r="A191" s="197"/>
    </x:row>
    <x:row r="192">
      <x:c r="A192" s="197"/>
    </x:row>
    <x:row r="193">
      <x:c r="A193" s="197"/>
    </x:row>
    <x:row r="194">
      <x:c r="A194" s="197"/>
    </x:row>
    <x:row r="195">
      <x:c r="A195" s="197"/>
    </x:row>
    <x:row r="196">
      <x:c r="A196" s="197"/>
    </x:row>
    <x:row r="197">
      <x:c r="A197" s="197"/>
    </x:row>
    <x:row r="198">
      <x:c r="A198" s="197"/>
    </x:row>
    <x:row r="199">
      <x:c r="A199" s="197"/>
    </x:row>
    <x:row r="200">
      <x:c r="A200" s="197"/>
    </x:row>
    <x:row r="201">
      <x:c r="A201" s="197"/>
    </x:row>
    <x:row r="202">
      <x:c r="A202" s="197"/>
    </x:row>
    <x:row r="203">
      <x:c r="A203" s="197"/>
    </x:row>
    <x:row r="204">
      <x:c r="A204" s="197"/>
    </x:row>
    <x:row r="205">
      <x:c r="A205" s="197"/>
    </x:row>
    <x:row r="206">
      <x:c r="A206" s="197"/>
    </x:row>
    <x:row r="207">
      <x:c r="A207" s="197"/>
    </x:row>
    <x:row r="208">
      <x:c r="A208" s="197"/>
    </x:row>
    <x:row r="209">
      <x:c r="A209" s="197"/>
    </x:row>
    <x:row r="210">
      <x:c r="A210" s="197"/>
    </x:row>
    <x:row r="211">
      <x:c r="A211" s="197"/>
    </x:row>
    <x:row r="212">
      <x:c r="A212" s="197"/>
    </x:row>
    <x:row r="213">
      <x:c r="A213" s="197"/>
    </x:row>
    <x:row r="214">
      <x:c r="A214" s="197"/>
    </x:row>
    <x:row r="215">
      <x:c r="A215" s="197"/>
    </x:row>
    <x:row r="216">
      <x:c r="A216" s="197"/>
    </x:row>
    <x:row r="217">
      <x:c r="A217" s="197"/>
    </x:row>
    <x:row r="218">
      <x:c r="A218" s="197"/>
    </x:row>
    <x:row r="219">
      <x:c r="A219" s="197"/>
    </x:row>
    <x:row r="220">
      <x:c r="A220" s="197"/>
    </x:row>
    <x:row r="221">
      <x:c r="A221" s="197"/>
    </x:row>
    <x:row r="222">
      <x:c r="A222" s="197"/>
    </x:row>
    <x:row r="223">
      <x:c r="A223" s="197"/>
    </x:row>
    <x:row r="224">
      <x:c r="A224" s="197"/>
    </x:row>
    <x:row r="225">
      <x:c r="A225" s="197"/>
    </x:row>
    <x:row r="226">
      <x:c r="A226" s="197"/>
    </x:row>
    <x:row r="227">
      <x:c r="A227" s="197"/>
    </x:row>
    <x:row r="228">
      <x:c r="A228" s="197"/>
    </x:row>
    <x:row r="229">
      <x:c r="A229" s="197"/>
    </x:row>
    <x:row r="230">
      <x:c r="A230" s="197"/>
    </x:row>
    <x:row r="231">
      <x:c r="A231" s="197"/>
    </x:row>
    <x:row r="232">
      <x:c r="A232" s="197"/>
    </x:row>
    <x:row r="233">
      <x:c r="A233" s="197"/>
    </x:row>
    <x:row r="234">
      <x:c r="A234" s="197"/>
    </x:row>
    <x:row r="235">
      <x:c r="A235" s="197"/>
    </x:row>
    <x:row r="236">
      <x:c r="A236" s="197"/>
    </x:row>
    <x:row r="237">
      <x:c r="A237" s="197"/>
    </x:row>
    <x:row r="238">
      <x:c r="A238" s="197"/>
    </x:row>
    <x:row r="239">
      <x:c r="A239" s="197"/>
    </x:row>
    <x:row r="240">
      <x:c r="A240" s="197"/>
    </x:row>
  </x:sheetData>
  <x:pageMargins left="0.7" right="0.7" top="0.75" bottom="0.75" header="0.3" footer="0.3"/>
</x:worksheet>
</file>